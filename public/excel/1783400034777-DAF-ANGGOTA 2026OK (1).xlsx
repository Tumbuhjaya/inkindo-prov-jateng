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v.aditia.n/Downloads/"/>
    </mc:Choice>
  </mc:AlternateContent>
  <xr:revisionPtr revIDLastSave="0" documentId="13_ncr:1_{3949459F-88FC-374A-9AA4-88BF11E4EEE2}" xr6:coauthVersionLast="47" xr6:coauthVersionMax="47" xr10:uidLastSave="{00000000-0000-0000-0000-000000000000}"/>
  <bookViews>
    <workbookView xWindow="4460" yWindow="1020" windowWidth="24880" windowHeight="17080" firstSheet="5" activeTab="5" xr2:uid="{F82B1DE6-D180-4FE4-A34F-5ACF88E61396}"/>
  </bookViews>
  <sheets>
    <sheet name="JANUARI" sheetId="1" r:id="rId1"/>
    <sheet name="PEB" sheetId="2" r:id="rId2"/>
    <sheet name="MARET" sheetId="4" r:id="rId3"/>
    <sheet name="APRIL" sheetId="6" r:id="rId4"/>
    <sheet name="MEI" sheetId="7" r:id="rId5"/>
    <sheet name="JUNI" sheetId="8" r:id="rId6"/>
  </sheets>
  <definedNames>
    <definedName name="_xlnm._FilterDatabase" localSheetId="5" hidden="1">JUNI!$B$2:$AQ$560</definedName>
    <definedName name="_xlnm.Print_Area" localSheetId="0">JANUARI!$A$1:$AM$612</definedName>
    <definedName name="_xlnm.Print_Area" localSheetId="2">MARET!$A$1:$AM$610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08" i="7" l="1"/>
  <c r="AB615" i="7"/>
  <c r="H609" i="7"/>
  <c r="I603" i="7"/>
  <c r="H603" i="7"/>
  <c r="I602" i="7"/>
  <c r="H602" i="7"/>
  <c r="I601" i="7"/>
  <c r="H601" i="7"/>
  <c r="I598" i="7"/>
  <c r="H598" i="7"/>
  <c r="I597" i="7"/>
  <c r="H597" i="7"/>
  <c r="I596" i="7"/>
  <c r="H596" i="7"/>
  <c r="I595" i="7"/>
  <c r="H595" i="7"/>
  <c r="I592" i="7"/>
  <c r="H592" i="7"/>
  <c r="I591" i="7"/>
  <c r="H591" i="7"/>
  <c r="I590" i="7"/>
  <c r="H590" i="7"/>
  <c r="I589" i="7"/>
  <c r="H589" i="7"/>
  <c r="I588" i="7"/>
  <c r="H588" i="7"/>
  <c r="I585" i="7"/>
  <c r="H585" i="7"/>
  <c r="I584" i="7"/>
  <c r="H584" i="7"/>
  <c r="I583" i="7"/>
  <c r="H583" i="7"/>
  <c r="I582" i="7"/>
  <c r="H582" i="7"/>
  <c r="I581" i="7"/>
  <c r="H581" i="7"/>
  <c r="F581" i="7"/>
  <c r="I580" i="7"/>
  <c r="H580" i="7"/>
  <c r="I579" i="7"/>
  <c r="H579" i="7"/>
  <c r="AI576" i="7"/>
  <c r="AK576" i="7" s="1"/>
  <c r="I576" i="7"/>
  <c r="H576" i="7"/>
  <c r="AI575" i="7"/>
  <c r="AK575" i="7" s="1"/>
  <c r="I575" i="7"/>
  <c r="H575" i="7"/>
  <c r="B575" i="7"/>
  <c r="AI574" i="7"/>
  <c r="AK574" i="7" s="1"/>
  <c r="I574" i="7"/>
  <c r="H574" i="7"/>
  <c r="D574" i="7"/>
  <c r="I573" i="7"/>
  <c r="H573" i="7"/>
  <c r="AI572" i="7"/>
  <c r="AK572" i="7" s="1"/>
  <c r="Z572" i="7"/>
  <c r="I572" i="7"/>
  <c r="H572" i="7"/>
  <c r="I571" i="7"/>
  <c r="H571" i="7"/>
  <c r="AE569" i="7"/>
  <c r="AE568" i="7"/>
  <c r="I568" i="7"/>
  <c r="H568" i="7"/>
  <c r="AE567" i="7"/>
  <c r="I567" i="7"/>
  <c r="H567" i="7"/>
  <c r="AY566" i="7"/>
  <c r="AX566" i="7"/>
  <c r="AW566" i="7"/>
  <c r="AV566" i="7"/>
  <c r="AU566" i="7"/>
  <c r="AT566" i="7"/>
  <c r="AS566" i="7"/>
  <c r="AR566" i="7"/>
  <c r="AQ566" i="7"/>
  <c r="AP566" i="7"/>
  <c r="AO566" i="7"/>
  <c r="AL566" i="7"/>
  <c r="AK566" i="7"/>
  <c r="AJ566" i="7"/>
  <c r="AI566" i="7"/>
  <c r="AH566" i="7"/>
  <c r="AG566" i="7"/>
  <c r="AF566" i="7"/>
  <c r="I566" i="7"/>
  <c r="H566" i="7"/>
  <c r="F566" i="7"/>
  <c r="X565" i="7"/>
  <c r="W565" i="7"/>
  <c r="V565" i="7"/>
  <c r="U565" i="7"/>
  <c r="T565" i="7"/>
  <c r="L565" i="7"/>
  <c r="I565" i="7"/>
  <c r="H565" i="7"/>
  <c r="F565" i="7"/>
  <c r="AC564" i="7"/>
  <c r="X564" i="7"/>
  <c r="W564" i="7"/>
  <c r="V564" i="7"/>
  <c r="U564" i="7"/>
  <c r="T564" i="7"/>
  <c r="L564" i="7"/>
  <c r="L567" i="7" s="1"/>
  <c r="I564" i="7"/>
  <c r="H564" i="7"/>
  <c r="F564" i="7"/>
  <c r="S563" i="7"/>
  <c r="T569" i="7" s="1"/>
  <c r="R563" i="7"/>
  <c r="O563" i="7"/>
  <c r="N563" i="7"/>
  <c r="AS559" i="7"/>
  <c r="AS94" i="7"/>
  <c r="A7" i="7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M5" i="7"/>
  <c r="N5" i="7" s="1"/>
  <c r="O5" i="7" s="1"/>
  <c r="R5" i="7" s="1"/>
  <c r="S5" i="7" s="1"/>
  <c r="T5" i="7" s="1"/>
  <c r="U5" i="7" s="1"/>
  <c r="V5" i="7" s="1"/>
  <c r="W5" i="7" s="1"/>
  <c r="Y5" i="7" s="1"/>
  <c r="Z5" i="7" s="1"/>
  <c r="AA5" i="7" s="1"/>
  <c r="AB5" i="7" s="1"/>
  <c r="AC5" i="7" s="1"/>
  <c r="AD5" i="7" s="1"/>
  <c r="AE5" i="7" s="1"/>
  <c r="AF5" i="7" s="1"/>
  <c r="A290" i="6"/>
  <c r="A289" i="6"/>
  <c r="S564" i="6"/>
  <c r="T564" i="6"/>
  <c r="H593" i="7" l="1"/>
  <c r="A349" i="7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Y564" i="7"/>
  <c r="H599" i="7"/>
  <c r="AE570" i="7"/>
  <c r="I586" i="7"/>
  <c r="H586" i="7"/>
  <c r="H577" i="7"/>
  <c r="F567" i="7"/>
  <c r="I577" i="7"/>
  <c r="I599" i="7"/>
  <c r="I593" i="7"/>
  <c r="AZ566" i="7"/>
  <c r="AF565" i="7"/>
  <c r="AF564" i="7"/>
  <c r="AG5" i="7"/>
  <c r="H569" i="7"/>
  <c r="H605" i="7"/>
  <c r="H604" i="7"/>
  <c r="I609" i="7"/>
  <c r="I605" i="7"/>
  <c r="I604" i="7"/>
  <c r="I606" i="7" s="1"/>
  <c r="I569" i="7"/>
  <c r="G608" i="6"/>
  <c r="G583" i="6"/>
  <c r="G582" i="6"/>
  <c r="G572" i="6"/>
  <c r="H572" i="6"/>
  <c r="G566" i="6"/>
  <c r="G565" i="6"/>
  <c r="H563" i="6"/>
  <c r="H602" i="6"/>
  <c r="G602" i="6"/>
  <c r="H606" i="7" l="1"/>
  <c r="H611" i="7"/>
  <c r="AG565" i="7"/>
  <c r="AG564" i="7"/>
  <c r="AH5" i="7"/>
  <c r="AF567" i="7"/>
  <c r="H603" i="6"/>
  <c r="AI5" i="7" l="1"/>
  <c r="AH565" i="7"/>
  <c r="AH564" i="7"/>
  <c r="AG567" i="7"/>
  <c r="Y571" i="6"/>
  <c r="AH567" i="7" l="1"/>
  <c r="AI565" i="7"/>
  <c r="AJ5" i="7"/>
  <c r="AI564" i="7"/>
  <c r="AI567" i="7" s="1"/>
  <c r="AA614" i="6"/>
  <c r="H601" i="6"/>
  <c r="G601" i="6"/>
  <c r="H600" i="6"/>
  <c r="G600" i="6"/>
  <c r="H597" i="6"/>
  <c r="G597" i="6"/>
  <c r="H596" i="6"/>
  <c r="G596" i="6"/>
  <c r="H595" i="6"/>
  <c r="G595" i="6"/>
  <c r="H594" i="6"/>
  <c r="G594" i="6"/>
  <c r="H591" i="6"/>
  <c r="G591" i="6"/>
  <c r="H590" i="6"/>
  <c r="G590" i="6"/>
  <c r="H589" i="6"/>
  <c r="G589" i="6"/>
  <c r="H588" i="6"/>
  <c r="G588" i="6"/>
  <c r="H587" i="6"/>
  <c r="G587" i="6"/>
  <c r="H584" i="6"/>
  <c r="G584" i="6"/>
  <c r="H583" i="6"/>
  <c r="H582" i="6"/>
  <c r="H581" i="6"/>
  <c r="G581" i="6"/>
  <c r="H580" i="6"/>
  <c r="G580" i="6"/>
  <c r="E580" i="6"/>
  <c r="H579" i="6"/>
  <c r="G579" i="6"/>
  <c r="H578" i="6"/>
  <c r="G578" i="6"/>
  <c r="AH575" i="6"/>
  <c r="AJ575" i="6" s="1"/>
  <c r="H575" i="6"/>
  <c r="G575" i="6"/>
  <c r="AH574" i="6"/>
  <c r="AJ574" i="6" s="1"/>
  <c r="H574" i="6"/>
  <c r="G574" i="6"/>
  <c r="B574" i="6"/>
  <c r="AH573" i="6"/>
  <c r="AJ573" i="6" s="1"/>
  <c r="H573" i="6"/>
  <c r="G573" i="6"/>
  <c r="D573" i="6"/>
  <c r="AH571" i="6"/>
  <c r="AJ571" i="6" s="1"/>
  <c r="H571" i="6"/>
  <c r="G571" i="6"/>
  <c r="H570" i="6"/>
  <c r="G570" i="6"/>
  <c r="AD568" i="6"/>
  <c r="AD567" i="6"/>
  <c r="H567" i="6"/>
  <c r="G567" i="6"/>
  <c r="AD566" i="6"/>
  <c r="H566" i="6"/>
  <c r="AX565" i="6"/>
  <c r="AW565" i="6"/>
  <c r="AV565" i="6"/>
  <c r="AU565" i="6"/>
  <c r="AT565" i="6"/>
  <c r="AS565" i="6"/>
  <c r="AR565" i="6"/>
  <c r="AQ565" i="6"/>
  <c r="AP565" i="6"/>
  <c r="AO565" i="6"/>
  <c r="AN565" i="6"/>
  <c r="AK565" i="6"/>
  <c r="AJ565" i="6"/>
  <c r="AI565" i="6"/>
  <c r="AH565" i="6"/>
  <c r="AG565" i="6"/>
  <c r="AF565" i="6"/>
  <c r="AE565" i="6"/>
  <c r="H565" i="6"/>
  <c r="E565" i="6"/>
  <c r="W564" i="6"/>
  <c r="V564" i="6"/>
  <c r="U564" i="6"/>
  <c r="K564" i="6"/>
  <c r="H564" i="6"/>
  <c r="G564" i="6"/>
  <c r="E564" i="6"/>
  <c r="AB563" i="6"/>
  <c r="W563" i="6"/>
  <c r="V563" i="6"/>
  <c r="U563" i="6"/>
  <c r="T563" i="6"/>
  <c r="S563" i="6"/>
  <c r="K563" i="6"/>
  <c r="G563" i="6"/>
  <c r="E563" i="6"/>
  <c r="R562" i="6"/>
  <c r="S568" i="6" s="1"/>
  <c r="Q562" i="6"/>
  <c r="N562" i="6"/>
  <c r="M562" i="6"/>
  <c r="AR558" i="6"/>
  <c r="AR94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L5" i="6"/>
  <c r="M5" i="6" s="1"/>
  <c r="N5" i="6" s="1"/>
  <c r="Q5" i="6" s="1"/>
  <c r="R5" i="6" s="1"/>
  <c r="S5" i="6" s="1"/>
  <c r="T5" i="6" s="1"/>
  <c r="U5" i="6" s="1"/>
  <c r="V5" i="6" s="1"/>
  <c r="X5" i="6" s="1"/>
  <c r="Y5" i="6" s="1"/>
  <c r="Z5" i="6" s="1"/>
  <c r="AA5" i="6" s="1"/>
  <c r="AB5" i="6" s="1"/>
  <c r="AC5" i="6" s="1"/>
  <c r="AD5" i="6" s="1"/>
  <c r="AE5" i="6" s="1"/>
  <c r="A31" i="4"/>
  <c r="A30" i="4"/>
  <c r="AA610" i="4"/>
  <c r="H597" i="4"/>
  <c r="G597" i="4"/>
  <c r="H596" i="4"/>
  <c r="G596" i="4"/>
  <c r="H593" i="4"/>
  <c r="G593" i="4"/>
  <c r="H592" i="4"/>
  <c r="G592" i="4"/>
  <c r="H591" i="4"/>
  <c r="G591" i="4"/>
  <c r="H590" i="4"/>
  <c r="G590" i="4"/>
  <c r="H587" i="4"/>
  <c r="G587" i="4"/>
  <c r="H586" i="4"/>
  <c r="G586" i="4"/>
  <c r="H585" i="4"/>
  <c r="G585" i="4"/>
  <c r="H584" i="4"/>
  <c r="G584" i="4"/>
  <c r="H583" i="4"/>
  <c r="G583" i="4"/>
  <c r="H580" i="4"/>
  <c r="G580" i="4"/>
  <c r="H579" i="4"/>
  <c r="G579" i="4"/>
  <c r="H578" i="4"/>
  <c r="G578" i="4"/>
  <c r="H577" i="4"/>
  <c r="G577" i="4"/>
  <c r="H576" i="4"/>
  <c r="G576" i="4"/>
  <c r="E576" i="4"/>
  <c r="H575" i="4"/>
  <c r="G575" i="4"/>
  <c r="H574" i="4"/>
  <c r="G574" i="4"/>
  <c r="AH571" i="4"/>
  <c r="AJ571" i="4" s="1"/>
  <c r="H571" i="4"/>
  <c r="G571" i="4"/>
  <c r="AH570" i="4"/>
  <c r="AJ570" i="4" s="1"/>
  <c r="H570" i="4"/>
  <c r="G570" i="4"/>
  <c r="B570" i="4"/>
  <c r="AH569" i="4"/>
  <c r="AJ569" i="4" s="1"/>
  <c r="H569" i="4"/>
  <c r="G569" i="4"/>
  <c r="D569" i="4"/>
  <c r="AH568" i="4"/>
  <c r="AJ568" i="4" s="1"/>
  <c r="H568" i="4"/>
  <c r="G568" i="4"/>
  <c r="H567" i="4"/>
  <c r="G567" i="4"/>
  <c r="AD565" i="4"/>
  <c r="AD564" i="4"/>
  <c r="H564" i="4"/>
  <c r="G564" i="4"/>
  <c r="AD563" i="4"/>
  <c r="H563" i="4"/>
  <c r="G563" i="4"/>
  <c r="AW562" i="4"/>
  <c r="AV562" i="4"/>
  <c r="AU562" i="4"/>
  <c r="AT562" i="4"/>
  <c r="AS562" i="4"/>
  <c r="AR562" i="4"/>
  <c r="AQ562" i="4"/>
  <c r="AP562" i="4"/>
  <c r="AO562" i="4"/>
  <c r="AN562" i="4"/>
  <c r="AM562" i="4"/>
  <c r="AK562" i="4"/>
  <c r="AJ562" i="4"/>
  <c r="AI562" i="4"/>
  <c r="AH562" i="4"/>
  <c r="AG562" i="4"/>
  <c r="AF562" i="4"/>
  <c r="AE562" i="4"/>
  <c r="H562" i="4"/>
  <c r="G562" i="4"/>
  <c r="E562" i="4"/>
  <c r="W561" i="4"/>
  <c r="V561" i="4"/>
  <c r="U561" i="4"/>
  <c r="K561" i="4"/>
  <c r="H561" i="4"/>
  <c r="G561" i="4"/>
  <c r="E561" i="4"/>
  <c r="AB560" i="4"/>
  <c r="W560" i="4"/>
  <c r="V560" i="4"/>
  <c r="U560" i="4"/>
  <c r="T560" i="4"/>
  <c r="S560" i="4"/>
  <c r="K560" i="4"/>
  <c r="H560" i="4"/>
  <c r="G560" i="4"/>
  <c r="E560" i="4"/>
  <c r="R559" i="4"/>
  <c r="S565" i="4" s="1"/>
  <c r="Q559" i="4"/>
  <c r="N559" i="4"/>
  <c r="M559" i="4"/>
  <c r="AQ555" i="4"/>
  <c r="AQ93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L5" i="4"/>
  <c r="M5" i="4" s="1"/>
  <c r="N5" i="4" s="1"/>
  <c r="Q5" i="4" s="1"/>
  <c r="R5" i="4" s="1"/>
  <c r="S5" i="4" s="1"/>
  <c r="T5" i="4" s="1"/>
  <c r="U5" i="4" s="1"/>
  <c r="V5" i="4" s="1"/>
  <c r="X5" i="4" s="1"/>
  <c r="Y5" i="4" s="1"/>
  <c r="Z5" i="4" s="1"/>
  <c r="AA5" i="4" s="1"/>
  <c r="AB5" i="4" s="1"/>
  <c r="AC5" i="4" s="1"/>
  <c r="AD5" i="4" s="1"/>
  <c r="AE5" i="4" s="1"/>
  <c r="A32" i="2"/>
  <c r="A31" i="2"/>
  <c r="AQ552" i="2"/>
  <c r="W557" i="2"/>
  <c r="V557" i="2"/>
  <c r="U557" i="2"/>
  <c r="T557" i="2"/>
  <c r="S557" i="2"/>
  <c r="AJ565" i="7" l="1"/>
  <c r="AJ564" i="7"/>
  <c r="AK5" i="7"/>
  <c r="G604" i="6"/>
  <c r="G603" i="6"/>
  <c r="A34" i="6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H604" i="6"/>
  <c r="H605" i="6" s="1"/>
  <c r="H608" i="6"/>
  <c r="H598" i="6"/>
  <c r="G592" i="6"/>
  <c r="G576" i="6"/>
  <c r="X563" i="6"/>
  <c r="H592" i="6"/>
  <c r="E566" i="6"/>
  <c r="AD569" i="6"/>
  <c r="G585" i="6"/>
  <c r="H576" i="6"/>
  <c r="H585" i="6"/>
  <c r="G598" i="6"/>
  <c r="AY565" i="6"/>
  <c r="AE564" i="6"/>
  <c r="AE563" i="6"/>
  <c r="AF5" i="6"/>
  <c r="K566" i="6"/>
  <c r="G568" i="6"/>
  <c r="H568" i="6"/>
  <c r="K563" i="4"/>
  <c r="A164" i="4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G572" i="4"/>
  <c r="H594" i="4"/>
  <c r="E563" i="4"/>
  <c r="H588" i="4"/>
  <c r="G565" i="4"/>
  <c r="H572" i="4"/>
  <c r="H565" i="4"/>
  <c r="H581" i="4"/>
  <c r="G594" i="4"/>
  <c r="AF5" i="4"/>
  <c r="AE560" i="4"/>
  <c r="AE561" i="4"/>
  <c r="G588" i="4"/>
  <c r="X560" i="4"/>
  <c r="AX562" i="4"/>
  <c r="AD566" i="4"/>
  <c r="G581" i="4"/>
  <c r="X557" i="2"/>
  <c r="AQ92" i="2"/>
  <c r="AA607" i="2"/>
  <c r="H594" i="2"/>
  <c r="G594" i="2"/>
  <c r="H593" i="2"/>
  <c r="G593" i="2"/>
  <c r="H590" i="2"/>
  <c r="G590" i="2"/>
  <c r="H589" i="2"/>
  <c r="G589" i="2"/>
  <c r="H588" i="2"/>
  <c r="G588" i="2"/>
  <c r="H587" i="2"/>
  <c r="G587" i="2"/>
  <c r="H584" i="2"/>
  <c r="G584" i="2"/>
  <c r="H583" i="2"/>
  <c r="G583" i="2"/>
  <c r="H582" i="2"/>
  <c r="G582" i="2"/>
  <c r="H581" i="2"/>
  <c r="G581" i="2"/>
  <c r="H580" i="2"/>
  <c r="G580" i="2"/>
  <c r="H577" i="2"/>
  <c r="G577" i="2"/>
  <c r="H576" i="2"/>
  <c r="G576" i="2"/>
  <c r="H575" i="2"/>
  <c r="G575" i="2"/>
  <c r="H574" i="2"/>
  <c r="G574" i="2"/>
  <c r="H573" i="2"/>
  <c r="G573" i="2"/>
  <c r="E573" i="2"/>
  <c r="H572" i="2"/>
  <c r="G572" i="2"/>
  <c r="H571" i="2"/>
  <c r="G571" i="2"/>
  <c r="AH568" i="2"/>
  <c r="AJ568" i="2" s="1"/>
  <c r="H568" i="2"/>
  <c r="G568" i="2"/>
  <c r="AH567" i="2"/>
  <c r="AJ567" i="2" s="1"/>
  <c r="H567" i="2"/>
  <c r="G567" i="2"/>
  <c r="B567" i="2"/>
  <c r="AH566" i="2"/>
  <c r="AJ566" i="2" s="1"/>
  <c r="H566" i="2"/>
  <c r="G566" i="2"/>
  <c r="D566" i="2"/>
  <c r="AH565" i="2"/>
  <c r="AJ565" i="2" s="1"/>
  <c r="H565" i="2"/>
  <c r="G565" i="2"/>
  <c r="H564" i="2"/>
  <c r="G564" i="2"/>
  <c r="AD562" i="2"/>
  <c r="AD561" i="2"/>
  <c r="H561" i="2"/>
  <c r="G561" i="2"/>
  <c r="AD560" i="2"/>
  <c r="H560" i="2"/>
  <c r="G560" i="2"/>
  <c r="AW559" i="2"/>
  <c r="AV559" i="2"/>
  <c r="AU559" i="2"/>
  <c r="AT559" i="2"/>
  <c r="AS559" i="2"/>
  <c r="AR559" i="2"/>
  <c r="AQ559" i="2"/>
  <c r="AP559" i="2"/>
  <c r="AO559" i="2"/>
  <c r="AN559" i="2"/>
  <c r="AM559" i="2"/>
  <c r="AK559" i="2"/>
  <c r="AJ559" i="2"/>
  <c r="AI559" i="2"/>
  <c r="AH559" i="2"/>
  <c r="AG559" i="2"/>
  <c r="AF559" i="2"/>
  <c r="AE559" i="2"/>
  <c r="H559" i="2"/>
  <c r="G559" i="2"/>
  <c r="E559" i="2"/>
  <c r="W558" i="2"/>
  <c r="V558" i="2"/>
  <c r="U558" i="2"/>
  <c r="K558" i="2"/>
  <c r="H558" i="2"/>
  <c r="G558" i="2"/>
  <c r="E558" i="2"/>
  <c r="AB557" i="2"/>
  <c r="K557" i="2"/>
  <c r="H557" i="2"/>
  <c r="G557" i="2"/>
  <c r="E557" i="2"/>
  <c r="R556" i="2"/>
  <c r="S562" i="2" s="1"/>
  <c r="Q556" i="2"/>
  <c r="N556" i="2"/>
  <c r="M556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L5" i="2"/>
  <c r="M5" i="2" s="1"/>
  <c r="N5" i="2" s="1"/>
  <c r="Q5" i="2" s="1"/>
  <c r="R5" i="2" s="1"/>
  <c r="S5" i="2" s="1"/>
  <c r="T5" i="2" s="1"/>
  <c r="U5" i="2" s="1"/>
  <c r="V5" i="2" s="1"/>
  <c r="X5" i="2" s="1"/>
  <c r="Y5" i="2" s="1"/>
  <c r="Z5" i="2" s="1"/>
  <c r="AA5" i="2" s="1"/>
  <c r="AB5" i="2" s="1"/>
  <c r="AC5" i="2" s="1"/>
  <c r="AD5" i="2" s="1"/>
  <c r="AE5" i="2" s="1"/>
  <c r="E572" i="1"/>
  <c r="W557" i="1"/>
  <c r="W556" i="1"/>
  <c r="AJ567" i="7" l="1"/>
  <c r="AL5" i="7"/>
  <c r="AK565" i="7"/>
  <c r="AK564" i="7"/>
  <c r="G605" i="6"/>
  <c r="G610" i="6" s="1"/>
  <c r="AE566" i="6"/>
  <c r="AF564" i="6"/>
  <c r="AF563" i="6"/>
  <c r="AG5" i="6"/>
  <c r="A289" i="4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E563" i="4"/>
  <c r="AG5" i="4"/>
  <c r="AF561" i="4"/>
  <c r="AF560" i="4"/>
  <c r="G562" i="2"/>
  <c r="G569" i="2"/>
  <c r="H591" i="2"/>
  <c r="G585" i="2"/>
  <c r="H562" i="2"/>
  <c r="K560" i="2"/>
  <c r="H585" i="2"/>
  <c r="AD563" i="2"/>
  <c r="E560" i="2"/>
  <c r="G591" i="2"/>
  <c r="AX559" i="2"/>
  <c r="AF5" i="2"/>
  <c r="AE558" i="2"/>
  <c r="AE557" i="2"/>
  <c r="H569" i="2"/>
  <c r="G578" i="2"/>
  <c r="H578" i="2"/>
  <c r="AA606" i="1"/>
  <c r="A7" i="1"/>
  <c r="A8" i="1" s="1"/>
  <c r="A9" i="1" s="1"/>
  <c r="A10" i="1" s="1"/>
  <c r="H593" i="1"/>
  <c r="G593" i="1"/>
  <c r="H592" i="1"/>
  <c r="G592" i="1"/>
  <c r="H589" i="1"/>
  <c r="G589" i="1"/>
  <c r="H588" i="1"/>
  <c r="G588" i="1"/>
  <c r="H587" i="1"/>
  <c r="G587" i="1"/>
  <c r="H586" i="1"/>
  <c r="G586" i="1"/>
  <c r="H583" i="1"/>
  <c r="G583" i="1"/>
  <c r="H582" i="1"/>
  <c r="G582" i="1"/>
  <c r="H581" i="1"/>
  <c r="G581" i="1"/>
  <c r="H580" i="1"/>
  <c r="G580" i="1"/>
  <c r="H579" i="1"/>
  <c r="G579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AH567" i="1"/>
  <c r="AJ567" i="1" s="1"/>
  <c r="H567" i="1"/>
  <c r="G567" i="1"/>
  <c r="AH566" i="1"/>
  <c r="AJ566" i="1" s="1"/>
  <c r="H566" i="1"/>
  <c r="G566" i="1"/>
  <c r="B566" i="1"/>
  <c r="AJ565" i="1"/>
  <c r="AH565" i="1"/>
  <c r="H565" i="1"/>
  <c r="G565" i="1"/>
  <c r="D565" i="1"/>
  <c r="AH564" i="1"/>
  <c r="AJ564" i="1" s="1"/>
  <c r="H564" i="1"/>
  <c r="G564" i="1"/>
  <c r="H563" i="1"/>
  <c r="G563" i="1"/>
  <c r="AD561" i="1"/>
  <c r="AD560" i="1"/>
  <c r="H560" i="1"/>
  <c r="G560" i="1"/>
  <c r="AD559" i="1"/>
  <c r="H559" i="1"/>
  <c r="G559" i="1"/>
  <c r="AK558" i="1"/>
  <c r="AJ558" i="1"/>
  <c r="AI558" i="1"/>
  <c r="AH558" i="1"/>
  <c r="AG558" i="1"/>
  <c r="AF558" i="1"/>
  <c r="AE558" i="1"/>
  <c r="H558" i="1"/>
  <c r="G558" i="1"/>
  <c r="E558" i="1"/>
  <c r="V557" i="1"/>
  <c r="U557" i="1"/>
  <c r="K557" i="1"/>
  <c r="H557" i="1"/>
  <c r="G557" i="1"/>
  <c r="E557" i="1"/>
  <c r="AB556" i="1"/>
  <c r="V556" i="1"/>
  <c r="U556" i="1"/>
  <c r="T556" i="1"/>
  <c r="S556" i="1"/>
  <c r="K556" i="1"/>
  <c r="H556" i="1"/>
  <c r="G556" i="1"/>
  <c r="E556" i="1"/>
  <c r="R555" i="1"/>
  <c r="S561" i="1" s="1"/>
  <c r="Q555" i="1"/>
  <c r="N555" i="1"/>
  <c r="M555" i="1"/>
  <c r="AO432" i="1"/>
  <c r="AU558" i="1"/>
  <c r="L5" i="1"/>
  <c r="M5" i="1" s="1"/>
  <c r="N5" i="1" s="1"/>
  <c r="Q5" i="1" s="1"/>
  <c r="R5" i="1" s="1"/>
  <c r="S5" i="1" s="1"/>
  <c r="T5" i="1" s="1"/>
  <c r="U5" i="1" s="1"/>
  <c r="V5" i="1" s="1"/>
  <c r="X5" i="1" s="1"/>
  <c r="Y5" i="1" s="1"/>
  <c r="Z5" i="1" s="1"/>
  <c r="AA5" i="1" s="1"/>
  <c r="AB5" i="1" s="1"/>
  <c r="AC5" i="1" s="1"/>
  <c r="AD5" i="1" s="1"/>
  <c r="AE5" i="1" s="1"/>
  <c r="AK567" i="7" l="1"/>
  <c r="AL565" i="7"/>
  <c r="AL564" i="7"/>
  <c r="AM5" i="7"/>
  <c r="AO5" i="7" s="1"/>
  <c r="AF566" i="6"/>
  <c r="AG564" i="6"/>
  <c r="AG563" i="6"/>
  <c r="AH5" i="6"/>
  <c r="AF563" i="4"/>
  <c r="AH5" i="4"/>
  <c r="AG561" i="4"/>
  <c r="AG560" i="4"/>
  <c r="AE560" i="2"/>
  <c r="AG5" i="2"/>
  <c r="AF558" i="2"/>
  <c r="AF557" i="2"/>
  <c r="AF560" i="2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G590" i="1"/>
  <c r="G568" i="1"/>
  <c r="AT558" i="1"/>
  <c r="H568" i="1"/>
  <c r="H577" i="1"/>
  <c r="H590" i="1"/>
  <c r="H584" i="1"/>
  <c r="H561" i="1"/>
  <c r="X556" i="1"/>
  <c r="G577" i="1"/>
  <c r="AF5" i="1"/>
  <c r="AE556" i="1"/>
  <c r="AE557" i="1"/>
  <c r="AD562" i="1"/>
  <c r="AP558" i="1"/>
  <c r="AM558" i="1"/>
  <c r="AW558" i="1"/>
  <c r="AV558" i="1"/>
  <c r="G584" i="1"/>
  <c r="E559" i="1"/>
  <c r="AN558" i="1"/>
  <c r="G561" i="1"/>
  <c r="AO558" i="1"/>
  <c r="AQ558" i="1"/>
  <c r="K559" i="1"/>
  <c r="AR558" i="1"/>
  <c r="AS558" i="1"/>
  <c r="AL567" i="7" l="1"/>
  <c r="AH564" i="6"/>
  <c r="AH563" i="6"/>
  <c r="AI5" i="6"/>
  <c r="AG566" i="6"/>
  <c r="AG563" i="4"/>
  <c r="AH561" i="4"/>
  <c r="AH560" i="4"/>
  <c r="AI5" i="4"/>
  <c r="AG558" i="2"/>
  <c r="AG557" i="2"/>
  <c r="AG560" i="2" s="1"/>
  <c r="AH5" i="2"/>
  <c r="AE559" i="1"/>
  <c r="AX558" i="1"/>
  <c r="AG5" i="1"/>
  <c r="AF556" i="1"/>
  <c r="AF557" i="1"/>
  <c r="AI564" i="6" l="1"/>
  <c r="AJ5" i="6"/>
  <c r="AI563" i="6"/>
  <c r="AH566" i="6"/>
  <c r="AH563" i="4"/>
  <c r="AI561" i="4"/>
  <c r="AI560" i="4"/>
  <c r="AJ5" i="4"/>
  <c r="AH558" i="2"/>
  <c r="AH557" i="2"/>
  <c r="AI5" i="2"/>
  <c r="AF559" i="1"/>
  <c r="AH5" i="1"/>
  <c r="AG556" i="1"/>
  <c r="AG557" i="1"/>
  <c r="AI566" i="6" l="1"/>
  <c r="AJ564" i="6"/>
  <c r="AJ563" i="6"/>
  <c r="AK5" i="6"/>
  <c r="AI563" i="4"/>
  <c r="AJ561" i="4"/>
  <c r="AJ560" i="4"/>
  <c r="AK5" i="4"/>
  <c r="AI558" i="2"/>
  <c r="AI557" i="2"/>
  <c r="AJ5" i="2"/>
  <c r="AH560" i="2"/>
  <c r="AG559" i="1"/>
  <c r="AI5" i="1"/>
  <c r="AH556" i="1"/>
  <c r="AH557" i="1"/>
  <c r="AK563" i="6" l="1"/>
  <c r="AK564" i="6"/>
  <c r="AL5" i="6"/>
  <c r="AN5" i="6" s="1"/>
  <c r="AJ566" i="6"/>
  <c r="AJ563" i="4"/>
  <c r="AK560" i="4"/>
  <c r="AK561" i="4"/>
  <c r="AL5" i="4"/>
  <c r="AM5" i="4" s="1"/>
  <c r="AI560" i="2"/>
  <c r="AJ557" i="2"/>
  <c r="AJ558" i="2"/>
  <c r="AK5" i="2"/>
  <c r="AH559" i="1"/>
  <c r="AI557" i="1"/>
  <c r="AI556" i="1"/>
  <c r="AJ5" i="1"/>
  <c r="AK566" i="6" l="1"/>
  <c r="AK563" i="4"/>
  <c r="AK557" i="2"/>
  <c r="AL5" i="2"/>
  <c r="AM5" i="2" s="1"/>
  <c r="AK558" i="2"/>
  <c r="AJ560" i="2"/>
  <c r="AI559" i="1"/>
  <c r="AJ557" i="1"/>
  <c r="AJ556" i="1"/>
  <c r="AK5" i="1"/>
  <c r="AK560" i="2" l="1"/>
  <c r="AJ559" i="1"/>
  <c r="AL5" i="1"/>
  <c r="AM5" i="1" s="1"/>
  <c r="AK556" i="1"/>
  <c r="AK557" i="1"/>
  <c r="AK559" i="1" l="1"/>
  <c r="B341" i="8"/>
  <c r="B168" i="8"/>
  <c r="B169" i="8" s="1"/>
  <c r="B342" i="8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203" i="8"/>
  <c r="B204" i="8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60" i="8"/>
  <c r="B361" i="8" s="1"/>
  <c r="B362" i="8"/>
  <c r="B363" i="8"/>
  <c r="B364" i="8" s="1"/>
  <c r="B365" i="8" s="1"/>
  <c r="B366" i="8" s="1"/>
  <c r="B367" i="8"/>
  <c r="B368" i="8" s="1"/>
  <c r="B369" i="8" s="1"/>
  <c r="B370" i="8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B403" i="8" s="1"/>
  <c r="B404" i="8" s="1"/>
  <c r="B405" i="8" s="1"/>
  <c r="B406" i="8" s="1"/>
  <c r="B407" i="8" s="1"/>
  <c r="B408" i="8" s="1"/>
  <c r="B409" i="8" s="1"/>
  <c r="B410" i="8" s="1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3" i="8"/>
  <c r="B4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3" i="8"/>
  <c r="B154" i="8" s="1"/>
  <c r="B155" i="8"/>
  <c r="B156" i="8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70" i="8"/>
  <c r="B171" i="8"/>
  <c r="B172" i="8"/>
  <c r="B173" i="8"/>
  <c r="B174" i="8"/>
  <c r="B175" i="8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B201" i="8" s="1"/>
  <c r="B560" i="8"/>
</calcChain>
</file>

<file path=xl/sharedStrings.xml><?xml version="1.0" encoding="utf-8"?>
<sst xmlns="http://schemas.openxmlformats.org/spreadsheetml/2006/main" count="81805" uniqueCount="4856">
  <si>
    <t>NO.</t>
  </si>
  <si>
    <t>No. ANGGOTA</t>
  </si>
  <si>
    <t>NAMA PERUSAHAAN</t>
  </si>
  <si>
    <t>PENANGGUNG JAWAB BU / 
DIREKTUR</t>
  </si>
  <si>
    <t>GELAR PJBU</t>
  </si>
  <si>
    <t>A L A M A T (KTA)</t>
  </si>
  <si>
    <t>KOTA</t>
  </si>
  <si>
    <t>KORWIL</t>
  </si>
  <si>
    <t>TELEPON</t>
  </si>
  <si>
    <t>FAX</t>
  </si>
  <si>
    <t>STATUS</t>
  </si>
  <si>
    <t>DISYAHKAN</t>
  </si>
  <si>
    <t>KODE ETIK</t>
  </si>
  <si>
    <t>YANG
HADIR</t>
  </si>
  <si>
    <t>DI UNDANG</t>
  </si>
  <si>
    <t>PELANTIKAN</t>
  </si>
  <si>
    <t>TAHUN 2021</t>
  </si>
  <si>
    <t>TAHUN 2022</t>
  </si>
  <si>
    <t>TAHUN 2023</t>
  </si>
  <si>
    <t>TAHUN 2024</t>
  </si>
  <si>
    <t>TAHUN 2025</t>
  </si>
  <si>
    <t>NOMOR HP 
PJBU</t>
  </si>
  <si>
    <t>E-mail-KTA</t>
  </si>
  <si>
    <t>NO. SERTIFIKAT</t>
  </si>
  <si>
    <t>WAKTU 
PENATARAN</t>
  </si>
  <si>
    <t>MEMILIKI 
SERTIFIKAT KODE ETIK</t>
  </si>
  <si>
    <t>KTA 2020</t>
  </si>
  <si>
    <t>KWALIFIKASI</t>
  </si>
  <si>
    <t>JUMLAH TUNGGAKAN</t>
  </si>
  <si>
    <t>KET-TUNGGAKAN</t>
  </si>
  <si>
    <t>PJBU</t>
  </si>
  <si>
    <t>PERUSAHAAN</t>
  </si>
  <si>
    <t>0</t>
  </si>
  <si>
    <t>17765/P/0785.JT</t>
  </si>
  <si>
    <t>ABADI DESAIN SEJAHTERA, PT.</t>
  </si>
  <si>
    <t>Hj. NOK CHOSYI'AH, S.Pd</t>
  </si>
  <si>
    <t>NON TEHNIK</t>
  </si>
  <si>
    <t>Jl. Benda RT. 02 RW. 01 Benda Sirampog</t>
  </si>
  <si>
    <t>BREBES</t>
  </si>
  <si>
    <t>PEKALONGAN</t>
  </si>
  <si>
    <t>081329555589</t>
  </si>
  <si>
    <t>-</t>
  </si>
  <si>
    <t>P</t>
  </si>
  <si>
    <t>29/01/2021</t>
  </si>
  <si>
    <t>BARU</t>
  </si>
  <si>
    <t>+6281329555589</t>
  </si>
  <si>
    <t>marsonoabadi12@gmail.com</t>
  </si>
  <si>
    <t>BELUM PKE</t>
  </si>
  <si>
    <t>TA</t>
  </si>
  <si>
    <t>K</t>
  </si>
  <si>
    <t>Akan segera perpanjangan</t>
  </si>
  <si>
    <t>10235/P/0438.JT</t>
  </si>
  <si>
    <t>ABADI DESAIN, CV.</t>
  </si>
  <si>
    <t>Ir. MARSONO, MT.</t>
  </si>
  <si>
    <t>TEHNIK</t>
  </si>
  <si>
    <t>Jl. Karangduwur 03/01 Petanahan</t>
  </si>
  <si>
    <t>KEBUMEN</t>
  </si>
  <si>
    <t>KEDU</t>
  </si>
  <si>
    <t>0287 5505318</t>
  </si>
  <si>
    <t>28/02/2002</t>
  </si>
  <si>
    <t>mars63sono@gmail.com</t>
  </si>
  <si>
    <t>Tidak Ada Nomor</t>
  </si>
  <si>
    <t>18711/P/0893.JT</t>
  </si>
  <si>
    <t>ABE KARYA KONSULTAN, CV.</t>
  </si>
  <si>
    <t>HAFID BUSTOMI, ST.</t>
  </si>
  <si>
    <t xml:space="preserve">Jl. Jl. Tumbak Keris RT. 02 RW. 03 Petanahan </t>
  </si>
  <si>
    <t>085228797352</t>
  </si>
  <si>
    <t>+6285228797352</t>
  </si>
  <si>
    <t>abekaryakebumen@gmail.com</t>
  </si>
  <si>
    <t>10758/P/0487.JT</t>
  </si>
  <si>
    <t>ABISEKA NITI BUANA, CV.</t>
  </si>
  <si>
    <t>LILIK TRI HARTANTO, ST.</t>
  </si>
  <si>
    <t>Jl. Singosari X No 10 Pleburan</t>
  </si>
  <si>
    <t>SEMARANG</t>
  </si>
  <si>
    <t>024  8450858</t>
  </si>
  <si>
    <t>08122817474</t>
  </si>
  <si>
    <t>+628156505004</t>
  </si>
  <si>
    <t>abiseka_nitibuana@yahoo.co.id</t>
  </si>
  <si>
    <t>1481/11/DKN-PKE/XI/2015</t>
  </si>
  <si>
    <t>18706/P/0891.JT</t>
  </si>
  <si>
    <t>ABIYYU KARYA KONSULTAN, PT.</t>
  </si>
  <si>
    <t>HILMY ABIYYU NIRWANA, ST.</t>
  </si>
  <si>
    <t>Jl. Grafika Raya No. 19 - H Banyumanik</t>
  </si>
  <si>
    <t>08983428062</t>
  </si>
  <si>
    <t>+628983428062</t>
  </si>
  <si>
    <t>abiyyukaryakonsultan.pt@gmail.com</t>
  </si>
  <si>
    <t>16620/P/0586.JT</t>
  </si>
  <si>
    <t>ADHI GUNA CONSULTANT, CV.</t>
  </si>
  <si>
    <t>MISGIARTI, ST.</t>
  </si>
  <si>
    <t>Gg. Beringin No. 15-A RT. 05 TW. 04 Bumirejo</t>
  </si>
  <si>
    <t>085291855114</t>
  </si>
  <si>
    <t>21/08/2017</t>
  </si>
  <si>
    <t>+6285291855114</t>
  </si>
  <si>
    <t>adhiguna_consultant@yahoo.com</t>
  </si>
  <si>
    <t>PJBTH</t>
  </si>
  <si>
    <t>13118/P/0604.JT</t>
  </si>
  <si>
    <t>ADHI JAYA CONSULTANT, CV.</t>
  </si>
  <si>
    <t>SUPARDI, ST.</t>
  </si>
  <si>
    <t>Jl. Pituruh Km. 1,2 Pecarikan Prembun</t>
  </si>
  <si>
    <t>+6281328792103</t>
  </si>
  <si>
    <t>adhijayaconsultant@yahoo.co.id</t>
  </si>
  <si>
    <t>12//04/2010</t>
  </si>
  <si>
    <t>17558/P/0767.JT</t>
  </si>
  <si>
    <t>ADHISATYA, CV.</t>
  </si>
  <si>
    <t>R RAFII BISATYA RAHMAT, S.P.W.K</t>
  </si>
  <si>
    <t>Jl. Gunung Sawo No. 7, Petompon Gajahmungkur</t>
  </si>
  <si>
    <t>082225415202</t>
  </si>
  <si>
    <t>30/4/2020</t>
  </si>
  <si>
    <t>+6282225415202</t>
  </si>
  <si>
    <t>adhisatya234@gmail.com</t>
  </si>
  <si>
    <t>5</t>
  </si>
  <si>
    <t>2084/P/0157.JT</t>
  </si>
  <si>
    <t>ADHISTYA DHARMASTITYA, PT.</t>
  </si>
  <si>
    <t>Ir. FS. SULISTOMO</t>
  </si>
  <si>
    <t>Jl. Supriyadi VI / 14-A</t>
  </si>
  <si>
    <t>024 8317138</t>
  </si>
  <si>
    <t xml:space="preserve"> 024 - 8317138</t>
  </si>
  <si>
    <t>31/08/1985</t>
  </si>
  <si>
    <t>+6281225424168</t>
  </si>
  <si>
    <t>ptadhistyadharmastitya@gmail.com</t>
  </si>
  <si>
    <t>M</t>
  </si>
  <si>
    <t>0435/P/0016.JT</t>
  </si>
  <si>
    <t>ADHIYASA DESICON, PT.</t>
  </si>
  <si>
    <t>Ir. WASISTA NUGRAHA</t>
  </si>
  <si>
    <t>Jl. Perdana Raya C1/7 Banyumanik</t>
  </si>
  <si>
    <t>024 7475541</t>
  </si>
  <si>
    <t>024 - 7475541</t>
  </si>
  <si>
    <t>+628122804357</t>
  </si>
  <si>
    <t>adhiyasadesicon@yahoo.co.id</t>
  </si>
  <si>
    <t>Direksi</t>
  </si>
  <si>
    <t>B</t>
  </si>
  <si>
    <t>17585/P/0770.JT</t>
  </si>
  <si>
    <t>ADHYASTHA REKA PERSADA, PT.</t>
  </si>
  <si>
    <t>WELLY ANTO RUSTANTO, ST, MT.</t>
  </si>
  <si>
    <t>Perum Graha Wanamukti Blok C-7 Sambiroto</t>
  </si>
  <si>
    <t>081225555151</t>
  </si>
  <si>
    <t>+6281225555151</t>
  </si>
  <si>
    <t>cv.adhyastarekapersada@gmail.com</t>
  </si>
  <si>
    <t>003/DKP-JT/DKN-KE-TLK/I/2023</t>
  </si>
  <si>
    <t>4</t>
  </si>
  <si>
    <t>18273/P/0846.JT</t>
  </si>
  <si>
    <t>ADHYASTHA REKAYASA DESAIN, PT.</t>
  </si>
  <si>
    <t>HANDIYO SUPOMO, ST.</t>
  </si>
  <si>
    <t>Jl. Kalingga Dalam No. 20 RT. 06 RW. 16 Srondol Wetan</t>
  </si>
  <si>
    <t>085338242397</t>
  </si>
  <si>
    <t>+6285338242397</t>
  </si>
  <si>
    <t>adhyastharekayasadesain@gmail.com</t>
  </si>
  <si>
    <t>002/DKP-JT/DKN-KE-TLK/I/2023</t>
  </si>
  <si>
    <t>1</t>
  </si>
  <si>
    <t>13791/P/0635.JT</t>
  </si>
  <si>
    <t>ADICCON , CV.</t>
  </si>
  <si>
    <t>Ir. NICHOLAS SUTOPO</t>
  </si>
  <si>
    <t>Jl. Poncowolo Barat VII/504-B</t>
  </si>
  <si>
    <t>024 3542654</t>
  </si>
  <si>
    <t xml:space="preserve"> 024 - 3568029</t>
  </si>
  <si>
    <t>27/05/2009</t>
  </si>
  <si>
    <t>+628122800202</t>
  </si>
  <si>
    <t>adiccon_cv@yahoo.com</t>
  </si>
  <si>
    <t>2330/P/0173.JT</t>
  </si>
  <si>
    <t>ADICCON MULYA, PT.</t>
  </si>
  <si>
    <t>THERESIA SRI SUYANI, SH.</t>
  </si>
  <si>
    <t>Jl. Poncowolo Barat Raya No. 504</t>
  </si>
  <si>
    <t>+628122859554</t>
  </si>
  <si>
    <t>adiccon_mulya@yahoo.com</t>
  </si>
  <si>
    <t>6024/P/0252.JT</t>
  </si>
  <si>
    <t>ADICIPTA MANUNGGAL, CV.</t>
  </si>
  <si>
    <t>Ir. SRI MURYANIE N, IAI.</t>
  </si>
  <si>
    <t>Jl. Tamtama Barat V No. 94 Saptamarga</t>
  </si>
  <si>
    <t>024 7691844</t>
  </si>
  <si>
    <t>13/07/1992</t>
  </si>
  <si>
    <t>+628122933006</t>
  </si>
  <si>
    <t>adicipta_manunggal@yahoo.com</t>
  </si>
  <si>
    <t>17956/P/0812.JT</t>
  </si>
  <si>
    <t>ADIT KARYA, CV</t>
  </si>
  <si>
    <t>AHMAD MUJADDID, ST.</t>
  </si>
  <si>
    <t>Perum Griya Triara Asri 2 Blok H No. 16 Slawi</t>
  </si>
  <si>
    <t>TEGAL</t>
  </si>
  <si>
    <t>085742005437</t>
  </si>
  <si>
    <t>15/07/2021</t>
  </si>
  <si>
    <t>BELUM</t>
  </si>
  <si>
    <t>+6285742005437</t>
  </si>
  <si>
    <t>cv.aditkarya2018@gmail.com</t>
  </si>
  <si>
    <t xml:space="preserve"> 1229/P/098.JT</t>
  </si>
  <si>
    <t>ADITAMA, CV</t>
  </si>
  <si>
    <t>PUGUH JALU AMILON, ST.</t>
  </si>
  <si>
    <t>Jl. Srandil No. 264 Adirejo Kulon Adipala</t>
  </si>
  <si>
    <t>CILACAP</t>
  </si>
  <si>
    <t>BANYUMAS</t>
  </si>
  <si>
    <t xml:space="preserve"> 0282 5536226</t>
  </si>
  <si>
    <t>16/05/1992</t>
  </si>
  <si>
    <t>+6282114868409</t>
  </si>
  <si>
    <t>puguhjaluamilon@yahoo.com</t>
  </si>
  <si>
    <t>PJBU meninggal</t>
  </si>
  <si>
    <t>7316/P/0278.JT</t>
  </si>
  <si>
    <t>ADYA POLA, CV.</t>
  </si>
  <si>
    <t>MOH. FAKIH MASDOEKI, ST.</t>
  </si>
  <si>
    <t>Jl. Tlogo Asri No. 100 Pondok Indah RT.01 RW. 06 Palebon Pedurungan</t>
  </si>
  <si>
    <t>08156622819</t>
  </si>
  <si>
    <t>28/06/1993</t>
  </si>
  <si>
    <t>+628156622819</t>
  </si>
  <si>
    <t>cv.adyapola@gmail.com</t>
  </si>
  <si>
    <t>18414/P/0859.JT</t>
  </si>
  <si>
    <t>ADYATMA, CV.</t>
  </si>
  <si>
    <t>ATIK SRI SUMARSIH, S.Si.</t>
  </si>
  <si>
    <t>Jl. Tejonoto Jogosuran RT. 02 RW. 05 Danukusuman Serengan</t>
  </si>
  <si>
    <t>SURAKARTA</t>
  </si>
  <si>
    <t>082243333173</t>
  </si>
  <si>
    <t>27/1/2023</t>
  </si>
  <si>
    <t>+6282243333173</t>
  </si>
  <si>
    <t>adyatma.consultant@gmail.com</t>
  </si>
  <si>
    <t>17873/P/0796.JT</t>
  </si>
  <si>
    <t>AGASHA KREATIF, CV.</t>
  </si>
  <si>
    <t>ANGGA ALI WICAKSONO, ST.</t>
  </si>
  <si>
    <t xml:space="preserve">Perum BSP II Blok A RT. 03 RW. 11 Karanggeneng </t>
  </si>
  <si>
    <t>BOYOLALI</t>
  </si>
  <si>
    <t>085643237187</t>
  </si>
  <si>
    <t>19/03/2021</t>
  </si>
  <si>
    <t>+6285643237187</t>
  </si>
  <si>
    <t>agasha.kreatif@gmail.com</t>
  </si>
  <si>
    <t>32/DKP.JT/DKN‐KE‐TLK/III/2022</t>
  </si>
  <si>
    <t>KTA 2021</t>
  </si>
  <si>
    <t>9129/P/0355.JT</t>
  </si>
  <si>
    <t>AGORALIMA, PT.</t>
  </si>
  <si>
    <t>ENDAH MEIGAWATI, ST. MT.</t>
  </si>
  <si>
    <t>Jl. Bukit Bromo No. 9 Bukit Sari</t>
  </si>
  <si>
    <t>024 8440123</t>
  </si>
  <si>
    <t xml:space="preserve"> 024 -  8501716</t>
  </si>
  <si>
    <t>+628122862682</t>
  </si>
  <si>
    <t>agoralegalitas@gmail.com</t>
  </si>
  <si>
    <t>1493/11/DKN-PKE/XI/2015</t>
  </si>
  <si>
    <t>8605/P/0325.JT</t>
  </si>
  <si>
    <t>AGRASINAR PURIPRATAMA, PT.</t>
  </si>
  <si>
    <t>IMAM SUBAGYO, BRE, ST, MM.</t>
  </si>
  <si>
    <t>Perum Srondol Asri Blok O No. 3</t>
  </si>
  <si>
    <t>0271 655046</t>
  </si>
  <si>
    <t>29/02/1996</t>
  </si>
  <si>
    <t>+628122862136</t>
  </si>
  <si>
    <t>agrasinar@yahoo.co.id</t>
  </si>
  <si>
    <t>9521/P/0377.JT</t>
  </si>
  <si>
    <t>AGUNG PERSADA, CV.</t>
  </si>
  <si>
    <t>KAMTO, BE.</t>
  </si>
  <si>
    <t>NON S-1</t>
  </si>
  <si>
    <t>Ds. Tegalpurno T. 02/12, Jimbung, Kalikotes</t>
  </si>
  <si>
    <t>KLATEN</t>
  </si>
  <si>
    <t>081328095530</t>
  </si>
  <si>
    <t>0272 - 324276</t>
  </si>
  <si>
    <t>+6285743862111</t>
  </si>
  <si>
    <t>agungpersadakonsultan@gmail.com</t>
  </si>
  <si>
    <t xml:space="preserve"> 7602/P/0289.JT</t>
  </si>
  <si>
    <t>AKAR RUANG STUDIO CONSULTANT, PT.</t>
  </si>
  <si>
    <t>ANDY SUSANTO, SH.</t>
  </si>
  <si>
    <t xml:space="preserve">Jl. Sumba No. 15 Jambesari Wates </t>
  </si>
  <si>
    <t>MAGELANG</t>
  </si>
  <si>
    <t>0293-310996</t>
  </si>
  <si>
    <t xml:space="preserve"> 0293-364448</t>
  </si>
  <si>
    <t>13/2/1994</t>
  </si>
  <si>
    <t>+6285643710042</t>
  </si>
  <si>
    <t>arstudio.architects13@gmail.com</t>
  </si>
  <si>
    <t>2066/DKP-JT/DKN-PKE/VII/2017</t>
  </si>
  <si>
    <t>13666/P/0629.JT</t>
  </si>
  <si>
    <t>AMARTADHEA, CV.</t>
  </si>
  <si>
    <t>SOBIRNI, ST.</t>
  </si>
  <si>
    <t>Ds. Kesuben RT. 1 RW. 3 Lebaksiu</t>
  </si>
  <si>
    <t>0283  463586</t>
  </si>
  <si>
    <t>0283 - 6198473</t>
  </si>
  <si>
    <t>22/12/2008</t>
  </si>
  <si>
    <t>+6281575537770</t>
  </si>
  <si>
    <t>amartadhea_consultan@yahoo.com</t>
  </si>
  <si>
    <t>13525/P/0623.JT</t>
  </si>
  <si>
    <t>AMSAN NAWACITRA, CV.</t>
  </si>
  <si>
    <t>Ir. SUNARDI</t>
  </si>
  <si>
    <t>Jl. Raya No. 121 Prembun</t>
  </si>
  <si>
    <t>0287  662266</t>
  </si>
  <si>
    <t>21/06/2008</t>
  </si>
  <si>
    <t>+62895393034940</t>
  </si>
  <si>
    <t>amsan.nawacitra@gmail.com</t>
  </si>
  <si>
    <t>2</t>
  </si>
  <si>
    <t>16321/P/0716.JT</t>
  </si>
  <si>
    <t>ANDALAN CIPTA MANAGEMENT, CV.</t>
  </si>
  <si>
    <t>SRI SUSIATI, SE, MM.</t>
  </si>
  <si>
    <t>Jl. Imam Bonjol No. 154-160 Gedung JDC</t>
  </si>
  <si>
    <t>024 86570920</t>
  </si>
  <si>
    <t>28/10/2016</t>
  </si>
  <si>
    <t>+6281390081245</t>
  </si>
  <si>
    <t>andalanconsultant@yahoo.co.id</t>
  </si>
  <si>
    <t>951/11/DKN-PKE/IV/2014</t>
  </si>
  <si>
    <t>14563/P/0657.JT</t>
  </si>
  <si>
    <t>ANDALAN CIPTA MANDIRI, CV.</t>
  </si>
  <si>
    <t>MOCH NUR AMIR MAHMUDI, ST.</t>
  </si>
  <si>
    <t>Jl. Lamper Lor No. 1069 RT. 3 RW. 3</t>
  </si>
  <si>
    <t>024 8419988</t>
  </si>
  <si>
    <t>+6281390810658</t>
  </si>
  <si>
    <t>acm.semarang@gmail.com</t>
  </si>
  <si>
    <t>2531/DKN-PKE/IV/2018</t>
  </si>
  <si>
    <t>18341/P/0850.JT</t>
  </si>
  <si>
    <t>ANGGONO KARYA RAGAM KREASI, PT.</t>
  </si>
  <si>
    <t>HESTHI ANGGONO, ST.</t>
  </si>
  <si>
    <t>Jl. Jagalan RT. 02 RW. 13 Pabelan Mungkid, Pabelan</t>
  </si>
  <si>
    <t>081328765784</t>
  </si>
  <si>
    <t>+6281328765784</t>
  </si>
  <si>
    <t>akarkreasi.pt@gmail.com</t>
  </si>
  <si>
    <t>13001/P/0598.JT</t>
  </si>
  <si>
    <t>ANNABA PERSADA, PT.</t>
  </si>
  <si>
    <t>MUCHAMAD SULAINI, ST.</t>
  </si>
  <si>
    <t>Jl. Ngesrep Barat III / B-6 Komplek PP</t>
  </si>
  <si>
    <t>024 7466112</t>
  </si>
  <si>
    <t xml:space="preserve"> 024 - 7466112</t>
  </si>
  <si>
    <t>23/04/2007</t>
  </si>
  <si>
    <t>+628122533111</t>
  </si>
  <si>
    <t>annaba_persada@yahoo.co.id</t>
  </si>
  <si>
    <t>13580/P/0625.JT</t>
  </si>
  <si>
    <t>ANUGERAH JAYA MANUNGGAL, CV.</t>
  </si>
  <si>
    <t>MAHMUD ROSID, ST.</t>
  </si>
  <si>
    <t>Dk. Butuh RT. 1 RW. 2 Ds. Butuh Mojosongo</t>
  </si>
  <si>
    <t>085229191929</t>
  </si>
  <si>
    <t>0276 - 3287049</t>
  </si>
  <si>
    <t>23/08/2008</t>
  </si>
  <si>
    <t>+6285229191929</t>
  </si>
  <si>
    <t>anugerah.jm@yahoo.com</t>
  </si>
  <si>
    <t>15328/P/0674.JT</t>
  </si>
  <si>
    <t>ANUGRAH INVESTAMA CONSULTANT, CV.</t>
  </si>
  <si>
    <t>SULISTIYO RIMAWATI, ST.</t>
  </si>
  <si>
    <t>Ds. Kepuh RT. 05 RW. 06 No. 28 Proyonanggan Tengah</t>
  </si>
  <si>
    <t>BATANG</t>
  </si>
  <si>
    <t>085870164138</t>
  </si>
  <si>
    <t>16/6/2014</t>
  </si>
  <si>
    <t>+6281228829623</t>
  </si>
  <si>
    <t>anugrahinvestamacons.aic@gmail.com</t>
  </si>
  <si>
    <t>2523/DKP-JT//DKN-PKE/IV/2018</t>
  </si>
  <si>
    <t>10325/P/0454.JT</t>
  </si>
  <si>
    <t>ANUGRAH JAYA, CV.</t>
  </si>
  <si>
    <t>SYARIF HIDAYAT, S.T.</t>
  </si>
  <si>
    <t>Jl. Letjend Suprapto No. 109 Pasarbatang</t>
  </si>
  <si>
    <t>08122661361</t>
  </si>
  <si>
    <t>+628122661361</t>
  </si>
  <si>
    <t>aj109@ymail.com</t>
  </si>
  <si>
    <t>18699/P/0888.JT</t>
  </si>
  <si>
    <t>APCONSULTANT DESIGN INDONESIA, PT.</t>
  </si>
  <si>
    <t>PRISKA ISYANTO PUTRI, ST, MT.</t>
  </si>
  <si>
    <t>Jl. Sendangsari Utara Raya No. 168 Kalicari Pedurungan</t>
  </si>
  <si>
    <t>087832223338</t>
  </si>
  <si>
    <t>SUDAH</t>
  </si>
  <si>
    <t>STAF</t>
  </si>
  <si>
    <t>+6287832223338</t>
  </si>
  <si>
    <t>project.apconsultant@gmail.com</t>
  </si>
  <si>
    <t>15670/P/0683.JT</t>
  </si>
  <si>
    <t>ARCH DESIGN CONSULTANT, CV.</t>
  </si>
  <si>
    <t>MUHAMMAD SALMA, ST</t>
  </si>
  <si>
    <t>Perum Terusgede Blok K-21 Kabupaten Rembang </t>
  </si>
  <si>
    <t>REMBANG</t>
  </si>
  <si>
    <t>PATI</t>
  </si>
  <si>
    <t>081329144538</t>
  </si>
  <si>
    <t>21/4/2015</t>
  </si>
  <si>
    <t>+6281329144538</t>
  </si>
  <si>
    <t>archdesignconsultant.rbg@gmail.com</t>
  </si>
  <si>
    <t>2023/DKP-JT//DKN-PKE/VII/2017</t>
  </si>
  <si>
    <t>11519/P/0519.JT</t>
  </si>
  <si>
    <t>ARCHIDAS DESIGN, CV</t>
  </si>
  <si>
    <t>HERU DIDIK KURNIAWAN, ST.</t>
  </si>
  <si>
    <t>Jl.  Halmahera II/71-B</t>
  </si>
  <si>
    <t>BLORA</t>
  </si>
  <si>
    <t xml:space="preserve"> 0296  5109376</t>
  </si>
  <si>
    <t>+6281326266045</t>
  </si>
  <si>
    <t>designarchidas@gmail.com</t>
  </si>
  <si>
    <t>2662/P/0207.JT</t>
  </si>
  <si>
    <t>ARCO, CV.</t>
  </si>
  <si>
    <t>SEAN INDRA ADIPRADANA, ST.</t>
  </si>
  <si>
    <t>Jl. Raya Solo KM-3 Jonggrangan</t>
  </si>
  <si>
    <t xml:space="preserve"> 0272  321738 </t>
  </si>
  <si>
    <t>30/09/1990</t>
  </si>
  <si>
    <t>+6281546520368</t>
  </si>
  <si>
    <t>arcoconsultant2000@yahoo.co.id</t>
  </si>
  <si>
    <t>2024/11/DKN-PKE/VII/2017</t>
  </si>
  <si>
    <t>15035/P/0664.JT</t>
  </si>
  <si>
    <t>ARDI PERMANA PUTRA, CV.</t>
  </si>
  <si>
    <t>WAWAN GUNAWAN, ST.</t>
  </si>
  <si>
    <t>Jl. Pratu Seman No. 226 RT. 01 RW. 03 Kebonadem Brangsong</t>
  </si>
  <si>
    <t>KENDAL</t>
  </si>
  <si>
    <t>KAB. SEMARANG</t>
  </si>
  <si>
    <t>081228451783</t>
  </si>
  <si>
    <t xml:space="preserve"> 024 - 6732048</t>
  </si>
  <si>
    <t>16/4/2013</t>
  </si>
  <si>
    <t>+6281326020802</t>
  </si>
  <si>
    <t>cv.ardipermanaputra@gmail.com</t>
  </si>
  <si>
    <t>2026/11/DKN-PKE/VII/2017</t>
  </si>
  <si>
    <t>13625/P/0626.JT</t>
  </si>
  <si>
    <t>ARDI UTAMA MULYA JAYA, PT.</t>
  </si>
  <si>
    <t>FIDDES TAUFIK AKBAR, ST.</t>
  </si>
  <si>
    <t>Jl. Kembang Jeruk V / 10</t>
  </si>
  <si>
    <t xml:space="preserve"> 024  6722875</t>
  </si>
  <si>
    <t>22/10/2008</t>
  </si>
  <si>
    <t>+6285876158622</t>
  </si>
  <si>
    <t>utamaardi@yahoo.co.id</t>
  </si>
  <si>
    <t>2538/DKP-JT/DKN-PKE/IV/2018</t>
  </si>
  <si>
    <t>14238/P/0652.JT</t>
  </si>
  <si>
    <t>ARDYA KONSULTAN, CV.</t>
  </si>
  <si>
    <t>SUPRIYADI, SPd.</t>
  </si>
  <si>
    <t>Ds. Jombor RT. 8 RW. 8 Bendosari Sukoharjo</t>
  </si>
  <si>
    <t>SUKOHARJO</t>
  </si>
  <si>
    <t xml:space="preserve">081  329463008 </t>
  </si>
  <si>
    <t>+6281329463008</t>
  </si>
  <si>
    <t>cv.ardya_konsultan@yahoo.com</t>
  </si>
  <si>
    <t>10006/P/0429.JT</t>
  </si>
  <si>
    <t>ARDYACIPTA DWIMITRA, CV.</t>
  </si>
  <si>
    <t>SUROTO, ST.</t>
  </si>
  <si>
    <t>Jl. Candi Mutiara Timur II No. 429-430</t>
  </si>
  <si>
    <t>081328675758</t>
  </si>
  <si>
    <t>+6281328675758</t>
  </si>
  <si>
    <t>ardyacipta_dm@yahoo.co.id</t>
  </si>
  <si>
    <t>15998/P/0702.JT</t>
  </si>
  <si>
    <t>AREGA MULIA CONSULTANT, PT.</t>
  </si>
  <si>
    <t>Dr. MELULOSA ANDHYTYA SAKTI, SP, MP.</t>
  </si>
  <si>
    <t>Jl. Plamongan Indah Blok I-8 No. 16 Mranggen</t>
  </si>
  <si>
    <t>DEMAK</t>
  </si>
  <si>
    <t>08194400018</t>
  </si>
  <si>
    <t>081904066588</t>
  </si>
  <si>
    <t>26/2/2016</t>
  </si>
  <si>
    <t>+6281325764698</t>
  </si>
  <si>
    <t>amc.konsultan@gmail.com</t>
  </si>
  <si>
    <t>2025/DKP-JT/DKN-PKE/VII/2017</t>
  </si>
  <si>
    <t>14210/P/0649.JT</t>
  </si>
  <si>
    <t>ARETAS WICAKSANA KONSULTAN, PT.</t>
  </si>
  <si>
    <t>Drs. ARIAS HERWICAKSONO, ST.</t>
  </si>
  <si>
    <t>Jl. Watulawang No. 19 Gajahmungkur</t>
  </si>
  <si>
    <t>024 8412845</t>
  </si>
  <si>
    <t>024 - 7463117</t>
  </si>
  <si>
    <t>+628122868543</t>
  </si>
  <si>
    <t>admptaretaswicaksana@gmail.com</t>
  </si>
  <si>
    <t>11045/P/0497.JT</t>
  </si>
  <si>
    <t>ARGASONYA, CV.</t>
  </si>
  <si>
    <t>CIBANDONO HAMIDY, ST.</t>
  </si>
  <si>
    <t>Jl. KH Wahid Hasyim No. 41 RT. 06 RW. 09</t>
  </si>
  <si>
    <t>081809227722</t>
  </si>
  <si>
    <t>15/06/2002</t>
  </si>
  <si>
    <t>+6285729267246</t>
  </si>
  <si>
    <t>cv.argasonyakonsultan@gmail.com</t>
  </si>
  <si>
    <t>18704/P/0890.JT</t>
  </si>
  <si>
    <t>ARH ENGINEERING, CV.</t>
  </si>
  <si>
    <t>Ir. ARIF RAHMAN HAKIM, ST, MMT, IPP.</t>
  </si>
  <si>
    <t>Jl. Raya 120 Kaliwungu RT. 02 RW. 04 Kaliwungu</t>
  </si>
  <si>
    <t>082134782100</t>
  </si>
  <si>
    <t>+6282134782100</t>
  </si>
  <si>
    <t>arhengineering92@gmail.com</t>
  </si>
  <si>
    <t>14535/P/0656.JT</t>
  </si>
  <si>
    <t>ARJIP KONSULTAN DESAIN, CV.</t>
  </si>
  <si>
    <t>ALLDIAN EKA RUDIYANTO, SE.</t>
  </si>
  <si>
    <t>Jl. Pramuka No. 40 By Pass Cepu</t>
  </si>
  <si>
    <t>08563232332</t>
  </si>
  <si>
    <t>+628563232332</t>
  </si>
  <si>
    <t>cv.arjip@yahoo.com</t>
  </si>
  <si>
    <t>1497/11/DKN-PKE/XI/2015</t>
  </si>
  <si>
    <t>Direkturnya Jadi PNS</t>
  </si>
  <si>
    <t>11210/P/0505.JT</t>
  </si>
  <si>
    <t>ARMACON, CV.</t>
  </si>
  <si>
    <t>FAJAR ARIANTO, ST.</t>
  </si>
  <si>
    <t xml:space="preserve">Jl.  Sultan Agung No. 129 A Teluk </t>
  </si>
  <si>
    <t>PURWOKERTO</t>
  </si>
  <si>
    <t>+6282326414872</t>
  </si>
  <si>
    <t>cvarmacon@gmail.com</t>
  </si>
  <si>
    <t>1495/11/DKN-PKE/XI/2015</t>
  </si>
  <si>
    <t>Dimatikan</t>
  </si>
  <si>
    <t>6044/P/0254.JT</t>
  </si>
  <si>
    <t>ARSI GRANADA MUDA, PT.</t>
  </si>
  <si>
    <t>ETTY KURNIATI, SE.</t>
  </si>
  <si>
    <t>Jl. Menoreh Tengah X No. 20 Sampangan</t>
  </si>
  <si>
    <t xml:space="preserve"> 024   8501389</t>
  </si>
  <si>
    <t xml:space="preserve"> 024 - 8501389</t>
  </si>
  <si>
    <t>25/07/1992</t>
  </si>
  <si>
    <t>PERUBAHAN</t>
  </si>
  <si>
    <t>+628122805865</t>
  </si>
  <si>
    <t>arsigranada@yahoo.com</t>
  </si>
  <si>
    <t>1357/P/0113.JT</t>
  </si>
  <si>
    <t>ARSIKEN CITRATAMA, PT.</t>
  </si>
  <si>
    <t>SOPHIAN NURSETYAWAN, ST.</t>
  </si>
  <si>
    <t xml:space="preserve"> 024  76405462</t>
  </si>
  <si>
    <t xml:space="preserve"> 024 - 76405462</t>
  </si>
  <si>
    <t>+628157889993</t>
  </si>
  <si>
    <t>arsikencitratama@gmail.com</t>
  </si>
  <si>
    <t>3641/DKP-JT/DKN-KE-TLK/VII/2023</t>
  </si>
  <si>
    <t>7915/P/0300.JT</t>
  </si>
  <si>
    <t>ARSITEKTONIK TAJUK REKAYASA, PT.</t>
  </si>
  <si>
    <t>NANANG ADI PRAYITNO, ST.</t>
  </si>
  <si>
    <t>Jl. Karang Rejo Selatan VI / 10 Tijomoyo</t>
  </si>
  <si>
    <t>024 7473217</t>
  </si>
  <si>
    <t>+6285842877810</t>
  </si>
  <si>
    <t>arsitarekasmg@gmail.com</t>
  </si>
  <si>
    <t>2528/DKP-JT/DKN-PKE/IV/2018</t>
  </si>
  <si>
    <t>18760/P/0899.JT</t>
  </si>
  <si>
    <t>ARSITEKTUR SIPIL GEOPLAN KONSULTAN, PT.</t>
  </si>
  <si>
    <t>FAIZ REZQY PRATAMA, ST.</t>
  </si>
  <si>
    <t>Perum Woltermongisidi Baru No.35 Kec. Pedurungan</t>
  </si>
  <si>
    <t>082136661483</t>
  </si>
  <si>
    <t>+6282136661483</t>
  </si>
  <si>
    <t>acegeconsultant@gmail.com</t>
  </si>
  <si>
    <t>9717/P/0404.JT</t>
  </si>
  <si>
    <t>ARSITRA KONSULTAN, CV.</t>
  </si>
  <si>
    <t>MASTERIO PRAHARYA, ST.</t>
  </si>
  <si>
    <t>Jl. Kenari Raya Blok M-22 Solo Baru</t>
  </si>
  <si>
    <t>0271 621481</t>
  </si>
  <si>
    <t>+6281225920740</t>
  </si>
  <si>
    <t>cvarsitra@gmail.com</t>
  </si>
  <si>
    <t>18735/P/0895.JT</t>
  </si>
  <si>
    <t>ARTATAMA CIPTA MANDIRI, PT.</t>
  </si>
  <si>
    <t>SATRIADI WIDYA NUGRHOHO, ST, MM.</t>
  </si>
  <si>
    <t>Jl. Gayamsari I Gang I No. 8, Gayamsari</t>
  </si>
  <si>
    <t>081584364600</t>
  </si>
  <si>
    <t>+6281584364600</t>
  </si>
  <si>
    <t>artatamaciptamandiri@gmail.com</t>
  </si>
  <si>
    <t>17945/P/0809.JT</t>
  </si>
  <si>
    <t>ARTHA BUMI CONSULTANT, PT.</t>
  </si>
  <si>
    <t>MELLY FERA, ST, M.Eng.</t>
  </si>
  <si>
    <t>Jl. Ir. Juanda RT. 02 RW. 03 Dk Waru Kab. Tegal</t>
  </si>
  <si>
    <t>08195588844</t>
  </si>
  <si>
    <t>23/6/2021</t>
  </si>
  <si>
    <t>Komanditer</t>
  </si>
  <si>
    <t>+628195588844</t>
  </si>
  <si>
    <t>arthabc184@gmail.com</t>
  </si>
  <si>
    <t>10582/P/0474.JT</t>
  </si>
  <si>
    <t>ARTHA GEMILANG ENGINEERING, CV.</t>
  </si>
  <si>
    <t>DANANG HENDRATA WIJAYA, ST, MT.</t>
  </si>
  <si>
    <t>Jl. Sapta Marga II No. 9</t>
  </si>
  <si>
    <t>024 76635107</t>
  </si>
  <si>
    <t>+628122827022</t>
  </si>
  <si>
    <t>arthagemilang08@gmail.com</t>
  </si>
  <si>
    <t>17757/P/0782.JT</t>
  </si>
  <si>
    <t>ARTIYA PRIMA SEJAHTERA, CV.</t>
  </si>
  <si>
    <t>FANI HIDAYAT FIKRI, ST</t>
  </si>
  <si>
    <t>Jl. Raya Kaloran Kandangan RT. 01 RW. 01 Kemir, Kaloran</t>
  </si>
  <si>
    <t>TEMANGGUNG</t>
  </si>
  <si>
    <t>081390977735</t>
  </si>
  <si>
    <t>28/12/2020</t>
  </si>
  <si>
    <t>+6281390977735</t>
  </si>
  <si>
    <t>artiyaprimasejahtera.cv@gmail.com</t>
  </si>
  <si>
    <t>005/DKP-JT/DKN-KE-TLK/I/2023</t>
  </si>
  <si>
    <t>11571/P/0523.JT</t>
  </si>
  <si>
    <t>ARWIKA JAYA ABADI, CV.</t>
  </si>
  <si>
    <t>KASRIN, MT.</t>
  </si>
  <si>
    <t>Jl. Gelatik III No. 3 Perumnas Karangjati</t>
  </si>
  <si>
    <t>0296 529302</t>
  </si>
  <si>
    <t>+6281391622221</t>
  </si>
  <si>
    <t>arwikajayaabadi@gmail.com</t>
  </si>
  <si>
    <t>2022/DKP-JT/DKN-PKE/VII/2017</t>
  </si>
  <si>
    <t>9310/P/0365.JT</t>
  </si>
  <si>
    <t>ARWINDO KONSULTAN, CV.</t>
  </si>
  <si>
    <t>H ARIS HANDONO WARIH, ST. MT</t>
  </si>
  <si>
    <t>Jl. Raya Tayu Pati Km. 4 Kedungsari Tayu</t>
  </si>
  <si>
    <t>0295 - 5522156</t>
  </si>
  <si>
    <t>30/09/1998</t>
  </si>
  <si>
    <t>+628122800485</t>
  </si>
  <si>
    <t>cv_arwindo@yahoo.co.id</t>
  </si>
  <si>
    <t>9659/P/0395.JT</t>
  </si>
  <si>
    <t>ASCA AMOGHASIDA, CV.</t>
  </si>
  <si>
    <t>Ir. ADHI MARTOPO PURNOMO SIDI</t>
  </si>
  <si>
    <t>Jl. Bayem Raya No. 29</t>
  </si>
  <si>
    <t>024 6711602</t>
  </si>
  <si>
    <t>024 - 8448598</t>
  </si>
  <si>
    <t>13/05/2000</t>
  </si>
  <si>
    <t>+628156657605</t>
  </si>
  <si>
    <t>ascaamoghasida@yahoo.com</t>
  </si>
  <si>
    <t>15797/P/0694.JT</t>
  </si>
  <si>
    <t>ASHTETIKA, CV.</t>
  </si>
  <si>
    <t>ASH HABUL KAHFI, ST.</t>
  </si>
  <si>
    <t>Perum Royal Garden Blok I No. 37 Taman</t>
  </si>
  <si>
    <t>081805909011</t>
  </si>
  <si>
    <t>+6281805909011</t>
  </si>
  <si>
    <t>kahfiash84@gmail.com</t>
  </si>
  <si>
    <t>1498/11/DKN-PKE/XI/2015</t>
  </si>
  <si>
    <t>18574/P/0878.JT</t>
  </si>
  <si>
    <t>ASKHA, CV.</t>
  </si>
  <si>
    <t>PUGUH TRIYADI NUGROHO, ST.</t>
  </si>
  <si>
    <t>Jl. Mangunsari RT. 04 RW. 05 Kel. Mangunsari Gunungpati</t>
  </si>
  <si>
    <t>082325978899</t>
  </si>
  <si>
    <t>26/06/2023</t>
  </si>
  <si>
    <t>+6282325978899</t>
  </si>
  <si>
    <t>askha_corp@yahoo.com</t>
  </si>
  <si>
    <t>14046/P/0646.JT</t>
  </si>
  <si>
    <t>ASRI DESIGN CENTRE, CV.</t>
  </si>
  <si>
    <t>Ir. Drs. JOKO MURTONO, ST. MT.</t>
  </si>
  <si>
    <t>Jl. Hayam Wuruk, Taman Asri RT. 35 RW 14 C</t>
  </si>
  <si>
    <t>0271 2064172</t>
  </si>
  <si>
    <t>+6282224005454</t>
  </si>
  <si>
    <t>asridesign@yahoo.com</t>
  </si>
  <si>
    <t>1221/P/0090.JT</t>
  </si>
  <si>
    <t>ASTHA BHAWANA, CV.</t>
  </si>
  <si>
    <t>YUNANTO NUGROHO, ST.</t>
  </si>
  <si>
    <t>Jl. Seruni III No. 17 RT. 1 RW. 5 Mangkubumen Banjarsari</t>
  </si>
  <si>
    <t>0271 716996</t>
  </si>
  <si>
    <t>0271 - 716996</t>
  </si>
  <si>
    <t>+6287836050055</t>
  </si>
  <si>
    <t>ab.konsultan@gmail.com</t>
  </si>
  <si>
    <t>13704/P/0633.JT</t>
  </si>
  <si>
    <t>ASTHA KRIYA KONSULTAN, CV.</t>
  </si>
  <si>
    <t>RUFATYA FANNIE FANN ANDRIEW, ST.</t>
  </si>
  <si>
    <t xml:space="preserve">Jl. Kebonan RT. 5 RW. 2 Gg. Bogowonto, Proyonanggan </t>
  </si>
  <si>
    <t>0285 7928629</t>
  </si>
  <si>
    <t>22/2/2009</t>
  </si>
  <si>
    <t>+6281548614893</t>
  </si>
  <si>
    <t>asthakriyakonsultan@yahoo.com</t>
  </si>
  <si>
    <t>16369/P/0720.JT</t>
  </si>
  <si>
    <t>ATARA DESAIN, CV.</t>
  </si>
  <si>
    <t>ROHMAT, ST.</t>
  </si>
  <si>
    <t>Jl. Raya Pemaron No. 14 RT. 01 RW. 01 Pemaron</t>
  </si>
  <si>
    <t>085868875880</t>
  </si>
  <si>
    <t>20/1/2017</t>
  </si>
  <si>
    <t>+6285868875880</t>
  </si>
  <si>
    <t>ataradesain@gmail.com</t>
  </si>
  <si>
    <t>2021/DKP-JT/DKN-PKE/VIII/2017</t>
  </si>
  <si>
    <t>15689/P/0685.JT</t>
  </si>
  <si>
    <t>ATHAR, CV.</t>
  </si>
  <si>
    <t>RIZKY RIZALUL KHAQ, ST.</t>
  </si>
  <si>
    <t>Perum Green Village Belimbing IV No. 230</t>
  </si>
  <si>
    <t>08985557636</t>
  </si>
  <si>
    <t>+628122232076</t>
  </si>
  <si>
    <t>athar_corp@yahoo.com</t>
  </si>
  <si>
    <t>1499/DKN-PKE/XI/2015</t>
  </si>
  <si>
    <t>15848/P/0695.JT</t>
  </si>
  <si>
    <t>AZREKA PRIMA KONSULTAN, CV.</t>
  </si>
  <si>
    <t>BAMBANG HARYANTO, ST.</t>
  </si>
  <si>
    <t>Jl. Manggis No. 1 Wates Ngalian</t>
  </si>
  <si>
    <t>024 - 7628850</t>
  </si>
  <si>
    <t>+6281228915462</t>
  </si>
  <si>
    <t>azrekaprimakonsultancv@gmail.com</t>
  </si>
  <si>
    <t>1492/DKN-PKE/XI/2015</t>
  </si>
  <si>
    <t>17648/P/0771.JT</t>
  </si>
  <si>
    <t>AZRINA JAYA KONSULTAN, CV.</t>
  </si>
  <si>
    <t>FITRIA NURUL HUDA, ST.</t>
  </si>
  <si>
    <t>Jl. KH Hasyim Ashari No. 18</t>
  </si>
  <si>
    <t>085742029911</t>
  </si>
  <si>
    <t>27/8/2020</t>
  </si>
  <si>
    <t>+6285740920880</t>
  </si>
  <si>
    <t>azrina.jaya.konsultan@gmail.com</t>
  </si>
  <si>
    <t>33/DKP.JT/DKN‐KE‐TLK/III/2022</t>
  </si>
  <si>
    <t>18707/P/0892.JT</t>
  </si>
  <si>
    <t>BAHUWIRYA NALENDRA UTAMA, CV.</t>
  </si>
  <si>
    <t>MOCHAMAD HABIBIE ROZI PUTRA, ST.</t>
  </si>
  <si>
    <t>Jl. Plamongan Abadi Raya No. 147 Pedurungan</t>
  </si>
  <si>
    <t>024-6718567</t>
  </si>
  <si>
    <t>+6281227227023</t>
  </si>
  <si>
    <t>cv.bahuwirya.nu2023@gmail.com</t>
  </si>
  <si>
    <t>16639/P/0589.JT</t>
  </si>
  <si>
    <t>BANGUN , CV.</t>
  </si>
  <si>
    <t>ANOM ANGGORO ARTO, ST.</t>
  </si>
  <si>
    <t>Jl. Menteri Supeno RT. 03 RW. 01 Ds. Karangkedawung</t>
  </si>
  <si>
    <t>0816699681</t>
  </si>
  <si>
    <t>15/9/2017</t>
  </si>
  <si>
    <t>+62816699681</t>
  </si>
  <si>
    <t>banguncv67@gmail.com</t>
  </si>
  <si>
    <t>2037/DKP-JT/DKN-PKE/VIII/2018</t>
  </si>
  <si>
    <t>437/P/018.JT</t>
  </si>
  <si>
    <t>BANGUN CIPTA, CV.</t>
  </si>
  <si>
    <t>DJOKO TRISNO UTOMO</t>
  </si>
  <si>
    <t>Jl. Parangklitik I / 14 Sondakan Laweyan</t>
  </si>
  <si>
    <t>0271-718291</t>
  </si>
  <si>
    <t>+628172832337</t>
  </si>
  <si>
    <t>bangun.cipta75@gmail.com</t>
  </si>
  <si>
    <t>18850/P/0912.JT</t>
  </si>
  <si>
    <t>BANGUN PERKASA KONSULTAN, CV</t>
  </si>
  <si>
    <t>ASMA GUS FAIZAL, ST.</t>
  </si>
  <si>
    <t>Jl. Karangjati RT. 05 RW. 06 Waringinputih Borobudur</t>
  </si>
  <si>
    <t>083840512230</t>
  </si>
  <si>
    <t>+6283840512230</t>
  </si>
  <si>
    <t>cv.bangunperkasakonsultan@gmail.com</t>
  </si>
  <si>
    <t>10655/P/0480.JT</t>
  </si>
  <si>
    <t>BANGUN TEGAR RANCANG, CV.</t>
  </si>
  <si>
    <t>RIO SAPTYO SURYO, SH.</t>
  </si>
  <si>
    <t>Jl. Jenderal Sudirman No. 78 Bangkle</t>
  </si>
  <si>
    <t>082221838719</t>
  </si>
  <si>
    <t>16/01/2002</t>
  </si>
  <si>
    <t>+6281326075733</t>
  </si>
  <si>
    <t>banguntegarrancang@yahoo.com</t>
  </si>
  <si>
    <t>17821/P/0793.JT</t>
  </si>
  <si>
    <t>BARA PILAR, CV.</t>
  </si>
  <si>
    <t>BARUNA SAMSUARDI, ST.</t>
  </si>
  <si>
    <t>Jl. Dr. Sutomo Gg. Johar No. 206 Wates Alit</t>
  </si>
  <si>
    <t>082341668179</t>
  </si>
  <si>
    <t>+6282341668178</t>
  </si>
  <si>
    <t>barapilar20@gmail.com</t>
  </si>
  <si>
    <t>18511/P/0869.JT</t>
  </si>
  <si>
    <t>BARATA NABILA PRATAMA, CV.</t>
  </si>
  <si>
    <t>WIWIT RAHAYU PRIHANANTO, ST.</t>
  </si>
  <si>
    <t>Dusun Kepuh Desa Tambirejo RT. 07 RW. 09 Toroh Grobogan</t>
  </si>
  <si>
    <t>PURWODADI</t>
  </si>
  <si>
    <t>085727684338</t>
  </si>
  <si>
    <t>+6285727684338</t>
  </si>
  <si>
    <t>baratanabilapratama@gmail.com</t>
  </si>
  <si>
    <t>10030/P/0431.JT</t>
  </si>
  <si>
    <t>BAROKAH TEKNIKA, CV.</t>
  </si>
  <si>
    <t>SHEILLA RATNA FATONI, ST.</t>
  </si>
  <si>
    <t>Jl. Manggisan RT. 01 RW. 10 Banjarnegoro Mertoyudan</t>
  </si>
  <si>
    <t>081568447300</t>
  </si>
  <si>
    <t>+628156882708</t>
  </si>
  <si>
    <t>barokahteknika69@gmail.com</t>
  </si>
  <si>
    <t>3642/DKP-JT/DKN-KE-TLK/VII/2020</t>
  </si>
  <si>
    <t>14305/P/0653.JT</t>
  </si>
  <si>
    <t>BARUNA JAYA, CV.</t>
  </si>
  <si>
    <t>HENING SUPRIYONO, SPd.</t>
  </si>
  <si>
    <t>Jl. Kauman RT. 01 RW. 02 Manding</t>
  </si>
  <si>
    <t>081328727373</t>
  </si>
  <si>
    <t>+6281328727373</t>
  </si>
  <si>
    <t>cvbarunajaya.tmg@gmail.com</t>
  </si>
  <si>
    <t>1500/11/DKN-PKE/XI/2015</t>
  </si>
  <si>
    <t>17950/P/0810.JT</t>
  </si>
  <si>
    <t>BAYU PRAKARSA PRIMA, CV.</t>
  </si>
  <si>
    <t>DEWO ADI WIBOWO, ST.</t>
  </si>
  <si>
    <t>Jl. Bayu Prasetya timur Blok I No. 14 Bangetayu Genuk</t>
  </si>
  <si>
    <t>085640764196</t>
  </si>
  <si>
    <t>+6285640764196</t>
  </si>
  <si>
    <t>bayuprakarsaprima@gmail.com</t>
  </si>
  <si>
    <t>006/DKP-JT/DKN-KE-TLK/I/2023</t>
  </si>
  <si>
    <t>16474/P/0582.JT</t>
  </si>
  <si>
    <t>BEGAWAN ABIYOSO, CV.</t>
  </si>
  <si>
    <t>TEJO, ST, MM.</t>
  </si>
  <si>
    <t>Dk. Wuni RT. 04 RW. 01 Kel. Balong, Jepon</t>
  </si>
  <si>
    <t>085292559491</t>
  </si>
  <si>
    <t>09/03/2017</t>
  </si>
  <si>
    <t>+6285292559491</t>
  </si>
  <si>
    <t>ndorotejo@gmail.com</t>
  </si>
  <si>
    <t>2027/DKP-JT/DKN-PKE/VIII/2017</t>
  </si>
  <si>
    <t>16621/P/0587.JT</t>
  </si>
  <si>
    <t>BEKONS, CV.</t>
  </si>
  <si>
    <t>UTOMO, ST.</t>
  </si>
  <si>
    <t>Dk. Bengir RT. 01 RW. 05. Ds. Kese, Tunjungan</t>
  </si>
  <si>
    <t>085326420963</t>
  </si>
  <si>
    <t>+6285326420963</t>
  </si>
  <si>
    <t>gapuro_ireng@yahoo.com</t>
  </si>
  <si>
    <t>2543/DKP-JT/DKN-PKE/IV/2018</t>
  </si>
  <si>
    <t>18106/P/0831.JT</t>
  </si>
  <si>
    <t>BENGAWAN TJIPTA JAYA, CV.</t>
  </si>
  <si>
    <t>WIGIT SETYAWAN, ST, MT.</t>
  </si>
  <si>
    <t>Jl. Tulang Bawang Utara III No. 18, Kadipiro, Banjarsari</t>
  </si>
  <si>
    <t>081292838000</t>
  </si>
  <si>
    <t>10/03/2022</t>
  </si>
  <si>
    <t>PRB</t>
  </si>
  <si>
    <t>+6282327897898</t>
  </si>
  <si>
    <t>bengawantjipta@gmail.com</t>
  </si>
  <si>
    <t>34/DKP.JT/DKN‐KE‐TLK/III/2022</t>
  </si>
  <si>
    <t>18761/P/0900.JT</t>
  </si>
  <si>
    <t>BENOITE STRATEGIC INTERPLAN, CV.</t>
  </si>
  <si>
    <t>VIVIN SRI WAHYUNI, M.Si.</t>
  </si>
  <si>
    <t>Jl. Durian II No. 21 Lamper Kidul</t>
  </si>
  <si>
    <t>081317174287</t>
  </si>
  <si>
    <t>+6281317174287</t>
  </si>
  <si>
    <t>benoitestrategic@gmail.com</t>
  </si>
  <si>
    <t>16943/P/0740.JT</t>
  </si>
  <si>
    <t>BERGAS KARYA KONSULTAN, PT.</t>
  </si>
  <si>
    <t>CATUR WIBOWO, ST.</t>
  </si>
  <si>
    <t>Jl. Yudistiro Perum Graha Saka 2 No. 4 RT. 3 RW. 11 Kalongan</t>
  </si>
  <si>
    <t>UNGARAN</t>
  </si>
  <si>
    <t>0816665908</t>
  </si>
  <si>
    <t>2/10/2018</t>
  </si>
  <si>
    <t>+62816650413</t>
  </si>
  <si>
    <t>bergaskarya.konsultan@gmail.com</t>
  </si>
  <si>
    <t>3643/DKP-JT/DKN-KE-TLK/VII/2020</t>
  </si>
  <si>
    <t>18538/P/0872.JT</t>
  </si>
  <si>
    <t>BERJAYA MAKMUR KONSULTAN, CV.</t>
  </si>
  <si>
    <t>Ir. DWI WINDARKO</t>
  </si>
  <si>
    <t>Jl. Veteran No. 54 Jetis Kel. Sukoharjo</t>
  </si>
  <si>
    <t>08122253487</t>
  </si>
  <si>
    <t>23/05/2023</t>
  </si>
  <si>
    <t>+628122253487</t>
  </si>
  <si>
    <t>cv.berjayamakmurkonsultan@gmail.com</t>
  </si>
  <si>
    <t>17694/P/0775.JT</t>
  </si>
  <si>
    <t>BHUMI CIPTA KREASI, CV.</t>
  </si>
  <si>
    <t>FIRDAUS KURNIAWAN, ST.</t>
  </si>
  <si>
    <t>Jl. Raya TVRI No. 24 RT. 01 RW. 03 Jatinegara Tegal</t>
  </si>
  <si>
    <t>085600073008</t>
  </si>
  <si>
    <t>13/10/2020</t>
  </si>
  <si>
    <t>+6285600073008</t>
  </si>
  <si>
    <t>bhumiciptakreasi.cv@gmail.com</t>
  </si>
  <si>
    <t>008/DKP-JT/DKN-KE-TLK/I/2023</t>
  </si>
  <si>
    <t>18389/P/0856.JT</t>
  </si>
  <si>
    <t>BIAAS SOLUSI DESIGN, CV.</t>
  </si>
  <si>
    <t>ANDI IRYOKO, ST</t>
  </si>
  <si>
    <t>Ds. Bangsan RT. 01 RW. 06 Sanden Mungkid</t>
  </si>
  <si>
    <t>081314133334</t>
  </si>
  <si>
    <t>+6281314133334</t>
  </si>
  <si>
    <t>biaas.solusindo@gmail.com</t>
  </si>
  <si>
    <t>1501/11/DKN-PKE/XI/2015</t>
  </si>
  <si>
    <t>15508/P/0679.JT</t>
  </si>
  <si>
    <t>BIMA KARYA MANDIRI, CV.</t>
  </si>
  <si>
    <t>DIDI SUPRIYADI, ST.</t>
  </si>
  <si>
    <t>Jl. Beo No. 35 RT. 05 RW. 01 Randugunting</t>
  </si>
  <si>
    <t>085328981110</t>
  </si>
  <si>
    <t>26/01/2015</t>
  </si>
  <si>
    <t>+6285328981110</t>
  </si>
  <si>
    <t>bimakaryamandiri64@gmail.com</t>
  </si>
  <si>
    <t>007/DKP-JT/DKN-KE-TLK/I/2023</t>
  </si>
  <si>
    <t>10542/P/0472.JT</t>
  </si>
  <si>
    <t>BINA GRAHA, CV.</t>
  </si>
  <si>
    <t>RISKY ANDRIADI ZULMI, ST.</t>
  </si>
  <si>
    <t>Jl. Cemara Raya No. 13 Pasarbatang</t>
  </si>
  <si>
    <t>0283-6176870</t>
  </si>
  <si>
    <t>21/04/2001</t>
  </si>
  <si>
    <t>+6281328882223</t>
  </si>
  <si>
    <t>binagraha.consultant@gmail.com</t>
  </si>
  <si>
    <t>3644/DKP-JT/DKN-KE-TLK/VII/2020</t>
  </si>
  <si>
    <t>16719/P/0592.JT</t>
  </si>
  <si>
    <t>BINA REKATAMA, CV.</t>
  </si>
  <si>
    <t>Jl. KH Samanhudi RT. 01 RW. 06 Pasir Kraton Kramat</t>
  </si>
  <si>
    <t>085866894470</t>
  </si>
  <si>
    <t>15/01/2018</t>
  </si>
  <si>
    <t>+6282135908689</t>
  </si>
  <si>
    <t>binarekatamacv@gmail.com</t>
  </si>
  <si>
    <t>2349/P/0175.JT</t>
  </si>
  <si>
    <t>BINA SARANA, CV.</t>
  </si>
  <si>
    <t>WAHYU ANDRIAWAN, ST.</t>
  </si>
  <si>
    <t>Jl. Keruing IV/150 Banyumanik</t>
  </si>
  <si>
    <t>024 7472416</t>
  </si>
  <si>
    <t>24/091989</t>
  </si>
  <si>
    <t>+6281229002616</t>
  </si>
  <si>
    <t>cvbina.s@yahoo.com</t>
  </si>
  <si>
    <t>10292/P/0445.JT</t>
  </si>
  <si>
    <t>BINA TEKNIK, CV.</t>
  </si>
  <si>
    <t>ANGGIT WEDHA PERMANA, ST.</t>
  </si>
  <si>
    <t>Jl. R.A. Kartini No. 16</t>
  </si>
  <si>
    <t>0296 531044</t>
  </si>
  <si>
    <t>25/08/1999</t>
  </si>
  <si>
    <t>+6281325656652</t>
  </si>
  <si>
    <t>binateknikcv18@gmail.com</t>
  </si>
  <si>
    <t>2536/DKP-JT/DKN-PKE/IV/2018</t>
  </si>
  <si>
    <t>12949/P/0596.JT</t>
  </si>
  <si>
    <t>BINAR PRASASTI, CV.</t>
  </si>
  <si>
    <t>RIZAL BINAR PRASASTI, ST.</t>
  </si>
  <si>
    <t>Jl. Merak No. 413 Butuh</t>
  </si>
  <si>
    <t>082225720677</t>
  </si>
  <si>
    <t>22/03/2007</t>
  </si>
  <si>
    <t>+6282225720677</t>
  </si>
  <si>
    <t>binarprasasti@gmail.com</t>
  </si>
  <si>
    <t>3645/DKP-JT/DKN-KE-TLK/VII/2020</t>
  </si>
  <si>
    <t>17230/P/0750.JT</t>
  </si>
  <si>
    <t>NUR ACHMAD SRI PURWADI, ST.</t>
  </si>
  <si>
    <t>Jl. Bukit Leyangan Indah IV No 281 Ungaran Timur</t>
  </si>
  <si>
    <t>08112727058</t>
  </si>
  <si>
    <t>26/06/2019</t>
  </si>
  <si>
    <t>+628112727058</t>
  </si>
  <si>
    <t>binaraduajee@gmail.com</t>
  </si>
  <si>
    <t>953/11/DKN-PKE/VI/2014</t>
  </si>
  <si>
    <t>12277/P/0568.JT</t>
  </si>
  <si>
    <t>BISMAT, CV.</t>
  </si>
  <si>
    <t>PUDJI TEGUH RAHARDJO, ST.</t>
  </si>
  <si>
    <t>Jl. Pemuda No. 80 RT. 03 RW. 01 Kaligangsa Kulon</t>
  </si>
  <si>
    <t>0283 672085</t>
  </si>
  <si>
    <t>085290003559</t>
  </si>
  <si>
    <t>21/04/2005</t>
  </si>
  <si>
    <t>+6285290003559</t>
  </si>
  <si>
    <t>cv.bismat@gmail.com</t>
  </si>
  <si>
    <t>18402/P/0857.JT</t>
  </si>
  <si>
    <t>BLAMBANGAN KONSULTAN, CV.</t>
  </si>
  <si>
    <t>KRISBIANTORO, ST.</t>
  </si>
  <si>
    <t>Jl. Tugurejo No. 19 Tugu</t>
  </si>
  <si>
    <t>082324853788</t>
  </si>
  <si>
    <t>18/1/2023</t>
  </si>
  <si>
    <t>+6282324853788</t>
  </si>
  <si>
    <t>blambangan.konsultan@gmail.com</t>
  </si>
  <si>
    <t>18379/P/0854.JT</t>
  </si>
  <si>
    <t>BOGOWONTO SAE ENGINEERING, CV.</t>
  </si>
  <si>
    <t>SUGENG HERU PRAYOGO, S.Pd.</t>
  </si>
  <si>
    <t>Jl. Yudodipuran No. 11 Sindurjan</t>
  </si>
  <si>
    <t>PURWOREJO</t>
  </si>
  <si>
    <t>081249049994</t>
  </si>
  <si>
    <t>+6281249049994</t>
  </si>
  <si>
    <t>CV.BOGOWONTOSAE@GMAIL.com</t>
  </si>
  <si>
    <t>009/DKP-JT/DKN-KE-TLK/I/2023</t>
  </si>
  <si>
    <t>7041/P/0257.JT</t>
  </si>
  <si>
    <t>BOROBUDUR ENTANA CIPTA, PT.</t>
  </si>
  <si>
    <t>ACHMAD SUSANDI, ST.</t>
  </si>
  <si>
    <t>Perum Graha Wahid Malibu Blok F No. 3 B Sambiroto</t>
  </si>
  <si>
    <t>024 8412833</t>
  </si>
  <si>
    <t>024 - 8412833</t>
  </si>
  <si>
    <t>16/09/1992</t>
  </si>
  <si>
    <t>+6285641889386</t>
  </si>
  <si>
    <t>borobudurec1@gmail.com</t>
  </si>
  <si>
    <t>3646/DKP-JT/DKN-KE-TLK/VII/2020</t>
  </si>
  <si>
    <t>9660/P/0396.JT</t>
  </si>
  <si>
    <t>BROMAS DAMAR KAURIPAN, CV.</t>
  </si>
  <si>
    <t>ANTO DWI SETYAWAN, ST.</t>
  </si>
  <si>
    <t>Dk Tegalan RT. 01 RW. 04 Kateguhan Tawangsari</t>
  </si>
  <si>
    <t>0271 5847016</t>
  </si>
  <si>
    <t>13/03/2000</t>
  </si>
  <si>
    <t>+628121514057</t>
  </si>
  <si>
    <t>bromasdamarkauripan@gmail.com</t>
  </si>
  <si>
    <t>2028/DKP-JT/DKN-PKE/IV/2017</t>
  </si>
  <si>
    <t>12260/P/0565.JT</t>
  </si>
  <si>
    <t>BUANA ERA CIPTA, CV.</t>
  </si>
  <si>
    <t>ERLANGGA M WIBOWO, ST. MT</t>
  </si>
  <si>
    <t>Jl. Rajawali II No. 2-A</t>
  </si>
  <si>
    <t>0283 343279</t>
  </si>
  <si>
    <t>25/03/2005</t>
  </si>
  <si>
    <t>+628122715566</t>
  </si>
  <si>
    <t>erlanggamw3@gmail.com</t>
  </si>
  <si>
    <t>PJBU pindah porfesi</t>
  </si>
  <si>
    <t>15763/P/0689.JT</t>
  </si>
  <si>
    <t>BUDI KARYA, CV.</t>
  </si>
  <si>
    <t>YUSLAM MARIANA MUSTIKA SARI, SS.</t>
  </si>
  <si>
    <t>Jl. Semboja RT. 03 RW. 06 Kel. Pakembaran - Slawi</t>
  </si>
  <si>
    <t>0283 6195164</t>
  </si>
  <si>
    <t>25/06/2015</t>
  </si>
  <si>
    <t>+6287830268080</t>
  </si>
  <si>
    <t>cvbudikaryaslawi@gmail.com</t>
  </si>
  <si>
    <t>1502/11/DKN-PKE/XI/2015</t>
  </si>
  <si>
    <t>10438/P/0464.JT</t>
  </si>
  <si>
    <t>BUMI TEGAR PERTIWI, CV.</t>
  </si>
  <si>
    <t>JOKO PRAMONO, ST.</t>
  </si>
  <si>
    <t>Perum Sambiroto Baru No. 82</t>
  </si>
  <si>
    <t>024 76740204</t>
  </si>
  <si>
    <t>024 - 76740204</t>
  </si>
  <si>
    <t>+6281225234000</t>
  </si>
  <si>
    <t>bumitegarpertiwi@yahoo.co.id</t>
  </si>
  <si>
    <t>1503/11/DKN-PKE/XI/2015</t>
  </si>
  <si>
    <t>8735/P/0333.JT</t>
  </si>
  <si>
    <t>BUMITAMA, CV.</t>
  </si>
  <si>
    <t>HENDRA SETYAWAN, ST.</t>
  </si>
  <si>
    <t>Jl. Kanfer Raya Blok Q-14 Banyumanik</t>
  </si>
  <si>
    <t>024 7479589</t>
  </si>
  <si>
    <t>024 - 7462735</t>
  </si>
  <si>
    <t>24/07/1996</t>
  </si>
  <si>
    <t>+62811289179</t>
  </si>
  <si>
    <t>cv.bumitama@yahoo.co.id</t>
  </si>
  <si>
    <t>17976/P/0815.JT</t>
  </si>
  <si>
    <t>CAHAYA KARYA ENGINEERING, CV.</t>
  </si>
  <si>
    <t>SUTARDI, ST.</t>
  </si>
  <si>
    <t>Jl. Selomulyo Mukti Timur V / 423 Pedurungan</t>
  </si>
  <si>
    <t>081390550318</t>
  </si>
  <si>
    <t>+6281390550318</t>
  </si>
  <si>
    <t>cahayakaryaengineering@gmail.com</t>
  </si>
  <si>
    <t>010/DKP-JT/DKN-KE-TLK/I/2023</t>
  </si>
  <si>
    <t>8065/P/0307.JT</t>
  </si>
  <si>
    <t>CAHAYA PERSADA MASPATIANA, PT.</t>
  </si>
  <si>
    <t>GESIT HUTRI PRASETYO, ST.</t>
  </si>
  <si>
    <t xml:space="preserve">Jl. Sekar Jagad I / 5 </t>
  </si>
  <si>
    <t>024 6710387</t>
  </si>
  <si>
    <t>024 - 70651213</t>
  </si>
  <si>
    <t>16/08/1993</t>
  </si>
  <si>
    <t>+6285641431275</t>
  </si>
  <si>
    <t>cahaya_persada07@yahoo.com</t>
  </si>
  <si>
    <t>16537/P/0584.JT</t>
  </si>
  <si>
    <t>CAHAYA PUTRA, CV.</t>
  </si>
  <si>
    <t>ANDRIANTO CAHYO SAPUTRO, ST</t>
  </si>
  <si>
    <t>Bulusari RT. 01 RW. 03 Ds. Bulusulur</t>
  </si>
  <si>
    <t>WONOGIRI</t>
  </si>
  <si>
    <t>081228074003</t>
  </si>
  <si>
    <t>20/04/2017</t>
  </si>
  <si>
    <t>TIDAK JELAS</t>
  </si>
  <si>
    <t>+6285725656284</t>
  </si>
  <si>
    <t>andrianto_cs@yahoo.com</t>
  </si>
  <si>
    <t>2551/DKP-JT/DKN-PKE/IV/2018</t>
  </si>
  <si>
    <t>9162/P/0357.JT</t>
  </si>
  <si>
    <t>CAKRA AGUNG, CV.</t>
  </si>
  <si>
    <t>MUHAMMAD HAMID WIDYANTO, ST.</t>
  </si>
  <si>
    <t>Jl. Tlogotimun No. 28-B</t>
  </si>
  <si>
    <t>024-6705004</t>
  </si>
  <si>
    <t>024 - 6709076</t>
  </si>
  <si>
    <t>+6285740990934</t>
  </si>
  <si>
    <t>cakraagung@yahoo.com</t>
  </si>
  <si>
    <t>15267/P/0671.JT</t>
  </si>
  <si>
    <t>CAKRAWANGSA KONSULINDO, CV.</t>
  </si>
  <si>
    <t>MOHAMMAD FAUZAN HIDAYAT, ST.</t>
  </si>
  <si>
    <t>Jl. Raya Panaruban RT. 01 RW. 09 Kaligondang</t>
  </si>
  <si>
    <t>PURBALINGGA</t>
  </si>
  <si>
    <t>0281 7942487</t>
  </si>
  <si>
    <t>+6281542968938</t>
  </si>
  <si>
    <t>cakrawangsakons@yahoo.co.id</t>
  </si>
  <si>
    <t>17877/P/0797.JT</t>
  </si>
  <si>
    <t>CANDI LIMA, CV.</t>
  </si>
  <si>
    <t>YENNY WURYANDARI, SE.</t>
  </si>
  <si>
    <t>Perum Citra Bulan Blok C No. 1 Wonosari</t>
  </si>
  <si>
    <t>082125645782</t>
  </si>
  <si>
    <t>+6282136796574</t>
  </si>
  <si>
    <t>suparno0912@gmail.com</t>
  </si>
  <si>
    <t>3647/DKP-JT/DKN-KE-TLK/VII/2020</t>
  </si>
  <si>
    <t>2568/P/0197.JT</t>
  </si>
  <si>
    <t>CANDRAKIRANA DESIGN CENTER, CV.</t>
  </si>
  <si>
    <t>AMIK RUSMAWATI</t>
  </si>
  <si>
    <t>Jl. Kol. Sutarto No. 15-A</t>
  </si>
  <si>
    <t>0271 54800</t>
  </si>
  <si>
    <t>0271 - 648482</t>
  </si>
  <si>
    <t>16/7/1990</t>
  </si>
  <si>
    <t>+628122655220</t>
  </si>
  <si>
    <t>candrakirana.dc@gmail.com</t>
  </si>
  <si>
    <t>35/DKP.JT/DKN‐KE‐TLK/III/2022</t>
  </si>
  <si>
    <t>2548/T/0196.JT</t>
  </si>
  <si>
    <t>CANDRAKIRANA TOTAL DESIGN, PT.</t>
  </si>
  <si>
    <t>Ir. AGUS INDRIJO</t>
  </si>
  <si>
    <t>Jl. Kol. Sutarto No. 15</t>
  </si>
  <si>
    <t>0271 648482</t>
  </si>
  <si>
    <t>0271 - 663600</t>
  </si>
  <si>
    <t>T</t>
  </si>
  <si>
    <t>+628112906907</t>
  </si>
  <si>
    <t>agus_candrakirana@yahoo.com</t>
  </si>
  <si>
    <t>997/II/DKN-PKE/VI/2014</t>
  </si>
  <si>
    <t>Cabang</t>
  </si>
  <si>
    <t>17753/P/0781.JT</t>
  </si>
  <si>
    <t>CARAKA GRHA TEKNITAMA, PT.</t>
  </si>
  <si>
    <t>SULISTYO INDRIYANTO, ST.</t>
  </si>
  <si>
    <t>Jl. Gomber Permai VI No. 174 Kec.Banyumanik</t>
  </si>
  <si>
    <t>082299770028</t>
  </si>
  <si>
    <t>21/12/2020</t>
  </si>
  <si>
    <t>+6282299770028</t>
  </si>
  <si>
    <t>carakagrhateknitama2020@gmail.com</t>
  </si>
  <si>
    <t>36/DKP.JT/DKN‐KE‐TLK/III/2022</t>
  </si>
  <si>
    <t>10664/P/0482.JT</t>
  </si>
  <si>
    <t>CATUR EKA KARSA, CV.</t>
  </si>
  <si>
    <t>IMRON ROSYADI, ST.</t>
  </si>
  <si>
    <t>Perum Padangsari Cluster B-3 Banyumanik</t>
  </si>
  <si>
    <t>08112741411</t>
  </si>
  <si>
    <t>024-7464411</t>
  </si>
  <si>
    <t>26/01/2002</t>
  </si>
  <si>
    <t>+628122816701</t>
  </si>
  <si>
    <t>catur_eka_karsa@yahoo.co.id</t>
  </si>
  <si>
    <t>18593/P/0882.JT</t>
  </si>
  <si>
    <t>CATUR KARSA ABHINAYA, CV.</t>
  </si>
  <si>
    <t>DANAR AMARTA, ST, M.Ling.</t>
  </si>
  <si>
    <t>Jl. Tirto Agung Barat V/21 Banyumanik</t>
  </si>
  <si>
    <t>081390367000</t>
  </si>
  <si>
    <t>14/07/2023</t>
  </si>
  <si>
    <t>+6281390367000</t>
  </si>
  <si>
    <t>abhinayacaturkarsa@gmail.com</t>
  </si>
  <si>
    <t>18256/P/0844.JT</t>
  </si>
  <si>
    <t>CENDANA CIPTA CITA, CV.</t>
  </si>
  <si>
    <t>SUGIANTO, ST.</t>
  </si>
  <si>
    <t>Jl. Cendana Recident B-2 RT. 04 RW. 07 Srondol Wetan</t>
  </si>
  <si>
    <t>081575164615</t>
  </si>
  <si>
    <t>19/08/2022</t>
  </si>
  <si>
    <t>+6281575164615</t>
  </si>
  <si>
    <t>cendanaciptacita@gmail.com</t>
  </si>
  <si>
    <t>011/DKP-JT/DKN-KE-TLK/I/2023</t>
  </si>
  <si>
    <t>17005/P/0742.JT</t>
  </si>
  <si>
    <t>CHOUSEN CAKKA, CV.</t>
  </si>
  <si>
    <t>ADHIKA WIJAYADARU, ST.</t>
  </si>
  <si>
    <t>Ngeposan RT. 02 RW. 013 Kel. Purworejo, Kec. Purworejo</t>
  </si>
  <si>
    <t>08112503145</t>
  </si>
  <si>
    <t>+628112503145</t>
  </si>
  <si>
    <t>chousencakka.cc@gmail.com</t>
  </si>
  <si>
    <t>3653/DKP-JT/DKN-KE-TLK/VII/2020</t>
  </si>
  <si>
    <t>1602/P/0127.JT</t>
  </si>
  <si>
    <t>CIPTA ADHIYASA, CV.</t>
  </si>
  <si>
    <t>INDRAYA KUSYUNIADI, ST.</t>
  </si>
  <si>
    <t>Jl. Hiri I No. 20</t>
  </si>
  <si>
    <t>024 8449183</t>
  </si>
  <si>
    <t>024 - 8504118</t>
  </si>
  <si>
    <t>24/06/1986</t>
  </si>
  <si>
    <t>pasif KE</t>
  </si>
  <si>
    <t>+6285227906042</t>
  </si>
  <si>
    <t>ciptaadiyasa84@gmail.com</t>
  </si>
  <si>
    <t>14144/P/0648.JT</t>
  </si>
  <si>
    <t>CIPTA ARTA KREASI KONSULTAN, PT.</t>
  </si>
  <si>
    <t>CIPTADI SATRIO PRATOMO, ST.</t>
  </si>
  <si>
    <t>Jl. Bukit Kelapa Hijau IV / BE 21 - 22</t>
  </si>
  <si>
    <t>081575660000</t>
  </si>
  <si>
    <t xml:space="preserve"> 024 - 76484197</t>
  </si>
  <si>
    <t>+6282222205137</t>
  </si>
  <si>
    <t>ciptaartakreasikons@gmail.com</t>
  </si>
  <si>
    <t>12488/P/0584.JT</t>
  </si>
  <si>
    <t>CIPTA BAWONO, CV.</t>
  </si>
  <si>
    <t>BAWONO DWI PRASTOWO, ST.</t>
  </si>
  <si>
    <t xml:space="preserve">Jl. Brigade XVII RT. 06 RW. 04 Rempoah </t>
  </si>
  <si>
    <t>0281-7619035</t>
  </si>
  <si>
    <t>08122745181</t>
  </si>
  <si>
    <t>26/10/2005</t>
  </si>
  <si>
    <t>+628122745181</t>
  </si>
  <si>
    <t>ciptabawono@gmail.com</t>
  </si>
  <si>
    <t>11572/P/0524.JT</t>
  </si>
  <si>
    <t>CIPTA DESAIN, CV.</t>
  </si>
  <si>
    <t>BUDI SULISTIYO, SE.</t>
  </si>
  <si>
    <t>Jl.  Kenconowungu III/22</t>
  </si>
  <si>
    <t>024 7622043</t>
  </si>
  <si>
    <t>+6281225314975</t>
  </si>
  <si>
    <t>budisulis7462@gmail.com</t>
  </si>
  <si>
    <t>Tidak jelas</t>
  </si>
  <si>
    <t>2508/P/0191.JT</t>
  </si>
  <si>
    <t>CIPTA GATRA, CV.</t>
  </si>
  <si>
    <t>N MAULA ADAM, ST.</t>
  </si>
  <si>
    <t>Jl. Jati Raya No. 87 Pelutan</t>
  </si>
  <si>
    <t>0284 321512</t>
  </si>
  <si>
    <t>15/05/1990</t>
  </si>
  <si>
    <t>+628122532574</t>
  </si>
  <si>
    <t>ciptagatra@yahoo.com</t>
  </si>
  <si>
    <t>14906/P/0662.JT</t>
  </si>
  <si>
    <t>CIPTA KREASINDO CONSULTANT, PT.</t>
  </si>
  <si>
    <t>SULISTIA DWINOVIARTI, ST, MM</t>
  </si>
  <si>
    <t>Jl. Perintis Kemerdekaan Ruko Armada Estate A1 No. 14</t>
  </si>
  <si>
    <t>0293 325000</t>
  </si>
  <si>
    <t>17/12/2012</t>
  </si>
  <si>
    <t>+6282255355567</t>
  </si>
  <si>
    <t>pt.cipta.kreasindo@gmail.com</t>
  </si>
  <si>
    <t>3649/DKP-JT/DKN-KE-TLK/VII/2020</t>
  </si>
  <si>
    <t>16640/P/0590.JT</t>
  </si>
  <si>
    <t>CIPTA LARAS, CV.</t>
  </si>
  <si>
    <t>ULIS YULAIKAH, ST.</t>
  </si>
  <si>
    <t>Perum Griya Selaras Gading Blok K No. 10 Gunungpati</t>
  </si>
  <si>
    <t>024 76920657</t>
  </si>
  <si>
    <t>15/09/2017</t>
  </si>
  <si>
    <t>+6285713705259</t>
  </si>
  <si>
    <t>cv.ciptalaras@yahoo.com</t>
  </si>
  <si>
    <t>2541/DKP-JT/DKN-PKE/IV/2018</t>
  </si>
  <si>
    <t>18173/P/0836.JT</t>
  </si>
  <si>
    <t>CIPTA MAWA KREASI, PT.</t>
  </si>
  <si>
    <t>AHMAD FANNY AL-FARUQY, STP, MM.</t>
  </si>
  <si>
    <t>Jl. Menoreh Tengah XII Blok B / 37 Sampangan</t>
  </si>
  <si>
    <t>02476434726</t>
  </si>
  <si>
    <t>23/05/2022</t>
  </si>
  <si>
    <t>+6287777112669</t>
  </si>
  <si>
    <t>ciptamawakreasi@gmail.com</t>
  </si>
  <si>
    <t>012/DKP-JT/DKN-KE-TLK/I/2023</t>
  </si>
  <si>
    <t>9753/P/0405.JT</t>
  </si>
  <si>
    <t>CIPTA PARAMITA, CV.</t>
  </si>
  <si>
    <t>ADITYA KAMAJAYA, ST.</t>
  </si>
  <si>
    <t>Jl. Jagoan III No. 14 Jurangombo Utara</t>
  </si>
  <si>
    <t>081227323217</t>
  </si>
  <si>
    <t>31/08/2000</t>
  </si>
  <si>
    <t>+628586718850</t>
  </si>
  <si>
    <t>cipta_paramita@yahoo.co.id</t>
  </si>
  <si>
    <t>3650/DKP-JT/DKN-KE-TLK/VII/2020</t>
  </si>
  <si>
    <t>11776/P/0536.JT</t>
  </si>
  <si>
    <t>CIPTA PRIMA SEJAHTERA, PT.</t>
  </si>
  <si>
    <t>Ir. MICHAEL PRIBADI</t>
  </si>
  <si>
    <t>Jl. Dr. Wahidin No. 62-A</t>
  </si>
  <si>
    <t>024  8505278</t>
  </si>
  <si>
    <t>024 - 8315435</t>
  </si>
  <si>
    <t>13/03/2004</t>
  </si>
  <si>
    <t>+62811277479</t>
  </si>
  <si>
    <t>cpssmg@yahoo.co.id</t>
  </si>
  <si>
    <t>7412/P/0284.JT</t>
  </si>
  <si>
    <t>CIPTA RACANA, CV.</t>
  </si>
  <si>
    <t>ADHITYA SIDHARTA, SH.</t>
  </si>
  <si>
    <t>Jl. Brumbungan I/16-A</t>
  </si>
  <si>
    <t>024 3517550</t>
  </si>
  <si>
    <t>+6281291733372</t>
  </si>
  <si>
    <t>ciptaracana63@yahoo.com</t>
  </si>
  <si>
    <t>1504/II/DKN-PKE/XI/2015</t>
  </si>
  <si>
    <t>17/112015</t>
  </si>
  <si>
    <t>1355/P/0111.JT</t>
  </si>
  <si>
    <t>CIPTA RENCANA, PT.</t>
  </si>
  <si>
    <t>Dr. Ir. HARRY MUHARSYAH SUNGGUH, MT.</t>
  </si>
  <si>
    <t>Jl. Berlian Raya RT. 04 / 03 No. 236 Sambiroto</t>
  </si>
  <si>
    <t>024 8414814</t>
  </si>
  <si>
    <t>024 - 8411878</t>
  </si>
  <si>
    <t>+6281326574468</t>
  </si>
  <si>
    <t>pt.ciptarencana@gmail.com</t>
  </si>
  <si>
    <t>440/P/021.JT</t>
  </si>
  <si>
    <t>CIPTANING EKAREKSA, PT.</t>
  </si>
  <si>
    <t>Ir. MARIE NING MURDIYANTI</t>
  </si>
  <si>
    <t>Jl. Achmad Yani No. 170.A</t>
  </si>
  <si>
    <t>0293 363989</t>
  </si>
  <si>
    <t>0293 - 364587</t>
  </si>
  <si>
    <t>+628122950676</t>
  </si>
  <si>
    <t>ciptaning_pt@yahoo.com</t>
  </si>
  <si>
    <t>17858/P/0795.JT</t>
  </si>
  <si>
    <t>CITA KREASINDO, CV.</t>
  </si>
  <si>
    <t>ROCHMAD YULIANTO, S.Pd.</t>
  </si>
  <si>
    <t>Jl. Lawu Km. 16.3 RT. 01 RW. 01 Tegalgede</t>
  </si>
  <si>
    <t>081548670441</t>
  </si>
  <si>
    <t>+6282136073000</t>
  </si>
  <si>
    <t>cita.kreasindo@gmail.com</t>
  </si>
  <si>
    <t>013/DKP-JT/DKN-KE-TLK/I/2023</t>
  </si>
  <si>
    <t>12427/P/0557.JT</t>
  </si>
  <si>
    <t>CITRA ARSITAMA, CV.</t>
  </si>
  <si>
    <t>ROHMAN EKO SANTOSO, ST.</t>
  </si>
  <si>
    <t xml:space="preserve">Jl. Tamansari Blok B1 No. 2 Mangunharjo Tembalang </t>
  </si>
  <si>
    <t>024 76410060</t>
  </si>
  <si>
    <t>24/08/2005</t>
  </si>
  <si>
    <t>+628112991345</t>
  </si>
  <si>
    <t>citraarsitama@gmail.com</t>
  </si>
  <si>
    <t>15370/P/0675.JT</t>
  </si>
  <si>
    <t>CITRA ASRI DESAIN, PT.</t>
  </si>
  <si>
    <t>ENY PURGOWATI, ST.</t>
  </si>
  <si>
    <t>Ds. Tanuharjo RT. 01 RW. 02 Kec. Alian</t>
  </si>
  <si>
    <t>0811360870</t>
  </si>
  <si>
    <t>+62811360870</t>
  </si>
  <si>
    <t>citraasridesain.pt@gmail.com</t>
  </si>
  <si>
    <t>10759/P/0488.JT</t>
  </si>
  <si>
    <t>CITRA DESAIN, CV.</t>
  </si>
  <si>
    <t>ALI SA'RONI, ST.</t>
  </si>
  <si>
    <t>Jl. Dorang No. 3 Tasik Agung</t>
  </si>
  <si>
    <t>0295-691838</t>
  </si>
  <si>
    <t>081390282707</t>
  </si>
  <si>
    <t>+6285291021786</t>
  </si>
  <si>
    <t>desaincitra@gmail.com</t>
  </si>
  <si>
    <t>3651/DKP-JT/DKN-KE-TLK/VII/2020</t>
  </si>
  <si>
    <t>18191/P/0837.JT</t>
  </si>
  <si>
    <t>CITRA KALPATARU, CV.</t>
  </si>
  <si>
    <t>SUSILAH HIDAYATI, SE.</t>
  </si>
  <si>
    <t>Jl. Kalpataru I No. 80 Perum Purwosari Baturaden</t>
  </si>
  <si>
    <t>089605879003</t>
  </si>
  <si>
    <t>16/06/2022</t>
  </si>
  <si>
    <t>+6282314376885</t>
  </si>
  <si>
    <t>citrakalpatarucv80@gmail.com</t>
  </si>
  <si>
    <t>17225/P/0749.JT</t>
  </si>
  <si>
    <t>CITRA LAKSANA, CV.</t>
  </si>
  <si>
    <t>YUNIA SULASIH, ST.</t>
  </si>
  <si>
    <t>Jl. Caok KM 1 RT. 02 RW. 01 Tambakrejo</t>
  </si>
  <si>
    <t>081226112121</t>
  </si>
  <si>
    <t>085211989688</t>
  </si>
  <si>
    <t>28/5/2019</t>
  </si>
  <si>
    <t>+6281226112121</t>
  </si>
  <si>
    <t>yunia.yn@gmail.com</t>
  </si>
  <si>
    <t>3652/DKP-JT/DKN-KE-TLK/VII/2020</t>
  </si>
  <si>
    <t>12271/P/0567.JT</t>
  </si>
  <si>
    <t>CITRA MUDA INDO CONSULTANT, PT.</t>
  </si>
  <si>
    <t>YUNI DWI PURWANI, SKM, MA.</t>
  </si>
  <si>
    <t>Perum Bumi Wana Mukti Blok A 4 No. 31</t>
  </si>
  <si>
    <t>024 6705577</t>
  </si>
  <si>
    <t>024 - 6701321</t>
  </si>
  <si>
    <t>25/03/2007</t>
  </si>
  <si>
    <t>+6285740114717</t>
  </si>
  <si>
    <t>citramuda.konsultan@ymail.com</t>
  </si>
  <si>
    <t>12936/P/0593.JT</t>
  </si>
  <si>
    <t>CITRA VASTU VIDYA, CV.</t>
  </si>
  <si>
    <t>IMRON, ST.</t>
  </si>
  <si>
    <t>Jl. Dr. Cipto II No. 24 Kaligangsa Margadana</t>
  </si>
  <si>
    <t>0283 310247</t>
  </si>
  <si>
    <t>081548029123</t>
  </si>
  <si>
    <t>+6281548029123</t>
  </si>
  <si>
    <t>citravastuvidya@gmail.com</t>
  </si>
  <si>
    <t>17788/P/0787.JT</t>
  </si>
  <si>
    <t>CITRA YASA DESAIN, CV.</t>
  </si>
  <si>
    <t>HASTANTO ADRI, S.Pi.</t>
  </si>
  <si>
    <t>Jl. Telaga blok G No. 79 Pudak Payung Kecamatan Banyumanik</t>
  </si>
  <si>
    <t>22/01/2021</t>
  </si>
  <si>
    <t>+6285781123929</t>
  </si>
  <si>
    <t>citrayasadesain@gmail.com</t>
  </si>
  <si>
    <t>38/DKP.JT/DKN‐KE‐TLK/III/2022</t>
  </si>
  <si>
    <t>16867/P/0738.JT</t>
  </si>
  <si>
    <t>CITRAKARA LOJI SUKSES, PT.</t>
  </si>
  <si>
    <t>YANUAR BINTORO ADJI, ST, MT.</t>
  </si>
  <si>
    <t>Perum Korpri Blok Z X No. 14 Sendang Mulyo Tembalang</t>
  </si>
  <si>
    <t>085728226532</t>
  </si>
  <si>
    <t>29/6/2018</t>
  </si>
  <si>
    <t>+6285728226532</t>
  </si>
  <si>
    <t>citrakaralojisukses@gmail.com</t>
  </si>
  <si>
    <t>Masalah intern</t>
  </si>
  <si>
    <t>18044/P/0822.JT</t>
  </si>
  <si>
    <t>CITRAPATA BANGUN PERSADA, CV.</t>
  </si>
  <si>
    <t>WARDIYANTO, ST.</t>
  </si>
  <si>
    <t>Jl. Pelita 4 Kampung Baru No. 17 Kel. Jenggot</t>
  </si>
  <si>
    <t>085727244388</t>
  </si>
  <si>
    <t>21/01/2022</t>
  </si>
  <si>
    <t>+6285727244388</t>
  </si>
  <si>
    <t>citrapatabangunpersada@gmail.com</t>
  </si>
  <si>
    <t>37/DKP.JT/DKN‐KE‐TLK/III/2022</t>
  </si>
  <si>
    <t>17286/P/0752.JT</t>
  </si>
  <si>
    <t>CRYSTAL DESIGN, CV.</t>
  </si>
  <si>
    <t>NUNUNG AGUS WINARTO, ST.</t>
  </si>
  <si>
    <t>Jl. Achmad Yani Gg. V No. 19 RT. 05 RW. 01 Karangjati</t>
  </si>
  <si>
    <t>085641576743</t>
  </si>
  <si>
    <t>31/09/2019</t>
  </si>
  <si>
    <t>+6285641576743</t>
  </si>
  <si>
    <t>crystaldesign719@gmail.com</t>
  </si>
  <si>
    <t>39/DKP.JT/DKN‐KE‐TLK/III/2022</t>
  </si>
  <si>
    <t>16196/P/0709.JT</t>
  </si>
  <si>
    <t>D&amp;D BERKAH ABADI, CV.</t>
  </si>
  <si>
    <t>DEANTY PRANITASARI, ST.</t>
  </si>
  <si>
    <t>Jl. Wijaya Kusuma No. 48 RT. 02 RW. 05 Perum Pepabri Kudaile Slawi</t>
  </si>
  <si>
    <t>0283-6195043</t>
  </si>
  <si>
    <t>23/07/2016</t>
  </si>
  <si>
    <t>+6285640111130</t>
  </si>
  <si>
    <t>dndberkahabadi@gmail.com</t>
  </si>
  <si>
    <t>2032/DKP-JT/DKN-PKE/VIII/2017</t>
  </si>
  <si>
    <t>18841/P/0911.JT</t>
  </si>
  <si>
    <t>DADIO TUWUH SEJAHTERA, PT.</t>
  </si>
  <si>
    <t>DANANG ADIPRASETIYO PAMBAYUN, ST.</t>
  </si>
  <si>
    <t>Jl. Pleburan Barat No. 34 RT. 02 RW. 02 Pleburan</t>
  </si>
  <si>
    <t>08112762111</t>
  </si>
  <si>
    <t>+628112762111</t>
  </si>
  <si>
    <t>teamDTS19@gmail.com</t>
  </si>
  <si>
    <t>18964/P/0916.JT</t>
  </si>
  <si>
    <t>DAAF MADANI KONSULTAN INDONESIA, PT.</t>
  </si>
  <si>
    <t>ACHMAD FAUZI, S.M.</t>
  </si>
  <si>
    <t>Ruko Semadang Indah Blok D-17 No. 21 A Tawang Mas</t>
  </si>
  <si>
    <t>081296839353</t>
  </si>
  <si>
    <t>+6281296839353</t>
  </si>
  <si>
    <t>daafconsultant@gmail.com</t>
  </si>
  <si>
    <t xml:space="preserve"> 9111/P/0353.JT</t>
  </si>
  <si>
    <t>DAMAR KUMALA, CV.</t>
  </si>
  <si>
    <t>WAHONO, SE.</t>
  </si>
  <si>
    <t>Jl. Dewi Sartika Raya No. 23</t>
  </si>
  <si>
    <t>081575370209</t>
  </si>
  <si>
    <t>09/12/1997</t>
  </si>
  <si>
    <t>+6285124556593</t>
  </si>
  <si>
    <t>dmrkumala@yahoo.com</t>
  </si>
  <si>
    <t>958/II/DKN-PKE/VIII/2014</t>
  </si>
  <si>
    <t>10902/P/0492.JT</t>
  </si>
  <si>
    <t>DAYA CIPTA MANDIRI, CV.</t>
  </si>
  <si>
    <t>HENI YUSTIANINGSIH, ST.</t>
  </si>
  <si>
    <t>Jl. R Agil Kusumadya Gg. Hudowo No. 25 Jati Wetan</t>
  </si>
  <si>
    <t>KUDUS</t>
  </si>
  <si>
    <t>0291-441113</t>
  </si>
  <si>
    <t>07/04/2002</t>
  </si>
  <si>
    <t>+6281390932989</t>
  </si>
  <si>
    <t>dayaciptamandiri@ymail.com</t>
  </si>
  <si>
    <t>2031/DKP-JT/DKN-PKE/VIII/2017</t>
  </si>
  <si>
    <t>13002/P/0599.JT</t>
  </si>
  <si>
    <t>DEKAROBE, CV,</t>
  </si>
  <si>
    <t>SODIK FATAH HIDAYAT, ST. IAI.</t>
  </si>
  <si>
    <t>Jl. Gisiksari Raya (Aspol Kalisari Blok XIIA)  No. 12</t>
  </si>
  <si>
    <t>081513057985</t>
  </si>
  <si>
    <t>08112515071</t>
  </si>
  <si>
    <t>+628112515071</t>
  </si>
  <si>
    <t>dekarobe.db@gmail.com</t>
  </si>
  <si>
    <t>19011/P/0920.JT</t>
  </si>
  <si>
    <t>DEKA RANCANG PERSADA ARCHITECT, PT.</t>
  </si>
  <si>
    <t>IRAWAN PEBRIANTO, ST.</t>
  </si>
  <si>
    <t>Jl. Jendral Ahmad Yani No. 168 Tinggarjaya Sidareja</t>
  </si>
  <si>
    <t>08122763199</t>
  </si>
  <si>
    <t>+628122763199</t>
  </si>
  <si>
    <t>pt.dk.rancangpersada@gmail.com</t>
  </si>
  <si>
    <t>10294/P/0447.JT</t>
  </si>
  <si>
    <t>DELTA CONSULTANTS, CV.</t>
  </si>
  <si>
    <t>ARIEF NURYADI, ST.</t>
  </si>
  <si>
    <t>Jl. Bromo No. 6 Sidanegara</t>
  </si>
  <si>
    <t>0282-521730</t>
  </si>
  <si>
    <t>08/07/2001</t>
  </si>
  <si>
    <t>+628156629025</t>
  </si>
  <si>
    <t>cvdeltaconsultants@gmail.com</t>
  </si>
  <si>
    <t>17664/P/0773.JT</t>
  </si>
  <si>
    <t>DESIGN ENGINEERING, CV.</t>
  </si>
  <si>
    <t>BUDI SANTOSO, ST.</t>
  </si>
  <si>
    <t>Ds. Candisari RT. 02 RW. 01 Candisari Banyuurip</t>
  </si>
  <si>
    <t>081226992619</t>
  </si>
  <si>
    <t>04/09/2020</t>
  </si>
  <si>
    <t>+6281226992619</t>
  </si>
  <si>
    <t>cv.designengineering@gmail.com</t>
  </si>
  <si>
    <t>015/DKP-JT/DKN-KE-TLK/I/2023</t>
  </si>
  <si>
    <t>18098/P/0828.JT</t>
  </si>
  <si>
    <t>DHARMA CONSULTANT, CV.</t>
  </si>
  <si>
    <t>KHASANUDIN, S.Sy.</t>
  </si>
  <si>
    <t>Perum Patebon Indah RT. 07 RW. 08 Kebonharjo</t>
  </si>
  <si>
    <t>081808165757</t>
  </si>
  <si>
    <t>07/03/2022</t>
  </si>
  <si>
    <t>+6281808165757</t>
  </si>
  <si>
    <t>cv.dharmaconsultant@gmail.com</t>
  </si>
  <si>
    <t>40/DKP.JT/DKN‐KE‐TLK/III/2022</t>
  </si>
  <si>
    <t>12098/P/0559.JT</t>
  </si>
  <si>
    <t>DIENG AGUNG, PT.</t>
  </si>
  <si>
    <t>JOKO SUDIONO, ST.</t>
  </si>
  <si>
    <t>Jl. Tumpang IV / 19 Gajahmungkur</t>
  </si>
  <si>
    <t>024-8314286</t>
  </si>
  <si>
    <t>024 - 8314286</t>
  </si>
  <si>
    <t>20/09/2004</t>
  </si>
  <si>
    <t>+6281225793322</t>
  </si>
  <si>
    <t>diengagung@yahoo.co.id</t>
  </si>
  <si>
    <t>016/DKP-JT/DKN-KE-TLK/I/2023</t>
  </si>
  <si>
    <t>15947/P/0700.JT</t>
  </si>
  <si>
    <t>DIGDAYA KONSULTAN, CV.</t>
  </si>
  <si>
    <t>WEIMINTORO, ST, MT.</t>
  </si>
  <si>
    <t xml:space="preserve">Ruko Nirmala Square P-1 / Jl. Citarum </t>
  </si>
  <si>
    <t>0283-6148625</t>
  </si>
  <si>
    <t>25/01/2016</t>
  </si>
  <si>
    <t>+6282135000085</t>
  </si>
  <si>
    <t>digdayakonsultancv@gmail.com</t>
  </si>
  <si>
    <t>10760/P/0489.JT</t>
  </si>
  <si>
    <t>DIMENSI , CV.</t>
  </si>
  <si>
    <t>LUHUR SUSENO Dipl, ATP, Msi</t>
  </si>
  <si>
    <t xml:space="preserve">Jl. Banyumas Km. 4 No. 9  Kalierang Selomerto </t>
  </si>
  <si>
    <t>WONOSOBO</t>
  </si>
  <si>
    <t>081391474606</t>
  </si>
  <si>
    <t>+6281391474606</t>
  </si>
  <si>
    <t>17dimensi@gmail.com</t>
  </si>
  <si>
    <t xml:space="preserve"> 7415/P/0285.JT</t>
  </si>
  <si>
    <t>DIMENSI IDEAL, CV.</t>
  </si>
  <si>
    <t>IRENE REIZA HAPSARI, SE.</t>
  </si>
  <si>
    <t>Jl. Sunan Bonang No. 4</t>
  </si>
  <si>
    <t xml:space="preserve"> 0293-363822</t>
  </si>
  <si>
    <t>07/09/1993</t>
  </si>
  <si>
    <t>dimensi_ideal@yahoo.com</t>
  </si>
  <si>
    <t>18737/P/0897.JT</t>
  </si>
  <si>
    <t>DINASTI JAVA GROUP, CV.</t>
  </si>
  <si>
    <t>SUTAMTO, ST.</t>
  </si>
  <si>
    <t>Ds. Ngapungrejo RT. 04 RW. 01, Kec. Pati</t>
  </si>
  <si>
    <t>08/01/2024</t>
  </si>
  <si>
    <t>+6281226003225</t>
  </si>
  <si>
    <t>cvdinastijavagroup@gmail.com</t>
  </si>
  <si>
    <t>16682/P/0732.JT</t>
  </si>
  <si>
    <t>DISAIN CIPTA ABADI, CV.</t>
  </si>
  <si>
    <t>ARITARKUS EDI MANUBAWA, ST, M.Ars.</t>
  </si>
  <si>
    <t>Jl. Candi Penataran XI Kav. 438-439</t>
  </si>
  <si>
    <t>024-7614528</t>
  </si>
  <si>
    <t>024-7658072</t>
  </si>
  <si>
    <t>27/11/2019</t>
  </si>
  <si>
    <t>+6282135800608</t>
  </si>
  <si>
    <t>disainciptaabadi.cv@gmail.com</t>
  </si>
  <si>
    <t xml:space="preserve"> 7416/P/0286.JT</t>
  </si>
  <si>
    <t>DITA WIDYA REKAYASA, CV.</t>
  </si>
  <si>
    <t>ANDI ISBIANTORO, ST.</t>
  </si>
  <si>
    <t>Jl. Sapta Marga II No. 56</t>
  </si>
  <si>
    <t xml:space="preserve"> 024-7609308</t>
  </si>
  <si>
    <t>+6287700336347</t>
  </si>
  <si>
    <t>ditawidiarekayasa@yahoo.co.id</t>
  </si>
  <si>
    <t>17957/P/0813.JT</t>
  </si>
  <si>
    <t>DJAWA KARYA KONSULTAN, CV</t>
  </si>
  <si>
    <t>Drs. ANDI PRIYATMOKO</t>
  </si>
  <si>
    <t>Jl. Wono Mulyo Mukti Timur  III No. 379 Pedurungan</t>
  </si>
  <si>
    <t>024-76918592</t>
  </si>
  <si>
    <t>28/07/2021</t>
  </si>
  <si>
    <t>+62813-25744325</t>
  </si>
  <si>
    <t>djawakaryakonsultan@yahoo.co.id</t>
  </si>
  <si>
    <t xml:space="preserve"> 1232/P/0101.JT</t>
  </si>
  <si>
    <t>D'LIMA, CV.</t>
  </si>
  <si>
    <t>BAROTO SUGENG RIYADI, ST.</t>
  </si>
  <si>
    <t>Jl. Babarlayar No. 55</t>
  </si>
  <si>
    <t>0271-52883</t>
  </si>
  <si>
    <t>18/12/1993</t>
  </si>
  <si>
    <t>+628121507422</t>
  </si>
  <si>
    <t>cvdelima55@gmail.com</t>
  </si>
  <si>
    <t xml:space="preserve"> 13113/P/0602.JT</t>
  </si>
  <si>
    <t>DOEA R, CV.</t>
  </si>
  <si>
    <t>MIFTAKHUDIN SURURI, ST</t>
  </si>
  <si>
    <t>Jl. Ksatrian No. 43</t>
  </si>
  <si>
    <t>0275-321221</t>
  </si>
  <si>
    <t>23/06/2007</t>
  </si>
  <si>
    <t>+6282328113134</t>
  </si>
  <si>
    <t>r_doea@yahoo.com</t>
  </si>
  <si>
    <t>2033/DKP-JT/DKN-PKE/VII/2017</t>
  </si>
  <si>
    <t>10209/P/0437.JT</t>
  </si>
  <si>
    <t>DUA DAYA PASTIKA, CV.</t>
  </si>
  <si>
    <t>HERRI INDRAYANA, ST.</t>
  </si>
  <si>
    <t>Jl. Letjend Suprapto No. 98</t>
  </si>
  <si>
    <t>BANJARNEGARA</t>
  </si>
  <si>
    <t>0286-591965</t>
  </si>
  <si>
    <t>0286-324900</t>
  </si>
  <si>
    <t>03/06/2001</t>
  </si>
  <si>
    <t>+6281327263417</t>
  </si>
  <si>
    <t>duadayapastika@yahoo.com</t>
  </si>
  <si>
    <t>10382/P/0463.JT</t>
  </si>
  <si>
    <t>DUTA ARYA DESAIN, CV.</t>
  </si>
  <si>
    <t>AGNES PUTRI HASTUTI, SH.</t>
  </si>
  <si>
    <t>Jl. Randublatung Km. 3,3 No. 22 Mulyorejo</t>
  </si>
  <si>
    <t>0296 5100910</t>
  </si>
  <si>
    <t>31/07/2001</t>
  </si>
  <si>
    <t>+628156708843</t>
  </si>
  <si>
    <t>dutaaryadesaincv@gmail.com</t>
  </si>
  <si>
    <t>Direkturnya Jadi Dosen</t>
  </si>
  <si>
    <t>17344/P/0756.JT</t>
  </si>
  <si>
    <t>DUTA CIPTA PERSADA KONSULTAN, CV.</t>
  </si>
  <si>
    <t>SURANTO, ST.</t>
  </si>
  <si>
    <t>Jl. Walisongo No. 54 RT. 01 RW. 02 Dk. Jeruk Banjarharjo</t>
  </si>
  <si>
    <t>085260342339</t>
  </si>
  <si>
    <t>30/10/2019</t>
  </si>
  <si>
    <t>+6281275883738</t>
  </si>
  <si>
    <t>dutaciptapersada21@gmail.com</t>
  </si>
  <si>
    <t>3658/DKP-JT/DKN-KE-TLK/VII/2020</t>
  </si>
  <si>
    <t xml:space="preserve"> 0443/P/0024.JT</t>
  </si>
  <si>
    <t>DUTA CITRA DESIGN CONSULT, PT.</t>
  </si>
  <si>
    <t>Ir. MUNARTI SUGIONO</t>
  </si>
  <si>
    <t>Jl. Ngesrep Barat III/64-B</t>
  </si>
  <si>
    <t xml:space="preserve"> 024-7475408</t>
  </si>
  <si>
    <t>02/06/1983</t>
  </si>
  <si>
    <t>+62811288175</t>
  </si>
  <si>
    <t>iqbalkurniawan195@gmail.com</t>
  </si>
  <si>
    <t>17931/P/0807.JT</t>
  </si>
  <si>
    <t>DUTA MAS DIPONEGORO, PT.</t>
  </si>
  <si>
    <t>ARIEF WAHYU HIDAYAT, ST.</t>
  </si>
  <si>
    <t>Jl. Tirto RT. 08 RW. 01  Kel. SURAKARTA Tugu</t>
  </si>
  <si>
    <t xml:space="preserve"> 024-40000273</t>
  </si>
  <si>
    <t>24/05/2021</t>
  </si>
  <si>
    <t>+62818458762</t>
  </si>
  <si>
    <t>dtm.diponegoro@gmail.com</t>
  </si>
  <si>
    <t>41/DKP.JT/DKN‐KE‐TLK/III/2022</t>
  </si>
  <si>
    <t>11455/P/0518.JT</t>
  </si>
  <si>
    <t>DUTA RANCANA, CV.</t>
  </si>
  <si>
    <t>BAGUS DJATMIKO, ST.</t>
  </si>
  <si>
    <t>Jl. Pemuda No. 09 Mulyoharjo RT. 05/07</t>
  </si>
  <si>
    <t>0284-324105</t>
  </si>
  <si>
    <t>0284-3550539</t>
  </si>
  <si>
    <t>21/5/2003</t>
  </si>
  <si>
    <t>+628156622454</t>
  </si>
  <si>
    <t>dutarancana@gmail.com</t>
  </si>
  <si>
    <t>3657/DKP-JT/DKN-KE-TLK/VII/2020</t>
  </si>
  <si>
    <t>18785/P/0902.JT</t>
  </si>
  <si>
    <t>DUTA PARAMA TEKNIK, PT.</t>
  </si>
  <si>
    <t>ARIEL DETA PRASETYOAJI, S.I.P.</t>
  </si>
  <si>
    <t>Jl. Saditan II RT. 02 RW. 09 Kec. Brebes</t>
  </si>
  <si>
    <t>081541111277</t>
  </si>
  <si>
    <t>+6281541111277</t>
  </si>
  <si>
    <t>cv.dutateknikkonsultan@gmail.com</t>
  </si>
  <si>
    <t>10440/P/0466.JT</t>
  </si>
  <si>
    <t>DUTA WIRYA PRATAMA CENTRAESTIMA, PT</t>
  </si>
  <si>
    <t>MUHAMMAD ERLANGGA, M.Ec, Dev.M.Ak.</t>
  </si>
  <si>
    <t>Jl. Wisma Penilai Lt. 4-5 Jl. Ki Mangun Sarkoro No. 55</t>
  </si>
  <si>
    <t>0271-717910</t>
  </si>
  <si>
    <t>0271-729630</t>
  </si>
  <si>
    <t>+6282185508888</t>
  </si>
  <si>
    <t>duta_wirya@yahoo.com</t>
  </si>
  <si>
    <t xml:space="preserve"> 2608/P/0205.JT</t>
  </si>
  <si>
    <t>DUTA, CV.</t>
  </si>
  <si>
    <t>DIAN MARDIKANI SUTJININGRUM, ST.</t>
  </si>
  <si>
    <t>Jl. Ngesrep Barat III/64</t>
  </si>
  <si>
    <t>11/09/1990</t>
  </si>
  <si>
    <t>+628180782735</t>
  </si>
  <si>
    <t>cvdutaoss@gmail.com</t>
  </si>
  <si>
    <t>9500/P/0374.JT</t>
  </si>
  <si>
    <t>DWI PERTIWI, CV.</t>
  </si>
  <si>
    <t>Ir. ASRUL SANI ANTUL</t>
  </si>
  <si>
    <t>Jl. Sendang RT. 4 / 6 Kedungumpul Kandangan</t>
  </si>
  <si>
    <t>0293 5506204</t>
  </si>
  <si>
    <t>0293-4901482</t>
  </si>
  <si>
    <t>24/08/1999</t>
  </si>
  <si>
    <t>+628122791077</t>
  </si>
  <si>
    <t>dwipertiwi_cv@yahoo.co.id</t>
  </si>
  <si>
    <t xml:space="preserve"> 7055/P/0258.JT</t>
  </si>
  <si>
    <t>EDIYASA, CV.</t>
  </si>
  <si>
    <t>Jl. Sinar Puspita No. 513 Sinar Waluyo</t>
  </si>
  <si>
    <t xml:space="preserve"> 024-6710329</t>
  </si>
  <si>
    <t>27/09/1992</t>
  </si>
  <si>
    <t>ediyasa03@gmail.com</t>
  </si>
  <si>
    <t>9785/P/0412.JT</t>
  </si>
  <si>
    <t>EFISA JAYA KONSULTAN, CV.</t>
  </si>
  <si>
    <t>EFIE SAADAH, ST.</t>
  </si>
  <si>
    <t>Jl. Gatot Subroto No. 115 Slawi</t>
  </si>
  <si>
    <t xml:space="preserve"> 0283-491627</t>
  </si>
  <si>
    <t>28/08/2000</t>
  </si>
  <si>
    <t>+628156558324</t>
  </si>
  <si>
    <t>efissa.jayakonsultan@gmail.com</t>
  </si>
  <si>
    <t>18499/P/0868.JT</t>
  </si>
  <si>
    <t>EKA JAYA MULTIGUNA, CV.</t>
  </si>
  <si>
    <t>NOUR EKA JAYANTI, M.Sc.</t>
  </si>
  <si>
    <t>Jl. Bibis Luhur RT. 02 RW. 022 Nusukan, Banjarsari</t>
  </si>
  <si>
    <t>085728103640</t>
  </si>
  <si>
    <t>29/03/2023</t>
  </si>
  <si>
    <t>+6285728103640</t>
  </si>
  <si>
    <t>ekajayamultiguna@gmail.com</t>
  </si>
  <si>
    <t>15671/P/0684.JT</t>
  </si>
  <si>
    <t>ENERGI TRI DAYA ELEKTRINDO, PT.</t>
  </si>
  <si>
    <t>ZULIAN NURYANTO, ST.</t>
  </si>
  <si>
    <t>Jl. Bulusan XI No. 112 Tembalang</t>
  </si>
  <si>
    <t>024-76482690</t>
  </si>
  <si>
    <t>21/04/2015</t>
  </si>
  <si>
    <t>+6282134522772</t>
  </si>
  <si>
    <t>energi3.elektrindo@gmail.com</t>
  </si>
  <si>
    <t>2037/DKP-JT/DKN-PKE/VII/2017</t>
  </si>
  <si>
    <t>16305/P/0714.JT</t>
  </si>
  <si>
    <t>ENVIRO DILA CONSULTANT, CV.</t>
  </si>
  <si>
    <t>Dra. DYAH HERLIYANI SETYOWATI</t>
  </si>
  <si>
    <t>Jl. Puri Gedawang Indah Blok H No. 2</t>
  </si>
  <si>
    <t>024-7479141</t>
  </si>
  <si>
    <t>25/10/2016</t>
  </si>
  <si>
    <t>+6281326414194</t>
  </si>
  <si>
    <t>envidilacons@gmail.com</t>
  </si>
  <si>
    <t>2036/DKP-JT/DKN-PKE/VII/2017</t>
  </si>
  <si>
    <t>18422/P/0860.JT</t>
  </si>
  <si>
    <t>ERINA WIJAYA, CV.</t>
  </si>
  <si>
    <t>NAILAL KHUSNA, S.Pd.</t>
  </si>
  <si>
    <t>Dk. Pulutan RT. 03 RW. 06 Jekulo</t>
  </si>
  <si>
    <t>085641537290</t>
  </si>
  <si>
    <t>30/01/2023</t>
  </si>
  <si>
    <t>+62857-266-600-10</t>
  </si>
  <si>
    <t>erinawijayaconsult@gmail.com</t>
  </si>
  <si>
    <t>10328/P/0457.JT</t>
  </si>
  <si>
    <t>ERINDO REKA BAHARI, CV.</t>
  </si>
  <si>
    <t>Drs. ACHMAD SUBAGYO, MT.</t>
  </si>
  <si>
    <t>Jl. Badak V No. 22 Pandean Lamper</t>
  </si>
  <si>
    <t>024-6713348</t>
  </si>
  <si>
    <t>024-76591145</t>
  </si>
  <si>
    <t>10/07/2001</t>
  </si>
  <si>
    <t>+6281325751489</t>
  </si>
  <si>
    <t>erindoreka_bahari@yahoo.co.id</t>
  </si>
  <si>
    <t>42/DKP.JT/DKN‐KE‐TLK/III/2022</t>
  </si>
  <si>
    <t>17921/P/0804.JT</t>
  </si>
  <si>
    <t>ESENSI NARA KREASI, PT.</t>
  </si>
  <si>
    <t>ARUM KURNIASARI, ST</t>
  </si>
  <si>
    <t>Jl. Tanggul Mas Barat No. 257 Panggung Lor</t>
  </si>
  <si>
    <t>085100390608</t>
  </si>
  <si>
    <t>23/4/2021</t>
  </si>
  <si>
    <t>+6285100390608</t>
  </si>
  <si>
    <t>ptesensinara@gmail.com</t>
  </si>
  <si>
    <t>018/DKP-JT/DKN-KE-TLK/I/2023</t>
  </si>
  <si>
    <t>9315/P/0366.JT</t>
  </si>
  <si>
    <t>ESPRO, CV.</t>
  </si>
  <si>
    <t>RAKHMAT SETIADI, ST.</t>
  </si>
  <si>
    <t>Jl. Satria Barat II No. 53</t>
  </si>
  <si>
    <t xml:space="preserve"> 024-3542201</t>
  </si>
  <si>
    <t xml:space="preserve"> 024-70601080</t>
  </si>
  <si>
    <t>10/10/1998</t>
  </si>
  <si>
    <t>+6287888462100</t>
  </si>
  <si>
    <t>esprocons@yahoo.com</t>
  </si>
  <si>
    <t>2102/P/0159.JT</t>
  </si>
  <si>
    <t>ESTETIKA MULTIKREASI RANCANA, PT.</t>
  </si>
  <si>
    <t>ARYO PRIBADI WICAKSONO, ST.</t>
  </si>
  <si>
    <t>Jl. Turangga Mukti No. 618</t>
  </si>
  <si>
    <t>024-6711952</t>
  </si>
  <si>
    <t>26/09/1988</t>
  </si>
  <si>
    <t>+6285658440471</t>
  </si>
  <si>
    <t>estetika_konst@yahoo.co.id</t>
  </si>
  <si>
    <t>16250/P/0711.JT</t>
  </si>
  <si>
    <t>FANA KARYA GUNA JAYA, CV.</t>
  </si>
  <si>
    <t>ACHMAD BURHANNUN NAFIS, S.Tr.T</t>
  </si>
  <si>
    <t>Jl. Menoreh Raya No.39</t>
  </si>
  <si>
    <t>081227766115</t>
  </si>
  <si>
    <t>24/08/2016</t>
  </si>
  <si>
    <t>+6281227766115</t>
  </si>
  <si>
    <t>duaputra399@gmail.com</t>
  </si>
  <si>
    <t>17123/P/0744.JT</t>
  </si>
  <si>
    <t>FARIN KONSULINDO, CV.</t>
  </si>
  <si>
    <t>SALMAN AL FARISI ADI PURNOMO, ST.</t>
  </si>
  <si>
    <t>Jl. Kp. Pepe RT. 01 RW. 09  Gedongan Colomadu</t>
  </si>
  <si>
    <t>082136073000</t>
  </si>
  <si>
    <t>11/03/2019</t>
  </si>
  <si>
    <t>farin.cons@gmail.com</t>
  </si>
  <si>
    <t>3659/DKP-JT/DKN-KE-TLK/VII/2020</t>
  </si>
  <si>
    <t>18569/P/0877.JT</t>
  </si>
  <si>
    <t>FASA KARYA HUTAMA, PT.</t>
  </si>
  <si>
    <t>MUHAMAD NADHORUDIN FATAH, ST, MT.</t>
  </si>
  <si>
    <t>Jl. Mbah Santri RT. 16 RW. 04 Harjosari Kidul Adiwerna</t>
  </si>
  <si>
    <t>+081226416575</t>
  </si>
  <si>
    <t>15/07/2023</t>
  </si>
  <si>
    <t>+6281226416575</t>
  </si>
  <si>
    <t>ptfasakaryahutama@gmail.com</t>
  </si>
  <si>
    <t>18576/P/0879.JT</t>
  </si>
  <si>
    <t>FASSADE, CV.</t>
  </si>
  <si>
    <t>NIKEN P SETYOWATI, S.Pi.</t>
  </si>
  <si>
    <t>Jl. Soekarno Hatta No. 48 Sawitan Mungkid</t>
  </si>
  <si>
    <t>081329970990</t>
  </si>
  <si>
    <t>+6281329970990</t>
  </si>
  <si>
    <t>fasade.cv@gmail.com</t>
  </si>
  <si>
    <t>17926/P/0805.JT</t>
  </si>
  <si>
    <t>FIKRIYA, CV.</t>
  </si>
  <si>
    <t>TRIYONO, ST</t>
  </si>
  <si>
    <t>085326861300</t>
  </si>
  <si>
    <t>30/04/2021</t>
  </si>
  <si>
    <t>+6285326861300</t>
  </si>
  <si>
    <t>fikriya.consultant@gmail.com</t>
  </si>
  <si>
    <t>43/DKP-JT/DKN-KE-TLK/III/2020</t>
  </si>
  <si>
    <t>18765/P/0901.JT</t>
  </si>
  <si>
    <t>GAFAMEDIA, CV.</t>
  </si>
  <si>
    <t>EKO YULIE PRASETYO, ST.</t>
  </si>
  <si>
    <t>Jl. Bukit Cempaka IV No. 121, Sendang Mulyo, Tembalang</t>
  </si>
  <si>
    <t>089668267873</t>
  </si>
  <si>
    <t>+6289668267873</t>
  </si>
  <si>
    <t>gafamediakonsultan@gmail.com</t>
  </si>
  <si>
    <t>17420/P/0759.JT</t>
  </si>
  <si>
    <t>GAGAS RANCANG PERSADA, CV.</t>
  </si>
  <si>
    <t>DANIEL GANDA SUHARYONO, ST.</t>
  </si>
  <si>
    <t>Jl. Gatot Subroto Lr. III No. 4 B Ds. Kauaman</t>
  </si>
  <si>
    <t xml:space="preserve"> 0296-531928</t>
  </si>
  <si>
    <t>29/1/2020</t>
  </si>
  <si>
    <t>+6289619976336</t>
  </si>
  <si>
    <t>cv.gagasrancangpersada@gmail.com</t>
  </si>
  <si>
    <t>3660/DKP-JT/DKN-KE-TLK/VII/2020</t>
  </si>
  <si>
    <t xml:space="preserve"> 1213/P/082.JT</t>
  </si>
  <si>
    <t>GAGAS RANCANG, PT.</t>
  </si>
  <si>
    <t>AMIR TEGUH PAMUDJI, ST, MT.</t>
  </si>
  <si>
    <t>Jl. Yupiter III/E -27</t>
  </si>
  <si>
    <t xml:space="preserve"> 024-8503988</t>
  </si>
  <si>
    <t>+6282221118479</t>
  </si>
  <si>
    <t>gagasrancang@live.com</t>
  </si>
  <si>
    <t>9020/P/0349.JT</t>
  </si>
  <si>
    <t>GAJENDRA, CV.</t>
  </si>
  <si>
    <t>ADRIANUS SURATNO, ST.</t>
  </si>
  <si>
    <t>Jl. Ketileng Indah Blok K-118</t>
  </si>
  <si>
    <t xml:space="preserve"> 024-7473307</t>
  </si>
  <si>
    <t>23/09/1997</t>
  </si>
  <si>
    <t>+6287832415567</t>
  </si>
  <si>
    <t>cv_gajendra@yahoo.com</t>
  </si>
  <si>
    <t>9661/P/0397.JT</t>
  </si>
  <si>
    <t>GALIH LOKA, CV.</t>
  </si>
  <si>
    <t>SUTARDI</t>
  </si>
  <si>
    <t>Jl. Jatingaleh Carikan No. 261</t>
  </si>
  <si>
    <t xml:space="preserve"> 024-76726160</t>
  </si>
  <si>
    <t>+6282242135110</t>
  </si>
  <si>
    <t>cv.galihloka@gmail.com</t>
  </si>
  <si>
    <t>1888/P/0870.JT</t>
  </si>
  <si>
    <t>GAPURA NIRWANA AGUNG KONSULTAN, PT.</t>
  </si>
  <si>
    <t>ANDRY ARIFIANTO, S.Sos</t>
  </si>
  <si>
    <t>Jl. Sinar Waluyo No. 522 Kedungmundu</t>
  </si>
  <si>
    <t xml:space="preserve"> 024-6707439</t>
  </si>
  <si>
    <t>+6281327302723</t>
  </si>
  <si>
    <t>gnakonsultan.lpse@gmail.com</t>
  </si>
  <si>
    <t xml:space="preserve"> 1603/P/0128.JT</t>
  </si>
  <si>
    <t>GARDHA MANDIRI TUNGGAL, PT.</t>
  </si>
  <si>
    <t>Ir. SURYO PRAMONO</t>
  </si>
  <si>
    <t>Jl. Jomblangsari No. 12  Lt. II</t>
  </si>
  <si>
    <t xml:space="preserve"> 024-8312480</t>
  </si>
  <si>
    <t>+628122880140</t>
  </si>
  <si>
    <t>gmtmandiritunggal2@gmail.com</t>
  </si>
  <si>
    <t xml:space="preserve"> 7979/P/0305.JT</t>
  </si>
  <si>
    <t>GATRA UPANYASA RIPTA, PT.</t>
  </si>
  <si>
    <t>Drs. SRI HARTO</t>
  </si>
  <si>
    <t>Jl. Kendeng Barat No. 38</t>
  </si>
  <si>
    <t xml:space="preserve"> 024-8411302</t>
  </si>
  <si>
    <t xml:space="preserve"> 024-8312282</t>
  </si>
  <si>
    <t>+6281325707092</t>
  </si>
  <si>
    <t>pt.gatra@gmail.com</t>
  </si>
  <si>
    <t>19045/P/0924</t>
  </si>
  <si>
    <t>GEO FONDASI MULTI KONSULTAN, PT.</t>
  </si>
  <si>
    <t>MALIK MAULANA, S.TrT.MT.</t>
  </si>
  <si>
    <t>Jl. Indraprasta No. 74 Pendrikan Kidul Semarang Tengah</t>
  </si>
  <si>
    <t>082135057849</t>
  </si>
  <si>
    <t>+6282135057849</t>
  </si>
  <si>
    <t>contact@gfm-consult.com</t>
  </si>
  <si>
    <t xml:space="preserve"> 0448/P/0029.JT</t>
  </si>
  <si>
    <t>GEO SARANA GUNA, PT.</t>
  </si>
  <si>
    <t>Ir. DWI WAHYUDI</t>
  </si>
  <si>
    <t>Jl. Jomblangsari No. 12</t>
  </si>
  <si>
    <t>+62811274484</t>
  </si>
  <si>
    <t>geosaranaguna@gmail.com</t>
  </si>
  <si>
    <t>1490/II/DKN-PKE/XI/2015</t>
  </si>
  <si>
    <t xml:space="preserve"> 445/P/026.JT</t>
  </si>
  <si>
    <t>GEOMAS MATRA PERDANA, PT.</t>
  </si>
  <si>
    <t>Ir. SUCHEMI</t>
  </si>
  <si>
    <t>Jl. Sinar Bakti I / 348 RT. 3 RW. 1</t>
  </si>
  <si>
    <t xml:space="preserve"> 024-6725246</t>
  </si>
  <si>
    <t>+62811288557</t>
  </si>
  <si>
    <t>pt.geomp@gmail.com</t>
  </si>
  <si>
    <t>17305/P/0754.JT</t>
  </si>
  <si>
    <t>GEOPROJECT MITRA UTAMA INDONESIA, CV.</t>
  </si>
  <si>
    <t>SETYO ARI WIBOWO, SSi.</t>
  </si>
  <si>
    <t>Dk. Gunungsari RT. 05 RW. 014, Kel. Kemiri</t>
  </si>
  <si>
    <t>081226296848</t>
  </si>
  <si>
    <t>23/9/2019</t>
  </si>
  <si>
    <t>+6285713637333</t>
  </si>
  <si>
    <t>setyageoproject@gmail.com</t>
  </si>
  <si>
    <t>3661/DKP-JT/DKN-KE-TLK/VII/2020</t>
  </si>
  <si>
    <t xml:space="preserve"> 15733/P/0687.JT</t>
  </si>
  <si>
    <t>GIGA PRATAMA, CV.</t>
  </si>
  <si>
    <t>SELI OCTAVIANI, S. Akun.</t>
  </si>
  <si>
    <t xml:space="preserve">Jl. Dharma Bhakti Gg. IX No. 161 </t>
  </si>
  <si>
    <t xml:space="preserve"> 0285-4498056</t>
  </si>
  <si>
    <t>+6285727567254</t>
  </si>
  <si>
    <t>gigapratamapekalongan@gmail.com</t>
  </si>
  <si>
    <t>1506/II/DKN-PKE/XI/2015</t>
  </si>
  <si>
    <t>18457/P/0865.JT</t>
  </si>
  <si>
    <t>GLOBAL INTI NETWORK, CV.</t>
  </si>
  <si>
    <t>HENRI DWI WAHYUDI, MM.</t>
  </si>
  <si>
    <t>Jl. Griya Mahkota No. 21 RT. 04 RW. 01 Wirogunan, Kartasura</t>
  </si>
  <si>
    <t>08111176506</t>
  </si>
  <si>
    <t>23/3/2023</t>
  </si>
  <si>
    <t>+6285647400628</t>
  </si>
  <si>
    <t>intiglobal.net@gmail.com</t>
  </si>
  <si>
    <t>16976/P/0741.JT</t>
  </si>
  <si>
    <t>GLOBAL STUDIO, CV.</t>
  </si>
  <si>
    <t>Ir. MUCH SURANTO, ST, MT.</t>
  </si>
  <si>
    <t>Dk. Sumbing RT. 001 RW. 029 Kel. Mojosongo, Kec. Jebres</t>
  </si>
  <si>
    <t>082243526817</t>
  </si>
  <si>
    <t>+6289580529990</t>
  </si>
  <si>
    <t>global_std@yahoo.com</t>
  </si>
  <si>
    <t>18968/P/0917.JT</t>
  </si>
  <si>
    <t>GLOBAL WUJUD KREASI, PT.</t>
  </si>
  <si>
    <t>FITRI HANDAYANI, MT.</t>
  </si>
  <si>
    <t>Perum Dolog Dalam Blok Ff RT. 13 RW. 01 Tlogosari Wetan</t>
  </si>
  <si>
    <t>081226450868</t>
  </si>
  <si>
    <t>+6281226450868</t>
  </si>
  <si>
    <t>globalwujudkreasi@gmail.com</t>
  </si>
  <si>
    <t xml:space="preserve"> 16029/P/0703.JT</t>
  </si>
  <si>
    <t>GOEDE BRON, CV.</t>
  </si>
  <si>
    <t>WACHYU ARDIYANTO, S.Ikon</t>
  </si>
  <si>
    <t>Jl. S Parman RT. 06 RW. 04 Kebanyon Kasepuhan</t>
  </si>
  <si>
    <t>085869164788</t>
  </si>
  <si>
    <t>+6285869164788</t>
  </si>
  <si>
    <t>goedebron@gmail.com</t>
  </si>
  <si>
    <t>10296/P/0449.JT</t>
  </si>
  <si>
    <t>GRACIA ADI CIPTA, CV.</t>
  </si>
  <si>
    <t>Ir. SUHARWINTO</t>
  </si>
  <si>
    <t>Jl. Badak VIII No. 26 - A PAV.</t>
  </si>
  <si>
    <t xml:space="preserve"> 024-6717685</t>
  </si>
  <si>
    <t>+62896-24791063</t>
  </si>
  <si>
    <t>graciaadicipta@gmail.com</t>
  </si>
  <si>
    <t>18455/P/0864.JT</t>
  </si>
  <si>
    <t>GRACIA NATURINDO, CV.</t>
  </si>
  <si>
    <t>DESY HARYANTI, M.Si.</t>
  </si>
  <si>
    <t>Jl. Puri V No. 23 Padangsari Banyumanik</t>
  </si>
  <si>
    <t>21/02/2023</t>
  </si>
  <si>
    <t>+6285741499797</t>
  </si>
  <si>
    <t>gracia.naturindo@gmail.com</t>
  </si>
  <si>
    <t>F</t>
  </si>
  <si>
    <t>447/P/0028.JT</t>
  </si>
  <si>
    <t>GRACIA WIDYAKARSA, PT.</t>
  </si>
  <si>
    <t>Ir. ANDOKO HARTANTO</t>
  </si>
  <si>
    <t>Jl. Badak VIII No. 26 - A</t>
  </si>
  <si>
    <t>+628122908972</t>
  </si>
  <si>
    <t>graciawidya1@gmail.com</t>
  </si>
  <si>
    <t>3663/DKP-JT/DKN-KE-TLK/VII/2020</t>
  </si>
  <si>
    <t>11918/P/0547.JT</t>
  </si>
  <si>
    <t>GRAHA CIPTA PERKASA. CV.</t>
  </si>
  <si>
    <t>TEGUH PRIYANTO, ST.</t>
  </si>
  <si>
    <t>Ds. Tambahrejo RT. 02 RW. 02 Tunjungan</t>
  </si>
  <si>
    <t>081 327421757</t>
  </si>
  <si>
    <t>19/05/2004</t>
  </si>
  <si>
    <t>+6281327421757</t>
  </si>
  <si>
    <t>grahaciptaperkasa@yahoo.co.id</t>
  </si>
  <si>
    <t>16737/P/0593.JT</t>
  </si>
  <si>
    <t>GRAHA KENCANA, CV.</t>
  </si>
  <si>
    <t>MUHAMMAD KHILMI, SP</t>
  </si>
  <si>
    <t>Jl. Gunung Kumbang No. 14 RT. 06 RW. 05 Kaligangsa Wetan</t>
  </si>
  <si>
    <t>085642475753</t>
  </si>
  <si>
    <t>+6285642475753</t>
  </si>
  <si>
    <t>grahakencana.consultant@gmail.com</t>
  </si>
  <si>
    <t>2548/DKP-JT/DKN-PKE/IV/2018</t>
  </si>
  <si>
    <t xml:space="preserve"> 9021/P/0350.JT</t>
  </si>
  <si>
    <t>GRAHA REKHA, CV.</t>
  </si>
  <si>
    <t>Ir. SARWITRI SARI</t>
  </si>
  <si>
    <t>Jl. Trunojoyo X No. 1</t>
  </si>
  <si>
    <t xml:space="preserve"> 024-7470130</t>
  </si>
  <si>
    <t>+62811299124</t>
  </si>
  <si>
    <t>graharekh@yahoo.co.id</t>
  </si>
  <si>
    <t>12166/P/0561.JT</t>
  </si>
  <si>
    <t>GRAHA SAFIRA, CV.</t>
  </si>
  <si>
    <t>LIS ANDI, ST.</t>
  </si>
  <si>
    <t>Perum Taman Asri B-VI No. 43 Taman</t>
  </si>
  <si>
    <t>085325770855</t>
  </si>
  <si>
    <t>05/04/2004</t>
  </si>
  <si>
    <t>+6285325770855</t>
  </si>
  <si>
    <t>grahasafira.cv@gmail.com</t>
  </si>
  <si>
    <t>10665/P/0483.JT</t>
  </si>
  <si>
    <t>GRAHADI SARANA, CV.</t>
  </si>
  <si>
    <t>NOVAN ARGUNANTO, ST.</t>
  </si>
  <si>
    <t>Ds. Karanganom Rt. 03 Rw. 03 Balerejo</t>
  </si>
  <si>
    <t>081333353274</t>
  </si>
  <si>
    <t>+6281333353274</t>
  </si>
  <si>
    <t>grahadisaranatmg@gmail.com</t>
  </si>
  <si>
    <t>2540/DKP-JT/DKN-PKE/IV/2018</t>
  </si>
  <si>
    <t>19049/P/0925.JT</t>
  </si>
  <si>
    <t>GREEN ENVIROTAMA INDONESIA, PT.</t>
  </si>
  <si>
    <t>MOH KHOIR, M.Ling.</t>
  </si>
  <si>
    <t>Ds. Sukran RT. 02 RW. 02 Bandongan</t>
  </si>
  <si>
    <t>085655259700</t>
  </si>
  <si>
    <t>17/03/025</t>
  </si>
  <si>
    <t>+6285655259700</t>
  </si>
  <si>
    <t>greenevirotamapt@gmail.com</t>
  </si>
  <si>
    <t>10731/P/0483.JT</t>
  </si>
  <si>
    <t>GRIYA KENCANA REKAYASA, CV.</t>
  </si>
  <si>
    <t>MUHAMMAD SULAIMAN AL KAUSAR, ST</t>
  </si>
  <si>
    <t>Jl. Jend. Sudirman No. 85</t>
  </si>
  <si>
    <t>0284-321123</t>
  </si>
  <si>
    <t>0284-322223</t>
  </si>
  <si>
    <t>21/02/2002</t>
  </si>
  <si>
    <t>+6281226666367</t>
  </si>
  <si>
    <t>griyakencanarekayasa@gmail.com</t>
  </si>
  <si>
    <t>2525/DKP-JT/DKN-PKE/IV/2018</t>
  </si>
  <si>
    <t>Direkturnya jadi PNS</t>
  </si>
  <si>
    <t xml:space="preserve"> 5019/P/0240.JT</t>
  </si>
  <si>
    <t>GRIYA PRANATA SEJATI, PT.</t>
  </si>
  <si>
    <t>ANIE SETIANINGSIH,SE.</t>
  </si>
  <si>
    <t>Perum Bumi Wanamukti Blok G1 No. 14</t>
  </si>
  <si>
    <t>087832405609</t>
  </si>
  <si>
    <t>08112877580</t>
  </si>
  <si>
    <t>27/03/1983</t>
  </si>
  <si>
    <t>+6287832405609</t>
  </si>
  <si>
    <t>griyapranatasmg@gmail.com</t>
  </si>
  <si>
    <t>2535/DKP-JT/DKN-PKE/IV/2018</t>
  </si>
  <si>
    <t>18208/P/0839.JT</t>
  </si>
  <si>
    <t>GRIYA PUTRA KONSULTAMA, CV.</t>
  </si>
  <si>
    <t>SATRIYA PUTRA, SE, MM, M.Ec.Dev.</t>
  </si>
  <si>
    <t>Jl. Kalingga Utara III No. 1 Kadipiro, Banjarsari</t>
  </si>
  <si>
    <t>0271-7471088</t>
  </si>
  <si>
    <t>+628122623323</t>
  </si>
  <si>
    <t>griyaputrakonsultama@gmail.com</t>
  </si>
  <si>
    <t>019/DKP-JT/DKN-KE-TLK/I/2023</t>
  </si>
  <si>
    <t>15918/P/0699.JT</t>
  </si>
  <si>
    <t>GUNA TATA PERKASA, CV.</t>
  </si>
  <si>
    <t xml:space="preserve">JENNIFER GERINA PUTRI, ST, </t>
  </si>
  <si>
    <t>Jl. Sapta Prasetya Tengah III No. 3</t>
  </si>
  <si>
    <t xml:space="preserve"> 024-6731736</t>
  </si>
  <si>
    <t>7/12/2015</t>
  </si>
  <si>
    <t>+6282134029447</t>
  </si>
  <si>
    <t>gunatataperkasa@gmail.com</t>
  </si>
  <si>
    <t>2040/DKP-JT/DKN-PKE/VII/2017</t>
  </si>
  <si>
    <t>11778/P/0538.JT</t>
  </si>
  <si>
    <t>GUNADHARMA CIPTA PERSADA, PT.</t>
  </si>
  <si>
    <t>THOMASONAN LUTFIE P, ST. MT.</t>
  </si>
  <si>
    <t>Jl. Perum Sambiroto Baru No. 72</t>
  </si>
  <si>
    <t>024-76740328</t>
  </si>
  <si>
    <t>024-76740363</t>
  </si>
  <si>
    <t>13/04/2004</t>
  </si>
  <si>
    <t>+6281326290099</t>
  </si>
  <si>
    <t>gunadharma_cv@yahoo.co.id</t>
  </si>
  <si>
    <t>11685/P/0528.JT</t>
  </si>
  <si>
    <t>GUNADHARMA JAYA PERSADA, PT.</t>
  </si>
  <si>
    <t>SARI WIDAYATI, ST.</t>
  </si>
  <si>
    <t>Perum Sambiroto Baru No. 63 RT. 02 RW. 011</t>
  </si>
  <si>
    <t>26/10/2003</t>
  </si>
  <si>
    <t>+628112799281</t>
  </si>
  <si>
    <t>guna_dharma2010@yahoo.com</t>
  </si>
  <si>
    <t>1485/II/DKN-PKE/XI/2015</t>
  </si>
  <si>
    <t>7980/P/0306.JT</t>
  </si>
  <si>
    <t>GURAT RANCANG PRATAMA, PT.</t>
  </si>
  <si>
    <t>MILKA IIN NUGRAHENI, ST</t>
  </si>
  <si>
    <t>Jl. Dr. Wahidin No.165-A</t>
  </si>
  <si>
    <t xml:space="preserve"> 024-8312271</t>
  </si>
  <si>
    <t>Staf</t>
  </si>
  <si>
    <t>+628112604850</t>
  </si>
  <si>
    <t>guratrp@gmail.com</t>
  </si>
  <si>
    <t>17572/P/0768.JT</t>
  </si>
  <si>
    <t>GWA DESAIN TEKNOLOGI, PT.</t>
  </si>
  <si>
    <t>WAHYU WIDAYANTO, ST</t>
  </si>
  <si>
    <t>Jl. Waru Timur Dalam I No. 39-A Banyumanik</t>
  </si>
  <si>
    <t>081225123200</t>
  </si>
  <si>
    <t xml:space="preserve"> -</t>
  </si>
  <si>
    <t>15/5/2020</t>
  </si>
  <si>
    <t>+6281225123200</t>
  </si>
  <si>
    <t>contact@gwadestek.com</t>
  </si>
  <si>
    <t>3665/DKP-JT/DKN-KE-TLK/VII/2020</t>
  </si>
  <si>
    <t>9662/P/0398.JT</t>
  </si>
  <si>
    <t>HAMPARAN PINANG BALIRIK, CV.</t>
  </si>
  <si>
    <t>RAHMAT NUR KHADIQ, ST.</t>
  </si>
  <si>
    <t>Jl. Mayjend Sutoyo No. 16 Cacaban</t>
  </si>
  <si>
    <t xml:space="preserve"> 0293-366256</t>
  </si>
  <si>
    <t>+6285729318007</t>
  </si>
  <si>
    <t>hamparan25@gmail.com</t>
  </si>
  <si>
    <t xml:space="preserve"> 8085/P/0309.JT</t>
  </si>
  <si>
    <t>HAR ENKO, CV.</t>
  </si>
  <si>
    <t>HARYONO, ST.</t>
  </si>
  <si>
    <t>Jl. Turisari IV No. 9 RT. 02 RW. 09 Mangkubumen Banjarsari</t>
  </si>
  <si>
    <t>0271-738406</t>
  </si>
  <si>
    <t>0271 - 716966</t>
  </si>
  <si>
    <t>+6281567313309</t>
  </si>
  <si>
    <t>haryonoenko@gmail.com</t>
  </si>
  <si>
    <t xml:space="preserve"> 3010/P/0231.JT</t>
  </si>
  <si>
    <t>HARSA GRAHA, CV.</t>
  </si>
  <si>
    <t>Ir. M.ROFI'I, BSc.</t>
  </si>
  <si>
    <t>Jl. Jawa No. 13  Timuran</t>
  </si>
  <si>
    <t>0271- 41672</t>
  </si>
  <si>
    <t>+62895386212364</t>
  </si>
  <si>
    <t>harsagrahaindonesia@gmail.com</t>
  </si>
  <si>
    <t>17968/P/0814.JT</t>
  </si>
  <si>
    <t>HARSAYA KARYA, CV.</t>
  </si>
  <si>
    <t>DWI HARSONO WIBISONO, ST.</t>
  </si>
  <si>
    <t>Perum Griya Tria Indah II No. 22 Sendang Mulyo</t>
  </si>
  <si>
    <t>089676635353</t>
  </si>
  <si>
    <t>+6289676635353</t>
  </si>
  <si>
    <t>harsayakarya@gmail.com</t>
  </si>
  <si>
    <t>020/DKP-JT/DKN-KE-TLK/I/2023</t>
  </si>
  <si>
    <t>19080/P/0928.JT</t>
  </si>
  <si>
    <t>HASTA KARYA PRAJAPATHI, CV.</t>
  </si>
  <si>
    <t>HASEMI RAFSANJANI PRATAMA, ST.</t>
  </si>
  <si>
    <t>Jl. Ujungrusi RT. 030 RW. 003 Ujungrusi Adiwerno</t>
  </si>
  <si>
    <t>085225162197</t>
  </si>
  <si>
    <t>+6285225162197</t>
  </si>
  <si>
    <t>hastakaryaprajapathi@gmail.com</t>
  </si>
  <si>
    <t>16375/P/0721.JT</t>
  </si>
  <si>
    <t>HASTA WIGUNA TATA, PT.</t>
  </si>
  <si>
    <t>IGN SAPTO PURNOMO, ST. MT.</t>
  </si>
  <si>
    <t>Jl. Perumda II Gergunung No. 79 RT. 02 RW. 08</t>
  </si>
  <si>
    <t>081326590313</t>
  </si>
  <si>
    <t>+6281326590313</t>
  </si>
  <si>
    <t>hastawigunatata@gmail.com</t>
  </si>
  <si>
    <t>2042/DKP-JT/DKN-PKE/VII/2017</t>
  </si>
  <si>
    <t xml:space="preserve"> 11522/P/0522.JT</t>
  </si>
  <si>
    <t>HIDRO KONSULTAN TEKNIK, CV.</t>
  </si>
  <si>
    <t>WISNU SURYOTOMO, ST.</t>
  </si>
  <si>
    <t>Jl. Achmad Yani GG. 28 No. 41</t>
  </si>
  <si>
    <t>0285-392319</t>
  </si>
  <si>
    <t>+6281575717889</t>
  </si>
  <si>
    <t>hidrokonsultanteknik@gmail.com</t>
  </si>
  <si>
    <t xml:space="preserve"> 10628/P/0875.JT</t>
  </si>
  <si>
    <t>HILMY ANUGERAH, PT.</t>
  </si>
  <si>
    <t>DEDY TRISTANTO, ST.</t>
  </si>
  <si>
    <t>Jl. Raya Sinar Waluyo No. 522 - 523 Kec. Tembalang</t>
  </si>
  <si>
    <t>0246707439</t>
  </si>
  <si>
    <t>+628121413132</t>
  </si>
  <si>
    <t>hilmyanugerah@yahoo.co.id</t>
  </si>
  <si>
    <t>18053/P/0825.JT</t>
  </si>
  <si>
    <t>HITA KARYA JASA, CV.</t>
  </si>
  <si>
    <t>MOH SYOFIUDIN, ST.</t>
  </si>
  <si>
    <t>Perum Bumijaya Jl. Sadewa Blok I-2 No. 9</t>
  </si>
  <si>
    <t>085742830877</t>
  </si>
  <si>
    <t>26/1/2022</t>
  </si>
  <si>
    <t>+6285819974326</t>
  </si>
  <si>
    <t>hitakaryajasa@gmail.com</t>
  </si>
  <si>
    <t>43/DKP.JT/DKN‐KE‐TLK/III/2022</t>
  </si>
  <si>
    <t>17649/P/0772.JT</t>
  </si>
  <si>
    <t>HRV PLANNER CONSULTANT, CV.</t>
  </si>
  <si>
    <t>RAYYAN MALIK, ST, MT.</t>
  </si>
  <si>
    <t>Jl. Sawunggaling II No. 6A Pedalangan</t>
  </si>
  <si>
    <t>024- 7681050</t>
  </si>
  <si>
    <t>024- 7463157</t>
  </si>
  <si>
    <t>+62816668060</t>
  </si>
  <si>
    <t>hrv.planner@yahoo.com</t>
  </si>
  <si>
    <t>021/DKP-JT/DKN-KE-TLK/I/2023</t>
  </si>
  <si>
    <t>18523/P/0871.JT</t>
  </si>
  <si>
    <t>IDEA BAGUS CONSULTANT, CV.</t>
  </si>
  <si>
    <t>Dr. RM. BAGUS IRAWAN, ST, M.Si.</t>
  </si>
  <si>
    <t>Jl. Taman Pedurungan Tengah I Kav. 2 RT. 5 RW. 13 Pedurungan</t>
  </si>
  <si>
    <t>082136038282</t>
  </si>
  <si>
    <t>+6282136038282</t>
  </si>
  <si>
    <t>cvideabagusconsultant@gmail.com</t>
  </si>
  <si>
    <t>18824/P/0908.JT</t>
  </si>
  <si>
    <t>IDEA CIPTA KREASI, CV.</t>
  </si>
  <si>
    <t>FINISHIA AGUNG DEWI, ST.</t>
  </si>
  <si>
    <t>Gang Pokoh Baru, Ngijo, Tasikmadu</t>
  </si>
  <si>
    <t>081329034892</t>
  </si>
  <si>
    <t>+6281329034892</t>
  </si>
  <si>
    <t>ideaciptakreasi@gmail.com</t>
  </si>
  <si>
    <t xml:space="preserve"> 16140/P/0708.JT</t>
  </si>
  <si>
    <t>IDEAL MANDIRI CONSULTANT, CV.</t>
  </si>
  <si>
    <t>ALEX LUQMAN SETIO WIBOWO, ST, M.Si</t>
  </si>
  <si>
    <t>Jl. Payung Prasetya VII / 4 Pudak Payung</t>
  </si>
  <si>
    <t xml:space="preserve"> 024-76488564</t>
  </si>
  <si>
    <t>081575166262</t>
  </si>
  <si>
    <t>+6281226960606</t>
  </si>
  <si>
    <t>cv.idealmandiri@gmail.com</t>
  </si>
  <si>
    <t>2043/DKP-JT/DKN-PKE/VII/2017</t>
  </si>
  <si>
    <t xml:space="preserve"> 1604/P/0129.JT</t>
  </si>
  <si>
    <t>IDENTITAS, CV.</t>
  </si>
  <si>
    <t>FRISYA MEDIAWAN, SE, Akt.</t>
  </si>
  <si>
    <t>Graha Widya Dharma Lt. 2, Jl. Prof. H Soedarto, SH No. 58</t>
  </si>
  <si>
    <t xml:space="preserve"> 024-7464682</t>
  </si>
  <si>
    <t xml:space="preserve"> 024-7464683</t>
  </si>
  <si>
    <t>24/07/1986</t>
  </si>
  <si>
    <t>+6281223707373</t>
  </si>
  <si>
    <t>identcon@yahoo.com</t>
  </si>
  <si>
    <t>45/DKP.JT/DKN‐KE‐TLK/III/2022</t>
  </si>
  <si>
    <t>19050/P/0926.JT</t>
  </si>
  <si>
    <t>IMPROVE KARYA SOLUSI, CV.</t>
  </si>
  <si>
    <t>SALMA AZMIATI, S.Tr.Sos.</t>
  </si>
  <si>
    <t>Jl. Raya Maribaya KM. 10 RT. 04 RW. 03 Maribaya Kramat</t>
  </si>
  <si>
    <t>087777558850</t>
  </si>
  <si>
    <t>+6287777558850</t>
  </si>
  <si>
    <t>improvekaryasolusi@gmail.com</t>
  </si>
  <si>
    <t>12320/P/0575.JT</t>
  </si>
  <si>
    <t>INDERA CIPTA KONSULTAN, CV.</t>
  </si>
  <si>
    <t>TAUFIK HIDAYAT, ST.</t>
  </si>
  <si>
    <t>Perum Sinar Bahagia I No. 161 Sinar Waluyo</t>
  </si>
  <si>
    <t>0822-6040-9293</t>
  </si>
  <si>
    <t>21/05/2008</t>
  </si>
  <si>
    <t>+6281214138116</t>
  </si>
  <si>
    <t>inderacipta06@yahoo.co.id</t>
  </si>
  <si>
    <t>14753/P/0660.JT</t>
  </si>
  <si>
    <t>INDO JAYA KONSULTAN, CV.</t>
  </si>
  <si>
    <t>SUBEKHAN, ST.</t>
  </si>
  <si>
    <t>Jl. Bakti No. 36-B</t>
  </si>
  <si>
    <t xml:space="preserve"> 0283-34347998</t>
  </si>
  <si>
    <t>+6285941385352</t>
  </si>
  <si>
    <t>subekhan05@gmail.com</t>
  </si>
  <si>
    <t>15323/P/0673.JT</t>
  </si>
  <si>
    <t>INDONESIAN CONSULTANT FOR DEV. AND EMPO. PT.</t>
  </si>
  <si>
    <t>Drs. H GUNARTO, MM.</t>
  </si>
  <si>
    <t>Perum Bumi Wanamukti Blok A-4 No. 27</t>
  </si>
  <si>
    <t xml:space="preserve"> 024-6712454</t>
  </si>
  <si>
    <t xml:space="preserve"> 024-6701321</t>
  </si>
  <si>
    <t>+628122877120</t>
  </si>
  <si>
    <t>icde.semarang@gmail.com</t>
  </si>
  <si>
    <t>1508/II/DKN-PKE/XI/2015</t>
  </si>
  <si>
    <t>13193/P/0610.JT</t>
  </si>
  <si>
    <t>INDOTAMA MAHESA KARYA, PT.</t>
  </si>
  <si>
    <t>YUSUF HADI NUGROHO, S.Kel. MT</t>
  </si>
  <si>
    <t>Jl. Emerald Utama Blok D No. 6-7 Mateseh Tembalang</t>
  </si>
  <si>
    <t xml:space="preserve"> 024-76488881</t>
  </si>
  <si>
    <t>22/08/2008</t>
  </si>
  <si>
    <t>+6285710185879</t>
  </si>
  <si>
    <t>ptindotama@yahoo.co.id</t>
  </si>
  <si>
    <t xml:space="preserve"> 1216/P/085.JT</t>
  </si>
  <si>
    <t>INDRA CITRA SEMESTA, PT.</t>
  </si>
  <si>
    <t>INA FARIDA</t>
  </si>
  <si>
    <t>Jl. Ngesrep Barat III/64-A</t>
  </si>
  <si>
    <t>+628156513211</t>
  </si>
  <si>
    <t>dutacitraoss@gmail.com</t>
  </si>
  <si>
    <t xml:space="preserve"> 4063/T/0236.JT</t>
  </si>
  <si>
    <t>INDRA KARYA ( Persero) PT.</t>
  </si>
  <si>
    <t>F. BASKORO HARI SAPTO WALUYO, ST.</t>
  </si>
  <si>
    <t>Jl. Ketileng Raya No. 16</t>
  </si>
  <si>
    <t xml:space="preserve"> 024-6725046</t>
  </si>
  <si>
    <t xml:space="preserve"> 024-6725045</t>
  </si>
  <si>
    <t>28/01/1992</t>
  </si>
  <si>
    <t>+6281229712553</t>
  </si>
  <si>
    <t>ika2smgh@yahoo.com</t>
  </si>
  <si>
    <t>1509/II/DKN-PKE/XI/2015</t>
  </si>
  <si>
    <t>18209/P/0840.JT</t>
  </si>
  <si>
    <t>INOVATIF SKETSA, CV.</t>
  </si>
  <si>
    <t>AGUSTINA NUR RAHMAYANI, ST.</t>
  </si>
  <si>
    <t>Jl. Kavling A.3 Desa\kelurahan Winong, Kec. Pati</t>
  </si>
  <si>
    <t>081246231403</t>
  </si>
  <si>
    <t>+6281246231403</t>
  </si>
  <si>
    <t>cvinovatifseketsa@gmail.com</t>
  </si>
  <si>
    <t>023/DKP-JT/DKN-KE-TLK/I/2023</t>
  </si>
  <si>
    <t>15778/P/0690.JT</t>
  </si>
  <si>
    <t>INTAN KARYA UTAMA, CV.</t>
  </si>
  <si>
    <t>BAHRUN, ST.</t>
  </si>
  <si>
    <t>Jl. Villa Kusuma Bangsa Blok A - 5</t>
  </si>
  <si>
    <t xml:space="preserve"> 0285-413076 </t>
  </si>
  <si>
    <t>+6285773798818</t>
  </si>
  <si>
    <t>intankautama@gmail.com</t>
  </si>
  <si>
    <t>1510/II/DKN-PKE/XI/2015</t>
  </si>
  <si>
    <t>18198/P/0838.JT</t>
  </si>
  <si>
    <t>INTEGRITA ENGINEERING CONSULTANT, CV.</t>
  </si>
  <si>
    <t>BRAM LUQMAN AJI, ST.</t>
  </si>
  <si>
    <t>Jl. Ir. Juanda, Sumengko RT. 03 RW. 012 Kec. SURAKARTA</t>
  </si>
  <si>
    <t>085647344445</t>
  </si>
  <si>
    <t>17/6/2022</t>
  </si>
  <si>
    <t>+6285647344445</t>
  </si>
  <si>
    <t>integrita_cv@yahoo.com</t>
  </si>
  <si>
    <t>022/DKP-JT/DKN-KE-TLK/I/2023</t>
  </si>
  <si>
    <t xml:space="preserve"> 8694/P/0331.JT</t>
  </si>
  <si>
    <t>IRSYAD KURNIA DESIGN, CV.</t>
  </si>
  <si>
    <t>ELANG PRATAMA WAHYU PARADEWA, ST.</t>
  </si>
  <si>
    <t>Jl. Tentara Pelajar Gg. Ganesha No. 5-A Patebon</t>
  </si>
  <si>
    <t>087700061239</t>
  </si>
  <si>
    <t>+6287700061239</t>
  </si>
  <si>
    <t>irsyadkurniadesign@gmail.com</t>
  </si>
  <si>
    <t>18117/P/0832.JT</t>
  </si>
  <si>
    <t>ISTAKA MUDA ENGINEERING, CV.</t>
  </si>
  <si>
    <t>BAGUS SRI WICAKSONO, ST.</t>
  </si>
  <si>
    <t>Jl. Pemuda Gg. Kendeng, Kauman</t>
  </si>
  <si>
    <t>08127778495</t>
  </si>
  <si>
    <t>17/3/2022</t>
  </si>
  <si>
    <t>+628127778495</t>
  </si>
  <si>
    <t>istakamuda@yahoo.com</t>
  </si>
  <si>
    <t>027/DKP-JT/DKN-KE-TLK/I/2023</t>
  </si>
  <si>
    <t xml:space="preserve"> 2057/P/0155.JT</t>
  </si>
  <si>
    <t>JASA ARSITEK SARANA UTAMA, CV.</t>
  </si>
  <si>
    <t>AFT KENZO WIENAND, ST.</t>
  </si>
  <si>
    <t>Jl. Kanfer Raya Blok R No. 91-11 Banyumanik</t>
  </si>
  <si>
    <t xml:space="preserve"> 024-8414414</t>
  </si>
  <si>
    <t xml:space="preserve"> 024-7474475</t>
  </si>
  <si>
    <t>29/06/1988</t>
  </si>
  <si>
    <t>+62811271015</t>
  </si>
  <si>
    <t>jasautama@yahoo.co.id</t>
  </si>
  <si>
    <t>1511/II/DKN-PKE/XI/2015</t>
  </si>
  <si>
    <t>Direktur Meninggal</t>
  </si>
  <si>
    <t>13957/P/0640.JT</t>
  </si>
  <si>
    <t>JASSHODA CONSULTANT, CV.</t>
  </si>
  <si>
    <t>ADE PURWANTO, S.Pd</t>
  </si>
  <si>
    <t>Jl. Tirto Mulyo IV No. 133 Pedurungan</t>
  </si>
  <si>
    <t>024 50118408</t>
  </si>
  <si>
    <t>+628818579287</t>
  </si>
  <si>
    <t>jasshoda40@gmail.com</t>
  </si>
  <si>
    <t>46/DKP.JT/DKN‐KE‐TLK/III/2022</t>
  </si>
  <si>
    <t>30/032022</t>
  </si>
  <si>
    <t>18475/P/0866.JT</t>
  </si>
  <si>
    <t>JATI UTAMA, CV</t>
  </si>
  <si>
    <t>Ir. TUNGGUL MADU WAHYONO, MM.</t>
  </si>
  <si>
    <t>Jl. Kelinci V No. 194 Pandean Lamper Kec. Gayam</t>
  </si>
  <si>
    <t>024-76406359</t>
  </si>
  <si>
    <t>+62811288018</t>
  </si>
  <si>
    <t>jatiutama15@gmail.com</t>
  </si>
  <si>
    <t xml:space="preserve"> 2498/P/0190.JT</t>
  </si>
  <si>
    <t>JATIDIRI, CV.</t>
  </si>
  <si>
    <t>HARUN SASMITO, ST.</t>
  </si>
  <si>
    <t>Jl. Tarupolo Tengah I Kav. 81</t>
  </si>
  <si>
    <t xml:space="preserve"> 024-7615141</t>
  </si>
  <si>
    <t>19/04/1990</t>
  </si>
  <si>
    <t>+6282138333107</t>
  </si>
  <si>
    <t>jatidiripoenya@yahoo.com</t>
  </si>
  <si>
    <t>965/II/DKN-PKE/VI/2014</t>
  </si>
  <si>
    <t>13152/P/0608.JT</t>
  </si>
  <si>
    <t>JAVA DESAIN CONSULTAN, PT.</t>
  </si>
  <si>
    <t>DR. SINGGIH HARTANTO, ST. MT.</t>
  </si>
  <si>
    <t>Perum Permata Tembalang Blok Addenium No. 1</t>
  </si>
  <si>
    <t xml:space="preserve"> 024-76918591</t>
  </si>
  <si>
    <t xml:space="preserve"> 024-76918592</t>
  </si>
  <si>
    <t>23/07/2007</t>
  </si>
  <si>
    <t>+628122828790</t>
  </si>
  <si>
    <t>javagroup.indonesia@gmail.com</t>
  </si>
  <si>
    <t>966/II/DKN-PKE/VI/2014</t>
  </si>
  <si>
    <t>18316/P/0848.JT</t>
  </si>
  <si>
    <t>JAVAS FANTANA ENGINEERING, CV.</t>
  </si>
  <si>
    <t>TRI SUSILO, ST.</t>
  </si>
  <si>
    <t>Jl. Mlaten RT. 01 RW. 11 Donorojo Kec. Mertoyudan</t>
  </si>
  <si>
    <t>083149405157</t>
  </si>
  <si>
    <t>17/10/2022</t>
  </si>
  <si>
    <t>+6283149405157</t>
  </si>
  <si>
    <t>javasfantana@gmail.com</t>
  </si>
  <si>
    <t>028/DKP-JT/DKN-KE-TLK/I/2023</t>
  </si>
  <si>
    <t>18138/P/0834.JT</t>
  </si>
  <si>
    <t>JAVAS VEDA KONSULTAN, CV.</t>
  </si>
  <si>
    <t>SHOLIHUL AZKA, ST.</t>
  </si>
  <si>
    <t>Dk. Jetis RT. 02 RW. 01 DS. Bulu, Banyuputih</t>
  </si>
  <si>
    <t>081329084458</t>
  </si>
  <si>
    <t>+6281329084458</t>
  </si>
  <si>
    <t>javasvedakonsultan@gmail.com</t>
  </si>
  <si>
    <t>026/DKP-JT/DKN-KE-TLK/I/2023</t>
  </si>
  <si>
    <t>11174/P/0504.JT</t>
  </si>
  <si>
    <t>JAYA KONSULTAN, CV.</t>
  </si>
  <si>
    <t>Ir. MUHAMAD YUSUF MD, MT.</t>
  </si>
  <si>
    <t>Jl. Raya Pakijangan No. 57</t>
  </si>
  <si>
    <t xml:space="preserve">  0283-870021</t>
  </si>
  <si>
    <t>08156523735</t>
  </si>
  <si>
    <t>+6281391900290</t>
  </si>
  <si>
    <t>jayakonsultan@yahoo.co.id</t>
  </si>
  <si>
    <t>18005/P/0818.JT</t>
  </si>
  <si>
    <t>JAZZELINDO NUGRAHA, CV.</t>
  </si>
  <si>
    <t>MAULID DANI IBRAHIM, SS.</t>
  </si>
  <si>
    <t>Jl. Cakalang No. 5 Tegalsari Tegal Barat</t>
  </si>
  <si>
    <t>081380087997</t>
  </si>
  <si>
    <t>16/12/2021</t>
  </si>
  <si>
    <t>+6281380087997</t>
  </si>
  <si>
    <t>jazzelindonugraha@gmail.com</t>
  </si>
  <si>
    <t>025/DKP-JT/DKN-KE-TLK/I/2023</t>
  </si>
  <si>
    <t>15439/P/0780.JT</t>
  </si>
  <si>
    <t>JELLUNG KONSULTINDO, PT.</t>
  </si>
  <si>
    <t>SONY YUWONO, SE, Ak, Msi.</t>
  </si>
  <si>
    <t>Jl. Beringin Forest Park Blok A 11-12  RT. 5 RW. 4 Ngalian</t>
  </si>
  <si>
    <t>024 -76436602</t>
  </si>
  <si>
    <t>13/11/2014</t>
  </si>
  <si>
    <t>+6281327145870</t>
  </si>
  <si>
    <t>jellung.realtindo@gmail.com</t>
  </si>
  <si>
    <t>1512/II/DKN-PKE/XI/2015</t>
  </si>
  <si>
    <t>17719/P/0779.JT</t>
  </si>
  <si>
    <t>JOGLOMAS BRILIAN KONSULTAN, PT.</t>
  </si>
  <si>
    <t>BAYU SEGARA, ST.</t>
  </si>
  <si>
    <t>Jl. Gerliya Gg. II No. 26 Kec. Purwokerto Selaran</t>
  </si>
  <si>
    <t>082225314338</t>
  </si>
  <si>
    <t>13/11/2020</t>
  </si>
  <si>
    <t>+6285730197670</t>
  </si>
  <si>
    <t>pt.jbkons@gmail.com</t>
  </si>
  <si>
    <t>029/DKP-JT/DKN-KE-TLK/I/2023</t>
  </si>
  <si>
    <t>17792/P/0790.JT</t>
  </si>
  <si>
    <t>KARANG LUHUR LIMA PILAR, PT</t>
  </si>
  <si>
    <t>MUHAMMAD RETAS AQABAH, PWK.</t>
  </si>
  <si>
    <t>Jl. Temengung Jogonegoro Bumi Godean RT. 01 RW. 06</t>
  </si>
  <si>
    <t>081290195380</t>
  </si>
  <si>
    <t>25/01/2021</t>
  </si>
  <si>
    <t>+6281290195380</t>
  </si>
  <si>
    <t>shirvanoconsulting@gmail.com</t>
  </si>
  <si>
    <t>No.47/DKP.JT/DKN‐KE‐TLK/III/2022</t>
  </si>
  <si>
    <t xml:space="preserve"> 2571/P/0200.JT</t>
  </si>
  <si>
    <t>KARANGKUMPUL WIDYA PERSADA, PT.</t>
  </si>
  <si>
    <t>Ir. ISNAINI HIDAYATI</t>
  </si>
  <si>
    <t>Jl. Tarupolo Tengah I  KAV. 80 RT 5 RW 10</t>
  </si>
  <si>
    <t xml:space="preserve"> 024-7614151</t>
  </si>
  <si>
    <t>16/07/1990</t>
  </si>
  <si>
    <t>karangkumpul@ymail.com</t>
  </si>
  <si>
    <t>PJBU Meninggal</t>
  </si>
  <si>
    <t>9263/P/0362.JT</t>
  </si>
  <si>
    <t>KARSA HARYAMULYA, PT.</t>
  </si>
  <si>
    <t>DWI KARSI RUSTIYANTI, ST.</t>
  </si>
  <si>
    <t>Jl. Taman Pasir Mas No. 93</t>
  </si>
  <si>
    <t>024-3541017</t>
  </si>
  <si>
    <t xml:space="preserve"> 024-3540888</t>
  </si>
  <si>
    <t>27/08/1998</t>
  </si>
  <si>
    <t>+628122881843</t>
  </si>
  <si>
    <t>karsa_smg@yahoo.com</t>
  </si>
  <si>
    <t>967/II/DKN-PKE/VI/2014</t>
  </si>
  <si>
    <t xml:space="preserve"> 1931/P/0146.JT</t>
  </si>
  <si>
    <t>KARSA NDHIKA RANCANA, PT.</t>
  </si>
  <si>
    <t>Ir. AGUS SUPRIYANTO</t>
  </si>
  <si>
    <t>Jl. Menjangan Dalam No. 12 A Semarang</t>
  </si>
  <si>
    <t>024 70900500</t>
  </si>
  <si>
    <t>024-6719449</t>
  </si>
  <si>
    <t>+6282227305268</t>
  </si>
  <si>
    <t>oksandhika@yahoo.co.id</t>
  </si>
  <si>
    <t>10584/P/0476.JT</t>
  </si>
  <si>
    <t>KARSA NUSANTARA, CV.</t>
  </si>
  <si>
    <t>MOGA KRIYA GULARSA, ST.</t>
  </si>
  <si>
    <t>Kavling Kertosari Town House A-1 RT. 04 RW. 04 Kertosari</t>
  </si>
  <si>
    <t>081215765386</t>
  </si>
  <si>
    <t>+6281215765386</t>
  </si>
  <si>
    <t>cvkarsanusantara@gmail.com</t>
  </si>
  <si>
    <t>968/II/DKN-PKE/VI/2014</t>
  </si>
  <si>
    <t>11105/P/0500.JT</t>
  </si>
  <si>
    <t>KARYA ABADI, CV.</t>
  </si>
  <si>
    <t>SUPRATIKNYO, SPd., MT.</t>
  </si>
  <si>
    <t>Ds. Sidomulyo RT 02 RW IV, Wonosalam</t>
  </si>
  <si>
    <t>08156556118</t>
  </si>
  <si>
    <t>+628156556118</t>
  </si>
  <si>
    <t>cv.karya_abadi87@yahoo.com</t>
  </si>
  <si>
    <t>17938/P/0808.JT</t>
  </si>
  <si>
    <t>KARYA AKBAR, CV</t>
  </si>
  <si>
    <t>GARNIS TRISNAWATI, S.Hum.</t>
  </si>
  <si>
    <t>Perum Gracendra No. 54 Karangboyo Cepu</t>
  </si>
  <si>
    <t>085225093790</t>
  </si>
  <si>
    <t>+6285225093790</t>
  </si>
  <si>
    <t>cvkaryaakbarconsultant@gmail.com</t>
  </si>
  <si>
    <t>48/DKP.JT/DKN‐KE‐TLK/III/2022</t>
  </si>
  <si>
    <t>15321/P/0672.JT</t>
  </si>
  <si>
    <t>KARYA CIPTA ELANG, CV.</t>
  </si>
  <si>
    <t>AGUNG SULISTIYONO, S.Ars.</t>
  </si>
  <si>
    <t xml:space="preserve">Ds. Sangkanjoyo RT. 02 RW. 02 Kec. Kajen </t>
  </si>
  <si>
    <t>081554235400</t>
  </si>
  <si>
    <t>18/11/ 2021</t>
  </si>
  <si>
    <t>+6281554235400</t>
  </si>
  <si>
    <t>cv.kc.elang@gmail.com</t>
  </si>
  <si>
    <t>030/DKP-JT/DKN-KE-TLK/I/2023</t>
  </si>
  <si>
    <t>16828/P/0736.JT</t>
  </si>
  <si>
    <t>KARYA CIPTA MANDIRI NEW, CV.</t>
  </si>
  <si>
    <t>Ir. AL GHOFAR</t>
  </si>
  <si>
    <t>Jl. Ganesha II B RT. 06 RW. 07 Purwosari</t>
  </si>
  <si>
    <t>085713200523</t>
  </si>
  <si>
    <t>+628157753871</t>
  </si>
  <si>
    <t>karyaciptamandiri07@yahoo.co.id</t>
  </si>
  <si>
    <t>10237/P/0440.JT</t>
  </si>
  <si>
    <t>KARYA CIPTA MANDIRI, CV.</t>
  </si>
  <si>
    <t>RENNY EVITA IRAWATI, ST.</t>
  </si>
  <si>
    <t xml:space="preserve"> 0291-4347138</t>
  </si>
  <si>
    <t xml:space="preserve"> 0291-434126</t>
  </si>
  <si>
    <t>23/09/2001</t>
  </si>
  <si>
    <t>karyaciptamandiri07@yahoo.com</t>
  </si>
  <si>
    <t>KARYA CIPTA MANUNGGAL, CV.</t>
  </si>
  <si>
    <t>PUJI LESTARI, SPt.</t>
  </si>
  <si>
    <t>Jl. A Yani Gg. Aster No. 5 Kauman</t>
  </si>
  <si>
    <t>0285-391266</t>
  </si>
  <si>
    <t>2/6/ 2014</t>
  </si>
  <si>
    <t>+6281225704146</t>
  </si>
  <si>
    <t>kcmbtg5a@gmail.com</t>
  </si>
  <si>
    <t>18040/P/0820.JT</t>
  </si>
  <si>
    <t>KARYA ENJINIRING NUSANTARA, PT.</t>
  </si>
  <si>
    <t>BUDI SETIADI, ST.</t>
  </si>
  <si>
    <t>Jl. Taman Sri Rejeki Timur III RT. 10 RW. 06 Semarang Barat</t>
  </si>
  <si>
    <t>085222217332</t>
  </si>
  <si>
    <t>19/1/2022</t>
  </si>
  <si>
    <t>+6285222217332</t>
  </si>
  <si>
    <t>karyaenjiniring@gmail.com</t>
  </si>
  <si>
    <t>49/DKP.JT/DKN‐KE‐TLK/III/2022</t>
  </si>
  <si>
    <t>18700/P/0889.JT</t>
  </si>
  <si>
    <t>KARYA GUMELAR INDONESIA, PT.</t>
  </si>
  <si>
    <t>WAHYU NUR AJI, ST.</t>
  </si>
  <si>
    <t>Jl. M Iskandar No. 81 Blaru</t>
  </si>
  <si>
    <t>085290737899</t>
  </si>
  <si>
    <t>+6285290737899</t>
  </si>
  <si>
    <t>ptkaryagumelarindonesia@gmail.com</t>
  </si>
  <si>
    <t>12428/P/0578.JT</t>
  </si>
  <si>
    <t>KARYA MANDIRI, CV.</t>
  </si>
  <si>
    <t>WASITI, S.IP.</t>
  </si>
  <si>
    <t>Jl. Tedjosari Raya No. A-2</t>
  </si>
  <si>
    <t xml:space="preserve"> 024-7461090</t>
  </si>
  <si>
    <t>+6285727264381</t>
  </si>
  <si>
    <t>cvkaryamandiri1503@gmail.com</t>
  </si>
  <si>
    <t>2526/DKP-JT/DKN-PKE/IV/2018</t>
  </si>
  <si>
    <t>9804/P/0416.JT</t>
  </si>
  <si>
    <t>KARYA PRATAMA, CV.</t>
  </si>
  <si>
    <t>SANTI RACHMAWATI, ST.</t>
  </si>
  <si>
    <t>Jl. Badak Raya No. 17 Mejasem</t>
  </si>
  <si>
    <t xml:space="preserve"> 0283-3347628</t>
  </si>
  <si>
    <t>13/09/2000</t>
  </si>
  <si>
    <t>+628155222547</t>
  </si>
  <si>
    <t>karyapratamacons@yahoo.co.id</t>
  </si>
  <si>
    <t>16079/P/0704.JT</t>
  </si>
  <si>
    <t>KARYA REKA MANDIRI, CV.</t>
  </si>
  <si>
    <t>ARRISKI STYAWAN, ST.</t>
  </si>
  <si>
    <t>Ds. Kemadu RT. 02 RW. 02 Kec. Sulang</t>
  </si>
  <si>
    <t>085977595591</t>
  </si>
  <si>
    <t>28/03/2016</t>
  </si>
  <si>
    <t>+6285977595591</t>
  </si>
  <si>
    <t>karyarekamandiri.rbg@gmail.com</t>
  </si>
  <si>
    <t>2545/DKP-JT/DKN-PKE/VII/2017</t>
  </si>
  <si>
    <t>15779/P/0691.JT</t>
  </si>
  <si>
    <t>KARYA ZATA AMANI, CV.</t>
  </si>
  <si>
    <t>MARIANA PURWANINGSIH, SE. Akt, MM.</t>
  </si>
  <si>
    <t>Perum Pondok Bukit Agung Blok L / 14 Banyumanik</t>
  </si>
  <si>
    <t xml:space="preserve"> 024-764928000</t>
  </si>
  <si>
    <t xml:space="preserve"> 024-76928100</t>
  </si>
  <si>
    <t>+6281325782908</t>
  </si>
  <si>
    <t>infokza@yahoo.com</t>
  </si>
  <si>
    <t>11079/P/0498.JT</t>
  </si>
  <si>
    <t>KENCANA MULIA KARYA, CV.</t>
  </si>
  <si>
    <t>ALEK SALAMULLAH, ST.</t>
  </si>
  <si>
    <t>Dk. Karangturi RT. 01 RW. 01 Bumiayu</t>
  </si>
  <si>
    <t xml:space="preserve"> 0283-672073</t>
  </si>
  <si>
    <t>18/07/2002</t>
  </si>
  <si>
    <t>+6281326828786</t>
  </si>
  <si>
    <t>kencanamuliakarya2000@gmail.com</t>
  </si>
  <si>
    <t>11116/P/0503.JT</t>
  </si>
  <si>
    <t>KERTANANGGA, CV.</t>
  </si>
  <si>
    <t>Ir. AGUS SUPARDO</t>
  </si>
  <si>
    <t>Jl. Darusalam No. 77 RT. 05 RW. 07</t>
  </si>
  <si>
    <t xml:space="preserve"> 0283-671281</t>
  </si>
  <si>
    <t>+6281548168454</t>
  </si>
  <si>
    <t>kertanangga_cv@yahoo.co.id</t>
  </si>
  <si>
    <t>8886/P/0337.JT</t>
  </si>
  <si>
    <t>KHARISMA, CV.</t>
  </si>
  <si>
    <t>Ir. TURMUDI</t>
  </si>
  <si>
    <t>Jl. Wikarta No. 60 Singopuran</t>
  </si>
  <si>
    <t xml:space="preserve"> 0271-782357</t>
  </si>
  <si>
    <t>25/04/1997</t>
  </si>
  <si>
    <t>+628121539606</t>
  </si>
  <si>
    <t>cvkharismasukoharjo@gmail.com</t>
  </si>
  <si>
    <t>19123/P/0932.JT</t>
  </si>
  <si>
    <t>KHAZANAH KATULISTIWA, CV.</t>
  </si>
  <si>
    <t>MOH. BAIHAQI, S.Sos.</t>
  </si>
  <si>
    <t>Jl. Borobudur Barat RT. 008 RW. 013 Purwoyoso, Ngalian</t>
  </si>
  <si>
    <t>089661692274</t>
  </si>
  <si>
    <t>+6289661692274</t>
  </si>
  <si>
    <t>cvkhazanahkatulistiwa@gmail.com</t>
  </si>
  <si>
    <t>no free</t>
  </si>
  <si>
    <t xml:space="preserve"> 8310/P/0318.JT</t>
  </si>
  <si>
    <t>KINTAN MAHARDHIKA, CV.</t>
  </si>
  <si>
    <t>MUH. TAUFIK HIDAYAT</t>
  </si>
  <si>
    <t>Jl. Kukilo Mukti Selatan No. 134</t>
  </si>
  <si>
    <t xml:space="preserve"> 024-6710864</t>
  </si>
  <si>
    <t>+628122801580</t>
  </si>
  <si>
    <t>kintan.mahardhika@gmail.com</t>
  </si>
  <si>
    <t>15884/P/0697.JT</t>
  </si>
  <si>
    <t>KOEDI, CV.</t>
  </si>
  <si>
    <t>NUR IKHSANTO, ST.</t>
  </si>
  <si>
    <t>Jl. Gunung Singgalang Blok V / 21 Perum Bancarkembar Permai</t>
  </si>
  <si>
    <t>0281-635756</t>
  </si>
  <si>
    <t>23/11/2015</t>
  </si>
  <si>
    <t>+628122760395</t>
  </si>
  <si>
    <t>cvkoedi@gmail.com</t>
  </si>
  <si>
    <t>2044/DKP-JT/DKN-PKE/VII/2017</t>
  </si>
  <si>
    <t>18430/P/861.JT</t>
  </si>
  <si>
    <t>KONSULTAN PROJO, CV.</t>
  </si>
  <si>
    <t>MOCHAMMAD RIZKIANA RAHMAN, SH.</t>
  </si>
  <si>
    <t>Jl. Ruslani HS No. 10 RT. 01 RW. 02 Tegal Barat</t>
  </si>
  <si>
    <t>081329906144</t>
  </si>
  <si>
    <t>+6281329906144</t>
  </si>
  <si>
    <t>konsultanprojo@gmail.com</t>
  </si>
  <si>
    <t>19103/P/0931.JT</t>
  </si>
  <si>
    <t>KOOPILLAR TAMADUN DESAIN, PT.</t>
  </si>
  <si>
    <t>SEPTIAWAN PAMBUDI, ST.</t>
  </si>
  <si>
    <t>Jl. Stonen Timur IV No. 1A Gajahmungkur</t>
  </si>
  <si>
    <t>024-8500656</t>
  </si>
  <si>
    <t>+6282322982976</t>
  </si>
  <si>
    <t>koopillar.td@gmail.com</t>
  </si>
  <si>
    <t xml:space="preserve"> 13629/P/0627.JT</t>
  </si>
  <si>
    <t>KOSINDO BANGUN PERSADA, CV.</t>
  </si>
  <si>
    <t>ARIE SISWANTO, ST.</t>
  </si>
  <si>
    <t>Dk. Kenteng RT. 04 RW. 03 Muktisari Kec. Kebumen</t>
  </si>
  <si>
    <t>08132761061</t>
  </si>
  <si>
    <t>+6281327610661</t>
  </si>
  <si>
    <t>cv_kosindobangunpersada@yahoo.com</t>
  </si>
  <si>
    <t>2527/DKP-JT/DKN-PKE/IV/2018</t>
  </si>
  <si>
    <t>15742/P/0688.JT</t>
  </si>
  <si>
    <t>KREASI AMARTA, CV.</t>
  </si>
  <si>
    <t>ADYK DWI RAHARJO POETRANTO, ST.</t>
  </si>
  <si>
    <t>Perum BSP II Blok C No. 1 Karanggeneng</t>
  </si>
  <si>
    <t>+6282137537578</t>
  </si>
  <si>
    <t>kreasi.amarta@gmail.com</t>
  </si>
  <si>
    <t>1514/II/DKN-PKE/XI/2015</t>
  </si>
  <si>
    <t>13151/P/0607.JT</t>
  </si>
  <si>
    <t>KREASI CIPTA MANDIRI, CV.</t>
  </si>
  <si>
    <t>KUNARTO, SPd</t>
  </si>
  <si>
    <t>Jl. Puri Selatan I No. 30 Perum Puri Mondoteko</t>
  </si>
  <si>
    <t xml:space="preserve"> 0295-5522377</t>
  </si>
  <si>
    <t>24/07/2007</t>
  </si>
  <si>
    <t>+6285249698474</t>
  </si>
  <si>
    <t>kunarto140573@gmail.com</t>
  </si>
  <si>
    <t>970/II/DKN-PKE/VI/2014</t>
  </si>
  <si>
    <t>18554/P/0874.JT</t>
  </si>
  <si>
    <t>KREASINDO MUDA MANDIRI, CV.</t>
  </si>
  <si>
    <t>DIAH WINARSIH, ST.</t>
  </si>
  <si>
    <t>Jl. Dr. Wahidin Sudiro Husodo No. 52</t>
  </si>
  <si>
    <t>085643148384</t>
  </si>
  <si>
    <t>+6285643148384</t>
  </si>
  <si>
    <t>cv.kreasindomudamandiri@gmail.com</t>
  </si>
  <si>
    <t>14581/P/0658.JT</t>
  </si>
  <si>
    <t>KREMONA DESAIN, CV.</t>
  </si>
  <si>
    <t>MULYO SUKARNO, ST. MT.</t>
  </si>
  <si>
    <t>Perum Pepabri No. 7 Ngotet</t>
  </si>
  <si>
    <t>081325225861</t>
  </si>
  <si>
    <t>+6281325225861</t>
  </si>
  <si>
    <t>kremonadesain1@yahoo.com</t>
  </si>
  <si>
    <t>971/II/DKN-PKE/VI/2014</t>
  </si>
  <si>
    <t xml:space="preserve"> 12429/P/0579.JT</t>
  </si>
  <si>
    <t>KRESNA TATA, CV.</t>
  </si>
  <si>
    <t>DWI GUNTORO, ST, MT.</t>
  </si>
  <si>
    <t>Jl. Tanjung Karang No. 17 Kec. Jati</t>
  </si>
  <si>
    <t xml:space="preserve"> 0291-434671</t>
  </si>
  <si>
    <t>27/08/2005</t>
  </si>
  <si>
    <t>+628112918752</t>
  </si>
  <si>
    <t>kresnatatakudus@gmail.com</t>
  </si>
  <si>
    <t xml:space="preserve"> 17955/P/0811.JT</t>
  </si>
  <si>
    <t>KRIDA GANESHA UTAMA, PT.</t>
  </si>
  <si>
    <t>RAKA WHISNU SURYANDARU, ST, MSi.</t>
  </si>
  <si>
    <t>Jl. Taman Durian II / 9 Pav</t>
  </si>
  <si>
    <t xml:space="preserve"> 024-8317810</t>
  </si>
  <si>
    <t>+62816656439</t>
  </si>
  <si>
    <t>krida.ganesha@gmail.com</t>
  </si>
  <si>
    <t>50/DKP.JT/DKN‐KE‐TLK/III/2022</t>
  </si>
  <si>
    <t xml:space="preserve"> 2633/P/0206.JT</t>
  </si>
  <si>
    <t>KRIDA KARYA ADVISORY, PT.</t>
  </si>
  <si>
    <t>MELANI MARTINI, ST.</t>
  </si>
  <si>
    <t xml:space="preserve"> 024-7466712</t>
  </si>
  <si>
    <t>+628158777854</t>
  </si>
  <si>
    <t>info@krida-karya.co.id</t>
  </si>
  <si>
    <t>51/DKP.JT/DKN‐KE‐TLK/III/2022</t>
  </si>
  <si>
    <t>9651/P/0394.JT</t>
  </si>
  <si>
    <t>KUBANG ENGINEERING CONSULTANT, CV.</t>
  </si>
  <si>
    <t>Ir. SAHASTA CATUR INDRABAYU</t>
  </si>
  <si>
    <t>Jl. Taman Arya Mukti Timur VI No. 166</t>
  </si>
  <si>
    <t>024 6708772</t>
  </si>
  <si>
    <t>15/01/2000</t>
  </si>
  <si>
    <t>+628122806264</t>
  </si>
  <si>
    <t>syahasta.ci@gmail.com</t>
  </si>
  <si>
    <t>972/II/DKN-PKE/VI/2014</t>
  </si>
  <si>
    <t>9841/P/0420.JT</t>
  </si>
  <si>
    <t>KWALITAS UTAMA, CV.</t>
  </si>
  <si>
    <t>SARWONO, ST.</t>
  </si>
  <si>
    <t>Jl. Srigading No. 5</t>
  </si>
  <si>
    <t xml:space="preserve"> 0272-214863</t>
  </si>
  <si>
    <t>+6281548776788</t>
  </si>
  <si>
    <t>cvkwalitas_utama@yahoo.co.id</t>
  </si>
  <si>
    <t>17513/P/0763.JT</t>
  </si>
  <si>
    <t>LAIS, CV.</t>
  </si>
  <si>
    <t>DWI ANDY PRIYANTO, ST.</t>
  </si>
  <si>
    <t>Perum Griya Abdi Kencana / Jl. Sekar Seroja I No. 47</t>
  </si>
  <si>
    <t>085742078079</t>
  </si>
  <si>
    <t>31/3/2020</t>
  </si>
  <si>
    <t>+6285742078078</t>
  </si>
  <si>
    <t>lais.engineering.indonesia@gmail.com</t>
  </si>
  <si>
    <t>3666/DKP-JT/DKN-KE-TLK/VII/2020</t>
  </si>
  <si>
    <t>17434/P/0760.JT</t>
  </si>
  <si>
    <t>LANTAR CIPTA MEDIA, CV.</t>
  </si>
  <si>
    <t>DWIJO PURNOMO, S.Sos.I.</t>
  </si>
  <si>
    <t>Jl. Premulung RT. 01 RW. 07, Sondakan, Laweyan</t>
  </si>
  <si>
    <t>08121528975</t>
  </si>
  <si>
    <t>+628121528975</t>
  </si>
  <si>
    <t>phicos.id@gmail.com</t>
  </si>
  <si>
    <t>3668/DKP-JT/DKN-KE-TLK/VII/2020</t>
  </si>
  <si>
    <t xml:space="preserve"> 7225/P/0271.JT</t>
  </si>
  <si>
    <t>LARAS MANDIRI UTAMA, PT.</t>
  </si>
  <si>
    <t>KASNO, Spd.</t>
  </si>
  <si>
    <t>Jl. Turangga Tengah III/556</t>
  </si>
  <si>
    <t xml:space="preserve"> 024-6733556</t>
  </si>
  <si>
    <t>29/03/1993</t>
  </si>
  <si>
    <t>+628562690168</t>
  </si>
  <si>
    <t>larasmucons@gmail.com</t>
  </si>
  <si>
    <t xml:space="preserve"> 18685/P/0887.JT</t>
  </si>
  <si>
    <t>LEMAH ABANG ENGINEERING, CV.</t>
  </si>
  <si>
    <t>LULUS DARWATI, S.Si.</t>
  </si>
  <si>
    <t>Jl. Bukit Dahlia VI No. D-175 Sendangmulyo</t>
  </si>
  <si>
    <t>085229554446</t>
  </si>
  <si>
    <t>+6285229554446</t>
  </si>
  <si>
    <t>cvlemahabangengineering@gmail.com</t>
  </si>
  <si>
    <t>12118/P/0559.JT</t>
  </si>
  <si>
    <t>LEMLIT GLOBAL RISET, CV.</t>
  </si>
  <si>
    <t>TEGUH HARIS SANTOSO, ST, MT.</t>
  </si>
  <si>
    <t>Perum Bina Griya Utama Blok G-2 Kalisapu Slawi</t>
  </si>
  <si>
    <t>081548013333</t>
  </si>
  <si>
    <t>26/10/2004</t>
  </si>
  <si>
    <t>+6281548013333</t>
  </si>
  <si>
    <t>cvlemlitglobalriset@gmail.com</t>
  </si>
  <si>
    <t>2047/DKP-JT/DKN-PKE/VII/2017</t>
  </si>
  <si>
    <t>12531/P/0585</t>
  </si>
  <si>
    <t>LIA ENGINEERING CONSULTANT, CV.</t>
  </si>
  <si>
    <t>AMIN WIDODO, ST.</t>
  </si>
  <si>
    <t>Jl. Raya Yuwana Tayu KM. 11 Tlutup Trangkil</t>
  </si>
  <si>
    <t>081325585409</t>
  </si>
  <si>
    <t>26/12/2005</t>
  </si>
  <si>
    <t>+6282133605701</t>
  </si>
  <si>
    <t>aminwidodo09@gmail.com</t>
  </si>
  <si>
    <t>9502/P/0376.JT</t>
  </si>
  <si>
    <t>LIMAS AGUNG CONSULTAN, CV.</t>
  </si>
  <si>
    <t>SRI WAHYUNI, ST.</t>
  </si>
  <si>
    <t>Jl. Jeruk Utara II/5 Sanden</t>
  </si>
  <si>
    <t xml:space="preserve"> 0293-361729</t>
  </si>
  <si>
    <t>28/08/1999</t>
  </si>
  <si>
    <t>+6285868825391</t>
  </si>
  <si>
    <t>limasagung.cv.mgl@gmail.com</t>
  </si>
  <si>
    <t>3667/DKP-JT/DKN-KE-TLK/VII/2020</t>
  </si>
  <si>
    <t>18923/P/0913.JT</t>
  </si>
  <si>
    <t>LINA CONSULTANT, CV.</t>
  </si>
  <si>
    <t>ERLINA WIDIASTUTI, S.Pd.</t>
  </si>
  <si>
    <t>Jl. Raya Besito No. 20 RT. 04 RW. 02 Krandon</t>
  </si>
  <si>
    <t>081234568010</t>
  </si>
  <si>
    <t>+6281234568010</t>
  </si>
  <si>
    <t>lina.consultant8010@gmail.com</t>
  </si>
  <si>
    <t>17910/P/0802</t>
  </si>
  <si>
    <t>LINTAS PEMBANGUNAN DAERAH, CV.</t>
  </si>
  <si>
    <t>ERNA ERIANI, S.ST.</t>
  </si>
  <si>
    <t>Jl. Gerungsari No. 14-B Tembalang</t>
  </si>
  <si>
    <t>082243303353</t>
  </si>
  <si>
    <t>15/04/2021</t>
  </si>
  <si>
    <t>+6282243303353</t>
  </si>
  <si>
    <t>lintaspembangunan.idn@gmail.com</t>
  </si>
  <si>
    <t>9573/P/0387.JT</t>
  </si>
  <si>
    <t>LOLOMBULAN, CV.</t>
  </si>
  <si>
    <t>Dr. Drs. S AGUS NURDIJANTO, MM, Msi.</t>
  </si>
  <si>
    <t>Jl. Raya Pati - Kudus Km. 5 No. 45</t>
  </si>
  <si>
    <t xml:space="preserve"> 0295-385632</t>
  </si>
  <si>
    <t>28/11/1999</t>
  </si>
  <si>
    <t>+6281390674753</t>
  </si>
  <si>
    <t>loenvic_cons@yahoo.co.id</t>
  </si>
  <si>
    <t>12430/P/0580.JT</t>
  </si>
  <si>
    <t>LPPSLH KONSULTAN, PT.</t>
  </si>
  <si>
    <t>FAHMI IBRAHIM SYARIFUDDIN, SE.</t>
  </si>
  <si>
    <t>Jl. Ngeresp Barat III No. 30-G Lt. 1</t>
  </si>
  <si>
    <t xml:space="preserve"> 024-7472581</t>
  </si>
  <si>
    <t>24/1/2017</t>
  </si>
  <si>
    <t>+628112558006</t>
  </si>
  <si>
    <t>pt.lppslh@yahoo.com</t>
  </si>
  <si>
    <t>2098/DKP-JT/DKN-PKE/VII/2017</t>
  </si>
  <si>
    <t>13984/P/0642.JT</t>
  </si>
  <si>
    <t>LUHUR, CV.</t>
  </si>
  <si>
    <t>ULFAH AZIZAH, SPd, Si.</t>
  </si>
  <si>
    <t>Gang Kauman Ds. Petanahan RT. 03 RW. 01 Petanahan</t>
  </si>
  <si>
    <t>0287-384156</t>
  </si>
  <si>
    <t>+628562904964</t>
  </si>
  <si>
    <t>sig_arch@yahoo.co.id</t>
  </si>
  <si>
    <t>52/DKP.JT/DKN‐KE‐TLK/III/2022</t>
  </si>
  <si>
    <t>no fee</t>
  </si>
  <si>
    <t>18991/P/0919.JT</t>
  </si>
  <si>
    <t>LUNARIS DESAIN, CV.</t>
  </si>
  <si>
    <t>LUHUR BUDIARTO, ST.</t>
  </si>
  <si>
    <t>Jl. Ganesha II No. 909 K Purwosari</t>
  </si>
  <si>
    <t>085862972391</t>
  </si>
  <si>
    <t>+6285862972391</t>
  </si>
  <si>
    <t>cvlunaris@gmail.com</t>
  </si>
  <si>
    <t>15948/P/0701.JT</t>
  </si>
  <si>
    <t>MAGIC ART DESAIN, CV.</t>
  </si>
  <si>
    <t>Ir. EDI SUBIYANTO</t>
  </si>
  <si>
    <t>Jl. Jenderal Sudirman No. 3-B Kutabanjarnegara</t>
  </si>
  <si>
    <t xml:space="preserve"> 0286-591371</t>
  </si>
  <si>
    <t>+6282135399987</t>
  </si>
  <si>
    <t>magicartdesain@gmail.com</t>
  </si>
  <si>
    <t>2049/DKP-JT/DKN-PKE/VII/2017</t>
  </si>
  <si>
    <t>18951/P/0914.JT</t>
  </si>
  <si>
    <t>MAHADI CIPTA, CV.</t>
  </si>
  <si>
    <t>FITRIA FEBRIANI, ST.</t>
  </si>
  <si>
    <t>Ds. Salakan RT. 03 RW. 03 Magelang Selatan</t>
  </si>
  <si>
    <t>087716595382</t>
  </si>
  <si>
    <t>+6287716595382</t>
  </si>
  <si>
    <t>mahadicipta24@gmail.com</t>
  </si>
  <si>
    <t>17904/P/0801.JT</t>
  </si>
  <si>
    <t>MAHA KARYA, CV.</t>
  </si>
  <si>
    <t>MUHAMAD BALQIS, SH.</t>
  </si>
  <si>
    <t>Jl. Waringin 7 C RT. 04 RW. 07 Pangkah</t>
  </si>
  <si>
    <t>085702699953</t>
  </si>
  <si>
    <t>+6282265009160</t>
  </si>
  <si>
    <t>cv.mahakarya16@gmail.com</t>
  </si>
  <si>
    <t>53/DKP.JT/DKN‐KE‐TLK/III/2022</t>
  </si>
  <si>
    <t>18739/P/0898.JT</t>
  </si>
  <si>
    <t>MAHAKARYA BUMI PERSADA, CV.</t>
  </si>
  <si>
    <t>MUHAMMAD IRFAN, S.Geo.</t>
  </si>
  <si>
    <t xml:space="preserve">Dk Kwarasan, Desa\Kelurahan Kwarasan Kec. Grogol </t>
  </si>
  <si>
    <t>087878137666</t>
  </si>
  <si>
    <t>+6287878137666</t>
  </si>
  <si>
    <t>mahakaryabumipersada@gmail.com</t>
  </si>
  <si>
    <t>458/P/0039.JT</t>
  </si>
  <si>
    <t>MAHASTRA TRANSNUSA CONSULTANT, PT.</t>
  </si>
  <si>
    <t>Ir. AY. HARI SUSILO</t>
  </si>
  <si>
    <t>Jl. Ganesha Tengah I/144</t>
  </si>
  <si>
    <t xml:space="preserve"> 024-76745678</t>
  </si>
  <si>
    <t>+628122918210</t>
  </si>
  <si>
    <t>mahastracons@gmail.com</t>
  </si>
  <si>
    <t>2051/DKP-JT/DKN-PKE/VII/2017</t>
  </si>
  <si>
    <t>18586/P/0881.JT</t>
  </si>
  <si>
    <t>MAHNA HEAL ABADAH, PT.</t>
  </si>
  <si>
    <t>PUJI WAHONO, ST.</t>
  </si>
  <si>
    <t>Jl. Syuhada Raya No. 1-A Tlogosari Pedurungan</t>
  </si>
  <si>
    <t>081225327282</t>
  </si>
  <si>
    <t>+6281225327282</t>
  </si>
  <si>
    <t>mahna.he.al.abadah@gmail.com</t>
  </si>
  <si>
    <t>9501/P/0375.JT</t>
  </si>
  <si>
    <t>MAHOTTAMA, CV.</t>
  </si>
  <si>
    <t>SUYADI, ST.</t>
  </si>
  <si>
    <t>Jl. Taman Setyabudi Primatama No. 80</t>
  </si>
  <si>
    <t xml:space="preserve"> </t>
  </si>
  <si>
    <t>+6281575336555</t>
  </si>
  <si>
    <t>cv_mahottama@yahoo.com</t>
  </si>
  <si>
    <t>18255/P/0843.JT</t>
  </si>
  <si>
    <t>MAJAPAHIT, CV.</t>
  </si>
  <si>
    <t>PUTRI FASYA PERMATA, ST.</t>
  </si>
  <si>
    <t>Jl. Majapahit no. 101-A Gayamsari</t>
  </si>
  <si>
    <t xml:space="preserve"> 024-76406359</t>
  </si>
  <si>
    <t>+6285741341410</t>
  </si>
  <si>
    <t>cvmajapahit97@gmail.com</t>
  </si>
  <si>
    <t>15894/P/0698.JT</t>
  </si>
  <si>
    <t>MAKSI SOLUSI ENJINERING, PT.</t>
  </si>
  <si>
    <t>WIDYO SETYO EKO PUTRO, ST.</t>
  </si>
  <si>
    <t>Jl. Erlangga Raya No. 46</t>
  </si>
  <si>
    <t>08122917210</t>
  </si>
  <si>
    <t>+628122917210</t>
  </si>
  <si>
    <t>maksisolusi.enjinering@gmail.com</t>
  </si>
  <si>
    <t>031/DKP-JT/DKN-KE-TLK/I/2023</t>
  </si>
  <si>
    <t>17142/P/0745.JT</t>
  </si>
  <si>
    <t>MANDALA KARYA CONSULTANT, CV.</t>
  </si>
  <si>
    <t>ZEVARIN AYUNINGTIAS, SPd.</t>
  </si>
  <si>
    <t>Perum Griya Tara Asri 2 Blok F-13 Kalisapu Slawi</t>
  </si>
  <si>
    <t>0283-4561692</t>
  </si>
  <si>
    <t>25/3/2019</t>
  </si>
  <si>
    <t>+6285786934347</t>
  </si>
  <si>
    <t>cv.mandalakc@gmail.com</t>
  </si>
  <si>
    <t>9606/P/0391.JT</t>
  </si>
  <si>
    <t>MANDIRI CIPTA YASA, CV.</t>
  </si>
  <si>
    <t>WISNU JARWO, ST.</t>
  </si>
  <si>
    <t>Jl. Pisang No. 9</t>
  </si>
  <si>
    <t>0276-321383</t>
  </si>
  <si>
    <t>16/01/2000</t>
  </si>
  <si>
    <t>+628122604360</t>
  </si>
  <si>
    <t>mandiri_ciptayasa@ymail.com</t>
  </si>
  <si>
    <t>13152/P/0609.JT</t>
  </si>
  <si>
    <t>MANGUN AJIB DESIGN, CV.</t>
  </si>
  <si>
    <t>OMAN PRASTYO, ST.</t>
  </si>
  <si>
    <t>Jl. RMP Sosrokartono No. 127 RT. 3 RW. 5 Pengkol</t>
  </si>
  <si>
    <t>0291-592531</t>
  </si>
  <si>
    <t>+6281227836242</t>
  </si>
  <si>
    <t>cvmangunajibdesign@yahoo.com</t>
  </si>
  <si>
    <t>18452/P/0863.JT</t>
  </si>
  <si>
    <t>MANUNGGALING KARSA ABADI, PT.</t>
  </si>
  <si>
    <t>WISNU SAPUTRA, ST.</t>
  </si>
  <si>
    <t xml:space="preserve">Jl. Erlangga Tengah III No. 35 </t>
  </si>
  <si>
    <t>024-8501844</t>
  </si>
  <si>
    <t>20/02/2023</t>
  </si>
  <si>
    <t>+6282220953180</t>
  </si>
  <si>
    <t>manunggalingkarsaabadi22@gmail.com</t>
  </si>
  <si>
    <t>8929/P/0341.JT</t>
  </si>
  <si>
    <t>MATRA MANDIRI, CV.</t>
  </si>
  <si>
    <t>Ir. M BUDIARTO</t>
  </si>
  <si>
    <t>Jl. Letjend. Suprapto No. 59</t>
  </si>
  <si>
    <t xml:space="preserve"> 024-3557171</t>
  </si>
  <si>
    <t xml:space="preserve"> 024-3543985</t>
  </si>
  <si>
    <t>+628122935138</t>
  </si>
  <si>
    <t>mandirimatra@gmail.com</t>
  </si>
  <si>
    <t>13484/P/0620.JT</t>
  </si>
  <si>
    <t>MEDIA DISAIN KONSULTAN, PT.</t>
  </si>
  <si>
    <t>ANDRY PRASETIYO, ST.</t>
  </si>
  <si>
    <t>Jl. Tumpang Raya No. 54</t>
  </si>
  <si>
    <t>024-8500237</t>
  </si>
  <si>
    <t xml:space="preserve"> 024-8318364</t>
  </si>
  <si>
    <t>+628112888022</t>
  </si>
  <si>
    <t>medikons.konsultan@gmail.com</t>
  </si>
  <si>
    <t>2532/DKP-JT/DKN-PKE/IV/2018</t>
  </si>
  <si>
    <t>11364/P/0514.JT</t>
  </si>
  <si>
    <t>MEDISAIN DADI SEMPURNA, PT.</t>
  </si>
  <si>
    <t>Ir. LIES HERAWATI</t>
  </si>
  <si>
    <t>Jl. Tumpang Raya No. 50</t>
  </si>
  <si>
    <t>024-70703390</t>
  </si>
  <si>
    <t>+628112746514</t>
  </si>
  <si>
    <t>medisain.konsultan@gmail.com</t>
  </si>
  <si>
    <t>18084/P/0827.JT</t>
  </si>
  <si>
    <t>MEGA JASA CONSULTANT, CV</t>
  </si>
  <si>
    <t>SUTRISNO, ST.</t>
  </si>
  <si>
    <t xml:space="preserve">Jl. Ki Ageng Gringsing 8 RT. 05 RW. 01 Gergunung </t>
  </si>
  <si>
    <t>087835564507</t>
  </si>
  <si>
    <t>16/2/2022</t>
  </si>
  <si>
    <t>+628783556450</t>
  </si>
  <si>
    <t>megajasaconsultant@gmail.com</t>
  </si>
  <si>
    <t>54/DKP.JT/DKN‐KE‐TLK/III/2022</t>
  </si>
  <si>
    <t>18979/P/0918.JT</t>
  </si>
  <si>
    <t>MEGANTARA INDODESAIN KONSULTAN, PT.</t>
  </si>
  <si>
    <t xml:space="preserve"> MUR DWI RAHARJO, ST.</t>
  </si>
  <si>
    <t>Ds. Bakalan RT. 12 RW. 03 Bakalan Kandeman</t>
  </si>
  <si>
    <t>088238364450</t>
  </si>
  <si>
    <t>+6285290528717</t>
  </si>
  <si>
    <t>ptmegantarakonsultan@gmail.com</t>
  </si>
  <si>
    <t xml:space="preserve"> 2891/P/0220.JT</t>
  </si>
  <si>
    <t>MEKAR, CV.</t>
  </si>
  <si>
    <t>TEDJO WIJAYANTO, S.I.Kom, MM.</t>
  </si>
  <si>
    <t>Jl. Poncowolo Barat II/615</t>
  </si>
  <si>
    <t xml:space="preserve"> 024-7466113</t>
  </si>
  <si>
    <t>21/07/1991</t>
  </si>
  <si>
    <t>+6281224441194</t>
  </si>
  <si>
    <t>widjayanto.tedjo@gmail.com</t>
  </si>
  <si>
    <t xml:space="preserve"> 2214/P/165.JT</t>
  </si>
  <si>
    <t>METTA CIPTA, CV.</t>
  </si>
  <si>
    <t>Ir. HENI WATI</t>
  </si>
  <si>
    <t>Jl. Diponegoro No. 38</t>
  </si>
  <si>
    <t>08122955151</t>
  </si>
  <si>
    <t>+6281325323563</t>
  </si>
  <si>
    <t>hananto100463@gmail.com</t>
  </si>
  <si>
    <t xml:space="preserve"> 6009/P/0249.JT</t>
  </si>
  <si>
    <t>MIARSONO REKAJASA ENCON, PT.</t>
  </si>
  <si>
    <t>Ir. SUPRIYANTO K.</t>
  </si>
  <si>
    <t>Jl. Candi Permata Selatan No. 148-149</t>
  </si>
  <si>
    <t xml:space="preserve"> 024-7602103</t>
  </si>
  <si>
    <t>+62811297694</t>
  </si>
  <si>
    <t>ptmiarsonoassnew@gmail.com</t>
  </si>
  <si>
    <t>10499/P/0469.JT</t>
  </si>
  <si>
    <t>MILLCON, CV.</t>
  </si>
  <si>
    <t>Dra. RITA ASTUTI</t>
  </si>
  <si>
    <t>Ds. Dadimulyo Blok A Gg. II RT. 1 RW. 5</t>
  </si>
  <si>
    <t xml:space="preserve"> 0272-328613</t>
  </si>
  <si>
    <t>20/10/2001</t>
  </si>
  <si>
    <t>+6281327018340</t>
  </si>
  <si>
    <t>cv.millcon@yahoo.co.id</t>
  </si>
  <si>
    <t>973/II/DKN-PKE/VI/2014</t>
  </si>
  <si>
    <t>17169/P/0746.JT</t>
  </si>
  <si>
    <t>MILLENIUM DESIGN, CV.</t>
  </si>
  <si>
    <t>BREGAS SAMODRA PAMUNGKAS, ST.</t>
  </si>
  <si>
    <t>Jl. Duwet Bringin No. 101 RT. 01 RW. 04 Ngalian</t>
  </si>
  <si>
    <t>081265800055</t>
  </si>
  <si>
    <t>15/04/2019</t>
  </si>
  <si>
    <t>+6282136667099</t>
  </si>
  <si>
    <t>milleniumdesign.cv@gmail.com</t>
  </si>
  <si>
    <t>3671/DKP-JT/DKN-KE-TLK/VII/2020</t>
  </si>
  <si>
    <t>17917/P/0803.JT</t>
  </si>
  <si>
    <t>MIRAZH INTERNASIONAL CONSULTANT, PT.</t>
  </si>
  <si>
    <t>ANIEK ENDRAITI, ST, MT.</t>
  </si>
  <si>
    <t xml:space="preserve">Jl. Guntur I No, 1 Gajah Mungkur </t>
  </si>
  <si>
    <t>082138524088</t>
  </si>
  <si>
    <t>21/04/2021</t>
  </si>
  <si>
    <t>+6281325793792</t>
  </si>
  <si>
    <t>mirazhcons@gmail.com</t>
  </si>
  <si>
    <t>033/DKP-JT/DKN-KE-TLK/I/2023</t>
  </si>
  <si>
    <t>1605/P/0130.JT</t>
  </si>
  <si>
    <t>MISTAR HARUMAS MITRA, PT.</t>
  </si>
  <si>
    <t xml:space="preserve"> Ir. PARWATI</t>
  </si>
  <si>
    <t>Jl. Kapten Moelyadi No. 353</t>
  </si>
  <si>
    <t>0271-643083</t>
  </si>
  <si>
    <t>24/6/1986</t>
  </si>
  <si>
    <t>+62816308080</t>
  </si>
  <si>
    <t>mc_asnawi@yahoo.com</t>
  </si>
  <si>
    <t>18357/P/0851.JT</t>
  </si>
  <si>
    <t>MITRA BERSAMA MANDIRI, CV.</t>
  </si>
  <si>
    <t>MUHAMMAD CHOIRI, ST.</t>
  </si>
  <si>
    <t>Jl. Pucung Perbalan Raya, Srondol Kulon Banyumanik</t>
  </si>
  <si>
    <t>085865006205</t>
  </si>
  <si>
    <t>+6285865006205</t>
  </si>
  <si>
    <t>cvmitrabersamamandiri1@gmail.com</t>
  </si>
  <si>
    <t>034/DKP-JT/DKN-KE-TLK/I/2023</t>
  </si>
  <si>
    <t>18265/P/0845.JT</t>
  </si>
  <si>
    <t>MITRA DATA ABADI, PT.</t>
  </si>
  <si>
    <t>WIDYO ARI UTOMO, ST.</t>
  </si>
  <si>
    <t>Jl. Jenggolo Tapen RT. 03 RW. 06 Nusukan, Banjarsari</t>
  </si>
  <si>
    <t>0122581704</t>
  </si>
  <si>
    <t>+628122581704</t>
  </si>
  <si>
    <t>mitradataabadisolo@gmail.com</t>
  </si>
  <si>
    <t>035/DKP-JT/DKN-KE-TLK/I/2023</t>
  </si>
  <si>
    <t>10543/P/0473.JT</t>
  </si>
  <si>
    <t>MITRA DESIGN, CV.</t>
  </si>
  <si>
    <t>MUJI PRIYONO, ST.</t>
  </si>
  <si>
    <t>Wisma Prasetya Brt I Padangsari Cluster B3</t>
  </si>
  <si>
    <t>21/11/2001</t>
  </si>
  <si>
    <t>+628213628866</t>
  </si>
  <si>
    <t>mitradesign21@gmail.com</t>
  </si>
  <si>
    <t xml:space="preserve"> 7226/P/0272.JT</t>
  </si>
  <si>
    <t>MITRA MUDA REKAYASA, CV.</t>
  </si>
  <si>
    <t>ANINDITA SARI PERTIWI, ST, MT.</t>
  </si>
  <si>
    <t>Jl. Pusponjolo Barat I / 4 RT. 2 RW. 3</t>
  </si>
  <si>
    <t>024-7619148</t>
  </si>
  <si>
    <t>024-7621925</t>
  </si>
  <si>
    <t>+6282221943773</t>
  </si>
  <si>
    <t>rekayasamitramuda@gmail.com</t>
  </si>
  <si>
    <t>036/DKP-JT/DKN-KE-TLK/I/2023</t>
  </si>
  <si>
    <t>11919/P/0548.JT</t>
  </si>
  <si>
    <t>MITRA PRATAMA MULIA, CV.</t>
  </si>
  <si>
    <t>SUBARDI, ST.</t>
  </si>
  <si>
    <t>Jl. YOS Sudarso No. 22</t>
  </si>
  <si>
    <t>0285-7927030</t>
  </si>
  <si>
    <t>+6285326941641</t>
  </si>
  <si>
    <t>mitrapratamamulia@yahoo.com</t>
  </si>
  <si>
    <t>0456/P/0037.JT</t>
  </si>
  <si>
    <t>MONALISA ART., CV.</t>
  </si>
  <si>
    <t>RACHMAT ARIYANTO, ST</t>
  </si>
  <si>
    <t>Perum Korpri Blok T No. 27-78 Tugurejo</t>
  </si>
  <si>
    <t>024-70439444</t>
  </si>
  <si>
    <t xml:space="preserve"> 024-7620728</t>
  </si>
  <si>
    <t>22/02/2009</t>
  </si>
  <si>
    <t>+628156567494</t>
  </si>
  <si>
    <t>monalisaart08@gmail.com</t>
  </si>
  <si>
    <t xml:space="preserve"> 425/P/006.JT</t>
  </si>
  <si>
    <t>MUGAS ENAM BELAS, PT.</t>
  </si>
  <si>
    <t>Ir. Ch. SLAMET KITRI</t>
  </si>
  <si>
    <t>Jl. Semeru I/1</t>
  </si>
  <si>
    <t xml:space="preserve"> 024-8442684</t>
  </si>
  <si>
    <t>+62816657103</t>
  </si>
  <si>
    <t>slkitri@yahoo.com</t>
  </si>
  <si>
    <t>18101/P/0829.JT</t>
  </si>
  <si>
    <t>MUKTI GANESHA, CV.</t>
  </si>
  <si>
    <t>SUMARDI, S.IP.</t>
  </si>
  <si>
    <t>Perum Bumi Indah No. 16 Kel. Jambearum Patebon</t>
  </si>
  <si>
    <t>+6289508121644</t>
  </si>
  <si>
    <t>cv.muktiganesha@gmail.com</t>
  </si>
  <si>
    <t>56/DKP.JT/DKN‐KE‐TLK/III/2022</t>
  </si>
  <si>
    <t>17844/P/0794.JT</t>
  </si>
  <si>
    <t>MULTI DIMENSI CONSULTANT, CV.</t>
  </si>
  <si>
    <t>TEGUH SANTOSO, ST.</t>
  </si>
  <si>
    <t>Ds. Prigelan RT. 02 RW. 01, Prigelan, Pituruh</t>
  </si>
  <si>
    <t>085226337866</t>
  </si>
  <si>
    <t>26/3/2021</t>
  </si>
  <si>
    <t>+6285226337866</t>
  </si>
  <si>
    <t>steger8370@gmail.com</t>
  </si>
  <si>
    <t>55/DKP.JT/DKN‐KE‐TLK/III/2022</t>
  </si>
  <si>
    <t>10903/P/0493.JT</t>
  </si>
  <si>
    <t>MULTI GRAHA CIPTA, CV.</t>
  </si>
  <si>
    <t>Ir. HERIYANTO</t>
  </si>
  <si>
    <t>Ds. Pucanggading RT. 02 RW. 05 Kel. Ngluwar Kab. Magelang</t>
  </si>
  <si>
    <t>08812764169</t>
  </si>
  <si>
    <t>+628812764169</t>
  </si>
  <si>
    <t>heriyanto.1463@gmail.com</t>
  </si>
  <si>
    <t>19042/P/0923.JT</t>
  </si>
  <si>
    <t>MULTI GRAHA CONSULTANT, CV.</t>
  </si>
  <si>
    <t>M. AQIF, ST.</t>
  </si>
  <si>
    <t>Jl. Imam Bonjol RT. 03 RW. 09 Dukuh Waru</t>
  </si>
  <si>
    <t>081226150546</t>
  </si>
  <si>
    <t>+6281226150546</t>
  </si>
  <si>
    <t>multigraha.cons@gmail.com</t>
  </si>
  <si>
    <t>13853/P/0636.JT</t>
  </si>
  <si>
    <t>MULTI KREASINDO, CV.</t>
  </si>
  <si>
    <t>FATONI, ST.</t>
  </si>
  <si>
    <t>Perum Banjar Permai A-17 RT. 01 RW. 12 Banjarnegoro Mertoyudan</t>
  </si>
  <si>
    <t xml:space="preserve"> '085667663667</t>
  </si>
  <si>
    <t>20/06/2009</t>
  </si>
  <si>
    <t>+6285667663667</t>
  </si>
  <si>
    <t>mgl.mktoni@gmail.com</t>
  </si>
  <si>
    <t>13486/P/0622.JT</t>
  </si>
  <si>
    <t>MULTI RAYA, PT.</t>
  </si>
  <si>
    <t>HERMADI, ST.</t>
  </si>
  <si>
    <t>Jl. Ngesrep Barat III No. 30 G Lt. 2</t>
  </si>
  <si>
    <t>024-7472581</t>
  </si>
  <si>
    <t>+6281325171513</t>
  </si>
  <si>
    <t>ptmura_consultant@yahoo.com</t>
  </si>
  <si>
    <t>974/II/DKN-PKE/VI/2014</t>
  </si>
  <si>
    <t>18045/P/0823.JT</t>
  </si>
  <si>
    <t>MULTILINE, CV.</t>
  </si>
  <si>
    <t>ANDI SUSANTO, ST.</t>
  </si>
  <si>
    <t>Ds. Piji RT. 03 RW. 03 Dawe</t>
  </si>
  <si>
    <t>081228623344</t>
  </si>
  <si>
    <t>+6281228623344</t>
  </si>
  <si>
    <t>multiline.creator@gmail.com</t>
  </si>
  <si>
    <t>57/DKP.JT/DKN‐KE‐TLK/III/2022</t>
  </si>
  <si>
    <t>17710/P/0778.JT</t>
  </si>
  <si>
    <t>MUSTIKO KLOPO JATI, PT.</t>
  </si>
  <si>
    <t>Ir. SUTIK, ST, MT.</t>
  </si>
  <si>
    <t>Jl. Jaten Baru Raya No. 1 Pedurungan</t>
  </si>
  <si>
    <t>085290851506</t>
  </si>
  <si>
    <t>+6285101231622</t>
  </si>
  <si>
    <t>mustikoklopojati@gmail.com</t>
  </si>
  <si>
    <t>58/DKP.JT/DKN‐KE‐TLK/III/2022</t>
  </si>
  <si>
    <t>15101/P/0669.JT</t>
  </si>
  <si>
    <t>MUTIARA KONSULTAN BATANG, CV.</t>
  </si>
  <si>
    <t>Drs. SUWARSONO</t>
  </si>
  <si>
    <t>Jl. Gajah Mada No. 173 Proyonanggan</t>
  </si>
  <si>
    <t>085742111262</t>
  </si>
  <si>
    <t>+6285742111262</t>
  </si>
  <si>
    <t>cvmutiarakonsultant@gmail.com</t>
  </si>
  <si>
    <t>975/II/DKN-PKE/VI/2014</t>
  </si>
  <si>
    <t>18734/P/0894.JT</t>
  </si>
  <si>
    <t>NAKULA ENGINEERING CONSULTANT, CV.</t>
  </si>
  <si>
    <t>TONY PRASTYAWAN, ST.</t>
  </si>
  <si>
    <t>Jl. Kemantenan No. 61 Karangtengah Kaliwungu</t>
  </si>
  <si>
    <t xml:space="preserve"> 0294-5757575</t>
  </si>
  <si>
    <t>23/06/1996</t>
  </si>
  <si>
    <t>+6281227484323</t>
  </si>
  <si>
    <t>nakula.engcons@gmail.com</t>
  </si>
  <si>
    <t>13429/P/0619.JT</t>
  </si>
  <si>
    <t>NANDAKA, CV.</t>
  </si>
  <si>
    <t>BUDI PRASETYO, ST.</t>
  </si>
  <si>
    <t>Jl. Pulosari RT. 01 RW. 8 Kaliboto, Mojogedang</t>
  </si>
  <si>
    <t>082177428991</t>
  </si>
  <si>
    <t>19/05/2008</t>
  </si>
  <si>
    <t>+6282177428991</t>
  </si>
  <si>
    <t>cv.nandaka@gmail.com</t>
  </si>
  <si>
    <t>1516/II/DKN-PKE/XI/2015</t>
  </si>
  <si>
    <t>12431/P/0581.JT</t>
  </si>
  <si>
    <t>NARESWARA, CV.</t>
  </si>
  <si>
    <t>ANDREAS AVELIN THONDORD, ST.</t>
  </si>
  <si>
    <t>Perum Susukan II No. 39 RT. 01 RW. 02</t>
  </si>
  <si>
    <t xml:space="preserve"> '08121588086</t>
  </si>
  <si>
    <t>+628121588086</t>
  </si>
  <si>
    <t>nareswara_mgl@yahoo.co.id</t>
  </si>
  <si>
    <t>17790/P/0789.JT</t>
  </si>
  <si>
    <t>NATA WINASIS, CV.</t>
  </si>
  <si>
    <t>MUHAMMAD ABDUL AZIZ, ST.</t>
  </si>
  <si>
    <t>Ds. Panjunan RT. 04 RW. 01 Panjunan, Petarukan</t>
  </si>
  <si>
    <t xml:space="preserve"> '082325233634</t>
  </si>
  <si>
    <t>+6282325233634</t>
  </si>
  <si>
    <t>natawinasis@gmail.com</t>
  </si>
  <si>
    <t>037/DKP-JT/DKN-KE-TLK/I/2023</t>
  </si>
  <si>
    <t xml:space="preserve"> 1207/P/0076.JT</t>
  </si>
  <si>
    <t>NATURAL DISAIN CIPTALARAS, PT.</t>
  </si>
  <si>
    <t>NUKY KRISHNA RAJASA, ST.MT.</t>
  </si>
  <si>
    <t>Jl. Gaharu Utara IV Rukan 7 - 9</t>
  </si>
  <si>
    <t xml:space="preserve"> 024-7472815</t>
  </si>
  <si>
    <t>+6282220711136</t>
  </si>
  <si>
    <t>ndciptalaras@yahoo.com</t>
  </si>
  <si>
    <t>17760/P/0784.JT</t>
  </si>
  <si>
    <t>NAUFAL KARYA, CV.</t>
  </si>
  <si>
    <t>BAKTI WINDIAHSTUTI, S.Pd.</t>
  </si>
  <si>
    <t>Griya Panguripan Indah D-4 Sokoduwet</t>
  </si>
  <si>
    <t>081575031929</t>
  </si>
  <si>
    <t>17/02/2021</t>
  </si>
  <si>
    <t>+6281575031929</t>
  </si>
  <si>
    <t>cvnaufalkarya22@gmail.com</t>
  </si>
  <si>
    <t>59/DKP.JT/DKN‐KE‐TLK/III/2022</t>
  </si>
  <si>
    <t>10500/P/0470.JT</t>
  </si>
  <si>
    <t>NIRMA CIPTA, CV.</t>
  </si>
  <si>
    <t>KUSBIYANTO, ST.</t>
  </si>
  <si>
    <t>Ds. Ngalian RT. 01 RW. 03 Kecamatan Tirto</t>
  </si>
  <si>
    <t>+62855651324</t>
  </si>
  <si>
    <t>nirma_cipta_pekl@yahoo.co.id</t>
  </si>
  <si>
    <t>2052/II/DKN-PKE/VII/2017</t>
  </si>
  <si>
    <t xml:space="preserve"> 2150/P/0162.JT</t>
  </si>
  <si>
    <t xml:space="preserve">NIRMANA, CV. </t>
  </si>
  <si>
    <t>DIMAS ANDHIKA PRADANA, SH.</t>
  </si>
  <si>
    <t xml:space="preserve">Jl. Panda Timur I No. 16-A Palebon </t>
  </si>
  <si>
    <t>024-76410103</t>
  </si>
  <si>
    <t>15/12/1988</t>
  </si>
  <si>
    <t>+6282220111066</t>
  </si>
  <si>
    <t>cvnirmana20@gmail.com</t>
  </si>
  <si>
    <t>18246/P/0842.JT</t>
  </si>
  <si>
    <t>NIRWANA KARYA ATELIER, PT.</t>
  </si>
  <si>
    <t>GINANJAR MAHENDRIYA, BSc., M.B.A.</t>
  </si>
  <si>
    <t>Jl. Ngesrep Timur V No. 32 A Banyumanik</t>
  </si>
  <si>
    <t>082123425809</t>
  </si>
  <si>
    <t>+6282123425809</t>
  </si>
  <si>
    <t>ptihsanginanjarkonsultan@gmail.com</t>
  </si>
  <si>
    <t>17321/P/0755.JT</t>
  </si>
  <si>
    <t>NIRWASITA, CV.</t>
  </si>
  <si>
    <t>TRI HANDINI, ST.</t>
  </si>
  <si>
    <t>Jl. Kapri Raya No. 13 RT. 06 RW. 04 Sendangguwo</t>
  </si>
  <si>
    <t>085640333305</t>
  </si>
  <si>
    <t>+6285640333305</t>
  </si>
  <si>
    <t>nirwasitacv13@gmail.com</t>
  </si>
  <si>
    <t>3673/DKP-JT/DKN-KE-TLK/VII/2020</t>
  </si>
  <si>
    <t>13526/P/0624.JT</t>
  </si>
  <si>
    <t>NURIZ BUTOM ADHI PRADANA, PT.</t>
  </si>
  <si>
    <t>NUR FAIZ. ST.</t>
  </si>
  <si>
    <t>Perum Tirto Indah Baru VI / 41</t>
  </si>
  <si>
    <t>0285-411407</t>
  </si>
  <si>
    <t>+628156562742</t>
  </si>
  <si>
    <t>nuriz_butom@yahoo.co.id</t>
  </si>
  <si>
    <t>16422/P/0581.JT</t>
  </si>
  <si>
    <t>NUSAKON, CV.</t>
  </si>
  <si>
    <t>KUNANTO. ST.</t>
  </si>
  <si>
    <t>Jl. Pakintelan RT. 04 RW. 05 Gunungpati</t>
  </si>
  <si>
    <t>08157962727</t>
  </si>
  <si>
    <t>13/02/2017</t>
  </si>
  <si>
    <t>+628157962727</t>
  </si>
  <si>
    <t>cv.nusakon@gmail.com</t>
  </si>
  <si>
    <t>2530/DKP-JT/DKN-PKE/IV/2018</t>
  </si>
  <si>
    <t>18736/P/0896.JT</t>
  </si>
  <si>
    <t>OKNIKA NAWASENA, CV.</t>
  </si>
  <si>
    <t>VINCENSIUS OKTSAGA PILAR ABADI, ST, M.Ars.</t>
  </si>
  <si>
    <t>Perum Pulau Mas Blok A-17, Kec. Wates</t>
  </si>
  <si>
    <t>081316142034</t>
  </si>
  <si>
    <t>+6281316142034</t>
  </si>
  <si>
    <t>oknikaarchitect@gmail.com</t>
  </si>
  <si>
    <t>9922/P/0427.JT</t>
  </si>
  <si>
    <t>PAKARSEMI, CV.</t>
  </si>
  <si>
    <t>Ir. SUROTO</t>
  </si>
  <si>
    <t>Laban Kulon RT. 03/02 Mojolaban</t>
  </si>
  <si>
    <t>0271-610546</t>
  </si>
  <si>
    <t>27/01/2001</t>
  </si>
  <si>
    <t>+6283866347878</t>
  </si>
  <si>
    <t>pakarsemi@gmail.com</t>
  </si>
  <si>
    <t>10238/P/0441.JT</t>
  </si>
  <si>
    <t>PAMITRAN, CV.</t>
  </si>
  <si>
    <t>Ir. EDY PURYANTO</t>
  </si>
  <si>
    <t>Jl. Cinde Dalam I/12</t>
  </si>
  <si>
    <t xml:space="preserve"> 024-8443731</t>
  </si>
  <si>
    <t>024-8442241</t>
  </si>
  <si>
    <t>23/07/2001</t>
  </si>
  <si>
    <t>+6281390007081</t>
  </si>
  <si>
    <t>pamitran99@gmail.com</t>
  </si>
  <si>
    <t>13/112001</t>
  </si>
  <si>
    <t>18358/P/0852.JT</t>
  </si>
  <si>
    <t>PAMUNGKAS KARYA WASKITA, CV.</t>
  </si>
  <si>
    <t>WARA WASKITA NINGRUM, SM.</t>
  </si>
  <si>
    <t>Ds. Parenggan RT. 03 RW. 01 Kecamatan Pati</t>
  </si>
  <si>
    <t>082134276976</t>
  </si>
  <si>
    <t>+6282146183115</t>
  </si>
  <si>
    <t>pakarkita.konsultan@gmail.com</t>
  </si>
  <si>
    <t>038/DKP-JT/DKN-KE-TLK/I/2023</t>
  </si>
  <si>
    <t>8909/P/0340.JT</t>
  </si>
  <si>
    <t>PANCA CITRA UTAMA, CV.</t>
  </si>
  <si>
    <t>Ir. SUGIHARTO</t>
  </si>
  <si>
    <t>Jl. Duku I No. 25 Perum Korpri Ngembik</t>
  </si>
  <si>
    <t xml:space="preserve"> 0293-361359</t>
  </si>
  <si>
    <t>17/05/1997</t>
  </si>
  <si>
    <t>+628121580086</t>
  </si>
  <si>
    <t>pancacitrautama@yahoo.co.id</t>
  </si>
  <si>
    <t>19077/P/0927.JT</t>
  </si>
  <si>
    <t>PANDU POLA KONSULTAN, CV.</t>
  </si>
  <si>
    <t>SUGITO, ST, MT.</t>
  </si>
  <si>
    <t>Perum Delta Asri Blok F / Jl. Kepodang IV no. F-1 RT. 03 RW. 14 Laweyan</t>
  </si>
  <si>
    <t>08122915608</t>
  </si>
  <si>
    <t>+628122915608</t>
  </si>
  <si>
    <t>pandupolakonsultan@gmail.com</t>
  </si>
  <si>
    <t>18041/P/0821.JT</t>
  </si>
  <si>
    <t>PANCANG MAS NUSANTARA, PT.</t>
  </si>
  <si>
    <t>NUR CHOLIS, S.Kom.</t>
  </si>
  <si>
    <t>Jl. Wilis No. 15</t>
  </si>
  <si>
    <t>02873881106</t>
  </si>
  <si>
    <t>19/01/2022</t>
  </si>
  <si>
    <t>+62812269659956</t>
  </si>
  <si>
    <t>ptpancangmas@gmail.com</t>
  </si>
  <si>
    <t>60/DKP.JT/DKN‐KE‐TLK/III/2022</t>
  </si>
  <si>
    <t>16559/P/0585.JT</t>
  </si>
  <si>
    <t>PANDU NUSANTARA SEJAHTERA, PT.</t>
  </si>
  <si>
    <t>MAKMUR ZULFIKAR, ST</t>
  </si>
  <si>
    <t>Jl. Kemuning Blok E No. 2  Perum Karen Indah 2 Sokaraja</t>
  </si>
  <si>
    <t>0281-6540369</t>
  </si>
  <si>
    <t>16/05/2017</t>
  </si>
  <si>
    <t>+6281224090099</t>
  </si>
  <si>
    <t>pnskonsultan@gmail.com</t>
  </si>
  <si>
    <t>2529/DKP-JT/DKN-PKE/IV/2018</t>
  </si>
  <si>
    <t>12432/P/0582.JT</t>
  </si>
  <si>
    <t>PANGRIPTA GRAHA, CV.</t>
  </si>
  <si>
    <t>AGUNG DARMAWAN SULISTYAKA, ST.</t>
  </si>
  <si>
    <t>Ds. Kedungsari No. 210 / 777 RT. 02 RW. 07</t>
  </si>
  <si>
    <t xml:space="preserve"> 0293-312588</t>
  </si>
  <si>
    <t>gpangripta@yahoo.co.id</t>
  </si>
  <si>
    <t>11687/P/0530.JT</t>
  </si>
  <si>
    <t>PAPAN DESAIN, CV.</t>
  </si>
  <si>
    <t>HERY NURCHOLIS, ST.</t>
  </si>
  <si>
    <t>Jl. Mawar No. 35 Gandasuli</t>
  </si>
  <si>
    <t>08256519919</t>
  </si>
  <si>
    <t>+6285747518302</t>
  </si>
  <si>
    <t>konsultan.papandesain@gmail.com</t>
  </si>
  <si>
    <t xml:space="preserve"> 13336/P/0618.JT</t>
  </si>
  <si>
    <t>PARADESAIN, CV.</t>
  </si>
  <si>
    <t>DWI RINA INDAH LESTARI, ST.</t>
  </si>
  <si>
    <t>Jl. Gunung Slamet Nol 100</t>
  </si>
  <si>
    <t xml:space="preserve"> 0284-325223</t>
  </si>
  <si>
    <t xml:space="preserve"> 0284-322223</t>
  </si>
  <si>
    <t>17/02/2008</t>
  </si>
  <si>
    <t>+628122764137</t>
  </si>
  <si>
    <t>paradesain100@gmail.com</t>
  </si>
  <si>
    <t>1517/II/DKN-PKE/XI/2015</t>
  </si>
  <si>
    <t xml:space="preserve"> 5094/P/0247.JT</t>
  </si>
  <si>
    <t>PARADIGMA, CV.</t>
  </si>
  <si>
    <t>Rr. WIDYASURTI PAMINTYASTUTI,SE.</t>
  </si>
  <si>
    <t>Jl. Durian Raya 19-B Pav. 1 Banyumanik</t>
  </si>
  <si>
    <t xml:space="preserve"> 024-7477956</t>
  </si>
  <si>
    <t>27/06/1992</t>
  </si>
  <si>
    <t>+628122856255</t>
  </si>
  <si>
    <t>cv.paradigma@yahoo.co.id</t>
  </si>
  <si>
    <t>Mau dijual</t>
  </si>
  <si>
    <t xml:space="preserve"> 426/P/007.JT</t>
  </si>
  <si>
    <t>PARAMITRA, CV.</t>
  </si>
  <si>
    <t>Ir. SOEDARMAWAN SETYONO</t>
  </si>
  <si>
    <t>Jl. Singosari X No. 1 Lt. 2</t>
  </si>
  <si>
    <t xml:space="preserve"> 024-8415329</t>
  </si>
  <si>
    <t>+6285876784970</t>
  </si>
  <si>
    <t>paramitra@yahoo.com</t>
  </si>
  <si>
    <t>10761/P/0490.JT</t>
  </si>
  <si>
    <t>PARISRAYA MANUNGGAL KARSA, CV.</t>
  </si>
  <si>
    <t>Ir. ALI IKHWAN</t>
  </si>
  <si>
    <t>Perum Korpri Bulusan No. 97 Tembalang</t>
  </si>
  <si>
    <t xml:space="preserve"> 024-7477158</t>
  </si>
  <si>
    <t>+628122918310</t>
  </si>
  <si>
    <t>parisraya.smrg@gmail.com</t>
  </si>
  <si>
    <t>977/II/DKN-PKE/VI/2014</t>
  </si>
  <si>
    <t xml:space="preserve"> 7158/P/0268.JT</t>
  </si>
  <si>
    <t>PARMAGA UTAMA, CV.</t>
  </si>
  <si>
    <t>SUPARDJONO, ST.</t>
  </si>
  <si>
    <t>Jl. Parang Baris III/4 Tlogosari</t>
  </si>
  <si>
    <t xml:space="preserve"> 024-6713458</t>
  </si>
  <si>
    <t>17/01/1993</t>
  </si>
  <si>
    <t>+628122812102</t>
  </si>
  <si>
    <t>parmaga_utama@yahoo.com</t>
  </si>
  <si>
    <t xml:space="preserve"> 9421/P/0369.JT</t>
  </si>
  <si>
    <t>PATRA PADMA, PT.</t>
  </si>
  <si>
    <t>Ir.  ADIRSYAH SEBAYANG, Msi.</t>
  </si>
  <si>
    <t>Jl. Singa Timur IV No. 5-6</t>
  </si>
  <si>
    <t xml:space="preserve"> 024-70778661</t>
  </si>
  <si>
    <t xml:space="preserve"> 024-6721688</t>
  </si>
  <si>
    <t>22/05/1999</t>
  </si>
  <si>
    <t>+628122801167</t>
  </si>
  <si>
    <t>patra_trihita@yahoo.co.id</t>
  </si>
  <si>
    <t>11688/P/0531.JT</t>
  </si>
  <si>
    <t>PATRIA UTAMA, CV.</t>
  </si>
  <si>
    <t>PRASETYO NUGROHO, ST.</t>
  </si>
  <si>
    <t>Jl. Durian No. 689 Perum Bina Gria</t>
  </si>
  <si>
    <t xml:space="preserve"> 0285-427689</t>
  </si>
  <si>
    <t xml:space="preserve"> 0285-432846</t>
  </si>
  <si>
    <t>+6282325161400</t>
  </si>
  <si>
    <t>cvpatriautamapkl@gmail.com</t>
  </si>
  <si>
    <t>978/II/DKN-PKE/VI/2014</t>
  </si>
  <si>
    <t>15522/P/0681.JT</t>
  </si>
  <si>
    <t>PATRON DESIGN, CV.</t>
  </si>
  <si>
    <t>RIZKY AKBAR YOSO SAPUTRO, ST.</t>
  </si>
  <si>
    <t>Jl. YOS Sudarso Gg. Nangka RT. 6 RW. 6 Ternate Kidul</t>
  </si>
  <si>
    <t>085641134340</t>
  </si>
  <si>
    <t>+6285291373005</t>
  </si>
  <si>
    <t>patron24design@gmail.com</t>
  </si>
  <si>
    <t>1518/II/DKN-PKE/XI/2015</t>
  </si>
  <si>
    <t>11272/P/0510.JT</t>
  </si>
  <si>
    <t>PELITA BIRU, CV.</t>
  </si>
  <si>
    <t>SRI UTAMI ADHI SUSANTI, ST.</t>
  </si>
  <si>
    <t>Jl. Loang RT. 04 RW. 04 Sawojajar Wanasari</t>
  </si>
  <si>
    <t>08122572821</t>
  </si>
  <si>
    <t>25/1/2003</t>
  </si>
  <si>
    <t>+628122572821</t>
  </si>
  <si>
    <t>pebi.cv@gmail.com</t>
  </si>
  <si>
    <t>19082/P/0930.JT</t>
  </si>
  <si>
    <t>PENTAHELIX KOLABORASI NUSANTARA, CV.</t>
  </si>
  <si>
    <t>DWI HENDRA KUSUMA, S.Pd, M.Pd.</t>
  </si>
  <si>
    <t>Jl. MT. Haryono No. 11-B Manahan, Banjarsari</t>
  </si>
  <si>
    <t>085727087123</t>
  </si>
  <si>
    <t>+6285727087123</t>
  </si>
  <si>
    <t>pentahelixkolaborasi@gmail.com</t>
  </si>
  <si>
    <t>15060/P/0666.JT</t>
  </si>
  <si>
    <t>PERFORMA KONSULTAN, CV.</t>
  </si>
  <si>
    <t>TENTREM WIGATI, SPd.</t>
  </si>
  <si>
    <t>Jl. Sakura Dalam No. 1 Perum Limbangan Baru Sokanandi</t>
  </si>
  <si>
    <t>0286 591579</t>
  </si>
  <si>
    <t>20/05/2013</t>
  </si>
  <si>
    <t>+6281325730245</t>
  </si>
  <si>
    <t>performa_konsultan@yahoo.com</t>
  </si>
  <si>
    <t>979/II/DKN-PKE/VI/2014</t>
  </si>
  <si>
    <t>18957/P/0915.JT</t>
  </si>
  <si>
    <t>PERENCANA JAYA INDONESIA, PT.</t>
  </si>
  <si>
    <t>AGUS SUHANDOKO, ST.</t>
  </si>
  <si>
    <t>Jl. Dewi Sartika Barat No. 15 RT. 002 RW. 003 Gunungpati</t>
  </si>
  <si>
    <t>08562267398</t>
  </si>
  <si>
    <t>+628562267398</t>
  </si>
  <si>
    <t>perencanajayaindonesia@gmail.com</t>
  </si>
  <si>
    <t>18405/P/0858.JT</t>
  </si>
  <si>
    <t>PERMADANI KHATULISTIWA KONSULTAN, PT.</t>
  </si>
  <si>
    <t>KARSO, IP, ST.</t>
  </si>
  <si>
    <t>Ruko Blok 10 lt. 2 RT. 02 RW. 01 Sempu, Limpung</t>
  </si>
  <si>
    <t>085293235773</t>
  </si>
  <si>
    <t>24/1/2003</t>
  </si>
  <si>
    <t>+6285293235773</t>
  </si>
  <si>
    <t>pt.permadanikhatulistiwa01@gmail.com</t>
  </si>
  <si>
    <t>7916/P/0301.JT</t>
  </si>
  <si>
    <t>PERMANA CITRA, PT.</t>
  </si>
  <si>
    <t>GUNADI, ST.</t>
  </si>
  <si>
    <t xml:space="preserve">Candi Prambanan Timur I No. 7 </t>
  </si>
  <si>
    <t>081391861111</t>
  </si>
  <si>
    <t>0816666520</t>
  </si>
  <si>
    <t>+6281391861111</t>
  </si>
  <si>
    <t>permanacitra_one@yahoo.com</t>
  </si>
  <si>
    <t>16252/P/0712.JT</t>
  </si>
  <si>
    <t>PERMATA, CV.</t>
  </si>
  <si>
    <t>TRI WIBOWO, ST.</t>
  </si>
  <si>
    <t>Perum Graha Harmony 2 Blok B-9 Bulakrejo</t>
  </si>
  <si>
    <t>08112638579</t>
  </si>
  <si>
    <t>085325003535</t>
  </si>
  <si>
    <t>+6285325003535</t>
  </si>
  <si>
    <t>cvpermatakonsultan@gmail.com</t>
  </si>
  <si>
    <t>2055/DKP-JT/DKN-PKE/VII/2017</t>
  </si>
  <si>
    <t>16197/P/0710.JT</t>
  </si>
  <si>
    <t>PERTIWI SAKTI, CV.</t>
  </si>
  <si>
    <t>DEWI FATIMAH, ST, Msi.</t>
  </si>
  <si>
    <t>Jl. Kromodiwiryo No. 1 Purwogondo Kalinyamat</t>
  </si>
  <si>
    <t>0291-755180</t>
  </si>
  <si>
    <t>+6281365319493</t>
  </si>
  <si>
    <t>pertiwisakti16@gmail.com</t>
  </si>
  <si>
    <t>18498/P/0867.JT</t>
  </si>
  <si>
    <t>PILAR TRITAMA, CV.</t>
  </si>
  <si>
    <t>Ir. P ARIS SETIA BUDI</t>
  </si>
  <si>
    <t>Perum Pulau Mas RT. 01 RW. 11 Wates Magelang</t>
  </si>
  <si>
    <t>08121579648</t>
  </si>
  <si>
    <t>27/03/2023</t>
  </si>
  <si>
    <t>+628121579648</t>
  </si>
  <si>
    <t>pilartritamakonsultan@yahoo.co.id</t>
  </si>
  <si>
    <t>11780/P/0540.JT</t>
  </si>
  <si>
    <t>PILLARS EGITA, CV.</t>
  </si>
  <si>
    <t>AGUS BURHANUDIN, ST.</t>
  </si>
  <si>
    <t>Perum Griya Taman Asri II Blok B / 5 Taman</t>
  </si>
  <si>
    <t>081826359</t>
  </si>
  <si>
    <t>+62818286359</t>
  </si>
  <si>
    <t>pillars.egita.konsult@gmail.com</t>
  </si>
  <si>
    <t>9923/P/0428.JT</t>
  </si>
  <si>
    <t>PIRAMID REKATAMA KONSULTAN, CV.</t>
  </si>
  <si>
    <t>ADI PRABOWO, ST.</t>
  </si>
  <si>
    <t>Jl. Garuda Perum Dracik Kampus B-25</t>
  </si>
  <si>
    <t>0285-391415</t>
  </si>
  <si>
    <t>+6285866338667</t>
  </si>
  <si>
    <t>cvpiramidrekatamakonsultan@gmail.com</t>
  </si>
  <si>
    <t>9790/P/415.JT</t>
  </si>
  <si>
    <t>PIRAMIDA KREASI MANDIRI, CV.</t>
  </si>
  <si>
    <t>SUMARDIYANTO, ST, MT.</t>
  </si>
  <si>
    <t>Jl. Sawunggaling Utara IV no. 81 Banyumanik</t>
  </si>
  <si>
    <t xml:space="preserve"> 024-7472698</t>
  </si>
  <si>
    <t>+628122800097</t>
  </si>
  <si>
    <t>cv_piramida@yahoo.co.id</t>
  </si>
  <si>
    <t>0427/P/0008.JT</t>
  </si>
  <si>
    <t>POLA DWIPA, PT.</t>
  </si>
  <si>
    <t>Ir. Drs. SUNARTO, MT.</t>
  </si>
  <si>
    <t>Jl. Dr. Wahidin No.167</t>
  </si>
  <si>
    <t>26/06/1983</t>
  </si>
  <si>
    <t>+6281325708033</t>
  </si>
  <si>
    <t>poladwip@gmail.com</t>
  </si>
  <si>
    <t>10331/P/0460.JT</t>
  </si>
  <si>
    <t>POLA PRISMA, CV.</t>
  </si>
  <si>
    <t>pola.prisma@gmail.com</t>
  </si>
  <si>
    <t xml:space="preserve"> 10034/P/0435.JT</t>
  </si>
  <si>
    <t>PRAMBANAN, CV.</t>
  </si>
  <si>
    <t>NGATMIATI, SH.</t>
  </si>
  <si>
    <t>Jl. Amposari Timur No. 3 Rt. 5 RW. 3 Pedurungan</t>
  </si>
  <si>
    <t xml:space="preserve"> 024-76584561</t>
  </si>
  <si>
    <t>+6281326789421</t>
  </si>
  <si>
    <t>prbdisain@yahoo.com</t>
  </si>
  <si>
    <t>8986/P/346.JT</t>
  </si>
  <si>
    <t>PRANATA PRATAMA, CV.</t>
  </si>
  <si>
    <t>Ir. HENING PR. UTARYO</t>
  </si>
  <si>
    <t>Jl. Kanguru Timur III No. 36</t>
  </si>
  <si>
    <t xml:space="preserve"> 024-6720889</t>
  </si>
  <si>
    <t>+628122919176</t>
  </si>
  <si>
    <t>henk_pr@yahoo.co.id</t>
  </si>
  <si>
    <t>1479/II/DKN-PKE/XI/2015</t>
  </si>
  <si>
    <t>16761/P/0735.JT</t>
  </si>
  <si>
    <t>PRANOTO PRANOLO, CV.</t>
  </si>
  <si>
    <t>DYAH SEKTI RISNARTI T, SE.</t>
  </si>
  <si>
    <t>Jl. Lamper Tengah II No. 4</t>
  </si>
  <si>
    <t>024-8444464</t>
  </si>
  <si>
    <t>23/2/2018</t>
  </si>
  <si>
    <t>+628112753545</t>
  </si>
  <si>
    <t>pranoto.pranolo@gmail.com</t>
  </si>
  <si>
    <t>2546/DKP-JT/DKN-PKE/XI/2018</t>
  </si>
  <si>
    <t>18638/P/0885.JT</t>
  </si>
  <si>
    <t>PRATAMA JAYA REKA, PT.</t>
  </si>
  <si>
    <t>ANGGY RIO PRATAMA, ST.</t>
  </si>
  <si>
    <t>Jl. Wijaya Kusuma Residen No. 4 Ngalian</t>
  </si>
  <si>
    <t>082227116364</t>
  </si>
  <si>
    <t>23/8/2023</t>
  </si>
  <si>
    <t>+6282227116364</t>
  </si>
  <si>
    <t>pratamajayareka.office@gmail.com</t>
  </si>
  <si>
    <t xml:space="preserve"> 9078/P/0352.JT</t>
  </si>
  <si>
    <t>PRIMA CIPTA KARSA SABBAPATHAMAM, PT.</t>
  </si>
  <si>
    <t>PRIMA ADITYA NUGRAHA, ST,MT.</t>
  </si>
  <si>
    <t>Jl. Cemara Raya No. 297 Banyumanik</t>
  </si>
  <si>
    <t xml:space="preserve"> 024-7499815</t>
  </si>
  <si>
    <t>+6282133345433</t>
  </si>
  <si>
    <t>primaciptakarsa_smg@yahoo.co.id</t>
  </si>
  <si>
    <t>2053/DKP-JT/DKN-PKE/VII/2017</t>
  </si>
  <si>
    <t xml:space="preserve"> 2042/P/0154.JT</t>
  </si>
  <si>
    <t>PRIMA DISAIN, CV.</t>
  </si>
  <si>
    <t>Ir. TYAS SAPTO NUGROHO, MM.</t>
  </si>
  <si>
    <t>Jl. Semawis Raya No. A-16 Kedungmundu</t>
  </si>
  <si>
    <t xml:space="preserve"> 024-6734974</t>
  </si>
  <si>
    <t>16/6/1988</t>
  </si>
  <si>
    <t>+6285231311814</t>
  </si>
  <si>
    <t>cv_primadisain@yahoo.co.id</t>
  </si>
  <si>
    <t>7874/P/0298.JT</t>
  </si>
  <si>
    <t>PRIMA DUTA, CV.</t>
  </si>
  <si>
    <t>A.RUSBANDARI PRASANTO</t>
  </si>
  <si>
    <t>Jl. Mangga V No. 6</t>
  </si>
  <si>
    <t xml:space="preserve"> 024-7466005</t>
  </si>
  <si>
    <t>27/08/1994</t>
  </si>
  <si>
    <t>+6281212891939</t>
  </si>
  <si>
    <t>duta.primayuda@gmail.com</t>
  </si>
  <si>
    <t>15379/P/0677.JT</t>
  </si>
  <si>
    <t>PRIMA PRAKARSA MAJU BERSAMA, CV.</t>
  </si>
  <si>
    <t>Dr. ANTON AGUS SETYAWAN, SE, Msi.</t>
  </si>
  <si>
    <t>Jl. Ciwiri III RT.2 RW. 18 Makamhaji Kartosuro</t>
  </si>
  <si>
    <t>08156718444</t>
  </si>
  <si>
    <t>25/08/2014</t>
  </si>
  <si>
    <t>+6285643371553</t>
  </si>
  <si>
    <t>cv.ppmb@gmail.com</t>
  </si>
  <si>
    <t>1520/II/DKN-PKE/XI/2015</t>
  </si>
  <si>
    <t>10035/P/0436.JT</t>
  </si>
  <si>
    <t>PRIMASETIA ENG CON, PT.</t>
  </si>
  <si>
    <t>AGUS BUDI HARYONO, ST.</t>
  </si>
  <si>
    <t>Jl. Bengawan G-100 Pudakpyang</t>
  </si>
  <si>
    <t>024-70788209</t>
  </si>
  <si>
    <t>+628122894009</t>
  </si>
  <si>
    <t>pst_engcon@yahoo.co.id</t>
  </si>
  <si>
    <t>15780/P/0692.JT</t>
  </si>
  <si>
    <t>PRISMA REKATAMA KONSULTAN, CV.</t>
  </si>
  <si>
    <t>ISMIATUN, ST.</t>
  </si>
  <si>
    <t>Jl. YOS Sudarso Gg. Serayu No. 20 Proyonanggan Utara</t>
  </si>
  <si>
    <t xml:space="preserve"> '08156556557</t>
  </si>
  <si>
    <t>+6281329046747</t>
  </si>
  <si>
    <t>cvprismarekatamakonsultan@gmail.com</t>
  </si>
  <si>
    <t>1522/II/DKN-PKE/XI/2015</t>
  </si>
  <si>
    <t xml:space="preserve"> 13958/P/0641.JT</t>
  </si>
  <si>
    <t>PUMA, CV.</t>
  </si>
  <si>
    <t>DEDI SETYOWICAHYONO, ST.</t>
  </si>
  <si>
    <t>Jl. Kauman II No. 5 Bintoro</t>
  </si>
  <si>
    <t>0291-685016</t>
  </si>
  <si>
    <t>081326861583</t>
  </si>
  <si>
    <t>+6281328097523</t>
  </si>
  <si>
    <t>puma_corp@ymail.com</t>
  </si>
  <si>
    <t xml:space="preserve"> 2512/P/0193.JT</t>
  </si>
  <si>
    <t>PURI AJI BUANA, PT.</t>
  </si>
  <si>
    <t>Ir. C. SETYO WIDODO, IAI.</t>
  </si>
  <si>
    <t>Jl. Kruing Raya no. 103 Banyumanik</t>
  </si>
  <si>
    <t xml:space="preserve"> 024-7478285</t>
  </si>
  <si>
    <t xml:space="preserve"> 024-8508772</t>
  </si>
  <si>
    <t>26/10/1990</t>
  </si>
  <si>
    <t>+62816656685</t>
  </si>
  <si>
    <t>ptpuriajibuana@gmail.com</t>
  </si>
  <si>
    <t>17789/P/0788.JT</t>
  </si>
  <si>
    <t>PURI SAPTA CONSULTANT, CV.</t>
  </si>
  <si>
    <t>EKO ANTON RUBIANTORO, ST, MT.</t>
  </si>
  <si>
    <t>Perum Bumi Wana Mukti E-III No.. 13 Kec. Tembalang</t>
  </si>
  <si>
    <t xml:space="preserve"> 024-76406220</t>
  </si>
  <si>
    <t>22/1/2021</t>
  </si>
  <si>
    <t>+6285647073665</t>
  </si>
  <si>
    <t>purisaptaconsultant@yahoo.com</t>
  </si>
  <si>
    <t>61/DKP.JT/DKN‐KE‐TLK/III/2022</t>
  </si>
  <si>
    <t>18633/P/0884.JT</t>
  </si>
  <si>
    <t>PURIFIKASI ANDALAN DIPONEGORO, PT.</t>
  </si>
  <si>
    <t>MUHAMMAD LUKIYANA SURYADI, S.T.</t>
  </si>
  <si>
    <t>Jl. Genuk Perbalan II / 4 RT. 02 RW. 5 Tegalsari</t>
  </si>
  <si>
    <t>082220464754</t>
  </si>
  <si>
    <t>18/8/2023</t>
  </si>
  <si>
    <t>+6285294442882</t>
  </si>
  <si>
    <t>ptpurifikasi@gmail.com</t>
  </si>
  <si>
    <t>14232/P/0651.JT</t>
  </si>
  <si>
    <t>PURWA TATA KINERJA, PT.</t>
  </si>
  <si>
    <t>Ir. SETIARSO GUNAWAN, MT.</t>
  </si>
  <si>
    <t>Jl. Sapta Prasetya No. 33</t>
  </si>
  <si>
    <t xml:space="preserve"> 024-6722059</t>
  </si>
  <si>
    <t>+6281325347432</t>
  </si>
  <si>
    <t>purwatataconsultant@gmail.com</t>
  </si>
  <si>
    <t>2054/DKP-JT/DKN-PKE/VII/2017</t>
  </si>
  <si>
    <t>17386/P/0757.JT</t>
  </si>
  <si>
    <t>PUSPAHADI KONSULTAN, CV.</t>
  </si>
  <si>
    <t>SRI BUDIARNI, S.Sos.</t>
  </si>
  <si>
    <t>Jl. Banjarsari No. 4-A RT. 01 RW. 02 Tembalang</t>
  </si>
  <si>
    <t>024-76919992</t>
  </si>
  <si>
    <t>+6282242096797</t>
  </si>
  <si>
    <t>puspahadismg@gmail.com</t>
  </si>
  <si>
    <t>3680/DKP-JT/DKN-KE-TLK/VII/2020</t>
  </si>
  <si>
    <t xml:space="preserve"> 2960/P/0228.JT</t>
  </si>
  <si>
    <t>PUSPITA ENGINEERING CONSULTANT. CV.</t>
  </si>
  <si>
    <t>Ir. MF. SRI MULYANINGSIH, MT.</t>
  </si>
  <si>
    <t>Jl. Ganesha Raya No. 144</t>
  </si>
  <si>
    <t xml:space="preserve"> 024-6710447</t>
  </si>
  <si>
    <t xml:space="preserve"> 024-6710436</t>
  </si>
  <si>
    <t>20/8/1991</t>
  </si>
  <si>
    <t>+6282134508228</t>
  </si>
  <si>
    <t>puspitacons@gmail.com</t>
  </si>
  <si>
    <t xml:space="preserve"> 12460/P/0583.JT</t>
  </si>
  <si>
    <t>PUSPITA KARYA, CV.</t>
  </si>
  <si>
    <t>IRWANTO, ST. Msi.</t>
  </si>
  <si>
    <t>Ds. Banteran RT. 02 RW. 04 Sumbang Banyumas</t>
  </si>
  <si>
    <t>082227528448</t>
  </si>
  <si>
    <t>27/9/2005</t>
  </si>
  <si>
    <t>+62822216311572</t>
  </si>
  <si>
    <t>puspitakarya.pwt@gmail.com</t>
  </si>
  <si>
    <t>18628/P/0883.JT</t>
  </si>
  <si>
    <t>PUSTAKA SENTRA DESAIN, CV.</t>
  </si>
  <si>
    <t>IRKHAM FAUZI, ST.</t>
  </si>
  <si>
    <t>Jl. Suhama No. 19 Bojongsana, Suradadi</t>
  </si>
  <si>
    <t>085642802215</t>
  </si>
  <si>
    <t>14/8/2023</t>
  </si>
  <si>
    <t>+6285642802215</t>
  </si>
  <si>
    <t>pustakasentradesain.cv@gmail.com</t>
  </si>
  <si>
    <t>18819/P/0906.JT</t>
  </si>
  <si>
    <t>PUTRA BERDIKARI, CV.</t>
  </si>
  <si>
    <t>I GDE EKA PRAMANA, ST.</t>
  </si>
  <si>
    <t>Jl. Bukit Megah No. 9 RT. 05 RW. 011 Ngesrep</t>
  </si>
  <si>
    <t>087862766911</t>
  </si>
  <si>
    <t>+6287862766911</t>
  </si>
  <si>
    <t>pberdikari98@gmail.com</t>
  </si>
  <si>
    <t>10733/P/0485.JT</t>
  </si>
  <si>
    <t>PUTRA MANDIRI KONSULTAN, CV.</t>
  </si>
  <si>
    <t>ROKHADI, ST.</t>
  </si>
  <si>
    <t>Dk. Malang RT. 03 RW. 02 Pulosari</t>
  </si>
  <si>
    <t>+6281326861583</t>
  </si>
  <si>
    <t>pumadesain7@yahoo.co.id</t>
  </si>
  <si>
    <t xml:space="preserve"> 8066/P/0308.JT</t>
  </si>
  <si>
    <t>PUTRA PERTIWI PERKASA, PT.</t>
  </si>
  <si>
    <t>WIDYONUGROHO PURWOTO, ST.</t>
  </si>
  <si>
    <t>Jl. Mahesa Raya No. 409  Pav.</t>
  </si>
  <si>
    <t xml:space="preserve"> 024-6710387</t>
  </si>
  <si>
    <t xml:space="preserve"> 024-6725078</t>
  </si>
  <si>
    <t>+6281575200105</t>
  </si>
  <si>
    <t>putrapertiwi@yahoo.co.id</t>
  </si>
  <si>
    <t>18811/P/0905.JT</t>
  </si>
  <si>
    <t>PUTRA RAYA CONSULTANTS, CV.</t>
  </si>
  <si>
    <t>GALIH NUR WICAKSONO, ST.</t>
  </si>
  <si>
    <t>Bulukumba Perum Marjan Regency Blok A-8 Kel. Bandung</t>
  </si>
  <si>
    <t>087828807046</t>
  </si>
  <si>
    <t>+6287828807046</t>
  </si>
  <si>
    <t>putrarayaconsultants@gmail.com</t>
  </si>
  <si>
    <t>17700/P/0776.JT</t>
  </si>
  <si>
    <t>RADIUS ARC, CV.</t>
  </si>
  <si>
    <t>IRFAN SEPTEMNONI, ST.</t>
  </si>
  <si>
    <t>Jl. Dr. Wahidin no. 24 Belakang RSUD Dr. Soesilo</t>
  </si>
  <si>
    <t>085647828892</t>
  </si>
  <si>
    <t>21/102020</t>
  </si>
  <si>
    <t>+6285647828892</t>
  </si>
  <si>
    <t>radius4rc@gmail.com</t>
  </si>
  <si>
    <t>62/DKP.JT/DKN‐KE‐TLK/III/2022</t>
  </si>
  <si>
    <t>17549/P/0765.JT</t>
  </si>
  <si>
    <t>RAFI PERMATA JAYA, CV.</t>
  </si>
  <si>
    <t>AGUS RUDI SANTOSA, ST.</t>
  </si>
  <si>
    <t>Jl. Letjend Sutoyo No. 119 Joglo, Banjarsari</t>
  </si>
  <si>
    <t>081229798738</t>
  </si>
  <si>
    <t>0895422962060</t>
  </si>
  <si>
    <t>27/4/2020</t>
  </si>
  <si>
    <t>+6281229798738</t>
  </si>
  <si>
    <t>rafipermatajaya@gmail.com</t>
  </si>
  <si>
    <t>3676/DKP-JT/DKN-KE-TLK/VII/2020</t>
  </si>
  <si>
    <t>18172/P/0835.JT</t>
  </si>
  <si>
    <t>RAIHAN KONSULTAN, CV.</t>
  </si>
  <si>
    <t>GUNAWAN, S.Si.</t>
  </si>
  <si>
    <t>Jl. Lumbungkerep RT. 02 RW. 02 Wonosari</t>
  </si>
  <si>
    <t>085712721713</t>
  </si>
  <si>
    <t>23/5/2022</t>
  </si>
  <si>
    <t>+6285712721713</t>
  </si>
  <si>
    <t>raihanconsultant@gmail.com</t>
  </si>
  <si>
    <t>10332/P/0461.JT</t>
  </si>
  <si>
    <t>RAJAWALI MANDIRI PERKASA, CV.</t>
  </si>
  <si>
    <t>IMAM SUROSO, ST.</t>
  </si>
  <si>
    <t>Jl. A Yani Gg. Aster No. 2 Kauman</t>
  </si>
  <si>
    <t>0285-391379</t>
  </si>
  <si>
    <t>0285-391601</t>
  </si>
  <si>
    <t>+6285842101280</t>
  </si>
  <si>
    <t>rajawalimpcv@gmail.com</t>
  </si>
  <si>
    <t>10241/P/0444.JT</t>
  </si>
  <si>
    <t>RANCANG BANGUN, CV.</t>
  </si>
  <si>
    <t>BAMBANG EKO PRASETYO, ST</t>
  </si>
  <si>
    <t>Jl. Majapahit No. 25 RT. 7 RW. 23 Sidowayah</t>
  </si>
  <si>
    <t>0295-692242</t>
  </si>
  <si>
    <t>23/6/2001</t>
  </si>
  <si>
    <t>+628122853925</t>
  </si>
  <si>
    <t>rancangbangun_rbg@yahoo.com</t>
  </si>
  <si>
    <t>2056/DKP-JT/DKN-PKE/VII/2017</t>
  </si>
  <si>
    <t>18039/P/0819.JT</t>
  </si>
  <si>
    <t>RANCANG CIPTA GLOBAL, CV.</t>
  </si>
  <si>
    <t>AJIE NUGROHO, ST.</t>
  </si>
  <si>
    <t>Jl. Purwodinatan No. 133 Semarang Tengah</t>
  </si>
  <si>
    <t>085225800075</t>
  </si>
  <si>
    <t>18/1/2022</t>
  </si>
  <si>
    <t>Komisaris</t>
  </si>
  <si>
    <t>+6285225800075</t>
  </si>
  <si>
    <t>rancang.cipta.global@gmail.com</t>
  </si>
  <si>
    <t>63/DKP.JT/DKN‐KE‐TLK/III/2022</t>
  </si>
  <si>
    <t>11838/P/0542.JT</t>
  </si>
  <si>
    <t>RANCANG PRIMA, CV.</t>
  </si>
  <si>
    <t>YUNI AHADIANI, SH</t>
  </si>
  <si>
    <t>Jl. Cempaka Blok H - 214 Gandasuli</t>
  </si>
  <si>
    <t>081548850064</t>
  </si>
  <si>
    <t>+6281548850064</t>
  </si>
  <si>
    <t>hamid_cw530@yahoo.com</t>
  </si>
  <si>
    <t>11898/P/0545.JT</t>
  </si>
  <si>
    <t>RANCANG SEMIRANG, CV.</t>
  </si>
  <si>
    <t>Ir. SUPARTONO</t>
  </si>
  <si>
    <t>Jl. Gurami II / 70 Pav.</t>
  </si>
  <si>
    <t xml:space="preserve"> 024-6921279</t>
  </si>
  <si>
    <t>19/3/2004</t>
  </si>
  <si>
    <t>+6281325759875</t>
  </si>
  <si>
    <t>setiawan1arif@gmail.com</t>
  </si>
  <si>
    <t>17471/P/0762.JT</t>
  </si>
  <si>
    <t>REDCON MITRA PRATAMA, CV.</t>
  </si>
  <si>
    <t>VIKI BALSA A.R, SE, MM.</t>
  </si>
  <si>
    <t>Jl. Ternate III No. 11 Perum Puri Praja</t>
  </si>
  <si>
    <t>0818287005</t>
  </si>
  <si>
    <t>27/2/2020</t>
  </si>
  <si>
    <t>+62818287005</t>
  </si>
  <si>
    <t>vikibalsa@yahoo.com</t>
  </si>
  <si>
    <t>3677/DKP-JT/DKN-KE-TLK/VII/2020</t>
  </si>
  <si>
    <t>14813/P/0661.JT</t>
  </si>
  <si>
    <t>REKA ADICIPTA, CV.</t>
  </si>
  <si>
    <t>NANANG WIJANARKO SETIAWAN, ST.</t>
  </si>
  <si>
    <t>Jl. Candi Pawon Timur No. 4</t>
  </si>
  <si>
    <t>024 7625866</t>
  </si>
  <si>
    <t>17/07/2012</t>
  </si>
  <si>
    <t>+6285727277722</t>
  </si>
  <si>
    <t>rekaadicipta@gmail.com</t>
  </si>
  <si>
    <t xml:space="preserve"> 13271/P/0615.JT</t>
  </si>
  <si>
    <t>REKA DESAIN, CV.</t>
  </si>
  <si>
    <t>SIDARTA TUNGGA TAMA, ST.</t>
  </si>
  <si>
    <t>Dk, Tegal Gaden RT. 07 RW. 03 Trucuk</t>
  </si>
  <si>
    <t xml:space="preserve"> 0272-3102161</t>
  </si>
  <si>
    <t xml:space="preserve"> 0272-3100590</t>
  </si>
  <si>
    <t>30/11/2007</t>
  </si>
  <si>
    <t>+6285293070088</t>
  </si>
  <si>
    <t>cv_rekadesain@yahoo.com</t>
  </si>
  <si>
    <t xml:space="preserve"> 7073/P/0263.JT</t>
  </si>
  <si>
    <t>REKA MATRA KENCANA, CV.</t>
  </si>
  <si>
    <t>SHINTIA IRAWATI, ST.</t>
  </si>
  <si>
    <t>Jl. Pasundan No. 2 Gama Permai 3 Tirto</t>
  </si>
  <si>
    <t xml:space="preserve"> 0285-424522</t>
  </si>
  <si>
    <t xml:space="preserve"> 0285-424570</t>
  </si>
  <si>
    <t>+628156937563</t>
  </si>
  <si>
    <t>rekamatrakencana@yahoo.co.id</t>
  </si>
  <si>
    <t>13705/P/0634.JT</t>
  </si>
  <si>
    <t>REKA PURI DISAIN, CV.</t>
  </si>
  <si>
    <t>SUGIYARTO, ST.</t>
  </si>
  <si>
    <t>Jl. Griya Tembalang Sejahtera I-6 RT. 01 RW. 06 Kel. Kramas</t>
  </si>
  <si>
    <t>024-6701954</t>
  </si>
  <si>
    <t xml:space="preserve">024-6702797 </t>
  </si>
  <si>
    <t>+628979420803</t>
  </si>
  <si>
    <t>drekapuri@yahoo.com</t>
  </si>
  <si>
    <t>17452/P/0761.JT</t>
  </si>
  <si>
    <t>REKADWIPA TEKNIKA STUDIO, PT.</t>
  </si>
  <si>
    <t>MUHAMMAD YUDHA FAIZAL, ST.</t>
  </si>
  <si>
    <t>Jl. Nusa Indah IV No. 49 RT. 01 RW. 15, Ngringgo, Jaten</t>
  </si>
  <si>
    <t>082325668006</t>
  </si>
  <si>
    <t>+6282325668006</t>
  </si>
  <si>
    <t>rekadwipa.studio@gmail.com</t>
  </si>
  <si>
    <t>10966/P/0495.JT</t>
  </si>
  <si>
    <t>REKALAKSANA TRITAMA CONSULTAN. CV.</t>
  </si>
  <si>
    <t>WAISUL ILZA MUKAROM, SE.</t>
  </si>
  <si>
    <t>Ds. Kemaran RT. 01 RW. 05 Jogonegoro Mertoyudan</t>
  </si>
  <si>
    <t xml:space="preserve"> '0853742798260</t>
  </si>
  <si>
    <t>WK Dir</t>
  </si>
  <si>
    <t>+6285742798260</t>
  </si>
  <si>
    <t>tritamalaksana@gmail.com</t>
  </si>
  <si>
    <t>9221/P/358.JT</t>
  </si>
  <si>
    <t>REKAYASA JATI MANDIRI, CV.</t>
  </si>
  <si>
    <t>MOHAMMAD AMIN, ST.</t>
  </si>
  <si>
    <t>Jl. Kendeng Barat IV No. 12</t>
  </si>
  <si>
    <t xml:space="preserve"> 024-8501844</t>
  </si>
  <si>
    <t xml:space="preserve"> 024-8318772</t>
  </si>
  <si>
    <t>+6285770544419</t>
  </si>
  <si>
    <t>rjmcons@yahoo.com</t>
  </si>
  <si>
    <t>3679/DKP-JT/DKN-KE-TLK/VII/2020</t>
  </si>
  <si>
    <t>18118/P/0833.JT</t>
  </si>
  <si>
    <t>RESKO TEKNIK, CV.</t>
  </si>
  <si>
    <t>MUHAMMAD KHASAN AL HAKIM, ST.</t>
  </si>
  <si>
    <t>Ds. Kalireja RT. 04 RW. 02 Kaliwungu</t>
  </si>
  <si>
    <t>0282540480</t>
  </si>
  <si>
    <t>21/03/2022</t>
  </si>
  <si>
    <t>+6281327313786</t>
  </si>
  <si>
    <t>cv.resko_teknik@yahoo.co.id</t>
  </si>
  <si>
    <t>039/DKP-JT/DKN-KE-TLK/I/2023</t>
  </si>
  <si>
    <t>13114/P/0603.JT</t>
  </si>
  <si>
    <t>RETNO PUTRO, CV.</t>
  </si>
  <si>
    <t>DEWI RETNOWATI, ST, MT.</t>
  </si>
  <si>
    <t>Jl. Gatot Subroto KM. 2 RT. 1 RW. 2 Tunjungan</t>
  </si>
  <si>
    <t>081325033641</t>
  </si>
  <si>
    <t>+628122714098</t>
  </si>
  <si>
    <t>tokotunjungan@yahoo.com</t>
  </si>
  <si>
    <t>19015/P/0921.JT</t>
  </si>
  <si>
    <t>RISAN NGREMBOKO KONSULTAN, CV.</t>
  </si>
  <si>
    <t>DWI WULANSARI, SPd.</t>
  </si>
  <si>
    <t>Jl. Temanggal II RT. 03 RW. 05 Bumirejo, Kaliangkrik</t>
  </si>
  <si>
    <t>082133747487</t>
  </si>
  <si>
    <t>+6282133747487</t>
  </si>
  <si>
    <t>risanngremboko@gmail.com</t>
  </si>
  <si>
    <t>16503/P/0583.JT</t>
  </si>
  <si>
    <t>RIZKYTAMA ABADI, CV.</t>
  </si>
  <si>
    <t>BAGUS RIZKY PRATAMA, ST.</t>
  </si>
  <si>
    <t>Dk. Krajan RT. 02 RW. 2 Kec. Kangkung</t>
  </si>
  <si>
    <t>09613745330</t>
  </si>
  <si>
    <t>21/03/2017</t>
  </si>
  <si>
    <t>+6289613745330</t>
  </si>
  <si>
    <t>rizkytamaabadi@gmail.com</t>
  </si>
  <si>
    <t>040/DKP-JT/DKN-KE-TLK/I/2023</t>
  </si>
  <si>
    <t>18243/P/0841.JT</t>
  </si>
  <si>
    <t>SABA KONSTRUKSI, CV.</t>
  </si>
  <si>
    <t>ACHMAD MUSTOFA, S.Ikon.</t>
  </si>
  <si>
    <t>Jl. Sidomulyo RT. 04 RW. 02 Kel. Wonosobo</t>
  </si>
  <si>
    <t>085290401915</t>
  </si>
  <si>
    <t>+6285290401915</t>
  </si>
  <si>
    <t>sabakonstruksi@gmail.com</t>
  </si>
  <si>
    <t>041/DKP-JT/DKN-KE-TLK/I/2023</t>
  </si>
  <si>
    <t xml:space="preserve"> 13657/P/0628.JT</t>
  </si>
  <si>
    <t>SADEAN GAGAS CONSULTANT, CV.</t>
  </si>
  <si>
    <t>IMAM SYAFIUDIN, ST.</t>
  </si>
  <si>
    <t>Jl. Tentara Pelajar RT. 1 RW. 3 Kalisalak</t>
  </si>
  <si>
    <t>0285-4494358</t>
  </si>
  <si>
    <t>22/11/2008</t>
  </si>
  <si>
    <t>+6281329858430</t>
  </si>
  <si>
    <t>sadgasconsultant@gmail.com</t>
  </si>
  <si>
    <t>11977/P/0551.JT</t>
  </si>
  <si>
    <t>SAHAYANA, CV.</t>
  </si>
  <si>
    <t>Ir. GUDADI</t>
  </si>
  <si>
    <t>Jl. Layur Selatan III/15 Sebantengan</t>
  </si>
  <si>
    <t>024-6922182</t>
  </si>
  <si>
    <t>024-6921205</t>
  </si>
  <si>
    <t>27/06/2004</t>
  </si>
  <si>
    <t>+6282242562531</t>
  </si>
  <si>
    <t>cvsahayana@gmail.com</t>
  </si>
  <si>
    <t xml:space="preserve"> 15077/P/0667.JT</t>
  </si>
  <si>
    <t>SAKA CIPTA, CV.</t>
  </si>
  <si>
    <t>FERRYANTO TIPOLULU MAKULOWA, ST.</t>
  </si>
  <si>
    <t>Jl. D.I. Panjaitan No. 71 / 272</t>
  </si>
  <si>
    <t>0282-534325</t>
  </si>
  <si>
    <t>+6285722131111</t>
  </si>
  <si>
    <t>sakacipta@gmail.com</t>
  </si>
  <si>
    <t>1367/P/0123.JT</t>
  </si>
  <si>
    <t>SALCO, CV.</t>
  </si>
  <si>
    <t>LINTANG KINASIH, ST.</t>
  </si>
  <si>
    <t>Jl. H Juanda RT 01 RW. 2 Ring Road Utara</t>
  </si>
  <si>
    <t>0275-3129290</t>
  </si>
  <si>
    <t>+6285640811941</t>
  </si>
  <si>
    <t>salcocv.konsultan@gmail.com</t>
  </si>
  <si>
    <t>1523/DKN-PKE/XI/2015</t>
  </si>
  <si>
    <t>9665/P/0401.JT</t>
  </si>
  <si>
    <t>SALSABILA CONSULT INCORPORATE. CV.</t>
  </si>
  <si>
    <t>HARI SETIO SUKARNO</t>
  </si>
  <si>
    <t>Jl. Setya Budi No. 56</t>
  </si>
  <si>
    <t>0275-7530192</t>
  </si>
  <si>
    <t>081328210970</t>
  </si>
  <si>
    <t>13/5/2000</t>
  </si>
  <si>
    <t>+6281328210970</t>
  </si>
  <si>
    <t>harisetioskn@gmail.com</t>
  </si>
  <si>
    <t>11454/P/0517.JT</t>
  </si>
  <si>
    <t>SAMUDRA KARYA TEKNIK, PT.</t>
  </si>
  <si>
    <t>IDA RAHAYU WIDOWATI, ST. MT</t>
  </si>
  <si>
    <t>Jl. Sidomukti I / 7 Tlogosari</t>
  </si>
  <si>
    <t>024 6714057</t>
  </si>
  <si>
    <t>024 - 6714057</t>
  </si>
  <si>
    <t>20/5/2003</t>
  </si>
  <si>
    <t>+6282241218887</t>
  </si>
  <si>
    <t>samudrakaryateknik@gmail.com</t>
  </si>
  <si>
    <t>19081/P/0929.JT</t>
  </si>
  <si>
    <t>SANDYA LAKSANA FAJAR, PT.</t>
  </si>
  <si>
    <t>YOAS WICAKSANA DHARMA, ST, M.Ars.</t>
  </si>
  <si>
    <t>Jl. Sutowijoyo No. 37 Penumping Laweyan</t>
  </si>
  <si>
    <t>081280001543</t>
  </si>
  <si>
    <t>+6281280001543</t>
  </si>
  <si>
    <t>ptslf.id@gmail.com</t>
  </si>
  <si>
    <t>9602/P/0389.JT</t>
  </si>
  <si>
    <t>SANDIKA, CV.</t>
  </si>
  <si>
    <t>DJAROH, ST.</t>
  </si>
  <si>
    <t>Jl. Agil Kusumadya Gg. Ontorejo No.251</t>
  </si>
  <si>
    <t>0291-440336</t>
  </si>
  <si>
    <t>+6285876872009</t>
  </si>
  <si>
    <t>sandika_kds@yahoo.co.id</t>
  </si>
  <si>
    <t>17702/P/0777.JT</t>
  </si>
  <si>
    <t>SANGKARA ARCHITECT, CV.</t>
  </si>
  <si>
    <t>WAHID LUKMAN HAKIM, S.Ars.</t>
  </si>
  <si>
    <t>Jl. Langon - Sukosono RT. 14 RW. 06 Langon Tahunan</t>
  </si>
  <si>
    <t>081326173675</t>
  </si>
  <si>
    <t>24/10/2020</t>
  </si>
  <si>
    <t>+6281326173675</t>
  </si>
  <si>
    <t>cv.sangkaraarchitect@gmail.com</t>
  </si>
  <si>
    <t>64/DKP.JT/DKN‐KE‐TLK/III/2022</t>
  </si>
  <si>
    <t>18311/P/0847.JT</t>
  </si>
  <si>
    <t>SANGKLAT MATAS PRATOMO, PT.</t>
  </si>
  <si>
    <t>BAGUS TRI BUKO NUGROHO, ST, MT.</t>
  </si>
  <si>
    <t>Puri Eksekutif Blok IB No. 12</t>
  </si>
  <si>
    <t>085647004679</t>
  </si>
  <si>
    <t>+6285647004679</t>
  </si>
  <si>
    <t>pt.sangklatmataspratomo@gmail.com</t>
  </si>
  <si>
    <t>042/DKP-JT/DKN-KE-TLK/I/2023</t>
  </si>
  <si>
    <t>17672/P/0774.JT</t>
  </si>
  <si>
    <t>SARANA LINDUNG FASILITAS, PT.</t>
  </si>
  <si>
    <t>FUADI UMAR JANI, ST</t>
  </si>
  <si>
    <t>Jl. Tumpang IV No. 44 Gajahmungkur</t>
  </si>
  <si>
    <t xml:space="preserve"> 024-8505617</t>
  </si>
  <si>
    <t>18/9/2020</t>
  </si>
  <si>
    <t>+6281325693467</t>
  </si>
  <si>
    <t>slfkonsultan.smg@gmail.com</t>
  </si>
  <si>
    <t>65/DKP.JT/DKN‐KE‐TLK/III/2022</t>
  </si>
  <si>
    <t>0481/P/0062.JT</t>
  </si>
  <si>
    <t>SARANABUDI PRAKARSA RIPTA, PT.</t>
  </si>
  <si>
    <t>IGNATIUS ADI KURNIAWAN, SE.</t>
  </si>
  <si>
    <t xml:space="preserve"> 024-8507315</t>
  </si>
  <si>
    <t>+6282134053434</t>
  </si>
  <si>
    <t>saranabudiprakarsaripta@gmail.com</t>
  </si>
  <si>
    <t>10678/P/0482.JT</t>
  </si>
  <si>
    <t>SARGGA VASTU PRIMA CIPTA, CV.</t>
  </si>
  <si>
    <t>YULIANTO, ST.</t>
  </si>
  <si>
    <t>Perum Patriot Mas VI No. 42</t>
  </si>
  <si>
    <t xml:space="preserve"> '08156641363</t>
  </si>
  <si>
    <t xml:space="preserve"> 0285-420343</t>
  </si>
  <si>
    <t>+6285600265874</t>
  </si>
  <si>
    <t>sarggavastu@yahoo.co.id</t>
  </si>
  <si>
    <t>8930/P/0342.JT</t>
  </si>
  <si>
    <t>SARWO EDHI, CV.</t>
  </si>
  <si>
    <t>Ir. YULIUS ANGGONO IRENG</t>
  </si>
  <si>
    <t>Jl. Kanfer Raya Blok O-1 LT. 2</t>
  </si>
  <si>
    <t>17/6/1997</t>
  </si>
  <si>
    <t>+6281283000870</t>
  </si>
  <si>
    <t>sarwoedhi22@gmail.com</t>
  </si>
  <si>
    <t>17766/P/0786.JT</t>
  </si>
  <si>
    <t>SASMITA MURAKABI ENGINEERING, PT.</t>
  </si>
  <si>
    <t>NURUL FA'IZAH, S.Si, MT.</t>
  </si>
  <si>
    <t>Kauman RT. 07 RW. 1 Ds. Traji, Parakan</t>
  </si>
  <si>
    <t>082318322444</t>
  </si>
  <si>
    <t>+6285640076710</t>
  </si>
  <si>
    <t>sasmita.murakabi@gmail.com</t>
  </si>
  <si>
    <t>66/DKP.JT/DKN‐KE‐TLK/III/2022</t>
  </si>
  <si>
    <t>9771/P/410.JT</t>
  </si>
  <si>
    <t>SEKAR SABTYA, CV.</t>
  </si>
  <si>
    <t>SABARUDIN, ST, MT.</t>
  </si>
  <si>
    <t>Ds. Ngembalrejo RT.06 RW. 02 No. 122, Bae</t>
  </si>
  <si>
    <t xml:space="preserve"> 0291-440930</t>
  </si>
  <si>
    <t>26/08/2000</t>
  </si>
  <si>
    <t>+628156582033</t>
  </si>
  <si>
    <t>cv.sekarsabtya@gmail.com</t>
  </si>
  <si>
    <t>8802/P/336.JT</t>
  </si>
  <si>
    <t>SEKAWAN DAYA, CV.</t>
  </si>
  <si>
    <t>SUPRIYANTI CATUR SETIANI, SPd.</t>
  </si>
  <si>
    <t>Jl. Gedung Batu Utara III / 16 Ngemplak Simongan</t>
  </si>
  <si>
    <t xml:space="preserve"> 024-7626371</t>
  </si>
  <si>
    <t>+6285641414111</t>
  </si>
  <si>
    <t>sekawan.daya@yahoo.co.id</t>
  </si>
  <si>
    <t>1524/DKN-PKE/XI/2015</t>
  </si>
  <si>
    <t>17271/P/0751.JT</t>
  </si>
  <si>
    <t>SELARAS SEMESTA, CV.</t>
  </si>
  <si>
    <t>SABAR WALUYO, ST.</t>
  </si>
  <si>
    <t xml:space="preserve">Jl. Bukit Melati IV No. 77 Sendang Mulyo </t>
  </si>
  <si>
    <t xml:space="preserve"> 024-76741917</t>
  </si>
  <si>
    <t>+6282138763359</t>
  </si>
  <si>
    <t>selarassemesta77@gmail.com</t>
  </si>
  <si>
    <t>1525/DKN-PKE/XI/2015</t>
  </si>
  <si>
    <t xml:space="preserve"> 2125/P/0161.JT</t>
  </si>
  <si>
    <t>SELIMUT BUMI ADHI CIPTA, PT.</t>
  </si>
  <si>
    <t>FITRIA PUSPITASARI, SE.</t>
  </si>
  <si>
    <t>Jl. Karangnayar Gunung No. 267</t>
  </si>
  <si>
    <t xml:space="preserve"> 024-8440134</t>
  </si>
  <si>
    <t xml:space="preserve"> 024-8440125</t>
  </si>
  <si>
    <t>15/11/1988</t>
  </si>
  <si>
    <t>+6281228586731</t>
  </si>
  <si>
    <t>pt_selimutbumi@yahoo.com</t>
  </si>
  <si>
    <t xml:space="preserve"> 7734/P/0294.JT</t>
  </si>
  <si>
    <t>SEMBADA DISAIN, CV.</t>
  </si>
  <si>
    <t>Ir. WIBOWO Ps.</t>
  </si>
  <si>
    <t>Jl. Padi XV/C-909   Genuk Indah</t>
  </si>
  <si>
    <t xml:space="preserve"> 024-3581978</t>
  </si>
  <si>
    <t>08164240521</t>
  </si>
  <si>
    <t>+628164240521</t>
  </si>
  <si>
    <t>sembadadisain@gmail.com</t>
  </si>
  <si>
    <t>18825/P/0909.JT</t>
  </si>
  <si>
    <t>SEMESTA RAHAYU DISAIN, CV.</t>
  </si>
  <si>
    <t>ARIE ANGGIT WICAKSONO, S.Tr.T.</t>
  </si>
  <si>
    <t>Dk Bangunsari Timur, Proyonanggan</t>
  </si>
  <si>
    <t>085290921765</t>
  </si>
  <si>
    <t>+6285290921765</t>
  </si>
  <si>
    <t>semestarahayudisain@gmail.com</t>
  </si>
  <si>
    <t>16331/P/0719.JT</t>
  </si>
  <si>
    <t>SENDO HOKAGE, CV.</t>
  </si>
  <si>
    <t>AFIF NURHIDAYAT, ST.</t>
  </si>
  <si>
    <t>Ds. Gemuruh RT. 03 RW. 03 Kec. Bawang</t>
  </si>
  <si>
    <t>0286-749996</t>
  </si>
  <si>
    <t>+6285217749996</t>
  </si>
  <si>
    <t>sendohokagecv@gmail.com</t>
  </si>
  <si>
    <t>3682/DKP-JT/DKN-KE-TLK/VII/2020</t>
  </si>
  <si>
    <t>16876/P/0739.JT</t>
  </si>
  <si>
    <t>SENIHASTA GRAHA DESAIN, PT.</t>
  </si>
  <si>
    <t>RIYADI SETIAWAN, ST.</t>
  </si>
  <si>
    <t>Sukanandi RT. 03 RW. 02 Kecamatan Banjarnegara</t>
  </si>
  <si>
    <t>082242292942</t>
  </si>
  <si>
    <t>+6282242292942</t>
  </si>
  <si>
    <t>senihastagrahadesain@gmail.com</t>
  </si>
  <si>
    <t>3683/DKP-JT/DKN-KE-TLK/VII/2020</t>
  </si>
  <si>
    <t>17994/P/0817.JT</t>
  </si>
  <si>
    <t>SENO NUR UTAMA CV.</t>
  </si>
  <si>
    <t>SIGIT BAYU SENO AJI, ST.</t>
  </si>
  <si>
    <t>Perum Citra Harmoni Jl. Citra II No. 6-A Rowobelang</t>
  </si>
  <si>
    <t>085293905868</t>
  </si>
  <si>
    <t>19/11/2021</t>
  </si>
  <si>
    <t>+6285293905868</t>
  </si>
  <si>
    <t>cv.senonurutama@gmail.com</t>
  </si>
  <si>
    <t>043/DKP-JT/DKN-KE-TLK/I/2023</t>
  </si>
  <si>
    <t>0 469/P/0050.JT</t>
  </si>
  <si>
    <t>SETIYA BAKTHI, CV.</t>
  </si>
  <si>
    <t>BUDI PRABOWO</t>
  </si>
  <si>
    <t>Jl. Nanas Raya No. 50</t>
  </si>
  <si>
    <t xml:space="preserve"> 0293-5554222</t>
  </si>
  <si>
    <t>+6285640266913</t>
  </si>
  <si>
    <t>cv.setiyabakthi@gmail.com</t>
  </si>
  <si>
    <t>7068/P/0262.JT</t>
  </si>
  <si>
    <t>SIDODADI SAKTI, PT.</t>
  </si>
  <si>
    <t>PRATIWI SETYANING PUTRI, ST, MT.</t>
  </si>
  <si>
    <t>Jl. Wolter Mongisidi No. 95</t>
  </si>
  <si>
    <t xml:space="preserve"> 024-6700383</t>
  </si>
  <si>
    <t>+6281284671090</t>
  </si>
  <si>
    <t>sidodadi_sakti@yahoo.co.id</t>
  </si>
  <si>
    <t>3684/DKP-JT/DKN-KE-TLK/VII/2020</t>
  </si>
  <si>
    <t>17978/P/0816.JT</t>
  </si>
  <si>
    <t>SIGMA PRATAMA ENGINEERING, CV.</t>
  </si>
  <si>
    <t>NUGROHO IMAM PRACOYO, S.P.W.K</t>
  </si>
  <si>
    <t>Jl. Karanggawang RT. 04 RW. 05 Kedungmundu</t>
  </si>
  <si>
    <t>081329888090</t>
  </si>
  <si>
    <t>14/10/2021</t>
  </si>
  <si>
    <t>+628995611385</t>
  </si>
  <si>
    <t>sigmapratamaengineering@gmail.com</t>
  </si>
  <si>
    <t>8887/P/0338.JT</t>
  </si>
  <si>
    <t>SIGMA TIGA, CV.</t>
  </si>
  <si>
    <t>Ir. DWIYANTO JOKO SUPRAPTO, MT</t>
  </si>
  <si>
    <t>Jl. Karanganyar Gunung No. 431-A</t>
  </si>
  <si>
    <t>25/4/1997</t>
  </si>
  <si>
    <t>+628122915590</t>
  </si>
  <si>
    <t>cv_sigmatiga@yahoo.com</t>
  </si>
  <si>
    <t>17287/P/0753.JT</t>
  </si>
  <si>
    <t>SIGMA TUNGGAL UTAMA, CV.</t>
  </si>
  <si>
    <t>ANDIKA PRADIFAN, ST.</t>
  </si>
  <si>
    <t xml:space="preserve"> '081226285059</t>
  </si>
  <si>
    <t>30/8/2019</t>
  </si>
  <si>
    <t>+6281226285059</t>
  </si>
  <si>
    <t>cv.sigmatunggalutama@gmail.com</t>
  </si>
  <si>
    <t>3685/DKP-JT/DKN-KE-TLK/VII/2020</t>
  </si>
  <si>
    <t>9264/P/0363.JT</t>
  </si>
  <si>
    <t>SINAR KONSULTAN JAYA, CV.</t>
  </si>
  <si>
    <t>MOH. OSLAN IKHSAN, ST.</t>
  </si>
  <si>
    <t>Jl. Waringin No. 67 Tegal Timur</t>
  </si>
  <si>
    <t>087830773007</t>
  </si>
  <si>
    <t>27/7/1998</t>
  </si>
  <si>
    <t>+6281325140604</t>
  </si>
  <si>
    <t>cv.sinarkonsultanjaya67@gmail.com</t>
  </si>
  <si>
    <t>18792/P/0903.JT</t>
  </si>
  <si>
    <t>SKALA ABADI JAYA, PT.</t>
  </si>
  <si>
    <t>SUYENTO, ST.</t>
  </si>
  <si>
    <t>Perum Alamanda Estate, Cluster Jasmine No. 210 Mertoyudan</t>
  </si>
  <si>
    <t>081328881100</t>
  </si>
  <si>
    <t>+6281328881100</t>
  </si>
  <si>
    <t>admin@ptskalaabadijaya.com</t>
  </si>
  <si>
    <t>11621/P/0526.JT</t>
  </si>
  <si>
    <t>SKALA TEKNIKATAMA, CV.</t>
  </si>
  <si>
    <t>TUHU SETIYONO, ST.</t>
  </si>
  <si>
    <t>Jl. Sorogo No. 22 Cepu</t>
  </si>
  <si>
    <t xml:space="preserve"> 0296-422383</t>
  </si>
  <si>
    <t>25/8/2003</t>
  </si>
  <si>
    <t>+6281325701008</t>
  </si>
  <si>
    <t>must.tuhu@yahoo.com</t>
  </si>
  <si>
    <t>Pindah profesi</t>
  </si>
  <si>
    <t>12278/P/0569.JT</t>
  </si>
  <si>
    <t>SKETSA, CV.</t>
  </si>
  <si>
    <t>Ir. NUGROHO EDI PURWANTO, MT.</t>
  </si>
  <si>
    <t>Jl. Jati Raya Utama I No. 17 Banyumanik</t>
  </si>
  <si>
    <t xml:space="preserve"> 024-7463004</t>
  </si>
  <si>
    <t>21/4/2005</t>
  </si>
  <si>
    <t>+62877700151538</t>
  </si>
  <si>
    <t>sketsaconsultant@yahoo.com</t>
  </si>
  <si>
    <t>15164/P/0670.JT</t>
  </si>
  <si>
    <t>SLAWI KONSULTAN, CV.</t>
  </si>
  <si>
    <t>RANGGI KHARISMA, ST.</t>
  </si>
  <si>
    <t xml:space="preserve">Jl. Dr. Wahadin No. 8 Slawi </t>
  </si>
  <si>
    <t xml:space="preserve"> 0283-8440125</t>
  </si>
  <si>
    <t>21/10/2013</t>
  </si>
  <si>
    <t>+6285727666911</t>
  </si>
  <si>
    <t>slawikonsultan@gmail.com</t>
  </si>
  <si>
    <t>1526/II/DKN-PKE/XI/2015</t>
  </si>
  <si>
    <t>18793/P/0904.JT</t>
  </si>
  <si>
    <t>SMART LAB DESIGN, CV.</t>
  </si>
  <si>
    <t>MIFTAH HUDIN, S.Ars.</t>
  </si>
  <si>
    <t>Ds. Kemiri RT. 05 RW. 04 Memiri, Kec. Magelang</t>
  </si>
  <si>
    <t>085747011440</t>
  </si>
  <si>
    <t>+6285747011440</t>
  </si>
  <si>
    <t>design.by.smartlab@gmail.com</t>
  </si>
  <si>
    <t>18388/P/0855.JT</t>
  </si>
  <si>
    <t>SONDA REKAYASA, CV.</t>
  </si>
  <si>
    <t>ESON YUDO LAKSONO, ST.</t>
  </si>
  <si>
    <t>Jl. Condronegoro Raya No. 24 Kaligangsawetan</t>
  </si>
  <si>
    <t>+628154031547</t>
  </si>
  <si>
    <t>sondarekayasa2016@gmail.com</t>
  </si>
  <si>
    <t>045/DKP-JT/DKN-KE-TLK/I/2023</t>
  </si>
  <si>
    <t>16622/P/0588.JT</t>
  </si>
  <si>
    <t>SONGO DWIPA AJI, PT.</t>
  </si>
  <si>
    <t>SUMANINGRUM, SE.</t>
  </si>
  <si>
    <t>Perum Mega Residance Cluster Mega Mension No. 35 PP.</t>
  </si>
  <si>
    <t>085876839906</t>
  </si>
  <si>
    <t>21/8/2017</t>
  </si>
  <si>
    <t>+6285727320581</t>
  </si>
  <si>
    <t>pt.songodwipaaji@gmail.com</t>
  </si>
  <si>
    <t>2534/DKP-JT/DKN-PKE/IV/2018</t>
  </si>
  <si>
    <t>17928/P/0806.JT</t>
  </si>
  <si>
    <t>SPIEM-R CONSULTANT, CV.</t>
  </si>
  <si>
    <t>Dr. RITA KARTIKA SARI, SKM, M.Kes</t>
  </si>
  <si>
    <t>Jl. Padi Tengah Raya Blok J No. 24 Gebangsari, Genuk</t>
  </si>
  <si>
    <t>082225934333</t>
  </si>
  <si>
    <t>19/5/2021</t>
  </si>
  <si>
    <t>+6282225934333</t>
  </si>
  <si>
    <t>ritakartika.sr@gmail.com</t>
  </si>
  <si>
    <t>68/DKP.JT/DKN‐KE‐TLK/III/2022</t>
  </si>
  <si>
    <t>470/P/0051.JT</t>
  </si>
  <si>
    <t>STADIA REKA, PT.</t>
  </si>
  <si>
    <t>Ir. DEWI JULIANINGSIH S. MT.</t>
  </si>
  <si>
    <t>Jl. Mrican No. 28</t>
  </si>
  <si>
    <t xml:space="preserve"> 024-8310792 </t>
  </si>
  <si>
    <t xml:space="preserve"> 024-8315128</t>
  </si>
  <si>
    <t>+628112795914</t>
  </si>
  <si>
    <t>pt.stadiareka28@gmail.com</t>
  </si>
  <si>
    <t>16253/P/0713.JT</t>
  </si>
  <si>
    <t>STATIKA TEKNIK, CV.</t>
  </si>
  <si>
    <t>SITI NURHAMIDA, SH.</t>
  </si>
  <si>
    <t>Jl. Bhayangkara Utara I / 1-D Karangjati</t>
  </si>
  <si>
    <t>082243622229</t>
  </si>
  <si>
    <t>+6282243622226</t>
  </si>
  <si>
    <t>statika.cv@gmail.com</t>
  </si>
  <si>
    <t>2059/DKP-JT/DKN-PKE/VIII/2017</t>
  </si>
  <si>
    <t>15378/P/0676.JT</t>
  </si>
  <si>
    <t>STHAPATI RANCANG PRANATA, PT.</t>
  </si>
  <si>
    <t>KUSNADI, ST.</t>
  </si>
  <si>
    <t>Jl. Tumpang IV No. 17 RT. 6 RW. 5</t>
  </si>
  <si>
    <t xml:space="preserve"> 024-8441460</t>
  </si>
  <si>
    <t>22/8/2014</t>
  </si>
  <si>
    <t>+6281575408279</t>
  </si>
  <si>
    <t>sthapati_rp@yahoo.co.id</t>
  </si>
  <si>
    <t>044/DKP-JT/DKN-KE-TLK/I/2023</t>
  </si>
  <si>
    <t>12201/P/0562.JT</t>
  </si>
  <si>
    <t>STUDI TEKNIK KONSULTAN, PT.</t>
  </si>
  <si>
    <t>PANCA HARY SUBAGYA, S.Si, M.Si.</t>
  </si>
  <si>
    <t>Jl. Truntum IX/43 Tlogosari</t>
  </si>
  <si>
    <t xml:space="preserve"> 024-6734211</t>
  </si>
  <si>
    <t xml:space="preserve"> 024-8455601</t>
  </si>
  <si>
    <t>31/01/2005</t>
  </si>
  <si>
    <t>+628156596145</t>
  </si>
  <si>
    <t>studiteknikpt@gmail.com</t>
  </si>
  <si>
    <t>2064/DKP-JT/DKN-PKE/VIII/2017</t>
  </si>
  <si>
    <t xml:space="preserve"> 2223/P/0167.JT</t>
  </si>
  <si>
    <t>STUDIO PLAN, CV.</t>
  </si>
  <si>
    <t>Jl. Tampomas Selatan I/17 Lt. 2</t>
  </si>
  <si>
    <t xml:space="preserve"> 024-8313994</t>
  </si>
  <si>
    <t xml:space="preserve"> 024-8451291</t>
  </si>
  <si>
    <t>22/5/1989</t>
  </si>
  <si>
    <t>+6281215931163</t>
  </si>
  <si>
    <t>cv.studioplan@yahoo.co.id</t>
  </si>
  <si>
    <t>2062/DKP-JT/DKN-PKE/VIII/2017</t>
  </si>
  <si>
    <t>17895/P/0800.JT</t>
  </si>
  <si>
    <t>SUKROSA TEKNOLOGI INDONESIA, PT.</t>
  </si>
  <si>
    <t>FATHUR RAHMAN RIFAI, ST.</t>
  </si>
  <si>
    <t>Jl. Dr. Cipto No. 20</t>
  </si>
  <si>
    <t>08127778767</t>
  </si>
  <si>
    <t>31/3/2021</t>
  </si>
  <si>
    <t>+628127778767</t>
  </si>
  <si>
    <t>sucrotechfinance@yahoo.com</t>
  </si>
  <si>
    <t>69/DKP.JT/DKN‐KE‐TLK/III/2022</t>
  </si>
  <si>
    <t>15792/P/0693.JT</t>
  </si>
  <si>
    <t>SUMBER REKA DESIGN, CV.</t>
  </si>
  <si>
    <t>KUKUH DWI PRASETYO, ST.</t>
  </si>
  <si>
    <t>Jl. Wonodri Kopen Barat I No. 19</t>
  </si>
  <si>
    <t>085325266690</t>
  </si>
  <si>
    <t>27/7/2015</t>
  </si>
  <si>
    <t>+6285325266690</t>
  </si>
  <si>
    <t>sumberrekadesign@gmail.com</t>
  </si>
  <si>
    <t>1528/DKN-PKE/XI/2015</t>
  </si>
  <si>
    <t>17812/P/0792.JT</t>
  </si>
  <si>
    <t>SUMINAR JAYA, CV.</t>
  </si>
  <si>
    <t>WIDIE DWI PAMBUDI, ST.</t>
  </si>
  <si>
    <t>Jl. Karangluhur RT. 02 RW. 03 Kalianget</t>
  </si>
  <si>
    <t>081327038497</t>
  </si>
  <si>
    <t>+6281327038497</t>
  </si>
  <si>
    <t>suminarjaya8@gmail.com</t>
  </si>
  <si>
    <t>70/DKP.JT/DKN‐KE‐TLK/III/2022</t>
  </si>
  <si>
    <t>18545/P/0873.JT</t>
  </si>
  <si>
    <t>SUMUR AGUNG, CV.</t>
  </si>
  <si>
    <t>MUHAMMAD YUSUF AFFANDY, ST.</t>
  </si>
  <si>
    <t>Ds. Bonadem RT. 01 RW. 03, Kebonadeng, Brangsong</t>
  </si>
  <si>
    <t>085641675634</t>
  </si>
  <si>
    <t>29/7/2023</t>
  </si>
  <si>
    <t>+6285641675634</t>
  </si>
  <si>
    <t>cv.sumuragungkendal@gmail.com</t>
  </si>
  <si>
    <t xml:space="preserve"> 1362/P/0118.JT</t>
  </si>
  <si>
    <t>SURVEY PEMBANGUNAN, CV.</t>
  </si>
  <si>
    <t>SOETRISWAN SOEWANDY, ST.</t>
  </si>
  <si>
    <t>Jl. Ketileng I No.35</t>
  </si>
  <si>
    <t xml:space="preserve"> 024-76747786</t>
  </si>
  <si>
    <t>024 - 76747786</t>
  </si>
  <si>
    <t>20/11/2007</t>
  </si>
  <si>
    <t>+6281326376458</t>
  </si>
  <si>
    <t>surveypembangunan@gmail.com</t>
  </si>
  <si>
    <t>986/II/DKN-PKE/VI/2014</t>
  </si>
  <si>
    <t>14931/P/0663.JT</t>
  </si>
  <si>
    <t>SURYA CIPTA RENCANA, CV.</t>
  </si>
  <si>
    <t>EDDY PURNOMO, ST.</t>
  </si>
  <si>
    <t>Jl. Bromo IV No. 84 Papahan Tasikmadu</t>
  </si>
  <si>
    <t>085642027487</t>
  </si>
  <si>
    <t>28/01/2013</t>
  </si>
  <si>
    <t>+6282227319929</t>
  </si>
  <si>
    <t>scr_consultant@yahoo.com</t>
  </si>
  <si>
    <t>985/II/DKN-PKE/VI/2014</t>
  </si>
  <si>
    <t>18048/P/0824.JT</t>
  </si>
  <si>
    <t>SURYA NUSANTARA KONSULTAN, CV.</t>
  </si>
  <si>
    <t>DR. Ir. ANTONIUS, MT.</t>
  </si>
  <si>
    <t>Jl. Pedurungan Kidul IA / 8 Pedurungan</t>
  </si>
  <si>
    <t>08157726677</t>
  </si>
  <si>
    <t>24/01/2022</t>
  </si>
  <si>
    <t>+628157726677</t>
  </si>
  <si>
    <t>suryanuskonsultan@gmail.com</t>
  </si>
  <si>
    <t>71/DKP.JT/DKN‐KE‐TLK/III/2022</t>
  </si>
  <si>
    <t>15603/P/0682.JT</t>
  </si>
  <si>
    <t>SURYA WIYASA, CV.</t>
  </si>
  <si>
    <t>PUTRA DANA UTAMA, ST.</t>
  </si>
  <si>
    <t>Jl. Perum Srondol Asri F No. 7</t>
  </si>
  <si>
    <t>024-7471427</t>
  </si>
  <si>
    <t>23/3/2015</t>
  </si>
  <si>
    <t>+628562667398</t>
  </si>
  <si>
    <t>cv_suryawiyasa@yahoo.com</t>
  </si>
  <si>
    <t>2060/DKP-JT/DKN-PKE/VII/2017</t>
  </si>
  <si>
    <t>14620/P/0659.JT</t>
  </si>
  <si>
    <t>SUSDEC - LPTP, PT.</t>
  </si>
  <si>
    <t>RAHADI, SPd.</t>
  </si>
  <si>
    <t>Jl. Raya Palur KM. 5 Tegal Asri Ngringo Jaten</t>
  </si>
  <si>
    <t xml:space="preserve"> 0271-826620</t>
  </si>
  <si>
    <t xml:space="preserve"> 0271-825107</t>
  </si>
  <si>
    <t>+6281804594003</t>
  </si>
  <si>
    <t>susdec@lptp.or.id</t>
  </si>
  <si>
    <t>987/II/DKN-PKE/VI/2014</t>
  </si>
  <si>
    <t>18567/P/0876.JT</t>
  </si>
  <si>
    <t>TAKABEYA GALA KENCANA, CV.</t>
  </si>
  <si>
    <t>FADLY AGUSTIAN VIRGANTARA, ST.</t>
  </si>
  <si>
    <t>Jl. KNPI Gang Merpati RT. 6 RW. 05 Bangkle</t>
  </si>
  <si>
    <t>081390181917</t>
  </si>
  <si>
    <t>13/6/2023</t>
  </si>
  <si>
    <t>+6281390181917</t>
  </si>
  <si>
    <t>takabeyagalakencana@gmail.com</t>
  </si>
  <si>
    <t>15465/P/0679.JT</t>
  </si>
  <si>
    <t>TAKABEYA UTAMA, CV.</t>
  </si>
  <si>
    <t>ASNIEL AMUS, ST.</t>
  </si>
  <si>
    <t>Jl. Yudha Bhakti Gg. VI No. 5 Medono</t>
  </si>
  <si>
    <t xml:space="preserve"> '08157612052</t>
  </si>
  <si>
    <t>08157612052</t>
  </si>
  <si>
    <t>+628157612052</t>
  </si>
  <si>
    <t>cvtakabeyautama22@gmail.com</t>
  </si>
  <si>
    <t>1529/II/DKN-PKE/XI/2015</t>
  </si>
  <si>
    <t xml:space="preserve"> 8087/P/0311.JT</t>
  </si>
  <si>
    <t>TAMPOMAS 15, CV.</t>
  </si>
  <si>
    <t>VINI YUARINTHA, ST, MM.</t>
  </si>
  <si>
    <t>Jl. Tampomas Selatan I/15</t>
  </si>
  <si>
    <t xml:space="preserve"> 024-8457291</t>
  </si>
  <si>
    <t>+628122923596</t>
  </si>
  <si>
    <t>cv.tampomas_15@yahoo.co.id</t>
  </si>
  <si>
    <t>1488/II/DKN-PKE/XI/2015</t>
  </si>
  <si>
    <t>17545/P/0764.JT</t>
  </si>
  <si>
    <t>TATA REKAPRAYA UTAMA, PT.</t>
  </si>
  <si>
    <t>BUNGA LUDMILA RENDRARPOETRI, ST, MM.</t>
  </si>
  <si>
    <t xml:space="preserve">Jl. Diponegoro II No. 8-A Banyumanik </t>
  </si>
  <si>
    <t>08176345659</t>
  </si>
  <si>
    <t>+628176345659</t>
  </si>
  <si>
    <t>tatarekaprayautamapt@gmail.com</t>
  </si>
  <si>
    <t>3686/DKP-JT/DKN-KE-TLK/VII/2020</t>
  </si>
  <si>
    <t>17882/P/0798.JT</t>
  </si>
  <si>
    <t>TECTONIC ARCH, CV.</t>
  </si>
  <si>
    <t>DIDIN ANOM PRAYOGI, ST</t>
  </si>
  <si>
    <t>Perum Turusgede Blok K No. 22</t>
  </si>
  <si>
    <t>081225219603</t>
  </si>
  <si>
    <t>21/3/2021</t>
  </si>
  <si>
    <t>+6281225219603</t>
  </si>
  <si>
    <t>tectonicarch.rbg@gmail.com</t>
  </si>
  <si>
    <t>72/DKP.JT/DKN‐KE‐TLK/III/2022</t>
  </si>
  <si>
    <t>17800/P/0791.JT</t>
  </si>
  <si>
    <t>TEGAS SKALA TEKNIK, CV.</t>
  </si>
  <si>
    <t>SUHARIYAWAN, ST.</t>
  </si>
  <si>
    <t>Dk. Banker RT. 04 RW. 03 Sendangagung, Kaliori</t>
  </si>
  <si>
    <t>081327730556</t>
  </si>
  <si>
    <t>27/1/2021</t>
  </si>
  <si>
    <t>+6281327730556</t>
  </si>
  <si>
    <t>skala.teknik@yahoo.com</t>
  </si>
  <si>
    <t>73/DKP.JT/DKN‐KE‐TLK/III/2022</t>
  </si>
  <si>
    <t xml:space="preserve"> 11839/P/0543.JT</t>
  </si>
  <si>
    <t>TEHNIKA PRIMA, CV.</t>
  </si>
  <si>
    <t>SAEFUL AMIN, ST.</t>
  </si>
  <si>
    <t>Jl. Pemuda No. 79 Kaligangsa Kulon</t>
  </si>
  <si>
    <t xml:space="preserve"> 081-57736617</t>
  </si>
  <si>
    <t>11/4/004</t>
  </si>
  <si>
    <t>+628179568050</t>
  </si>
  <si>
    <t>tehnikaprima2000@gmail.com</t>
  </si>
  <si>
    <t xml:space="preserve"> 2893/P/0222.JT</t>
  </si>
  <si>
    <t>TEKNIKA JASA, CV.</t>
  </si>
  <si>
    <t>ENY TEGUH SETYOWATI, SH.</t>
  </si>
  <si>
    <t>Jl. Tirtomulyo RT. 02 RW. 12 Gergunung Klaten Utara</t>
  </si>
  <si>
    <t xml:space="preserve"> 0272-322595</t>
  </si>
  <si>
    <t>21/7/1991</t>
  </si>
  <si>
    <t>+6281329688400</t>
  </si>
  <si>
    <t>cvteknika_jasa@yahoo.co.id</t>
  </si>
  <si>
    <t>17734/P/0780.JT</t>
  </si>
  <si>
    <t>TEKNIKA JAYA, CV.</t>
  </si>
  <si>
    <t>ANGGA SETYADI, ST.</t>
  </si>
  <si>
    <t>Jl. Zebra Tengah No. 12-A Pedurungan</t>
  </si>
  <si>
    <t>085640241453</t>
  </si>
  <si>
    <t>30/11/2020</t>
  </si>
  <si>
    <t>+6285640241453</t>
  </si>
  <si>
    <t>teknika.jaya2020@gmail.com</t>
  </si>
  <si>
    <t>74/DKP.JT/DKN‐KE‐TLK/III/2022</t>
  </si>
  <si>
    <t xml:space="preserve"> 12071/P/0557.JT</t>
  </si>
  <si>
    <t>TEMADEA, CV.</t>
  </si>
  <si>
    <t>GARINDRA SIGIT DEWANTO, ST, MSi.</t>
  </si>
  <si>
    <t>Jl. Watu Lawang No. 19 Lt. 2</t>
  </si>
  <si>
    <t xml:space="preserve"> 024-76920868</t>
  </si>
  <si>
    <t xml:space="preserve"> 024-8412845</t>
  </si>
  <si>
    <t>28/8/2004</t>
  </si>
  <si>
    <t>+62817450909</t>
  </si>
  <si>
    <t>admcvtemadea@gmail.com</t>
  </si>
  <si>
    <t>2065/DKP-JT/DKN-PKE/VII/2017</t>
  </si>
  <si>
    <t>474/P/055.JT</t>
  </si>
  <si>
    <t>TERA BUANA MANGGALA JAYA, PT.</t>
  </si>
  <si>
    <t>SINGGIH PRASUSTYA, ST.</t>
  </si>
  <si>
    <t>Jl. Sukun I / 46 Banyumanik</t>
  </si>
  <si>
    <t xml:space="preserve"> 024-76404333</t>
  </si>
  <si>
    <t>pasif</t>
  </si>
  <si>
    <t>+6287721206969</t>
  </si>
  <si>
    <t>tera_buana@yahoo.com</t>
  </si>
  <si>
    <t>15552/P/0680.JT</t>
  </si>
  <si>
    <t>TIGA DIMENSI, CV.</t>
  </si>
  <si>
    <t>MUH. AGUS TRI SETYO CAHYADI, S.Ars.</t>
  </si>
  <si>
    <t>Kp. Kenteng RT. 02 RW. 03 Kejiwan</t>
  </si>
  <si>
    <t xml:space="preserve"> 0286-322737</t>
  </si>
  <si>
    <t>26/1/2015</t>
  </si>
  <si>
    <t>+6285293191549</t>
  </si>
  <si>
    <t>tigadimensi66@gmail.com</t>
  </si>
  <si>
    <t>1531/II/DKN-PKE/XI/2015</t>
  </si>
  <si>
    <t>13995/P/0644.JT</t>
  </si>
  <si>
    <t>TIGA PUSAKA DISAIN, CV.</t>
  </si>
  <si>
    <t>RANU ARIANTO, ST</t>
  </si>
  <si>
    <t>Jl. YOS Sudarso Gg. Manggis 04/01 Kasepuhan</t>
  </si>
  <si>
    <t xml:space="preserve">0285-7863293 </t>
  </si>
  <si>
    <t>19/11/2009</t>
  </si>
  <si>
    <t>+6285869049978</t>
  </si>
  <si>
    <t>3pusakadisain@gmail.com</t>
  </si>
  <si>
    <t>12865/P/0592.JT</t>
  </si>
  <si>
    <t>TIKA MAPINDO DESAIN, CV.</t>
  </si>
  <si>
    <t>KARYONO, Ssi. MSi.</t>
  </si>
  <si>
    <t>Dk. Tegalngepringan RT. 1 RW. 4 Lumbungkerep</t>
  </si>
  <si>
    <t xml:space="preserve"> 0271-5847348</t>
  </si>
  <si>
    <t>20/1/2007</t>
  </si>
  <si>
    <t>+6281548742002</t>
  </si>
  <si>
    <t>masyonoupi@gmail.com</t>
  </si>
  <si>
    <t>18054/P/0826.JT</t>
  </si>
  <si>
    <t>TITIAN SEJAHTERA KONSULTAN, CV.</t>
  </si>
  <si>
    <t>TONI SIGIT RADIKA, ST.</t>
  </si>
  <si>
    <t>Jl. Raya Kendal Serut RT. 02 RW. 05 Pangkah</t>
  </si>
  <si>
    <t>082324747461</t>
  </si>
  <si>
    <t>+6282324747461</t>
  </si>
  <si>
    <t>titiansejahtera86@gmail.com</t>
  </si>
  <si>
    <t xml:space="preserve"> 5013/P/239.JT</t>
  </si>
  <si>
    <t>TITIS ENGINEERING CONSULTANT, CV.</t>
  </si>
  <si>
    <t>Ir. H SUTRISNO, MT.</t>
  </si>
  <si>
    <t>Jl. Batursari Asri C/101 Mranggen - Demak</t>
  </si>
  <si>
    <t>024-6702797</t>
  </si>
  <si>
    <t>13/3/1992</t>
  </si>
  <si>
    <t>+628164894887</t>
  </si>
  <si>
    <t>affandi.sutrisno@yahoo.co.id</t>
  </si>
  <si>
    <t>7408/P/0283.JT</t>
  </si>
  <si>
    <t>TJIPTANING PAKASRAYA, CV.</t>
  </si>
  <si>
    <t>SUNARSO, BE.</t>
  </si>
  <si>
    <t>Jl. Warga Bakti IV/77 Mangunjaya</t>
  </si>
  <si>
    <t>0281-624754</t>
  </si>
  <si>
    <t>30/8/1993</t>
  </si>
  <si>
    <t>ciptasraya@yahoo.com</t>
  </si>
  <si>
    <t>19155/P/0933.JT</t>
  </si>
  <si>
    <t>TRI ARTHA PRAJAKARYA, PT.</t>
  </si>
  <si>
    <t>HN NURUL HUDA PUTU EKAPRAJA, ST, MT.</t>
  </si>
  <si>
    <t>TEKNIK</t>
  </si>
  <si>
    <t>Jl. Satya Prasetya Utara VI No. 116 Pedurungan</t>
  </si>
  <si>
    <t>08111464245</t>
  </si>
  <si>
    <t>+628111464245</t>
  </si>
  <si>
    <t>pt.triarthaprajakarya@gmail.com</t>
  </si>
  <si>
    <t>16322/0717.JT</t>
  </si>
  <si>
    <t>TRI CIPTA ADIYASA, PT.</t>
  </si>
  <si>
    <t>MOHAMMAD KAFAFAL AZMI, ST.</t>
  </si>
  <si>
    <t>Ds. Wiradesa RT. 22 RW. 05 Wiradesa</t>
  </si>
  <si>
    <t>0285-448372</t>
  </si>
  <si>
    <t>+6285640467395</t>
  </si>
  <si>
    <t>tcadiyasa@yahoo.com</t>
  </si>
  <si>
    <t>2068/DKP-JT/DKN-PKE/VII/2017</t>
  </si>
  <si>
    <t xml:space="preserve"> 2772/P/0216.JT</t>
  </si>
  <si>
    <t>TRI DESAIN, CV.</t>
  </si>
  <si>
    <t>AKHMAD ZUHRI, ST.</t>
  </si>
  <si>
    <t>Griya Kendal Asri Raya Kav. 47 RT. 07 RW. 05 Langenharjo</t>
  </si>
  <si>
    <t>14/3/1991</t>
  </si>
  <si>
    <t>+6281325893809</t>
  </si>
  <si>
    <t>tri.desain@yahoo.com</t>
  </si>
  <si>
    <t>17573/P/0769.JT</t>
  </si>
  <si>
    <t>TRI HASTA SEJAHTERA, PT.</t>
  </si>
  <si>
    <t>DICKY SAMSUNAR YULIYANTO, ST.</t>
  </si>
  <si>
    <t>Jl. Puspanjolo Barat I No. 4 Pav.</t>
  </si>
  <si>
    <t>081229025644</t>
  </si>
  <si>
    <t>+6281229025644</t>
  </si>
  <si>
    <t>trihastasejahtera@gmail.com</t>
  </si>
  <si>
    <t>3688/DKP-JT/DKN-KE-TLK/VII/2020</t>
  </si>
  <si>
    <t>9686/P/403.JT</t>
  </si>
  <si>
    <t>TRI HITA KARANA, CV.</t>
  </si>
  <si>
    <t>AA. WIDHIYANTO, ST. MT.</t>
  </si>
  <si>
    <t>Jl. Singa Timur IV No. 7</t>
  </si>
  <si>
    <t>+6281326016789</t>
  </si>
  <si>
    <t>tri_karana@yahoo.com</t>
  </si>
  <si>
    <t xml:space="preserve">8606/P/326.JT </t>
  </si>
  <si>
    <t>TRI SAKTI ARSITEK, CV.</t>
  </si>
  <si>
    <t>HERRY SANTOSO, ST.</t>
  </si>
  <si>
    <t>Perum Puspa Regency No. 29 Pedurungan Kidul</t>
  </si>
  <si>
    <t xml:space="preserve"> 024-6731911</t>
  </si>
  <si>
    <t>+6281211133357</t>
  </si>
  <si>
    <t>cvtrisaktiarsitek@gmail.com</t>
  </si>
  <si>
    <t>10300/P/0453.JT</t>
  </si>
  <si>
    <t>TRIA CITRAGUNA DISAIN, CV.</t>
  </si>
  <si>
    <t>ARIEF WICAKSONO PRAMONO P, ST.</t>
  </si>
  <si>
    <t>Jl. Durian Selaran II / 32 Srondol Wetan</t>
  </si>
  <si>
    <t>024-86452677</t>
  </si>
  <si>
    <t>+628122521696</t>
  </si>
  <si>
    <t>tcitragunadesain@gmail.com</t>
  </si>
  <si>
    <t>990/II/DKN-PKE/VI/2014</t>
  </si>
  <si>
    <t xml:space="preserve"> 0473/P/0054.JT</t>
  </si>
  <si>
    <t>TRIAS DESIGN, CV.</t>
  </si>
  <si>
    <t>WACHID BANU HIDAYAT, SPd.</t>
  </si>
  <si>
    <t>Gg. Potrosaran 2 No. 8/195  RT. 6 RW. 6 Potrobangsan</t>
  </si>
  <si>
    <t xml:space="preserve"> 0293-366196</t>
  </si>
  <si>
    <t>+628174127961</t>
  </si>
  <si>
    <t>endrotrias@gmail.com</t>
  </si>
  <si>
    <t>2542/DKP-JT/DKN-PKE/IV/2018</t>
  </si>
  <si>
    <t>16080/P/0705.JT</t>
  </si>
  <si>
    <t>TRIAS HUTAMA, CV.</t>
  </si>
  <si>
    <t>IMAM SUPRIYONO, ST.</t>
  </si>
  <si>
    <t>Perum Graha Aura Ketileng No. 27 Sendang Mulyo</t>
  </si>
  <si>
    <t xml:space="preserve"> 024-76410522</t>
  </si>
  <si>
    <t>28/3/2016</t>
  </si>
  <si>
    <t>+6285779779901</t>
  </si>
  <si>
    <t>trias_hutama@yahoo.com</t>
  </si>
  <si>
    <t>2069/DKP-JT/DKN-PKE/VII/2017</t>
  </si>
  <si>
    <t xml:space="preserve"> 12202/P/0563.JT</t>
  </si>
  <si>
    <t>TRIDAYA ENGINEERING CONSULTANT, CV.</t>
  </si>
  <si>
    <t>DANUGRA MARTANTYO, ST.</t>
  </si>
  <si>
    <t>Jl. Ngesrep Timur VI No. 50</t>
  </si>
  <si>
    <t xml:space="preserve"> 024-7471375</t>
  </si>
  <si>
    <t xml:space="preserve"> 024-76636521</t>
  </si>
  <si>
    <t>31/1//2005</t>
  </si>
  <si>
    <t>+6281215502769</t>
  </si>
  <si>
    <t>wyd.trid@gmail.com</t>
  </si>
  <si>
    <t>2539/DKP-JT/DKN-PKE/IV/2018</t>
  </si>
  <si>
    <t>17758/P/0783.JT</t>
  </si>
  <si>
    <t>TRIGANA JAYA KONSULTAN, CV.</t>
  </si>
  <si>
    <t>RIFQY THORIQ, ST</t>
  </si>
  <si>
    <t>Pringtali RT. 01 RW. 01 Kaloran</t>
  </si>
  <si>
    <t>087839861840</t>
  </si>
  <si>
    <t>+6285875468550</t>
  </si>
  <si>
    <t>triganajayakonsultan.cv@gmail.com</t>
  </si>
  <si>
    <t>046/DKP-JT/DKN-KE-TLK/I/2023</t>
  </si>
  <si>
    <t>18577/P/0880.JT</t>
  </si>
  <si>
    <t>TRUSS, CV.</t>
  </si>
  <si>
    <t>ARIF HIDAYAT, S.Pd.</t>
  </si>
  <si>
    <t>Jl. Kejayaan No. 26-F Tamanwinangun</t>
  </si>
  <si>
    <t>085336045161</t>
  </si>
  <si>
    <t>26/6/2023</t>
  </si>
  <si>
    <t>+6285336045161</t>
  </si>
  <si>
    <t>truss.cv21@gmail.com</t>
  </si>
  <si>
    <t>8407/P/0321.JT</t>
  </si>
  <si>
    <t>TUMBUH JAYA DESAIN, PT.</t>
  </si>
  <si>
    <t>HENDARTO KURNIAWAN, ST.</t>
  </si>
  <si>
    <t>Jl. Anggun Utara Blok P No. 23 A Graha Estetika</t>
  </si>
  <si>
    <t xml:space="preserve"> 024-76916737</t>
  </si>
  <si>
    <t xml:space="preserve"> 024-76481050</t>
  </si>
  <si>
    <t>18/9/1995</t>
  </si>
  <si>
    <t>pt.tjdesain@yahoo.com</t>
  </si>
  <si>
    <t>18339/P/0849.JT</t>
  </si>
  <si>
    <t>TUNAS, CV.</t>
  </si>
  <si>
    <t>AGUS ROCHANI, ST.</t>
  </si>
  <si>
    <t>Jl. Alamanda B/329 Bukit Diponegoro Tembalang</t>
  </si>
  <si>
    <t xml:space="preserve"> 024-76918865</t>
  </si>
  <si>
    <t>+628122837761</t>
  </si>
  <si>
    <t>tunaskonsultan@yahoo.com</t>
  </si>
  <si>
    <t>047/DKP-JT/DKN-KE-TLK/I/2023</t>
  </si>
  <si>
    <t>18104/P/0830.JT</t>
  </si>
  <si>
    <t>TUNGGUL MAJAPAHIT SEJAHTERA, PT.</t>
  </si>
  <si>
    <t>Ir. ACHMAD AFIF ALWI, MT.</t>
  </si>
  <si>
    <t>Jl. Majapahit 101 A RT. 03 RW. 04 Pandean Lamper</t>
  </si>
  <si>
    <t>+628156503097</t>
  </si>
  <si>
    <t>tunggulmajapahitsejahtera@gmail.com</t>
  </si>
  <si>
    <t>75/DKP.JT/DKN‐KE‐TLK/III/2022</t>
  </si>
  <si>
    <t xml:space="preserve">14029/P/0645.JT </t>
  </si>
  <si>
    <t>TUTUR KARSA PRIMA, PT.</t>
  </si>
  <si>
    <t>ARIF TEGUH MARTONO, SE.</t>
  </si>
  <si>
    <t>Jl. Tanjungsari IV no. 23-A Sumurboto Banyumanik</t>
  </si>
  <si>
    <t xml:space="preserve"> 024-3588766</t>
  </si>
  <si>
    <t xml:space="preserve"> 024-3516542</t>
  </si>
  <si>
    <t>+6285866868838</t>
  </si>
  <si>
    <t>pt.tuturkarsaprima@gmail.com</t>
  </si>
  <si>
    <t>992/II/DKN-PKE/VI/2014</t>
  </si>
  <si>
    <t>18674/P/0886.JT</t>
  </si>
  <si>
    <t>UNDIP CITRA CIPTAPRIMA, PT.</t>
  </si>
  <si>
    <t>LALA IRVIANA, SE, MM. Ph.D.</t>
  </si>
  <si>
    <t>Gedung BTB Jl. Prof Soedarto, SH Tembalang</t>
  </si>
  <si>
    <t>024-86302159</t>
  </si>
  <si>
    <t>+62816662820</t>
  </si>
  <si>
    <t>undipcitra@gmail.com</t>
  </si>
  <si>
    <t xml:space="preserve">18434/P/0862.JT </t>
  </si>
  <si>
    <t>UNGGUL SENTOSA JAYA, CV.</t>
  </si>
  <si>
    <t>PULUNG WIJAYA, SH.</t>
  </si>
  <si>
    <t>Jl. Raya Pacul Perum Mutiara Dhika Blok A No. 10 Talang</t>
  </si>
  <si>
    <t xml:space="preserve"> '087792724030</t>
  </si>
  <si>
    <t>+6287792724030</t>
  </si>
  <si>
    <t>unggulsentosajaya1@gmail.com</t>
  </si>
  <si>
    <t>16102/P/0707.JT</t>
  </si>
  <si>
    <t>URBAN DIMENSI, CV.</t>
  </si>
  <si>
    <t>VINDA NIMPIA DEKARAWAN, ST.</t>
  </si>
  <si>
    <t>Griya Tirta Indah Gg. 10 No. 11 Tirto</t>
  </si>
  <si>
    <t>081575933118</t>
  </si>
  <si>
    <t>085201143846</t>
  </si>
  <si>
    <t>+628112741411</t>
  </si>
  <si>
    <t>urbandimensi@gmail.com</t>
  </si>
  <si>
    <t>17893/P/0799.JT</t>
  </si>
  <si>
    <t>VAN TECHNO SAA, PT.</t>
  </si>
  <si>
    <t>NURMALASARI, SE. MM.</t>
  </si>
  <si>
    <t>Jl. Branjangan No. 8 Semarang Utara</t>
  </si>
  <si>
    <t>+062985979777</t>
  </si>
  <si>
    <t>+6287731787677</t>
  </si>
  <si>
    <t>van.pt.vts@gmail.com</t>
  </si>
  <si>
    <t>76/DKP.JT/DKN‐KE‐TLK/III/2022</t>
  </si>
  <si>
    <t xml:space="preserve">11775/P/0535.JT </t>
  </si>
  <si>
    <t>VASA SARWAHITA, PT.</t>
  </si>
  <si>
    <t>TRI SULISTYO, ST, MT.</t>
  </si>
  <si>
    <t>Jl. Sawunggaling IV No. 17 Banyumanik</t>
  </si>
  <si>
    <t xml:space="preserve"> 024-76481181</t>
  </si>
  <si>
    <t xml:space="preserve"> 024-8444339</t>
  </si>
  <si>
    <t>13/4/2004</t>
  </si>
  <si>
    <t>+6282227444255</t>
  </si>
  <si>
    <t>v_sarwahita@yahoo.co.id</t>
  </si>
  <si>
    <t>993/II/DKN-PKE/VI/2014</t>
  </si>
  <si>
    <t xml:space="preserve">11689/P/0532.JT </t>
  </si>
  <si>
    <t>VASTUDHITA ENGINEERING CONSULTANT, CV.</t>
  </si>
  <si>
    <t>EKA SUCIHARMIYANTI, S.ST.Keb.</t>
  </si>
  <si>
    <t>Jl. Perum Graha Naya Permata 2 Blok B No. 3 Pekuncen</t>
  </si>
  <si>
    <t>+0625878267006</t>
  </si>
  <si>
    <t>+6285878267006</t>
  </si>
  <si>
    <t>vastudhita.ec@gmail.com</t>
  </si>
  <si>
    <t xml:space="preserve">15713/P/0686.JT </t>
  </si>
  <si>
    <t>VASTUDHITA KONSULTAN TEKNIK, PT.</t>
  </si>
  <si>
    <t>BUDI UTOMO, ST, MT.</t>
  </si>
  <si>
    <t>Perum Citra Ograha Blok C No. 5 Pacartirto</t>
  </si>
  <si>
    <t>0285-7918215</t>
  </si>
  <si>
    <t>0285-4460019</t>
  </si>
  <si>
    <t>+6285600080066</t>
  </si>
  <si>
    <t>pt.vastudhita@yahoo.com</t>
  </si>
  <si>
    <t>1534/II/DKN-PKE/XI/2015</t>
  </si>
  <si>
    <t>16097/P/0706.JT</t>
  </si>
  <si>
    <t>VENTRO, CV.</t>
  </si>
  <si>
    <t>Ir. EKO WIDYATMOKO</t>
  </si>
  <si>
    <t>Jl. Bukit Melati Raya Blok C No. 373 Sendangmulyo</t>
  </si>
  <si>
    <t>024-76739006</t>
  </si>
  <si>
    <t>+6281228517676</t>
  </si>
  <si>
    <t>ventro.engcons@gmail.com</t>
  </si>
  <si>
    <t>2072/DKP-JT/DKN-PKE/VII/2017</t>
  </si>
  <si>
    <t>10490/P/0468.JT</t>
  </si>
  <si>
    <t>VERIO KONSULTAN, CV.</t>
  </si>
  <si>
    <t>VICTOR ALOYSIUS MARIO OCTARA, ST.</t>
  </si>
  <si>
    <t>Jl. Sarbini No. 5</t>
  </si>
  <si>
    <t>0293-493541</t>
  </si>
  <si>
    <t>+6285643264143</t>
  </si>
  <si>
    <t>verio_konsultan@yahoo.co.id</t>
  </si>
  <si>
    <t>12280/P/0571.JT</t>
  </si>
  <si>
    <t>WAHANA KARYA PUTRATAMA, CV.</t>
  </si>
  <si>
    <t>WIDODO ESTUDADI, ST.</t>
  </si>
  <si>
    <t>Jl. Sabuk Alu No. 121-B</t>
  </si>
  <si>
    <t xml:space="preserve"> 0286-5801250</t>
  </si>
  <si>
    <t>+628122751166</t>
  </si>
  <si>
    <t>wahanakonsultan@gmail.com</t>
  </si>
  <si>
    <t>994/II/DKN-PKE/VI/2014</t>
  </si>
  <si>
    <t>16327/P/0718.JT</t>
  </si>
  <si>
    <t>WAHYU KARSA, PT.</t>
  </si>
  <si>
    <t>AYUTA LESTARIANI, ST,</t>
  </si>
  <si>
    <t>Jl. Rorojonggrang Selatan II No. 76</t>
  </si>
  <si>
    <t>024-76636521</t>
  </si>
  <si>
    <t>+6285740894145</t>
  </si>
  <si>
    <t>tridkarsa@gmail.com</t>
  </si>
  <si>
    <t>2071/DKP-JT/DKN-PKE/VII/2017</t>
  </si>
  <si>
    <t>17077/P/0743.JT</t>
  </si>
  <si>
    <t>WAJENDRA JAYA LESTARI, PT.</t>
  </si>
  <si>
    <t>YONNANDA RIAWAN, ST,</t>
  </si>
  <si>
    <t>Jl. Jatisari Taliasih Blok E.14 Mijen</t>
  </si>
  <si>
    <t>+0621329174664</t>
  </si>
  <si>
    <t>+6281329174664</t>
  </si>
  <si>
    <t>wajendra.jaya.lestari@gmail.com</t>
  </si>
  <si>
    <t>3689/DKP-JT/DKN-KE-TLK/VII/2020</t>
  </si>
  <si>
    <t>11107/P/0502.JT</t>
  </si>
  <si>
    <t>WASTU ARSY ARCHITECTS, CV.</t>
  </si>
  <si>
    <t>ARIYANTO, ST. MT</t>
  </si>
  <si>
    <t>Jl Ratu Kalinyamat RT. 3/ 5 Krapyak</t>
  </si>
  <si>
    <t>0291-598282</t>
  </si>
  <si>
    <t>+628122902641</t>
  </si>
  <si>
    <t>wastuarsyarchitects@gmail.com</t>
  </si>
  <si>
    <t>17/112017</t>
  </si>
  <si>
    <t>0480/P/0061.JT</t>
  </si>
  <si>
    <t>WASTUWIDYAWAN, PT.</t>
  </si>
  <si>
    <t>WAHYU SUSILARSO, SE.</t>
  </si>
  <si>
    <t>Jl  Semeru No. 9-C Lt. 2</t>
  </si>
  <si>
    <t xml:space="preserve"> 024-8440256</t>
  </si>
  <si>
    <t>+6282222202756</t>
  </si>
  <si>
    <t>ptwastuwidyawan@gmail.com</t>
  </si>
  <si>
    <t>1535/II/DKN-PKE/XI/2015</t>
  </si>
  <si>
    <t>9858/P/0422.JT</t>
  </si>
  <si>
    <t>WEGANDA SRICAHYA KONSULTAN, PT.</t>
  </si>
  <si>
    <t>UCANG SUKRISWANTO, ST. MT.</t>
  </si>
  <si>
    <t>Jl. KABUPATEN SEMARANG Semarang KM. 3 RT. 1 RW. 2 Putat</t>
  </si>
  <si>
    <t>0292-7701605</t>
  </si>
  <si>
    <t>08122801581</t>
  </si>
  <si>
    <t>25/11/2000</t>
  </si>
  <si>
    <t>+6282335803890</t>
  </si>
  <si>
    <t>ptwegandasricahya@gmail.com</t>
  </si>
  <si>
    <t>006.P/DKP-JT/DKN-KE-TLK/III/2023</t>
  </si>
  <si>
    <t>0477/P/0058.JT</t>
  </si>
  <si>
    <t>WIDHA, PT.</t>
  </si>
  <si>
    <t>OKTAMITHA PRATITA, SE.</t>
  </si>
  <si>
    <t>Jl. Prof. H Soedarto, SH No. 58</t>
  </si>
  <si>
    <t xml:space="preserve"> 024-7464680</t>
  </si>
  <si>
    <t>+628112766901</t>
  </si>
  <si>
    <t>widhacon@yahoo.com</t>
  </si>
  <si>
    <t>3690/DKP-JT/DKN-KE-TLK/VII/2020</t>
  </si>
  <si>
    <t>16841/P/0737.JT</t>
  </si>
  <si>
    <t>WIJOYOKUSUMO KONSULTAN, CV.</t>
  </si>
  <si>
    <t>NUR HADI, ST.</t>
  </si>
  <si>
    <t>Ds. Getas Pejaten RT. 08 RW. 03 Kec. Jati</t>
  </si>
  <si>
    <t>+06285290955918</t>
  </si>
  <si>
    <t>26/04/2018</t>
  </si>
  <si>
    <t>+6285290955918</t>
  </si>
  <si>
    <t>cv.wijoyokusumo.konsultan@gmail.com</t>
  </si>
  <si>
    <t>BLM PKE</t>
  </si>
  <si>
    <t>19029/P/0922.JT</t>
  </si>
  <si>
    <t>WIN KARYA DESAIN, CV.</t>
  </si>
  <si>
    <t>MOH PAESAL TANTOWI, S.Ars.</t>
  </si>
  <si>
    <t>Dk. Kedokan RT. 021 RW. 04 Klego</t>
  </si>
  <si>
    <t>088233957068</t>
  </si>
  <si>
    <t>+6288233957068</t>
  </si>
  <si>
    <t>winkaryadesain24@gmail.com</t>
  </si>
  <si>
    <t>17206/P/0748.JT</t>
  </si>
  <si>
    <t>WIRA AMANAH, CV.</t>
  </si>
  <si>
    <t>ARIF RAHMAN, ST.</t>
  </si>
  <si>
    <t>Ds. Sendang Mulyo RT. 01 RW. 01 Kragan</t>
  </si>
  <si>
    <t>+0622220268958</t>
  </si>
  <si>
    <t>+6282220268958</t>
  </si>
  <si>
    <t>wiraamanah001@gmail.com</t>
  </si>
  <si>
    <t>3692/DKP-JT/DKN-KE-TLK/VII/2020</t>
  </si>
  <si>
    <t>18838/P/0910.JT</t>
  </si>
  <si>
    <t>WIRAKARYA ABADI, CV.</t>
  </si>
  <si>
    <t>ZULFIKRI ALI RAHMAN, ST.</t>
  </si>
  <si>
    <t xml:space="preserve">Dukuh Gringging, Desa / Kelurahan Samirejo, Kec. Dawe </t>
  </si>
  <si>
    <t>085228445528</t>
  </si>
  <si>
    <t>+085228445528</t>
  </si>
  <si>
    <t>wirakaryaabadi.cv@gmail.com</t>
  </si>
  <si>
    <t>18823/P/0907.JT</t>
  </si>
  <si>
    <t>WISANGGENI ARSITEKTUR, CV.</t>
  </si>
  <si>
    <t xml:space="preserve">Jl. Raya Kulu Baru Tanjung Kulon RT. 01 RW. 01 </t>
  </si>
  <si>
    <t>081326003886</t>
  </si>
  <si>
    <t>+6281326003886</t>
  </si>
  <si>
    <t>cvwisanggeniarsitektur@gmail.com</t>
  </si>
  <si>
    <t>1356/P/0112.JT</t>
  </si>
  <si>
    <t>WISANGGENI KONSULTAN, CV.</t>
  </si>
  <si>
    <t>Dr. FX. EDDY ARINTO</t>
  </si>
  <si>
    <t>Jl. Achmad Yani No. 300-A</t>
  </si>
  <si>
    <t xml:space="preserve"> 0293-363989</t>
  </si>
  <si>
    <t xml:space="preserve"> 0293-364587</t>
  </si>
  <si>
    <t>+6281228128668</t>
  </si>
  <si>
    <t>wisanggeni_cv@yahoo.com</t>
  </si>
  <si>
    <t>3693/DKP-JT/DKN-KE-TLK/VII/2020</t>
  </si>
  <si>
    <t xml:space="preserve"> 7394/P/0282.JT</t>
  </si>
  <si>
    <t>WISMA ARTISTIKA, CV.</t>
  </si>
  <si>
    <t>PHILSA NINDYA PERDANA, ST</t>
  </si>
  <si>
    <t>Jl. Satria Barat I/H-336</t>
  </si>
  <si>
    <t xml:space="preserve"> 024-3554552</t>
  </si>
  <si>
    <t>16/8/1993</t>
  </si>
  <si>
    <t>+6285641230370</t>
  </si>
  <si>
    <t>wismaartistika@gmail.com</t>
  </si>
  <si>
    <t>995/II/DKN-PKE/VI/201</t>
  </si>
  <si>
    <t xml:space="preserve"> 1970/P/0150.JT</t>
  </si>
  <si>
    <t>WISWAKHARMAN, PT.</t>
  </si>
  <si>
    <t>Dra. HAN SIANG LIE</t>
  </si>
  <si>
    <t>Jl. Bukit Tenis No. 4 Bukitsari</t>
  </si>
  <si>
    <t xml:space="preserve"> 024-8311974</t>
  </si>
  <si>
    <t xml:space="preserve"> 024-8442615</t>
  </si>
  <si>
    <t>+62811297531</t>
  </si>
  <si>
    <t>wkharman_smrg@yahoo.com</t>
  </si>
  <si>
    <t>9459/P/0371.JT</t>
  </si>
  <si>
    <t>WULAN NDARI, CV.</t>
  </si>
  <si>
    <t>TONI SETYAWAN, ST.</t>
  </si>
  <si>
    <t>Jl. Jend Sudirman No. 1022 Ds. Sikanco</t>
  </si>
  <si>
    <t xml:space="preserve"> 0282-5291505</t>
  </si>
  <si>
    <t>+6281327374667</t>
  </si>
  <si>
    <t>cv.wulanndari@gmail.com</t>
  </si>
  <si>
    <t>18363/P/0853.JT</t>
  </si>
  <si>
    <t>XYNERVA PRATAMA CONSULTANT DESIGN, CV.</t>
  </si>
  <si>
    <t>MUHAMMAD ARIF SUDARMAN, S.Pd</t>
  </si>
  <si>
    <t>Jl. Landungsari Gg 16 Noyontaansari Kec. Pekalongan Timur</t>
  </si>
  <si>
    <t>+0625876754988</t>
  </si>
  <si>
    <t>19/12/2023</t>
  </si>
  <si>
    <t>+6285876754988</t>
  </si>
  <si>
    <t>xynerva.pratama.consultant@gmail.com</t>
  </si>
  <si>
    <t>048/DKP-JT/DKN-KE-TLK/I/2023</t>
  </si>
  <si>
    <t xml:space="preserve"> 1363/P/0119.JT</t>
  </si>
  <si>
    <t>YUDHA PERKASA KONSULTAN, PT.</t>
  </si>
  <si>
    <t>Drs. Al.SUNARYO, MT.</t>
  </si>
  <si>
    <t xml:space="preserve">Jl. Gatot Subroto Gg. Tanjung No. 16 </t>
  </si>
  <si>
    <t>0293-4900251</t>
  </si>
  <si>
    <t>+6282135541181</t>
  </si>
  <si>
    <t>sunhardjyp@gmail.com</t>
  </si>
  <si>
    <t>0429/T/0010.JT</t>
  </si>
  <si>
    <t>YODYA KARYA (Persero) Wilayah I , PT.</t>
  </si>
  <si>
    <t>SISWANDI, ST, MT.</t>
  </si>
  <si>
    <t>Jl. Sriwijaya No. 41</t>
  </si>
  <si>
    <t xml:space="preserve"> 024-8313900</t>
  </si>
  <si>
    <t xml:space="preserve"> 024-8412833</t>
  </si>
  <si>
    <t>+6281228271629</t>
  </si>
  <si>
    <t>yoka.pajak@gmail.com</t>
  </si>
  <si>
    <t>2533/DKP-JT/DKN-PKE/IVF/2018</t>
  </si>
  <si>
    <t>Mengundurkan diri</t>
  </si>
  <si>
    <t>12985/P/0597.JT</t>
  </si>
  <si>
    <t>DAYA SUWIJI, CV.</t>
  </si>
  <si>
    <t>Ir. ABDULLAH SYARIF, M.Eng.</t>
  </si>
  <si>
    <t>Jl. Kapten Sudibyo No. 152 C Debong Lor</t>
  </si>
  <si>
    <t>0283 353552</t>
  </si>
  <si>
    <t>+628123578003</t>
  </si>
  <si>
    <t>fina.kusnadi@gmail.com</t>
  </si>
  <si>
    <t xml:space="preserve"> 15883/P/0696.JT</t>
  </si>
  <si>
    <t>GELORA CRONO TEKNIK, CV.</t>
  </si>
  <si>
    <t>RANGGA WICAKSANA PUTRA, ST.</t>
  </si>
  <si>
    <t xml:space="preserve">Ds. Suberjo RT. 03 RW. 07 </t>
  </si>
  <si>
    <t>081575603424</t>
  </si>
  <si>
    <t>+6285640667363</t>
  </si>
  <si>
    <t>geloracrono2@yahoo.com</t>
  </si>
  <si>
    <t>KORWIL 1</t>
  </si>
  <si>
    <t>Kab. Ungaran</t>
  </si>
  <si>
    <t>Kota Salatiga</t>
  </si>
  <si>
    <t>Kab. Kendal</t>
  </si>
  <si>
    <t>KTA TDK DIPERPANJANG</t>
  </si>
  <si>
    <t>Perusahaan</t>
  </si>
  <si>
    <t>Kab. Grobogan</t>
  </si>
  <si>
    <t>KTA YANG PERPANJANGAN</t>
  </si>
  <si>
    <t>Kab. Demak</t>
  </si>
  <si>
    <t>JUMLAH</t>
  </si>
  <si>
    <t>JML ANGGOTA</t>
  </si>
  <si>
    <t>KORWIL 2</t>
  </si>
  <si>
    <t>Kab. Pati</t>
  </si>
  <si>
    <t>Kab. Kudus</t>
  </si>
  <si>
    <t>Kab. PATI</t>
  </si>
  <si>
    <t>Kab. Rembang</t>
  </si>
  <si>
    <t>Kab. Blora</t>
  </si>
  <si>
    <t>KORWIL 3</t>
  </si>
  <si>
    <t>Kota Surakarta</t>
  </si>
  <si>
    <t>Kab. Boyolali</t>
  </si>
  <si>
    <t>Kab. Klaten</t>
  </si>
  <si>
    <t>Kab. Sukoharjo</t>
  </si>
  <si>
    <t>Kab. SURAKARTA</t>
  </si>
  <si>
    <t>Kab. Wonogiri</t>
  </si>
  <si>
    <t>KORWIL 4</t>
  </si>
  <si>
    <t>Kab/Kota Magelang</t>
  </si>
  <si>
    <t>Kab. Purworejo</t>
  </si>
  <si>
    <t>Kab. Temanggung</t>
  </si>
  <si>
    <t>Kab. Kebumen</t>
  </si>
  <si>
    <t>Kab. Wonosobo</t>
  </si>
  <si>
    <t>KORWIL 5</t>
  </si>
  <si>
    <t>Kab. Banyumas</t>
  </si>
  <si>
    <t>Kab. Banjarnegara</t>
  </si>
  <si>
    <t>Kab. Cilacap</t>
  </si>
  <si>
    <t>Kab. Purbalingga</t>
  </si>
  <si>
    <t>KORWIL 6</t>
  </si>
  <si>
    <t>Kab. Brebes</t>
  </si>
  <si>
    <t>Kota/Kab Tegal</t>
  </si>
  <si>
    <t>Rivet</t>
  </si>
  <si>
    <t>Kampas rem</t>
  </si>
  <si>
    <t>Stiker</t>
  </si>
  <si>
    <t>Talang spion</t>
  </si>
  <si>
    <t>DATA BASE ANGGOTA INKINDO JAWA TENGAH</t>
  </si>
  <si>
    <t>BULAN JANUARI 2026</t>
  </si>
  <si>
    <t xml:space="preserve">Ruko NYC Blok E-07 CitraGrand Jl. Kompol. R. Soekanto </t>
  </si>
  <si>
    <t>BINARA DUAJEE, PT.</t>
  </si>
  <si>
    <t>ADHIGANA RIKSHA PRATAMA, CV.</t>
  </si>
  <si>
    <t>19185/P/0934.JT</t>
  </si>
  <si>
    <t>SONA SORAYA, SE.</t>
  </si>
  <si>
    <t>NON TEKNIK</t>
  </si>
  <si>
    <t>Komplek Toko Perum Graha Naya No. 4</t>
  </si>
  <si>
    <t>081226145741</t>
  </si>
  <si>
    <t>p</t>
  </si>
  <si>
    <t>+6281226145741</t>
  </si>
  <si>
    <t>adhigunarikshapratama@gmail.com</t>
  </si>
  <si>
    <t>6</t>
  </si>
  <si>
    <t>8</t>
  </si>
  <si>
    <t>3</t>
  </si>
  <si>
    <t>7</t>
  </si>
  <si>
    <t>10</t>
  </si>
  <si>
    <t>9</t>
  </si>
  <si>
    <t>Jl. Bukit Palem Raya Blok G.1 No. 8  RT. 03 RW. 30 Tembalang</t>
  </si>
  <si>
    <t>JAFAR ARIFUDIN, ST.</t>
  </si>
  <si>
    <t>GUNA DHARMA</t>
  </si>
  <si>
    <t>KRIDA KARYA</t>
  </si>
  <si>
    <t>PATRA PADMA</t>
  </si>
  <si>
    <t>VASTUDHITA</t>
  </si>
  <si>
    <t>WASTU ARSY</t>
  </si>
  <si>
    <t>NUSAKON</t>
  </si>
  <si>
    <t>BINARA DUAJE</t>
  </si>
  <si>
    <t>ADYA POLA</t>
  </si>
  <si>
    <t>SEKAWAN DAYA</t>
  </si>
  <si>
    <t>+6281327944183</t>
  </si>
  <si>
    <t>KARANGANYAR</t>
  </si>
  <si>
    <t>ANDIKA SYAHRUL FIRDAN, S.Kom.</t>
  </si>
  <si>
    <t>AFRIZA ATAMA, S.Tr.T.</t>
  </si>
  <si>
    <t xml:space="preserve">Perum Kota Kita Blok B B5/22 Jabungan Banyumanik </t>
  </si>
  <si>
    <t>+6285156991001</t>
  </si>
  <si>
    <t>085156991001</t>
  </si>
  <si>
    <t>ANNISA EKA KUSUMANINGRUM, SH</t>
  </si>
  <si>
    <t>+6281226593500</t>
  </si>
  <si>
    <t>BULAN PEBRAURI 2026</t>
  </si>
  <si>
    <t>TAUFIK NOOR PUTRANTO, ST.</t>
  </si>
  <si>
    <t>Dir-2</t>
  </si>
  <si>
    <t>AGIL, ST.</t>
  </si>
  <si>
    <t xml:space="preserve">+6281389764005 </t>
  </si>
  <si>
    <t>BINARA DUA JEE, PT.</t>
  </si>
  <si>
    <t>Jl. Ngesrep Barat III / 16 Komplek PP RT. 05 RW.09 Srondol Kulon</t>
  </si>
  <si>
    <t>ptannabapersada5757@gmail.com</t>
  </si>
  <si>
    <t>Jl. Nanas Raya No. 50 Kalinegoro</t>
  </si>
  <si>
    <t>0469/P/0050.JT</t>
  </si>
  <si>
    <t>HANI PRASETYO, ST.</t>
  </si>
  <si>
    <t>TAHUN 2026</t>
  </si>
  <si>
    <t>Jl. Sumodarsono RT. 02 RW. 01 Kel Mlangsen, Kec Blora</t>
  </si>
  <si>
    <t>19224/P/0935.JT</t>
  </si>
  <si>
    <t>AKASA REKA SOLUSI, CV..</t>
  </si>
  <si>
    <t>IMAM NAZARUDIN, ST.</t>
  </si>
  <si>
    <t>Ds. Bogares Kidul RT. 011 RW. 02 Pangkah</t>
  </si>
  <si>
    <t>087777558890</t>
  </si>
  <si>
    <t>+6287777558890</t>
  </si>
  <si>
    <t>akasarekasolusi@gmail.com</t>
  </si>
  <si>
    <t>BULAN MARET 2026</t>
  </si>
  <si>
    <t>19227/P/0936.JT</t>
  </si>
  <si>
    <t>DIPO DHARMA PERSADA, PT.</t>
  </si>
  <si>
    <t>YOESUA SUSETYO ARDHI, ST.</t>
  </si>
  <si>
    <t>Jl. Taman Setyabudi Primatama No. 91 Banyumanik</t>
  </si>
  <si>
    <t>082334124593</t>
  </si>
  <si>
    <t>+6282334124593</t>
  </si>
  <si>
    <t>dipodharmapersada@gmail.com</t>
  </si>
  <si>
    <t>AKASA REKA SOLUSI, CV.</t>
  </si>
  <si>
    <t>081326020802</t>
  </si>
  <si>
    <t>19238/P/0937.JT</t>
  </si>
  <si>
    <t>KONSULTAN BANGUN PERKASA, CV.</t>
  </si>
  <si>
    <t>TRI MURWANTO, S.Ars.</t>
  </si>
  <si>
    <t>Jl. Raya Timur Jatimulya RT. 05 RW. 02 Jatimulya, Lebaksiu</t>
  </si>
  <si>
    <t>081332659059</t>
  </si>
  <si>
    <t>+6281332659059</t>
  </si>
  <si>
    <t>cvkonsultanbangunperkasa@gmail.com</t>
  </si>
  <si>
    <t>AIRLANGGA TIARA APPRESINDO, PT.</t>
  </si>
  <si>
    <t>MAKKY ROIHAN , S.E</t>
  </si>
  <si>
    <t>Jl. Ungaran Timur I No. 18 Wonotingal Candisari</t>
  </si>
  <si>
    <t>085726669797</t>
  </si>
  <si>
    <t>+6285726669797</t>
  </si>
  <si>
    <t>airlanggaapresindo@gmail.com</t>
  </si>
  <si>
    <t>19091/P/0938.JT</t>
  </si>
  <si>
    <t>MUHAMMAD TAUFAN PUTRA, ST.</t>
  </si>
  <si>
    <t>JEPARA</t>
  </si>
  <si>
    <t>SRAGEN</t>
  </si>
  <si>
    <t>PEMALANG</t>
  </si>
  <si>
    <t>DERYSTANTO WINATAMA, ST.</t>
  </si>
  <si>
    <t>08112887070</t>
  </si>
  <si>
    <t>ptnexusconsultant@gmail.com</t>
  </si>
  <si>
    <t>FIRMAN SATRIADI HARIADI, ST.</t>
  </si>
  <si>
    <t>19244/P/0939.JT</t>
  </si>
  <si>
    <t>+628112887070</t>
  </si>
  <si>
    <t>No. DPT</t>
  </si>
  <si>
    <t>10628/P/0875.JT</t>
  </si>
  <si>
    <t>19258/P/940.JT</t>
  </si>
  <si>
    <t>GANENDRA ASCARYA, CV.</t>
  </si>
  <si>
    <t>MULYADI, ST.</t>
  </si>
  <si>
    <t xml:space="preserve">Sembung RT. 03 RW. 04 Sembung Wedi </t>
  </si>
  <si>
    <t>+6285601042220</t>
  </si>
  <si>
    <t>cvganendraascarya@gmail.com</t>
  </si>
  <si>
    <t>19259/P/0941.JT</t>
  </si>
  <si>
    <t>AMBARA, CV.</t>
  </si>
  <si>
    <t>M LUTFI ADI PRATAMA, ST.</t>
  </si>
  <si>
    <t>Ds. Panusupan No. 31 Depok, Pangkah</t>
  </si>
  <si>
    <t>+6282138348878</t>
  </si>
  <si>
    <t>ambara18225@gmail.com</t>
  </si>
  <si>
    <t>TDK DPT</t>
  </si>
  <si>
    <t>BULAN APRIL 2026</t>
  </si>
  <si>
    <t>PANDU PRONOJATI, SE.</t>
  </si>
  <si>
    <t>Jl. Dr. Wahidin No. 167</t>
  </si>
  <si>
    <t>+6285743912487</t>
  </si>
  <si>
    <t>+6281229052067</t>
  </si>
  <si>
    <t>+62816665908</t>
  </si>
  <si>
    <t>085647722210</t>
  </si>
  <si>
    <t>Kab Batang</t>
  </si>
  <si>
    <t>Kab Pemalang</t>
  </si>
  <si>
    <t>Kab/Kota  Pekalongan</t>
  </si>
  <si>
    <t>Kab. Jepara</t>
  </si>
  <si>
    <t>Kab. KARANGANYAR</t>
  </si>
  <si>
    <t>Kab. Sragen</t>
  </si>
  <si>
    <t>NEXUS ENGINEERING CONSULTANT, PT.</t>
  </si>
  <si>
    <t>19273/P/0942.JT</t>
  </si>
  <si>
    <t>KJJP JASA PENILAI PUBLIK SIH WIRYADI DAN REKAN</t>
  </si>
  <si>
    <t>SIH WIRYADI, SE, M.Si, M.Ec.Dev. MAPPI</t>
  </si>
  <si>
    <t>Jl. Ki Mangun Sarkoro No. 55 Banjarsari</t>
  </si>
  <si>
    <t>0271717910</t>
  </si>
  <si>
    <t>+628122657966</t>
  </si>
  <si>
    <t>kjjpsihwiryadi@gmail.com</t>
  </si>
  <si>
    <t>BULAN MEI 2026</t>
  </si>
  <si>
    <t>19275/P/0943.JT</t>
  </si>
  <si>
    <t>MOGU JAYA CONSULTANT, CV.</t>
  </si>
  <si>
    <t>MUHAMMAD GUFRON NUL HAQIM, ST.</t>
  </si>
  <si>
    <t>Ds. Sigaluh RT. 01 RW. 01 Sigaluh</t>
  </si>
  <si>
    <t>BELUN</t>
  </si>
  <si>
    <t>+6285397003078</t>
  </si>
  <si>
    <t>mogujaya9@gmail.com</t>
  </si>
  <si>
    <t>TANGGAL LAHIR PJBU</t>
  </si>
  <si>
    <t>08/0/1994</t>
  </si>
  <si>
    <t>YOGI AFIDIANTO, ST</t>
  </si>
  <si>
    <t>+6282133818585</t>
  </si>
  <si>
    <t>Ar. WISARDHONO HENDRO ARDIANTO, ST, IAI.</t>
  </si>
  <si>
    <t>+6281325551323</t>
  </si>
  <si>
    <t>10/21990</t>
  </si>
  <si>
    <t>14/101987</t>
  </si>
  <si>
    <t>31/11/1995</t>
  </si>
  <si>
    <t>tridesainkdl@gmail.com</t>
  </si>
  <si>
    <t>geofondasimultikonsultan@gmail.com</t>
  </si>
  <si>
    <t>greenenvirotamapt@gmail.com</t>
  </si>
  <si>
    <t>7/3/1994</t>
  </si>
  <si>
    <t>19289/P/0944.JT</t>
  </si>
  <si>
    <t>KENDHAMEL CONSULTANT, CV.</t>
  </si>
  <si>
    <t>RIKY DWI HERMAWAN, ST.</t>
  </si>
  <si>
    <t>Jl. Pramuka No. 65 Kec. Kota</t>
  </si>
  <si>
    <t>+6289624317370</t>
  </si>
  <si>
    <t>kendhamel.consultant24@gmail.com</t>
  </si>
  <si>
    <t>19290/P/0945.JT</t>
  </si>
  <si>
    <t>GHITAMA KARYA ENGINEERING, CV.</t>
  </si>
  <si>
    <t>MUHAMMAD REZA GHIFARI, ST.</t>
  </si>
  <si>
    <t>Jl. Cendana II No. 7 RT. 06 RW. 09 Kel. Kauman</t>
  </si>
  <si>
    <t>085290284429</t>
  </si>
  <si>
    <t>+6285290284429</t>
  </si>
  <si>
    <t>Ket</t>
  </si>
  <si>
    <t>Kode KOTA</t>
  </si>
  <si>
    <t>33.04</t>
  </si>
  <si>
    <t>33.05</t>
  </si>
  <si>
    <t>33.06</t>
  </si>
  <si>
    <t>33.07</t>
  </si>
  <si>
    <t>33.08</t>
  </si>
  <si>
    <t>33.09</t>
  </si>
  <si>
    <t>33.10</t>
  </si>
  <si>
    <t>33.11</t>
  </si>
  <si>
    <t>33.12</t>
  </si>
  <si>
    <t>33.13</t>
  </si>
  <si>
    <t>33.14</t>
  </si>
  <si>
    <t>33.16</t>
  </si>
  <si>
    <t>33.17</t>
  </si>
  <si>
    <t>33.18</t>
  </si>
  <si>
    <t>33.19</t>
  </si>
  <si>
    <t>33.20</t>
  </si>
  <si>
    <t>33.21</t>
  </si>
  <si>
    <t>33.22</t>
  </si>
  <si>
    <t>33.23</t>
  </si>
  <si>
    <t>33.24</t>
  </si>
  <si>
    <t>33.25</t>
  </si>
  <si>
    <t>33.26</t>
  </si>
  <si>
    <t>33.27</t>
  </si>
  <si>
    <t>33.28</t>
  </si>
  <si>
    <t>33.29</t>
  </si>
  <si>
    <t>33.71</t>
  </si>
  <si>
    <t>33.72</t>
  </si>
  <si>
    <t>33.74</t>
  </si>
  <si>
    <t>33.75</t>
  </si>
  <si>
    <t>33.76</t>
  </si>
  <si>
    <t>33.01</t>
  </si>
  <si>
    <t>33.03</t>
  </si>
  <si>
    <t>33.02</t>
  </si>
  <si>
    <t xml:space="preserve">EDI SUBIYANTO, Ir. </t>
  </si>
  <si>
    <t>MUR DWI RAHARJO, ST.</t>
  </si>
  <si>
    <t>No</t>
  </si>
  <si>
    <t>ANTON AGUS SETYAWAN, Dr. SE, Msi.</t>
  </si>
  <si>
    <t>S AGUS NURDIJANTO, Dr. Drs. MM, Msi.</t>
  </si>
  <si>
    <t>FX. EDDY ARINTO, Dr.</t>
  </si>
  <si>
    <t>ANTONIUS, DR. Ir. MT.</t>
  </si>
  <si>
    <t>HARRY MUHARSYAH SUNGGUH, Dr. Ir. MT.</t>
  </si>
  <si>
    <t>MELULOSA ANDHYTYA SAKTI, Dr. SP, MP.</t>
  </si>
  <si>
    <t>RITA KARTIKA SARI, Dr. SKM, M.Kes</t>
  </si>
  <si>
    <t>RM. BAGUS IRAWAN, Dr. ST, M.Si.</t>
  </si>
  <si>
    <t>SINGGIH HARTANTO, DR. ST. MT.</t>
  </si>
  <si>
    <t xml:space="preserve">DYAH HERLIYANI SETYOWATI, Dra. </t>
  </si>
  <si>
    <t xml:space="preserve">HAN SIANG LIE, Dra.  </t>
  </si>
  <si>
    <t xml:space="preserve">RITA ASTUTI, Dra. </t>
  </si>
  <si>
    <t>ACHMAD SUBAGYO, Drs. MT.</t>
  </si>
  <si>
    <t>Al. SUNARYO, Drs. MT.</t>
  </si>
  <si>
    <t xml:space="preserve">ANDI PRIYATMOKO, Drs. </t>
  </si>
  <si>
    <t>ARIAS HERWICAKSONO, Drs. ST.</t>
  </si>
  <si>
    <t xml:space="preserve">SUWARSONO, Drs. </t>
  </si>
  <si>
    <t>GUNARTO, Drs. MM.</t>
  </si>
  <si>
    <t>ARIS HANDONO WARIH, ST. MT</t>
  </si>
  <si>
    <t>NOK CHOSYI'AH, S.Pd</t>
  </si>
  <si>
    <t>ADIRSYAH SEBAYANG, Ir. Msi.</t>
  </si>
  <si>
    <t>ABDULLAH SYARIF, Ir. M.Eng.</t>
  </si>
  <si>
    <t>ACHMAD AFIF ALWI, Ir. MT.</t>
  </si>
  <si>
    <t>ADHI MARTOPO PURNOMO SIDI, Ir.</t>
  </si>
  <si>
    <t xml:space="preserve">AGUS INDRIJO, Ir. </t>
  </si>
  <si>
    <t>AGUS SUPARDO, Ir.</t>
  </si>
  <si>
    <t>AGUS SUPRIYANTO, Ir.</t>
  </si>
  <si>
    <t>AL GHOFAR, Ir.</t>
  </si>
  <si>
    <t>ALI IKHWAN, Ir.</t>
  </si>
  <si>
    <t>ARIF RAHMAN HAKIM, Ir. ST, MMT, IPP.</t>
  </si>
  <si>
    <t>ASRUL SANI ANTUL, Ir.</t>
  </si>
  <si>
    <t>AY. HARI SUSILO, Ir.</t>
  </si>
  <si>
    <t>C. SETYO WIDODO, Ir. IAI.</t>
  </si>
  <si>
    <t xml:space="preserve">SLAMET KITRI, Ir. Ch. </t>
  </si>
  <si>
    <t>DEWI JULIANINGSIH, Ir. S. MT.</t>
  </si>
  <si>
    <t>JOKO MURTONO, Ir. Drs. ST. MT.</t>
  </si>
  <si>
    <t>Drs. SUNARTO, Ir. MT.</t>
  </si>
  <si>
    <t>DWI WAHYUDI, Ir.</t>
  </si>
  <si>
    <t>DWI WINDARKO, Ir.</t>
  </si>
  <si>
    <t>DWIYANTO JOKO SUPRAPTO, Ir. MT</t>
  </si>
  <si>
    <t>EDY PURYANTO, Ir.</t>
  </si>
  <si>
    <t>EKO WIDYATMOKO, Ir.</t>
  </si>
  <si>
    <t>FS. SULISTOMO, Ir.</t>
  </si>
  <si>
    <t>GUDADI, Ir.</t>
  </si>
  <si>
    <t>SUTRISNO, Ir. MT.</t>
  </si>
  <si>
    <t>HENI WATI, Ir.</t>
  </si>
  <si>
    <t>HENING PR. UTARYO, Ir.</t>
  </si>
  <si>
    <t>HERIYANTO, Ir.</t>
  </si>
  <si>
    <t>ISNAINI HIDAYATI, Ir.</t>
  </si>
  <si>
    <t>LIES HERAWATI, Ir.</t>
  </si>
  <si>
    <t>M BUDIARTO, Ir.</t>
  </si>
  <si>
    <t>M.ROFI'I,, Ir. BSc.</t>
  </si>
  <si>
    <t>MARIE NING MURDIYANTI, Ir.</t>
  </si>
  <si>
    <t>MARSONO, Ir. MT.</t>
  </si>
  <si>
    <t>SRI MULYANINGSIH, Ir. MF. MT.</t>
  </si>
  <si>
    <t>MICHAEL PRIBADI, Ir.</t>
  </si>
  <si>
    <t>MUCH SURANTO, Ir. ST, MT.</t>
  </si>
  <si>
    <t>MUHAMAD YUSUF, Ir. MD, MT.</t>
  </si>
  <si>
    <t>MUNARTI SUGIONO, Ir.</t>
  </si>
  <si>
    <t>NICHOLAS SUTOPO, Ir.</t>
  </si>
  <si>
    <t>NUGROHO EDI PURWANTO, Ir. MT.</t>
  </si>
  <si>
    <t>P ARIS SETIA BUDI , Ir.</t>
  </si>
  <si>
    <t>SAHASTA CATUR INDRABAYU, Ir.</t>
  </si>
  <si>
    <t>SARWITRI SARI, Ir.</t>
  </si>
  <si>
    <t>SETIARSO GUNAWAN, Ir. MT.</t>
  </si>
  <si>
    <t>SOEDARMAWAN SETYONO, Ir.</t>
  </si>
  <si>
    <t>SRI MURYANIE N, Ir. IAI.</t>
  </si>
  <si>
    <t>SUCHEMI, Ir.</t>
  </si>
  <si>
    <t>SUGIHARTO, Ir.</t>
  </si>
  <si>
    <t>SUHARWINTO, Ir.</t>
  </si>
  <si>
    <t>SUNARDI, Ir.</t>
  </si>
  <si>
    <t>SUPARTONO, Ir.</t>
  </si>
  <si>
    <t>SUPRIYANTO K. , Ir.</t>
  </si>
  <si>
    <t>SUROTO, Ir.</t>
  </si>
  <si>
    <t>SURYO PRAMONO, Ir.</t>
  </si>
  <si>
    <t>SUTIK, Ir. ST, MT.</t>
  </si>
  <si>
    <t>TUNGGUL MADU WAHYONO, Ir. MM.</t>
  </si>
  <si>
    <t>TURMUDI, Ir.</t>
  </si>
  <si>
    <t>TYAS SAPTO NUGROHO, Ir. MM.</t>
  </si>
  <si>
    <t>WASISTA NUGRAHA , Ir.</t>
  </si>
  <si>
    <t>WIBOWO Ps, Ir.</t>
  </si>
  <si>
    <t>YULIUS ANGGONO IRENG, 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</si>
</sst>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0_)"/>
  </numFmts>
  <fonts count="4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8"/>
      <name val="Arial Narrow"/>
      <family val="2"/>
    </font>
    <font>
      <b/>
      <sz val="10"/>
      <name val="Arial Narrow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rgb="FF00B0F0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b/>
      <sz val="10"/>
      <color theme="1" tint="4.9989318521683403E-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00B050"/>
      <name val="Arial"/>
      <family val="2"/>
    </font>
    <font>
      <sz val="11"/>
      <color rgb="FF000000"/>
      <name val="Calibri"/>
      <family val="2"/>
    </font>
    <font>
      <i/>
      <sz val="10"/>
      <name val="Arial"/>
      <family val="2"/>
    </font>
    <font>
      <u/>
      <sz val="10"/>
      <color theme="1"/>
      <name val="Arial"/>
      <family val="2"/>
    </font>
    <font>
      <sz val="9"/>
      <color rgb="FF333333"/>
      <name val="Arial"/>
      <family val="2"/>
    </font>
    <font>
      <sz val="11"/>
      <color theme="4"/>
      <name val="Arial"/>
      <family val="2"/>
    </font>
    <font>
      <b/>
      <sz val="1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theme="4"/>
      <name val="Arial"/>
      <family val="2"/>
    </font>
    <font>
      <b/>
      <i/>
      <sz val="11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rial"/>
      <family val="2"/>
    </font>
    <font>
      <sz val="10"/>
      <name val="Arial"/>
      <charset val="1"/>
    </font>
    <font>
      <sz val="8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gray125">
        <fgColor indexed="8"/>
      </patternFill>
    </fill>
    <fill>
      <patternFill patternType="gray125">
        <fgColor indexed="8"/>
        <bgColor theme="9" tint="0.39997558519241921"/>
      </patternFill>
    </fill>
    <fill>
      <patternFill patternType="gray125">
        <fgColor indexed="8"/>
        <bgColor rgb="FFFFFF00"/>
      </patternFill>
    </fill>
    <fill>
      <patternFill patternType="gray125">
        <fgColor indexed="8"/>
        <bgColor rgb="FF92D050"/>
      </patternFill>
    </fill>
    <fill>
      <patternFill patternType="gray125">
        <fgColor indexed="8"/>
        <bgColor theme="3" tint="0.59999389629810485"/>
      </patternFill>
    </fill>
    <fill>
      <patternFill patternType="gray125">
        <fgColor indexed="8"/>
        <bgColor theme="5" tint="0.79998168889431442"/>
      </patternFill>
    </fill>
    <fill>
      <patternFill patternType="gray125">
        <fgColor indexed="8"/>
        <bgColor theme="7" tint="0.79998168889431442"/>
      </patternFill>
    </fill>
    <fill>
      <patternFill patternType="gray125">
        <fgColor indexed="8"/>
        <bgColor theme="9" tint="0.59999389629810485"/>
      </patternFill>
    </fill>
    <fill>
      <patternFill patternType="gray125">
        <fgColor indexed="8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/>
      <right/>
      <top style="medium">
        <color rgb="FFE7E7E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rgb="FFE7E7E7"/>
      </bottom>
      <diagonal/>
    </border>
    <border>
      <left style="medium">
        <color theme="1"/>
      </left>
      <right style="medium">
        <color theme="1"/>
      </right>
      <top/>
      <bottom style="medium">
        <color rgb="FFE7E7E7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13">
      <alignment horizontal="center" vertical="top"/>
    </xf>
  </cellStyleXfs>
  <cellXfs count="501">
    <xf numFmtId="0" fontId="0" fillId="0" borderId="0" xfId="0"/>
    <xf numFmtId="0" fontId="5" fillId="4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 textRotation="90"/>
    </xf>
    <xf numFmtId="0" fontId="6" fillId="10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vertical="center"/>
    </xf>
    <xf numFmtId="0" fontId="5" fillId="9" borderId="9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 textRotation="90"/>
    </xf>
    <xf numFmtId="0" fontId="6" fillId="10" borderId="9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6" fillId="11" borderId="11" xfId="0" applyFont="1" applyFill="1" applyBorder="1" applyAlignment="1">
      <alignment horizontal="center"/>
    </xf>
    <xf numFmtId="0" fontId="5" fillId="12" borderId="11" xfId="0" applyFont="1" applyFill="1" applyBorder="1" applyAlignment="1">
      <alignment horizontal="center"/>
    </xf>
    <xf numFmtId="0" fontId="5" fillId="13" borderId="11" xfId="0" applyFont="1" applyFill="1" applyBorder="1" applyAlignment="1">
      <alignment horizontal="center"/>
    </xf>
    <xf numFmtId="0" fontId="5" fillId="14" borderId="11" xfId="0" applyFont="1" applyFill="1" applyBorder="1" applyAlignment="1">
      <alignment horizontal="center"/>
    </xf>
    <xf numFmtId="0" fontId="5" fillId="15" borderId="11" xfId="0" applyFont="1" applyFill="1" applyBorder="1" applyAlignment="1">
      <alignment horizontal="center"/>
    </xf>
    <xf numFmtId="0" fontId="5" fillId="16" borderId="11" xfId="0" applyFont="1" applyFill="1" applyBorder="1" applyAlignment="1">
      <alignment horizontal="center"/>
    </xf>
    <xf numFmtId="0" fontId="5" fillId="17" borderId="12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indent="1"/>
    </xf>
    <xf numFmtId="0" fontId="6" fillId="11" borderId="11" xfId="0" applyFont="1" applyFill="1" applyBorder="1" applyAlignment="1">
      <alignment horizontal="left" vertical="center" indent="1"/>
    </xf>
    <xf numFmtId="0" fontId="8" fillId="12" borderId="11" xfId="0" applyFont="1" applyFill="1" applyBorder="1" applyAlignment="1">
      <alignment horizontal="left" vertical="center" indent="1"/>
    </xf>
    <xf numFmtId="0" fontId="8" fillId="13" borderId="11" xfId="0" applyFont="1" applyFill="1" applyBorder="1" applyAlignment="1">
      <alignment horizontal="left" vertical="center" indent="1"/>
    </xf>
    <xf numFmtId="0" fontId="8" fillId="0" borderId="11" xfId="0" quotePrefix="1" applyFont="1" applyBorder="1" applyAlignment="1">
      <alignment horizontal="left" vertical="center" indent="1"/>
    </xf>
    <xf numFmtId="0" fontId="8" fillId="16" borderId="11" xfId="0" applyFont="1" applyFill="1" applyBorder="1" applyAlignment="1">
      <alignment horizontal="center" vertical="center"/>
    </xf>
    <xf numFmtId="0" fontId="9" fillId="17" borderId="12" xfId="0" applyFont="1" applyFill="1" applyBorder="1" applyAlignment="1">
      <alignment horizontal="left" vertical="center" indent="1"/>
    </xf>
    <xf numFmtId="0" fontId="8" fillId="17" borderId="12" xfId="0" quotePrefix="1" applyFont="1" applyFill="1" applyBorder="1" applyAlignment="1">
      <alignment horizontal="center" vertical="center"/>
    </xf>
    <xf numFmtId="0" fontId="10" fillId="18" borderId="12" xfId="3" quotePrefix="1" applyFont="1" applyFill="1" applyBorder="1" applyAlignment="1">
      <alignment horizontal="left" vertical="center" indent="1"/>
    </xf>
    <xf numFmtId="0" fontId="10" fillId="0" borderId="11" xfId="2" applyFont="1" applyBorder="1" applyAlignment="1" applyProtection="1">
      <alignment horizontal="left" vertical="center" indent="1"/>
    </xf>
    <xf numFmtId="0" fontId="8" fillId="0" borderId="11" xfId="0" applyFont="1" applyBorder="1" applyAlignment="1">
      <alignment horizontal="left" vertical="center"/>
    </xf>
    <xf numFmtId="14" fontId="10" fillId="18" borderId="11" xfId="0" applyNumberFormat="1" applyFont="1" applyFill="1" applyBorder="1" applyAlignment="1">
      <alignment horizontal="left" vertical="center" indent="1"/>
    </xf>
    <xf numFmtId="0" fontId="8" fillId="16" borderId="12" xfId="0" applyFont="1" applyFill="1" applyBorder="1" applyAlignment="1">
      <alignment horizontal="left" vertical="center" indent="1"/>
    </xf>
    <xf numFmtId="0" fontId="5" fillId="18" borderId="12" xfId="0" applyFont="1" applyFill="1" applyBorder="1" applyAlignment="1">
      <alignment horizontal="center" vertical="center"/>
    </xf>
    <xf numFmtId="0" fontId="8" fillId="14" borderId="11" xfId="0" applyFont="1" applyFill="1" applyBorder="1" applyAlignment="1">
      <alignment horizontal="center" vertical="center"/>
    </xf>
    <xf numFmtId="0" fontId="8" fillId="14" borderId="14" xfId="0" applyFont="1" applyFill="1" applyBorder="1" applyAlignment="1">
      <alignment horizontal="center" vertical="center"/>
    </xf>
    <xf numFmtId="0" fontId="10" fillId="18" borderId="12" xfId="1" applyNumberFormat="1" applyFont="1" applyFill="1" applyBorder="1" applyAlignment="1">
      <alignment horizontal="center" vertical="center"/>
    </xf>
    <xf numFmtId="0" fontId="6" fillId="18" borderId="12" xfId="3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center" indent="1"/>
    </xf>
    <xf numFmtId="14" fontId="9" fillId="17" borderId="12" xfId="0" applyNumberFormat="1" applyFont="1" applyFill="1" applyBorder="1" applyAlignment="1">
      <alignment horizontal="left" vertical="center" indent="1"/>
    </xf>
    <xf numFmtId="0" fontId="8" fillId="0" borderId="12" xfId="0" quotePrefix="1" applyFont="1" applyBorder="1" applyAlignment="1">
      <alignment horizontal="left" vertical="center" indent="1"/>
    </xf>
    <xf numFmtId="0" fontId="8" fillId="0" borderId="11" xfId="2" applyFont="1" applyBorder="1" applyAlignment="1" applyProtection="1">
      <alignment horizontal="left" vertical="center" indent="1"/>
    </xf>
    <xf numFmtId="0" fontId="8" fillId="17" borderId="12" xfId="0" applyFont="1" applyFill="1" applyBorder="1" applyAlignment="1">
      <alignment horizontal="center" vertical="center"/>
    </xf>
    <xf numFmtId="0" fontId="10" fillId="18" borderId="11" xfId="3" quotePrefix="1" applyFont="1" applyFill="1" applyBorder="1" applyAlignment="1">
      <alignment horizontal="left" vertical="center" indent="1"/>
    </xf>
    <xf numFmtId="0" fontId="10" fillId="18" borderId="11" xfId="2" applyFont="1" applyFill="1" applyBorder="1" applyAlignment="1" applyProtection="1">
      <alignment horizontal="left" vertical="center" indent="1"/>
    </xf>
    <xf numFmtId="0" fontId="11" fillId="18" borderId="11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left" vertical="center" indent="1"/>
    </xf>
    <xf numFmtId="0" fontId="6" fillId="18" borderId="12" xfId="0" applyFont="1" applyFill="1" applyBorder="1" applyAlignment="1">
      <alignment horizontal="center" vertical="center"/>
    </xf>
    <xf numFmtId="49" fontId="10" fillId="18" borderId="12" xfId="3" applyNumberFormat="1" applyFont="1" applyFill="1" applyBorder="1" applyAlignment="1">
      <alignment horizontal="center" vertical="center"/>
    </xf>
    <xf numFmtId="0" fontId="6" fillId="18" borderId="11" xfId="3" applyFont="1" applyFill="1" applyBorder="1" applyAlignment="1">
      <alignment horizontal="center" vertical="center"/>
    </xf>
    <xf numFmtId="0" fontId="12" fillId="18" borderId="12" xfId="0" applyFont="1" applyFill="1" applyBorder="1" applyAlignment="1">
      <alignment horizontal="center" vertical="center"/>
    </xf>
    <xf numFmtId="49" fontId="10" fillId="18" borderId="12" xfId="1" applyNumberFormat="1" applyFont="1" applyFill="1" applyBorder="1" applyAlignment="1">
      <alignment horizontal="center" vertical="center"/>
    </xf>
    <xf numFmtId="0" fontId="13" fillId="18" borderId="12" xfId="0" applyFont="1" applyFill="1" applyBorder="1" applyAlignment="1">
      <alignment horizontal="center" vertical="center"/>
    </xf>
    <xf numFmtId="0" fontId="11" fillId="18" borderId="12" xfId="0" applyFont="1" applyFill="1" applyBorder="1" applyAlignment="1">
      <alignment horizontal="center" vertical="center"/>
    </xf>
    <xf numFmtId="0" fontId="8" fillId="17" borderId="16" xfId="0" applyFont="1" applyFill="1" applyBorder="1" applyAlignment="1">
      <alignment horizontal="center" vertical="center"/>
    </xf>
    <xf numFmtId="0" fontId="10" fillId="18" borderId="11" xfId="0" applyFont="1" applyFill="1" applyBorder="1" applyAlignment="1">
      <alignment horizontal="left" vertical="center" indent="1"/>
    </xf>
    <xf numFmtId="0" fontId="8" fillId="17" borderId="16" xfId="0" quotePrefix="1" applyFont="1" applyFill="1" applyBorder="1" applyAlignment="1">
      <alignment horizontal="center" vertical="center"/>
    </xf>
    <xf numFmtId="0" fontId="10" fillId="18" borderId="15" xfId="2" applyFont="1" applyFill="1" applyBorder="1" applyAlignment="1" applyProtection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0" fontId="10" fillId="12" borderId="11" xfId="0" applyFont="1" applyFill="1" applyBorder="1" applyAlignment="1">
      <alignment horizontal="left" vertical="center" indent="1"/>
    </xf>
    <xf numFmtId="0" fontId="14" fillId="18" borderId="11" xfId="0" applyFont="1" applyFill="1" applyBorder="1" applyAlignment="1">
      <alignment horizontal="left" vertical="center" indent="1"/>
    </xf>
    <xf numFmtId="0" fontId="14" fillId="13" borderId="11" xfId="0" applyFont="1" applyFill="1" applyBorder="1" applyAlignment="1">
      <alignment horizontal="left" vertical="center" indent="1"/>
    </xf>
    <xf numFmtId="0" fontId="14" fillId="0" borderId="11" xfId="0" quotePrefix="1" applyFont="1" applyBorder="1" applyAlignment="1">
      <alignment horizontal="left" vertical="center" indent="1"/>
    </xf>
    <xf numFmtId="0" fontId="14" fillId="16" borderId="11" xfId="0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left" vertical="center" indent="1"/>
    </xf>
    <xf numFmtId="0" fontId="14" fillId="17" borderId="12" xfId="0" quotePrefix="1" applyFont="1" applyFill="1" applyBorder="1" applyAlignment="1">
      <alignment horizontal="center" vertical="center"/>
    </xf>
    <xf numFmtId="0" fontId="14" fillId="16" borderId="12" xfId="0" applyFont="1" applyFill="1" applyBorder="1" applyAlignment="1">
      <alignment horizontal="left" vertical="center" indent="1"/>
    </xf>
    <xf numFmtId="0" fontId="16" fillId="18" borderId="12" xfId="0" applyFont="1" applyFill="1" applyBorder="1" applyAlignment="1">
      <alignment horizontal="center" vertical="center"/>
    </xf>
    <xf numFmtId="49" fontId="10" fillId="18" borderId="12" xfId="1" quotePrefix="1" applyNumberFormat="1" applyFont="1" applyFill="1" applyBorder="1" applyAlignment="1">
      <alignment horizontal="center" vertical="center"/>
    </xf>
    <xf numFmtId="0" fontId="8" fillId="18" borderId="11" xfId="2" applyFont="1" applyFill="1" applyBorder="1" applyAlignment="1" applyProtection="1">
      <alignment horizontal="left" vertical="center" indent="1"/>
    </xf>
    <xf numFmtId="0" fontId="17" fillId="0" borderId="17" xfId="0" applyFont="1" applyBorder="1" applyAlignment="1">
      <alignment horizontal="left" vertical="top"/>
    </xf>
    <xf numFmtId="0" fontId="10" fillId="0" borderId="15" xfId="2" applyFont="1" applyBorder="1" applyAlignment="1" applyProtection="1">
      <alignment horizontal="left" vertical="center" indent="1"/>
    </xf>
    <xf numFmtId="14" fontId="10" fillId="18" borderId="15" xfId="0" applyNumberFormat="1" applyFont="1" applyFill="1" applyBorder="1" applyAlignment="1">
      <alignment horizontal="left" vertical="center" indent="1"/>
    </xf>
    <xf numFmtId="0" fontId="8" fillId="0" borderId="15" xfId="0" applyFont="1" applyBorder="1" applyAlignment="1">
      <alignment horizontal="left" vertical="center" indent="1"/>
    </xf>
    <xf numFmtId="0" fontId="6" fillId="11" borderId="15" xfId="0" applyFont="1" applyFill="1" applyBorder="1" applyAlignment="1">
      <alignment horizontal="left" vertical="center" indent="1"/>
    </xf>
    <xf numFmtId="0" fontId="8" fillId="12" borderId="15" xfId="0" applyFont="1" applyFill="1" applyBorder="1" applyAlignment="1">
      <alignment horizontal="left" vertical="center" indent="1"/>
    </xf>
    <xf numFmtId="0" fontId="8" fillId="13" borderId="15" xfId="0" applyFont="1" applyFill="1" applyBorder="1" applyAlignment="1">
      <alignment horizontal="left" vertical="center" indent="1"/>
    </xf>
    <xf numFmtId="0" fontId="8" fillId="0" borderId="15" xfId="0" quotePrefix="1" applyFont="1" applyBorder="1" applyAlignment="1">
      <alignment horizontal="left" vertical="center" indent="1"/>
    </xf>
    <xf numFmtId="0" fontId="8" fillId="16" borderId="15" xfId="0" applyFont="1" applyFill="1" applyBorder="1" applyAlignment="1">
      <alignment horizontal="center" vertical="center"/>
    </xf>
    <xf numFmtId="14" fontId="9" fillId="17" borderId="9" xfId="0" applyNumberFormat="1" applyFont="1" applyFill="1" applyBorder="1" applyAlignment="1">
      <alignment horizontal="left" vertical="center" indent="1"/>
    </xf>
    <xf numFmtId="0" fontId="8" fillId="17" borderId="9" xfId="0" quotePrefix="1" applyFont="1" applyFill="1" applyBorder="1" applyAlignment="1">
      <alignment horizontal="center" vertical="center"/>
    </xf>
    <xf numFmtId="0" fontId="10" fillId="18" borderId="15" xfId="0" applyFont="1" applyFill="1" applyBorder="1" applyAlignment="1">
      <alignment horizontal="left" vertical="center" indent="1"/>
    </xf>
    <xf numFmtId="0" fontId="8" fillId="16" borderId="9" xfId="0" applyFont="1" applyFill="1" applyBorder="1" applyAlignment="1">
      <alignment horizontal="left" vertical="center" indent="1"/>
    </xf>
    <xf numFmtId="0" fontId="5" fillId="18" borderId="9" xfId="0" applyFont="1" applyFill="1" applyBorder="1" applyAlignment="1">
      <alignment horizontal="center" vertical="center"/>
    </xf>
    <xf numFmtId="0" fontId="8" fillId="18" borderId="11" xfId="0" applyFont="1" applyFill="1" applyBorder="1" applyAlignment="1">
      <alignment horizontal="left" vertical="center" indent="1"/>
    </xf>
    <xf numFmtId="0" fontId="9" fillId="17" borderId="11" xfId="0" applyFont="1" applyFill="1" applyBorder="1" applyAlignment="1">
      <alignment horizontal="left" vertical="center" indent="1"/>
    </xf>
    <xf numFmtId="49" fontId="10" fillId="18" borderId="11" xfId="2" applyNumberFormat="1" applyFont="1" applyFill="1" applyBorder="1" applyAlignment="1" applyProtection="1">
      <alignment horizontal="left" vertical="center" indent="1"/>
    </xf>
    <xf numFmtId="0" fontId="8" fillId="16" borderId="11" xfId="0" applyFont="1" applyFill="1" applyBorder="1" applyAlignment="1">
      <alignment horizontal="left" vertical="center" indent="1"/>
    </xf>
    <xf numFmtId="0" fontId="7" fillId="0" borderId="18" xfId="0" applyFont="1" applyBorder="1" applyAlignment="1">
      <alignment horizontal="center"/>
    </xf>
    <xf numFmtId="165" fontId="10" fillId="18" borderId="12" xfId="1" applyNumberFormat="1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 indent="1"/>
    </xf>
    <xf numFmtId="0" fontId="18" fillId="12" borderId="11" xfId="0" applyFont="1" applyFill="1" applyBorder="1" applyAlignment="1">
      <alignment horizontal="left" indent="1"/>
    </xf>
    <xf numFmtId="0" fontId="18" fillId="0" borderId="11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10" fillId="0" borderId="11" xfId="0" applyFont="1" applyBorder="1" applyAlignment="1">
      <alignment horizontal="left" indent="1"/>
    </xf>
    <xf numFmtId="0" fontId="10" fillId="12" borderId="11" xfId="0" applyFont="1" applyFill="1" applyBorder="1" applyAlignment="1">
      <alignment horizontal="left" indent="1"/>
    </xf>
    <xf numFmtId="49" fontId="8" fillId="18" borderId="12" xfId="1" quotePrefix="1" applyNumberFormat="1" applyFont="1" applyFill="1" applyBorder="1" applyAlignment="1">
      <alignment horizontal="center" vertical="center"/>
    </xf>
    <xf numFmtId="0" fontId="8" fillId="17" borderId="0" xfId="0" quotePrefix="1" applyFont="1" applyFill="1" applyAlignment="1">
      <alignment horizontal="center" vertical="center"/>
    </xf>
    <xf numFmtId="0" fontId="8" fillId="17" borderId="11" xfId="0" quotePrefix="1" applyFont="1" applyFill="1" applyBorder="1" applyAlignment="1">
      <alignment horizontal="center" vertical="center"/>
    </xf>
    <xf numFmtId="0" fontId="10" fillId="0" borderId="11" xfId="0" quotePrefix="1" applyFont="1" applyBorder="1" applyAlignment="1">
      <alignment horizontal="left" vertical="center" indent="1"/>
    </xf>
    <xf numFmtId="0" fontId="8" fillId="17" borderId="19" xfId="0" applyFont="1" applyFill="1" applyBorder="1" applyAlignment="1">
      <alignment horizontal="center" vertical="center"/>
    </xf>
    <xf numFmtId="0" fontId="8" fillId="17" borderId="11" xfId="0" applyFont="1" applyFill="1" applyBorder="1" applyAlignment="1">
      <alignment horizontal="center" vertical="center"/>
    </xf>
    <xf numFmtId="49" fontId="10" fillId="0" borderId="11" xfId="2" applyNumberFormat="1" applyFont="1" applyFill="1" applyBorder="1" applyAlignment="1" applyProtection="1">
      <alignment horizontal="left" vertical="center" indent="1"/>
    </xf>
    <xf numFmtId="0" fontId="10" fillId="18" borderId="18" xfId="3" applyFont="1" applyFill="1" applyBorder="1" applyAlignment="1">
      <alignment horizontal="center" vertical="center"/>
    </xf>
    <xf numFmtId="0" fontId="10" fillId="18" borderId="0" xfId="3" applyFont="1" applyFill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4" fontId="9" fillId="17" borderId="11" xfId="0" applyNumberFormat="1" applyFont="1" applyFill="1" applyBorder="1" applyAlignment="1">
      <alignment horizontal="left" vertical="center" indent="1"/>
    </xf>
    <xf numFmtId="0" fontId="17" fillId="0" borderId="11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center" indent="1"/>
    </xf>
    <xf numFmtId="0" fontId="6" fillId="11" borderId="7" xfId="0" applyFont="1" applyFill="1" applyBorder="1" applyAlignment="1">
      <alignment horizontal="left" vertical="center" indent="1"/>
    </xf>
    <xf numFmtId="0" fontId="10" fillId="12" borderId="7" xfId="0" applyFont="1" applyFill="1" applyBorder="1" applyAlignment="1">
      <alignment horizontal="left" vertical="center" indent="1"/>
    </xf>
    <xf numFmtId="0" fontId="8" fillId="18" borderId="7" xfId="0" applyFont="1" applyFill="1" applyBorder="1" applyAlignment="1">
      <alignment horizontal="left" vertical="center" indent="1"/>
    </xf>
    <xf numFmtId="0" fontId="8" fillId="13" borderId="7" xfId="0" applyFont="1" applyFill="1" applyBorder="1" applyAlignment="1">
      <alignment horizontal="left" vertical="center" indent="1"/>
    </xf>
    <xf numFmtId="0" fontId="8" fillId="0" borderId="7" xfId="0" quotePrefix="1" applyFont="1" applyBorder="1" applyAlignment="1">
      <alignment horizontal="left" vertical="center" indent="1"/>
    </xf>
    <xf numFmtId="0" fontId="8" fillId="16" borderId="7" xfId="0" applyFont="1" applyFill="1" applyBorder="1" applyAlignment="1">
      <alignment horizontal="center" vertical="center"/>
    </xf>
    <xf numFmtId="14" fontId="9" fillId="17" borderId="20" xfId="0" applyNumberFormat="1" applyFont="1" applyFill="1" applyBorder="1" applyAlignment="1">
      <alignment horizontal="left" vertical="center" indent="1"/>
    </xf>
    <xf numFmtId="0" fontId="8" fillId="17" borderId="20" xfId="0" applyFont="1" applyFill="1" applyBorder="1" applyAlignment="1">
      <alignment horizontal="center" vertical="center"/>
    </xf>
    <xf numFmtId="14" fontId="10" fillId="18" borderId="7" xfId="0" applyNumberFormat="1" applyFont="1" applyFill="1" applyBorder="1" applyAlignment="1">
      <alignment horizontal="left" vertical="center" indent="1"/>
    </xf>
    <xf numFmtId="0" fontId="8" fillId="16" borderId="20" xfId="0" applyFont="1" applyFill="1" applyBorder="1" applyAlignment="1">
      <alignment horizontal="left" vertical="center" indent="1"/>
    </xf>
    <xf numFmtId="0" fontId="5" fillId="18" borderId="20" xfId="0" applyFont="1" applyFill="1" applyBorder="1" applyAlignment="1">
      <alignment horizontal="center" vertical="center"/>
    </xf>
    <xf numFmtId="0" fontId="11" fillId="18" borderId="7" xfId="0" applyFont="1" applyFill="1" applyBorder="1" applyAlignment="1">
      <alignment horizontal="center" vertical="center"/>
    </xf>
    <xf numFmtId="0" fontId="10" fillId="18" borderId="7" xfId="3" quotePrefix="1" applyFont="1" applyFill="1" applyBorder="1" applyAlignment="1">
      <alignment horizontal="left" vertical="center" indent="1"/>
    </xf>
    <xf numFmtId="0" fontId="10" fillId="0" borderId="0" xfId="0" quotePrefix="1" applyFont="1" applyAlignment="1">
      <alignment horizontal="left" indent="1"/>
    </xf>
    <xf numFmtId="0" fontId="8" fillId="17" borderId="9" xfId="0" applyFont="1" applyFill="1" applyBorder="1" applyAlignment="1">
      <alignment horizontal="center" vertical="center"/>
    </xf>
    <xf numFmtId="0" fontId="11" fillId="18" borderId="21" xfId="0" applyFont="1" applyFill="1" applyBorder="1" applyAlignment="1">
      <alignment horizontal="center" vertical="center"/>
    </xf>
    <xf numFmtId="0" fontId="10" fillId="0" borderId="0" xfId="0" applyFont="1" applyAlignment="1">
      <alignment horizontal="left" indent="1"/>
    </xf>
    <xf numFmtId="0" fontId="10" fillId="0" borderId="11" xfId="0" quotePrefix="1" applyFont="1" applyBorder="1" applyAlignment="1">
      <alignment horizontal="left" indent="1"/>
    </xf>
    <xf numFmtId="0" fontId="10" fillId="0" borderId="14" xfId="0" quotePrefix="1" applyFont="1" applyBorder="1" applyAlignment="1">
      <alignment horizontal="left" indent="1"/>
    </xf>
    <xf numFmtId="14" fontId="9" fillId="17" borderId="12" xfId="0" quotePrefix="1" applyNumberFormat="1" applyFont="1" applyFill="1" applyBorder="1" applyAlignment="1">
      <alignment horizontal="left" vertical="center" indent="1"/>
    </xf>
    <xf numFmtId="0" fontId="10" fillId="18" borderId="0" xfId="3" quotePrefix="1" applyFont="1" applyFill="1" applyBorder="1" applyAlignment="1">
      <alignment horizontal="left" indent="1"/>
    </xf>
    <xf numFmtId="0" fontId="17" fillId="0" borderId="0" xfId="0" applyFont="1" applyAlignment="1">
      <alignment horizontal="left" vertical="top"/>
    </xf>
    <xf numFmtId="0" fontId="10" fillId="0" borderId="12" xfId="0" quotePrefix="1" applyFont="1" applyBorder="1" applyAlignment="1">
      <alignment horizontal="left" indent="1"/>
    </xf>
    <xf numFmtId="49" fontId="8" fillId="18" borderId="11" xfId="2" applyNumberFormat="1" applyFont="1" applyFill="1" applyBorder="1" applyAlignment="1" applyProtection="1">
      <alignment horizontal="left" vertical="center" indent="1"/>
    </xf>
    <xf numFmtId="0" fontId="8" fillId="17" borderId="14" xfId="0" applyFont="1" applyFill="1" applyBorder="1" applyAlignment="1">
      <alignment horizontal="center" vertical="center"/>
    </xf>
    <xf numFmtId="0" fontId="8" fillId="16" borderId="0" xfId="0" applyFont="1" applyFill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6" fillId="11" borderId="11" xfId="0" applyFont="1" applyFill="1" applyBorder="1" applyAlignment="1">
      <alignment horizontal="left" indent="1"/>
    </xf>
    <xf numFmtId="0" fontId="10" fillId="13" borderId="11" xfId="0" applyFont="1" applyFill="1" applyBorder="1" applyAlignment="1">
      <alignment horizontal="left" vertical="center" indent="1"/>
    </xf>
    <xf numFmtId="15" fontId="7" fillId="17" borderId="11" xfId="0" quotePrefix="1" applyNumberFormat="1" applyFont="1" applyFill="1" applyBorder="1" applyAlignment="1">
      <alignment horizontal="left" vertical="center" indent="1"/>
    </xf>
    <xf numFmtId="14" fontId="10" fillId="18" borderId="11" xfId="0" applyNumberFormat="1" applyFont="1" applyFill="1" applyBorder="1" applyAlignment="1">
      <alignment horizontal="left" indent="1"/>
    </xf>
    <xf numFmtId="0" fontId="14" fillId="12" borderId="11" xfId="0" applyFont="1" applyFill="1" applyBorder="1" applyAlignment="1">
      <alignment horizontal="left" vertical="center" indent="1"/>
    </xf>
    <xf numFmtId="14" fontId="15" fillId="17" borderId="11" xfId="0" applyNumberFormat="1" applyFont="1" applyFill="1" applyBorder="1" applyAlignment="1">
      <alignment horizontal="left" vertical="center" indent="1"/>
    </xf>
    <xf numFmtId="0" fontId="14" fillId="17" borderId="12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left" indent="1"/>
    </xf>
    <xf numFmtId="0" fontId="9" fillId="17" borderId="11" xfId="0" quotePrefix="1" applyFont="1" applyFill="1" applyBorder="1" applyAlignment="1">
      <alignment horizontal="left" vertical="center" indent="1"/>
    </xf>
    <xf numFmtId="0" fontId="9" fillId="17" borderId="21" xfId="0" applyFont="1" applyFill="1" applyBorder="1" applyAlignment="1">
      <alignment horizontal="left" vertical="center" indent="1"/>
    </xf>
    <xf numFmtId="0" fontId="8" fillId="16" borderId="21" xfId="0" applyFont="1" applyFill="1" applyBorder="1" applyAlignment="1">
      <alignment horizontal="left" vertical="center" indent="1"/>
    </xf>
    <xf numFmtId="14" fontId="9" fillId="17" borderId="21" xfId="0" applyNumberFormat="1" applyFont="1" applyFill="1" applyBorder="1" applyAlignment="1">
      <alignment horizontal="left" vertical="center" indent="1"/>
    </xf>
    <xf numFmtId="0" fontId="10" fillId="18" borderId="17" xfId="2" applyFont="1" applyFill="1" applyBorder="1" applyAlignment="1" applyProtection="1">
      <alignment horizontal="left" vertical="center" indent="1"/>
    </xf>
    <xf numFmtId="0" fontId="9" fillId="17" borderId="7" xfId="0" applyFont="1" applyFill="1" applyBorder="1" applyAlignment="1">
      <alignment horizontal="left" vertical="center" indent="1"/>
    </xf>
    <xf numFmtId="0" fontId="8" fillId="16" borderId="7" xfId="0" applyFont="1" applyFill="1" applyBorder="1" applyAlignment="1">
      <alignment horizontal="left" vertical="center" indent="1"/>
    </xf>
    <xf numFmtId="14" fontId="9" fillId="17" borderId="7" xfId="0" applyNumberFormat="1" applyFont="1" applyFill="1" applyBorder="1" applyAlignment="1">
      <alignment horizontal="left" vertical="center" indent="1"/>
    </xf>
    <xf numFmtId="14" fontId="9" fillId="17" borderId="11" xfId="0" quotePrefix="1" applyNumberFormat="1" applyFont="1" applyFill="1" applyBorder="1" applyAlignment="1">
      <alignment horizontal="left" vertical="center" indent="1"/>
    </xf>
    <xf numFmtId="0" fontId="10" fillId="19" borderId="11" xfId="0" quotePrefix="1" applyFont="1" applyFill="1" applyBorder="1" applyAlignment="1">
      <alignment horizontal="left" vertical="center" indent="1"/>
    </xf>
    <xf numFmtId="0" fontId="10" fillId="17" borderId="12" xfId="0" quotePrefix="1" applyFont="1" applyFill="1" applyBorder="1" applyAlignment="1">
      <alignment horizontal="center" vertical="center"/>
    </xf>
    <xf numFmtId="0" fontId="9" fillId="17" borderId="12" xfId="0" quotePrefix="1" applyFont="1" applyFill="1" applyBorder="1" applyAlignment="1">
      <alignment horizontal="left" vertical="center" indent="1"/>
    </xf>
    <xf numFmtId="0" fontId="8" fillId="12" borderId="21" xfId="0" applyFont="1" applyFill="1" applyBorder="1" applyAlignment="1">
      <alignment horizontal="left" vertical="center" indent="1"/>
    </xf>
    <xf numFmtId="0" fontId="8" fillId="0" borderId="21" xfId="0" applyFont="1" applyBorder="1" applyAlignment="1">
      <alignment horizontal="left" vertical="center" indent="1"/>
    </xf>
    <xf numFmtId="0" fontId="8" fillId="16" borderId="21" xfId="0" applyFont="1" applyFill="1" applyBorder="1" applyAlignment="1">
      <alignment horizontal="center" vertical="center"/>
    </xf>
    <xf numFmtId="14" fontId="9" fillId="17" borderId="21" xfId="0" quotePrefix="1" applyNumberFormat="1" applyFont="1" applyFill="1" applyBorder="1" applyAlignment="1">
      <alignment horizontal="left" vertical="center" indent="1"/>
    </xf>
    <xf numFmtId="0" fontId="8" fillId="12" borderId="11" xfId="0" applyFont="1" applyFill="1" applyBorder="1" applyAlignment="1">
      <alignment horizontal="left" indent="1"/>
    </xf>
    <xf numFmtId="0" fontId="19" fillId="18" borderId="12" xfId="0" applyFont="1" applyFill="1" applyBorder="1" applyAlignment="1">
      <alignment horizontal="center" vertical="center"/>
    </xf>
    <xf numFmtId="0" fontId="8" fillId="13" borderId="14" xfId="0" applyFont="1" applyFill="1" applyBorder="1" applyAlignment="1">
      <alignment horizontal="left" vertical="center" indent="1"/>
    </xf>
    <xf numFmtId="0" fontId="8" fillId="17" borderId="19" xfId="0" quotePrefix="1" applyFont="1" applyFill="1" applyBorder="1" applyAlignment="1">
      <alignment horizontal="center" vertical="center"/>
    </xf>
    <xf numFmtId="0" fontId="20" fillId="16" borderId="11" xfId="0" applyFont="1" applyFill="1" applyBorder="1" applyAlignment="1">
      <alignment horizontal="center" vertical="center"/>
    </xf>
    <xf numFmtId="0" fontId="20" fillId="17" borderId="12" xfId="0" quotePrefix="1" applyFont="1" applyFill="1" applyBorder="1" applyAlignment="1">
      <alignment horizontal="center" vertical="center"/>
    </xf>
    <xf numFmtId="0" fontId="20" fillId="16" borderId="11" xfId="0" applyFont="1" applyFill="1" applyBorder="1" applyAlignment="1">
      <alignment horizontal="left" vertical="center" indent="1"/>
    </xf>
    <xf numFmtId="0" fontId="21" fillId="18" borderId="12" xfId="0" applyFont="1" applyFill="1" applyBorder="1" applyAlignment="1">
      <alignment horizontal="center" vertical="center"/>
    </xf>
    <xf numFmtId="0" fontId="8" fillId="13" borderId="21" xfId="0" applyFont="1" applyFill="1" applyBorder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22" fillId="18" borderId="11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left" indent="1"/>
    </xf>
    <xf numFmtId="0" fontId="8" fillId="17" borderId="0" xfId="0" applyFont="1" applyFill="1" applyAlignment="1">
      <alignment horizontal="center" vertical="center"/>
    </xf>
    <xf numFmtId="14" fontId="9" fillId="17" borderId="7" xfId="0" quotePrefix="1" applyNumberFormat="1" applyFont="1" applyFill="1" applyBorder="1" applyAlignment="1">
      <alignment horizontal="left" vertical="center" indent="1"/>
    </xf>
    <xf numFmtId="0" fontId="8" fillId="17" borderId="20" xfId="0" quotePrefix="1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left" vertical="center" indent="1"/>
    </xf>
    <xf numFmtId="0" fontId="10" fillId="18" borderId="16" xfId="3" quotePrefix="1" applyFont="1" applyFill="1" applyBorder="1" applyAlignment="1">
      <alignment horizontal="left" vertical="center" indent="1"/>
    </xf>
    <xf numFmtId="0" fontId="8" fillId="16" borderId="15" xfId="0" applyFont="1" applyFill="1" applyBorder="1" applyAlignment="1">
      <alignment horizontal="left" vertical="center" indent="1"/>
    </xf>
    <xf numFmtId="0" fontId="10" fillId="18" borderId="11" xfId="0" applyFont="1" applyFill="1" applyBorder="1" applyAlignment="1">
      <alignment horizontal="left" indent="1"/>
    </xf>
    <xf numFmtId="0" fontId="8" fillId="18" borderId="11" xfId="0" quotePrefix="1" applyFont="1" applyFill="1" applyBorder="1" applyAlignment="1">
      <alignment horizontal="left" vertical="center" indent="1"/>
    </xf>
    <xf numFmtId="14" fontId="9" fillId="17" borderId="15" xfId="0" applyNumberFormat="1" applyFont="1" applyFill="1" applyBorder="1" applyAlignment="1">
      <alignment horizontal="left" vertical="center" indent="1"/>
    </xf>
    <xf numFmtId="0" fontId="7" fillId="18" borderId="18" xfId="0" applyFont="1" applyFill="1" applyBorder="1" applyAlignment="1">
      <alignment horizontal="center"/>
    </xf>
    <xf numFmtId="0" fontId="7" fillId="18" borderId="0" xfId="0" applyFont="1" applyFill="1" applyAlignment="1">
      <alignment horizontal="center"/>
    </xf>
    <xf numFmtId="0" fontId="7" fillId="18" borderId="0" xfId="0" applyFont="1" applyFill="1"/>
    <xf numFmtId="0" fontId="0" fillId="18" borderId="0" xfId="0" applyFill="1"/>
    <xf numFmtId="14" fontId="10" fillId="18" borderId="11" xfId="3" quotePrefix="1" applyNumberFormat="1" applyFont="1" applyFill="1" applyBorder="1" applyAlignment="1">
      <alignment horizontal="left" vertical="center" wrapText="1" indent="1"/>
    </xf>
    <xf numFmtId="166" fontId="14" fillId="0" borderId="11" xfId="0" applyNumberFormat="1" applyFont="1" applyBorder="1" applyAlignment="1">
      <alignment horizontal="left" vertical="center" indent="1"/>
    </xf>
    <xf numFmtId="0" fontId="10" fillId="18" borderId="11" xfId="0" quotePrefix="1" applyFont="1" applyFill="1" applyBorder="1" applyAlignment="1">
      <alignment horizontal="left" vertical="center" indent="1"/>
    </xf>
    <xf numFmtId="0" fontId="8" fillId="12" borderId="7" xfId="0" applyFont="1" applyFill="1" applyBorder="1" applyAlignment="1">
      <alignment horizontal="left" vertical="center" indent="1"/>
    </xf>
    <xf numFmtId="0" fontId="15" fillId="17" borderId="11" xfId="0" quotePrefix="1" applyFont="1" applyFill="1" applyBorder="1" applyAlignment="1">
      <alignment horizontal="left" vertical="center" indent="1"/>
    </xf>
    <xf numFmtId="0" fontId="14" fillId="17" borderId="0" xfId="0" applyFont="1" applyFill="1" applyAlignment="1">
      <alignment horizontal="center" vertical="center"/>
    </xf>
    <xf numFmtId="0" fontId="14" fillId="17" borderId="11" xfId="0" applyFont="1" applyFill="1" applyBorder="1" applyAlignment="1">
      <alignment horizontal="center" vertical="center"/>
    </xf>
    <xf numFmtId="0" fontId="14" fillId="16" borderId="11" xfId="0" applyFont="1" applyFill="1" applyBorder="1" applyAlignment="1">
      <alignment horizontal="left" vertical="center" indent="1"/>
    </xf>
    <xf numFmtId="0" fontId="23" fillId="0" borderId="11" xfId="0" applyFont="1" applyBorder="1" applyAlignment="1">
      <alignment horizontal="left" vertical="top" wrapText="1"/>
    </xf>
    <xf numFmtId="0" fontId="17" fillId="0" borderId="7" xfId="0" applyFont="1" applyBorder="1" applyAlignment="1">
      <alignment horizontal="left" vertical="top"/>
    </xf>
    <xf numFmtId="0" fontId="10" fillId="0" borderId="0" xfId="0" quotePrefix="1" applyFont="1" applyAlignment="1">
      <alignment horizontal="center" vertical="center"/>
    </xf>
    <xf numFmtId="164" fontId="7" fillId="0" borderId="0" xfId="1" applyFont="1"/>
    <xf numFmtId="0" fontId="23" fillId="0" borderId="17" xfId="0" applyFont="1" applyBorder="1" applyAlignment="1">
      <alignment horizontal="left" vertical="top" wrapText="1"/>
    </xf>
    <xf numFmtId="0" fontId="10" fillId="18" borderId="14" xfId="0" quotePrefix="1" applyFont="1" applyFill="1" applyBorder="1" applyAlignment="1">
      <alignment horizontal="left" vertical="center" indent="1"/>
    </xf>
    <xf numFmtId="0" fontId="10" fillId="18" borderId="12" xfId="3" applyFont="1" applyFill="1" applyBorder="1" applyAlignment="1">
      <alignment horizontal="center" vertical="center"/>
    </xf>
    <xf numFmtId="0" fontId="8" fillId="18" borderId="22" xfId="0" applyFont="1" applyFill="1" applyBorder="1" applyAlignment="1">
      <alignment horizontal="left" vertical="center" indent="1"/>
    </xf>
    <xf numFmtId="0" fontId="24" fillId="17" borderId="12" xfId="0" applyFont="1" applyFill="1" applyBorder="1" applyAlignment="1">
      <alignment horizontal="center" vertical="center"/>
    </xf>
    <xf numFmtId="166" fontId="8" fillId="0" borderId="11" xfId="0" applyNumberFormat="1" applyFont="1" applyBorder="1" applyAlignment="1">
      <alignment horizontal="left" vertical="center" indent="1"/>
    </xf>
    <xf numFmtId="0" fontId="8" fillId="17" borderId="11" xfId="0" quotePrefix="1" applyFont="1" applyFill="1" applyBorder="1" applyAlignment="1">
      <alignment horizontal="left" vertical="center" indent="1"/>
    </xf>
    <xf numFmtId="0" fontId="10" fillId="18" borderId="12" xfId="3" quotePrefix="1" applyFont="1" applyFill="1" applyBorder="1" applyAlignment="1">
      <alignment horizontal="center" vertical="center"/>
    </xf>
    <xf numFmtId="0" fontId="25" fillId="18" borderId="12" xfId="3" quotePrefix="1" applyFont="1" applyFill="1" applyBorder="1" applyAlignment="1">
      <alignment horizontal="left" vertical="center" indent="1"/>
    </xf>
    <xf numFmtId="164" fontId="7" fillId="0" borderId="0" xfId="1" applyFont="1" applyAlignment="1">
      <alignment horizontal="center"/>
    </xf>
    <xf numFmtId="0" fontId="8" fillId="0" borderId="14" xfId="0" applyFont="1" applyBorder="1" applyAlignment="1">
      <alignment horizontal="left" vertical="center" indent="1"/>
    </xf>
    <xf numFmtId="0" fontId="6" fillId="18" borderId="20" xfId="0" applyFont="1" applyFill="1" applyBorder="1" applyAlignment="1">
      <alignment horizontal="center" vertical="center"/>
    </xf>
    <xf numFmtId="0" fontId="10" fillId="18" borderId="7" xfId="2" applyFont="1" applyFill="1" applyBorder="1" applyAlignment="1" applyProtection="1">
      <alignment horizontal="left" vertical="center" indent="1"/>
    </xf>
    <xf numFmtId="0" fontId="8" fillId="0" borderId="0" xfId="0" applyFont="1" applyAlignment="1">
      <alignment horizontal="left" vertical="center"/>
    </xf>
    <xf numFmtId="0" fontId="10" fillId="18" borderId="11" xfId="0" applyFont="1" applyFill="1" applyBorder="1" applyAlignment="1">
      <alignment horizontal="center" vertical="center"/>
    </xf>
    <xf numFmtId="0" fontId="8" fillId="20" borderId="11" xfId="0" applyFont="1" applyFill="1" applyBorder="1" applyAlignment="1">
      <alignment horizontal="left" vertical="center" indent="1"/>
    </xf>
    <xf numFmtId="0" fontId="7" fillId="17" borderId="11" xfId="0" applyFont="1" applyFill="1" applyBorder="1" applyAlignment="1">
      <alignment horizontal="left" vertical="center" indent="1"/>
    </xf>
    <xf numFmtId="0" fontId="15" fillId="17" borderId="11" xfId="0" applyFont="1" applyFill="1" applyBorder="1" applyAlignment="1">
      <alignment horizontal="left" vertical="center" indent="1"/>
    </xf>
    <xf numFmtId="49" fontId="10" fillId="18" borderId="12" xfId="3" quotePrefix="1" applyNumberFormat="1" applyFont="1" applyFill="1" applyBorder="1" applyAlignment="1">
      <alignment horizontal="left" vertical="center" indent="1"/>
    </xf>
    <xf numFmtId="0" fontId="8" fillId="17" borderId="23" xfId="0" quotePrefix="1" applyFont="1" applyFill="1" applyBorder="1" applyAlignment="1">
      <alignment horizontal="center" vertical="center"/>
    </xf>
    <xf numFmtId="0" fontId="8" fillId="17" borderId="14" xfId="0" quotePrefix="1" applyFont="1" applyFill="1" applyBorder="1" applyAlignment="1">
      <alignment horizontal="center" vertical="center"/>
    </xf>
    <xf numFmtId="49" fontId="10" fillId="18" borderId="20" xfId="3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43" fontId="7" fillId="0" borderId="0" xfId="0" applyNumberFormat="1" applyFont="1" applyAlignment="1">
      <alignment horizontal="center"/>
    </xf>
    <xf numFmtId="0" fontId="9" fillId="17" borderId="21" xfId="0" quotePrefix="1" applyFont="1" applyFill="1" applyBorder="1" applyAlignment="1">
      <alignment horizontal="left" vertical="center" indent="1"/>
    </xf>
    <xf numFmtId="0" fontId="26" fillId="0" borderId="11" xfId="0" applyFont="1" applyBorder="1" applyAlignment="1">
      <alignment horizontal="left" indent="1"/>
    </xf>
    <xf numFmtId="166" fontId="14" fillId="0" borderId="15" xfId="0" applyNumberFormat="1" applyFont="1" applyBorder="1" applyAlignment="1">
      <alignment horizontal="left" vertical="center" indent="1"/>
    </xf>
    <xf numFmtId="0" fontId="14" fillId="0" borderId="22" xfId="0" applyFont="1" applyBorder="1" applyAlignment="1">
      <alignment horizontal="left" vertical="center" indent="1"/>
    </xf>
    <xf numFmtId="0" fontId="14" fillId="0" borderId="14" xfId="0" applyFont="1" applyBorder="1" applyAlignment="1">
      <alignment horizontal="left" vertical="center" indent="1"/>
    </xf>
    <xf numFmtId="0" fontId="8" fillId="0" borderId="14" xfId="0" quotePrefix="1" applyFont="1" applyBorder="1" applyAlignment="1">
      <alignment horizontal="left" vertical="center" indent="1"/>
    </xf>
    <xf numFmtId="49" fontId="10" fillId="18" borderId="12" xfId="1" applyNumberFormat="1" applyFont="1" applyFill="1" applyBorder="1" applyAlignment="1">
      <alignment horizontal="center" vertical="top"/>
    </xf>
    <xf numFmtId="14" fontId="15" fillId="17" borderId="21" xfId="0" applyNumberFormat="1" applyFont="1" applyFill="1" applyBorder="1" applyAlignment="1">
      <alignment horizontal="left" vertical="center" indent="1"/>
    </xf>
    <xf numFmtId="0" fontId="14" fillId="17" borderId="16" xfId="0" quotePrefix="1" applyFont="1" applyFill="1" applyBorder="1" applyAlignment="1">
      <alignment horizontal="center" vertical="center"/>
    </xf>
    <xf numFmtId="0" fontId="14" fillId="16" borderId="21" xfId="0" applyFont="1" applyFill="1" applyBorder="1" applyAlignment="1">
      <alignment horizontal="left" vertical="center" indent="1"/>
    </xf>
    <xf numFmtId="49" fontId="14" fillId="0" borderId="11" xfId="0" applyNumberFormat="1" applyFont="1" applyBorder="1" applyAlignment="1">
      <alignment horizontal="left" vertical="center" indent="1"/>
    </xf>
    <xf numFmtId="0" fontId="8" fillId="17" borderId="23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left" indent="1"/>
    </xf>
    <xf numFmtId="0" fontId="8" fillId="18" borderId="18" xfId="0" applyFont="1" applyFill="1" applyBorder="1" applyAlignment="1">
      <alignment horizontal="center" vertical="center"/>
    </xf>
    <xf numFmtId="0" fontId="6" fillId="11" borderId="21" xfId="0" applyFont="1" applyFill="1" applyBorder="1" applyAlignment="1">
      <alignment horizontal="left" vertical="center" indent="1"/>
    </xf>
    <xf numFmtId="14" fontId="10" fillId="18" borderId="21" xfId="0" applyNumberFormat="1" applyFont="1" applyFill="1" applyBorder="1" applyAlignment="1">
      <alignment horizontal="left" vertical="center" indent="1"/>
    </xf>
    <xf numFmtId="0" fontId="5" fillId="18" borderId="16" xfId="0" applyFont="1" applyFill="1" applyBorder="1" applyAlignment="1">
      <alignment horizontal="center" vertical="center"/>
    </xf>
    <xf numFmtId="0" fontId="8" fillId="21" borderId="11" xfId="0" applyFont="1" applyFill="1" applyBorder="1" applyAlignment="1">
      <alignment horizontal="left" vertical="center" indent="1"/>
    </xf>
    <xf numFmtId="0" fontId="6" fillId="21" borderId="11" xfId="0" applyFont="1" applyFill="1" applyBorder="1" applyAlignment="1">
      <alignment horizontal="left" vertical="center" indent="1"/>
    </xf>
    <xf numFmtId="0" fontId="8" fillId="21" borderId="11" xfId="0" applyFont="1" applyFill="1" applyBorder="1" applyAlignment="1">
      <alignment horizontal="center" vertical="center"/>
    </xf>
    <xf numFmtId="14" fontId="9" fillId="21" borderId="11" xfId="0" applyNumberFormat="1" applyFont="1" applyFill="1" applyBorder="1" applyAlignment="1">
      <alignment horizontal="left" vertical="center" indent="1"/>
    </xf>
    <xf numFmtId="0" fontId="8" fillId="21" borderId="12" xfId="0" applyFont="1" applyFill="1" applyBorder="1" applyAlignment="1">
      <alignment horizontal="center" vertical="center"/>
    </xf>
    <xf numFmtId="0" fontId="10" fillId="21" borderId="12" xfId="3" quotePrefix="1" applyFont="1" applyFill="1" applyBorder="1" applyAlignment="1">
      <alignment horizontal="left" vertical="center" indent="1"/>
    </xf>
    <xf numFmtId="0" fontId="10" fillId="21" borderId="11" xfId="2" applyFont="1" applyFill="1" applyBorder="1" applyAlignment="1" applyProtection="1">
      <alignment horizontal="left" vertical="center" indent="1"/>
    </xf>
    <xf numFmtId="0" fontId="8" fillId="21" borderId="11" xfId="0" applyFont="1" applyFill="1" applyBorder="1" applyAlignment="1">
      <alignment horizontal="left" vertical="center"/>
    </xf>
    <xf numFmtId="14" fontId="10" fillId="21" borderId="11" xfId="0" applyNumberFormat="1" applyFont="1" applyFill="1" applyBorder="1" applyAlignment="1">
      <alignment horizontal="left" vertical="center" indent="1"/>
    </xf>
    <xf numFmtId="0" fontId="8" fillId="21" borderId="9" xfId="0" applyFont="1" applyFill="1" applyBorder="1" applyAlignment="1">
      <alignment horizontal="left" vertical="center" indent="1"/>
    </xf>
    <xf numFmtId="0" fontId="9" fillId="21" borderId="11" xfId="0" quotePrefix="1" applyFont="1" applyFill="1" applyBorder="1" applyAlignment="1">
      <alignment horizontal="left" vertical="center" indent="1"/>
    </xf>
    <xf numFmtId="0" fontId="8" fillId="21" borderId="12" xfId="0" quotePrefix="1" applyFont="1" applyFill="1" applyBorder="1" applyAlignment="1">
      <alignment horizontal="center" vertical="center"/>
    </xf>
    <xf numFmtId="0" fontId="8" fillId="21" borderId="9" xfId="0" quotePrefix="1" applyFont="1" applyFill="1" applyBorder="1" applyAlignment="1">
      <alignment horizontal="center" vertical="center"/>
    </xf>
    <xf numFmtId="0" fontId="10" fillId="21" borderId="11" xfId="0" applyFont="1" applyFill="1" applyBorder="1" applyAlignment="1">
      <alignment horizontal="left" indent="1"/>
    </xf>
    <xf numFmtId="0" fontId="8" fillId="21" borderId="11" xfId="0" quotePrefix="1" applyFont="1" applyFill="1" applyBorder="1" applyAlignment="1">
      <alignment horizontal="left" vertical="center" indent="1"/>
    </xf>
    <xf numFmtId="14" fontId="9" fillId="21" borderId="15" xfId="0" applyNumberFormat="1" applyFont="1" applyFill="1" applyBorder="1" applyAlignment="1">
      <alignment horizontal="left" vertical="center" indent="1"/>
    </xf>
    <xf numFmtId="0" fontId="8" fillId="21" borderId="9" xfId="0" applyFont="1" applyFill="1" applyBorder="1" applyAlignment="1">
      <alignment horizontal="center" vertical="center"/>
    </xf>
    <xf numFmtId="0" fontId="8" fillId="21" borderId="15" xfId="0" applyFont="1" applyFill="1" applyBorder="1" applyAlignment="1">
      <alignment horizontal="left" vertical="center" indent="1"/>
    </xf>
    <xf numFmtId="0" fontId="10" fillId="21" borderId="11" xfId="0" applyFont="1" applyFill="1" applyBorder="1" applyAlignment="1">
      <alignment horizontal="left" vertical="center" indent="1"/>
    </xf>
    <xf numFmtId="0" fontId="9" fillId="12" borderId="0" xfId="0" applyFont="1" applyFill="1" applyAlignment="1">
      <alignment horizontal="center"/>
    </xf>
    <xf numFmtId="0" fontId="27" fillId="18" borderId="0" xfId="0" applyFont="1" applyFill="1" applyAlignment="1">
      <alignment horizontal="center"/>
    </xf>
    <xf numFmtId="0" fontId="9" fillId="18" borderId="2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7" fillId="18" borderId="0" xfId="1" applyFont="1" applyFill="1"/>
    <xf numFmtId="43" fontId="5" fillId="18" borderId="0" xfId="0" applyNumberFormat="1" applyFont="1" applyFill="1" applyAlignment="1">
      <alignment horizontal="left" vertical="center" indent="1"/>
    </xf>
    <xf numFmtId="0" fontId="28" fillId="18" borderId="0" xfId="0" applyFont="1" applyFill="1" applyAlignment="1">
      <alignment horizontal="center"/>
    </xf>
    <xf numFmtId="0" fontId="29" fillId="0" borderId="26" xfId="0" applyFont="1" applyBorder="1" applyAlignment="1">
      <alignment wrapText="1"/>
    </xf>
    <xf numFmtId="0" fontId="9" fillId="16" borderId="0" xfId="0" applyFont="1" applyFill="1" applyAlignment="1">
      <alignment horizontal="center"/>
    </xf>
    <xf numFmtId="0" fontId="7" fillId="18" borderId="0" xfId="0" applyFont="1" applyFill="1" applyAlignment="1">
      <alignment horizontal="right"/>
    </xf>
    <xf numFmtId="0" fontId="9" fillId="18" borderId="0" xfId="0" applyFont="1" applyFill="1" applyAlignment="1">
      <alignment horizontal="center"/>
    </xf>
    <xf numFmtId="0" fontId="9" fillId="16" borderId="24" xfId="0" applyFont="1" applyFill="1" applyBorder="1" applyAlignment="1">
      <alignment horizontal="center"/>
    </xf>
    <xf numFmtId="0" fontId="9" fillId="11" borderId="24" xfId="0" applyFont="1" applyFill="1" applyBorder="1" applyAlignment="1">
      <alignment horizontal="center"/>
    </xf>
    <xf numFmtId="0" fontId="9" fillId="16" borderId="27" xfId="0" applyFont="1" applyFill="1" applyBorder="1" applyAlignment="1">
      <alignment horizontal="center"/>
    </xf>
    <xf numFmtId="0" fontId="9" fillId="18" borderId="28" xfId="0" applyFont="1" applyFill="1" applyBorder="1" applyAlignment="1">
      <alignment horizontal="center"/>
    </xf>
    <xf numFmtId="0" fontId="30" fillId="0" borderId="0" xfId="0" applyFont="1"/>
    <xf numFmtId="0" fontId="9" fillId="18" borderId="30" xfId="0" applyFont="1" applyFill="1" applyBorder="1" applyAlignment="1">
      <alignment horizontal="center"/>
    </xf>
    <xf numFmtId="0" fontId="9" fillId="11" borderId="27" xfId="0" applyFont="1" applyFill="1" applyBorder="1" applyAlignment="1">
      <alignment horizontal="center"/>
    </xf>
    <xf numFmtId="0" fontId="27" fillId="18" borderId="0" xfId="0" applyFont="1" applyFill="1" applyAlignment="1">
      <alignment horizontal="left"/>
    </xf>
    <xf numFmtId="0" fontId="7" fillId="22" borderId="27" xfId="0" applyFont="1" applyFill="1" applyBorder="1" applyAlignment="1">
      <alignment horizontal="center"/>
    </xf>
    <xf numFmtId="0" fontId="31" fillId="0" borderId="0" xfId="0" applyFont="1"/>
    <xf numFmtId="0" fontId="32" fillId="16" borderId="0" xfId="0" applyFont="1" applyFill="1" applyAlignment="1">
      <alignment horizontal="center"/>
    </xf>
    <xf numFmtId="0" fontId="27" fillId="18" borderId="30" xfId="0" applyFont="1" applyFill="1" applyBorder="1" applyAlignment="1">
      <alignment horizontal="center"/>
    </xf>
    <xf numFmtId="0" fontId="32" fillId="18" borderId="0" xfId="0" applyFont="1" applyFill="1" applyAlignment="1">
      <alignment horizontal="center"/>
    </xf>
    <xf numFmtId="0" fontId="31" fillId="18" borderId="0" xfId="0" applyFont="1" applyFill="1" applyAlignment="1">
      <alignment horizontal="center"/>
    </xf>
    <xf numFmtId="0" fontId="34" fillId="18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28" fillId="18" borderId="33" xfId="0" applyFont="1" applyFill="1" applyBorder="1" applyAlignment="1">
      <alignment horizontal="center"/>
    </xf>
    <xf numFmtId="0" fontId="6" fillId="0" borderId="0" xfId="0" applyFont="1" applyAlignment="1">
      <alignment horizontal="left" wrapText="1" indent="3"/>
    </xf>
    <xf numFmtId="0" fontId="7" fillId="18" borderId="27" xfId="0" applyFont="1" applyFill="1" applyBorder="1" applyAlignment="1">
      <alignment horizontal="center"/>
    </xf>
    <xf numFmtId="0" fontId="10" fillId="0" borderId="0" xfId="0" applyFont="1" applyAlignment="1">
      <alignment horizontal="left" wrapText="1" indent="3"/>
    </xf>
    <xf numFmtId="0" fontId="32" fillId="18" borderId="27" xfId="0" applyFont="1" applyFill="1" applyBorder="1" applyAlignment="1">
      <alignment horizontal="center"/>
    </xf>
    <xf numFmtId="0" fontId="28" fillId="18" borderId="27" xfId="0" applyFont="1" applyFill="1" applyBorder="1" applyAlignment="1">
      <alignment horizontal="center"/>
    </xf>
    <xf numFmtId="0" fontId="29" fillId="0" borderId="26" xfId="0" applyFont="1" applyBorder="1"/>
    <xf numFmtId="0" fontId="35" fillId="18" borderId="27" xfId="0" applyFont="1" applyFill="1" applyBorder="1" applyAlignment="1">
      <alignment horizontal="center"/>
    </xf>
    <xf numFmtId="164" fontId="0" fillId="0" borderId="0" xfId="1" applyFont="1"/>
    <xf numFmtId="0" fontId="2" fillId="0" borderId="11" xfId="2" applyBorder="1" applyAlignment="1" applyProtection="1">
      <alignment horizontal="left" vertical="center" indent="1"/>
    </xf>
    <xf numFmtId="164" fontId="36" fillId="0" borderId="0" xfId="1" applyFont="1"/>
    <xf numFmtId="0" fontId="36" fillId="0" borderId="0" xfId="0" applyFont="1"/>
    <xf numFmtId="0" fontId="1" fillId="18" borderId="11" xfId="2" applyFont="1" applyFill="1" applyBorder="1" applyAlignment="1" applyProtection="1">
      <alignment horizontal="left" vertical="center" indent="1"/>
    </xf>
    <xf numFmtId="49" fontId="1" fillId="18" borderId="11" xfId="2" applyNumberFormat="1" applyFont="1" applyFill="1" applyBorder="1" applyAlignment="1" applyProtection="1">
      <alignment horizontal="left" vertical="center" indent="1"/>
    </xf>
    <xf numFmtId="0" fontId="37" fillId="0" borderId="11" xfId="2" applyFont="1" applyBorder="1" applyAlignment="1">
      <alignment horizontal="left" vertical="center" indent="1"/>
    </xf>
    <xf numFmtId="0" fontId="8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8" fillId="14" borderId="21" xfId="0" applyFont="1" applyFill="1" applyBorder="1" applyAlignment="1">
      <alignment horizontal="center" vertical="center"/>
    </xf>
    <xf numFmtId="0" fontId="8" fillId="14" borderId="36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0" fillId="0" borderId="11" xfId="0" quotePrefix="1" applyBorder="1" applyAlignment="1">
      <alignment horizontal="left" vertical="center" indent="1"/>
    </xf>
    <xf numFmtId="0" fontId="18" fillId="0" borderId="11" xfId="0" applyFont="1" applyBorder="1" applyAlignment="1">
      <alignment horizontal="left" indent="1"/>
    </xf>
    <xf numFmtId="0" fontId="37" fillId="18" borderId="11" xfId="2" applyFont="1" applyFill="1" applyBorder="1" applyAlignment="1" applyProtection="1">
      <alignment horizontal="left" vertical="center" indent="1"/>
    </xf>
    <xf numFmtId="0" fontId="2" fillId="18" borderId="11" xfId="2" applyFill="1" applyBorder="1" applyAlignment="1" applyProtection="1">
      <alignment horizontal="left" vertical="center" indent="1"/>
    </xf>
    <xf numFmtId="0" fontId="1" fillId="0" borderId="11" xfId="2" applyFont="1" applyBorder="1" applyAlignment="1" applyProtection="1">
      <alignment horizontal="left" vertical="center" indent="1"/>
    </xf>
    <xf numFmtId="49" fontId="10" fillId="18" borderId="16" xfId="1" applyNumberFormat="1" applyFont="1" applyFill="1" applyBorder="1" applyAlignment="1">
      <alignment horizontal="center" vertical="center"/>
    </xf>
    <xf numFmtId="49" fontId="10" fillId="18" borderId="16" xfId="3" applyNumberFormat="1" applyFont="1" applyFill="1" applyBorder="1" applyAlignment="1">
      <alignment horizontal="center" vertical="center"/>
    </xf>
    <xf numFmtId="49" fontId="10" fillId="18" borderId="20" xfId="1" applyNumberFormat="1" applyFont="1" applyFill="1" applyBorder="1" applyAlignment="1">
      <alignment horizontal="center" vertical="center"/>
    </xf>
    <xf numFmtId="0" fontId="10" fillId="18" borderId="16" xfId="3" applyFont="1" applyFill="1" applyBorder="1" applyAlignment="1">
      <alignment horizontal="center" vertical="center"/>
    </xf>
    <xf numFmtId="49" fontId="10" fillId="18" borderId="9" xfId="3" applyNumberFormat="1" applyFont="1" applyFill="1" applyBorder="1" applyAlignment="1">
      <alignment horizontal="center" vertical="center"/>
    </xf>
    <xf numFmtId="0" fontId="1" fillId="0" borderId="11" xfId="2" applyFont="1" applyBorder="1" applyAlignment="1">
      <alignment horizontal="left" vertical="center" indent="1"/>
    </xf>
    <xf numFmtId="0" fontId="37" fillId="0" borderId="11" xfId="2" applyFont="1" applyBorder="1" applyAlignment="1" applyProtection="1">
      <alignment horizontal="left" vertical="center" indent="1"/>
    </xf>
    <xf numFmtId="0" fontId="0" fillId="0" borderId="29" xfId="0" applyBorder="1"/>
    <xf numFmtId="0" fontId="0" fillId="0" borderId="32" xfId="0" applyBorder="1"/>
    <xf numFmtId="0" fontId="1" fillId="18" borderId="11" xfId="2" applyFont="1" applyFill="1" applyBorder="1" applyAlignment="1">
      <alignment horizontal="left" vertical="center" indent="1"/>
    </xf>
    <xf numFmtId="15" fontId="8" fillId="12" borderId="11" xfId="0" applyNumberFormat="1" applyFont="1" applyFill="1" applyBorder="1" applyAlignment="1">
      <alignment horizontal="left" vertical="center" indent="1"/>
    </xf>
    <xf numFmtId="14" fontId="8" fillId="12" borderId="11" xfId="0" applyNumberFormat="1" applyFont="1" applyFill="1" applyBorder="1" applyAlignment="1">
      <alignment horizontal="left" vertical="center" indent="1"/>
    </xf>
    <xf numFmtId="14" fontId="10" fillId="12" borderId="11" xfId="0" applyNumberFormat="1" applyFont="1" applyFill="1" applyBorder="1" applyAlignment="1">
      <alignment horizontal="left" vertical="center" indent="1"/>
    </xf>
    <xf numFmtId="14" fontId="10" fillId="12" borderId="11" xfId="0" applyNumberFormat="1" applyFont="1" applyFill="1" applyBorder="1" applyAlignment="1">
      <alignment horizontal="left" indent="1"/>
    </xf>
    <xf numFmtId="14" fontId="8" fillId="12" borderId="0" xfId="0" applyNumberFormat="1" applyFont="1" applyFill="1" applyAlignment="1">
      <alignment horizontal="left" vertical="center" indent="1"/>
    </xf>
    <xf numFmtId="14" fontId="10" fillId="12" borderId="7" xfId="0" applyNumberFormat="1" applyFont="1" applyFill="1" applyBorder="1" applyAlignment="1">
      <alignment horizontal="left" vertical="center" indent="1"/>
    </xf>
    <xf numFmtId="14" fontId="8" fillId="12" borderId="21" xfId="0" applyNumberFormat="1" applyFont="1" applyFill="1" applyBorder="1" applyAlignment="1">
      <alignment horizontal="left" vertical="center" indent="1"/>
    </xf>
    <xf numFmtId="14" fontId="8" fillId="12" borderId="15" xfId="0" applyNumberFormat="1" applyFont="1" applyFill="1" applyBorder="1" applyAlignment="1">
      <alignment horizontal="left" vertical="center" indent="1"/>
    </xf>
    <xf numFmtId="14" fontId="8" fillId="12" borderId="11" xfId="0" applyNumberFormat="1" applyFont="1" applyFill="1" applyBorder="1" applyAlignment="1">
      <alignment horizontal="left" indent="1"/>
    </xf>
    <xf numFmtId="14" fontId="8" fillId="12" borderId="7" xfId="0" applyNumberFormat="1" applyFont="1" applyFill="1" applyBorder="1" applyAlignment="1">
      <alignment horizontal="left" vertical="center" indent="1"/>
    </xf>
    <xf numFmtId="0" fontId="38" fillId="12" borderId="0" xfId="0" applyFont="1" applyFill="1" applyAlignment="1">
      <alignment horizontal="left" indent="1"/>
    </xf>
    <xf numFmtId="14" fontId="18" fillId="12" borderId="11" xfId="0" applyNumberFormat="1" applyFont="1" applyFill="1" applyBorder="1" applyAlignment="1">
      <alignment horizontal="left" indent="1"/>
    </xf>
    <xf numFmtId="14" fontId="14" fillId="12" borderId="11" xfId="0" applyNumberFormat="1" applyFont="1" applyFill="1" applyBorder="1" applyAlignment="1">
      <alignment horizontal="left" vertical="center" indent="1"/>
    </xf>
    <xf numFmtId="15" fontId="8" fillId="12" borderId="11" xfId="0" quotePrefix="1" applyNumberFormat="1" applyFont="1" applyFill="1" applyBorder="1" applyAlignment="1">
      <alignment horizontal="left" vertical="center" indent="1"/>
    </xf>
    <xf numFmtId="0" fontId="8" fillId="17" borderId="7" xfId="0" quotePrefix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 textRotation="90"/>
    </xf>
    <xf numFmtId="0" fontId="5" fillId="8" borderId="7" xfId="0" applyFont="1" applyFill="1" applyBorder="1" applyAlignment="1">
      <alignment horizontal="center" vertical="center" textRotation="90"/>
    </xf>
    <xf numFmtId="0" fontId="5" fillId="10" borderId="2" xfId="0" applyFont="1" applyFill="1" applyBorder="1" applyAlignment="1">
      <alignment horizontal="center" vertical="center" textRotation="90"/>
    </xf>
    <xf numFmtId="0" fontId="5" fillId="10" borderId="7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5" fillId="7" borderId="7" xfId="0" applyFont="1" applyFill="1" applyBorder="1" applyAlignment="1">
      <alignment vertical="center"/>
    </xf>
    <xf numFmtId="0" fontId="5" fillId="8" borderId="7" xfId="0" applyFont="1" applyFill="1" applyBorder="1" applyAlignment="1">
      <alignment vertical="center" textRotation="90"/>
    </xf>
    <xf numFmtId="0" fontId="5" fillId="2" borderId="7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indent="1"/>
    </xf>
    <xf numFmtId="0" fontId="10" fillId="0" borderId="0" xfId="0" applyFont="1" applyBorder="1" applyAlignment="1">
      <alignment horizontal="left" indent="1"/>
    </xf>
    <xf numFmtId="0" fontId="10" fillId="0" borderId="0" xfId="0" applyFont="1" applyBorder="1" applyAlignment="1">
      <alignment horizontal="left" vertical="center" indent="1"/>
    </xf>
    <xf numFmtId="0" fontId="8" fillId="12" borderId="7" xfId="0" applyFont="1" applyFill="1" applyBorder="1" applyAlignment="1">
      <alignment horizontal="left" indent="1"/>
    </xf>
    <xf numFmtId="0" fontId="8" fillId="12" borderId="0" xfId="0" applyFont="1" applyFill="1" applyBorder="1" applyAlignment="1">
      <alignment horizontal="left" vertical="center" indent="1"/>
    </xf>
    <xf numFmtId="0" fontId="38" fillId="12" borderId="11" xfId="0" applyFont="1" applyFill="1" applyBorder="1" applyAlignment="1">
      <alignment horizontal="left" indent="1"/>
    </xf>
    <xf numFmtId="14" fontId="8" fillId="12" borderId="7" xfId="0" applyNumberFormat="1" applyFont="1" applyFill="1" applyBorder="1" applyAlignment="1">
      <alignment horizontal="left" indent="1"/>
    </xf>
    <xf numFmtId="0" fontId="8" fillId="18" borderId="15" xfId="0" applyFont="1" applyFill="1" applyBorder="1" applyAlignment="1">
      <alignment horizontal="left" vertical="center" indent="1"/>
    </xf>
    <xf numFmtId="0" fontId="8" fillId="0" borderId="22" xfId="0" applyFont="1" applyBorder="1" applyAlignment="1">
      <alignment horizontal="left" vertical="center" indent="1"/>
    </xf>
    <xf numFmtId="0" fontId="8" fillId="20" borderId="15" xfId="0" applyFont="1" applyFill="1" applyBorder="1" applyAlignment="1">
      <alignment horizontal="left" vertical="center" indent="1"/>
    </xf>
    <xf numFmtId="0" fontId="8" fillId="0" borderId="12" xfId="0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0" fontId="25" fillId="18" borderId="11" xfId="3" quotePrefix="1" applyFont="1" applyFill="1" applyBorder="1" applyAlignment="1">
      <alignment horizontal="left" vertical="center" indent="1"/>
    </xf>
    <xf numFmtId="0" fontId="10" fillId="0" borderId="0" xfId="0" quotePrefix="1" applyFont="1" applyBorder="1" applyAlignment="1">
      <alignment horizontal="left" indent="1"/>
    </xf>
    <xf numFmtId="0" fontId="10" fillId="0" borderId="7" xfId="0" quotePrefix="1" applyFont="1" applyBorder="1" applyAlignment="1">
      <alignment horizontal="left" indent="1"/>
    </xf>
    <xf numFmtId="0" fontId="8" fillId="17" borderId="0" xfId="0" applyFont="1" applyFill="1" applyBorder="1" applyAlignment="1">
      <alignment horizontal="center" vertical="center"/>
    </xf>
    <xf numFmtId="0" fontId="8" fillId="17" borderId="0" xfId="0" quotePrefix="1" applyFont="1" applyFill="1" applyBorder="1" applyAlignment="1">
      <alignment horizontal="center" vertical="center"/>
    </xf>
    <xf numFmtId="0" fontId="14" fillId="17" borderId="19" xfId="0" applyFont="1" applyFill="1" applyBorder="1" applyAlignment="1">
      <alignment horizontal="center" vertical="center"/>
    </xf>
    <xf numFmtId="0" fontId="8" fillId="18" borderId="12" xfId="0" quotePrefix="1" applyFont="1" applyFill="1" applyBorder="1" applyAlignment="1">
      <alignment horizontal="left" vertical="center" indent="1"/>
    </xf>
    <xf numFmtId="0" fontId="10" fillId="18" borderId="12" xfId="0" quotePrefix="1" applyFont="1" applyFill="1" applyBorder="1" applyAlignment="1">
      <alignment horizontal="left" vertical="center" indent="1"/>
    </xf>
    <xf numFmtId="0" fontId="10" fillId="18" borderId="0" xfId="3" quotePrefix="1" applyFont="1" applyFill="1" applyBorder="1" applyAlignment="1">
      <alignment horizontal="left" vertical="center" indent="1"/>
    </xf>
    <xf numFmtId="14" fontId="10" fillId="18" borderId="12" xfId="3" quotePrefix="1" applyNumberFormat="1" applyFont="1" applyFill="1" applyBorder="1" applyAlignment="1">
      <alignment horizontal="left" vertical="center" wrapText="1" indent="1"/>
    </xf>
    <xf numFmtId="0" fontId="10" fillId="0" borderId="12" xfId="0" quotePrefix="1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top" wrapText="1"/>
    </xf>
    <xf numFmtId="0" fontId="8" fillId="16" borderId="0" xfId="0" applyFont="1" applyFill="1" applyBorder="1" applyAlignment="1">
      <alignment horizontal="left" vertical="center" indent="1"/>
    </xf>
    <xf numFmtId="0" fontId="12" fillId="18" borderId="20" xfId="0" applyFont="1" applyFill="1" applyBorder="1" applyAlignment="1">
      <alignment horizontal="center" vertical="center"/>
    </xf>
    <xf numFmtId="0" fontId="5" fillId="18" borderId="0" xfId="0" applyFont="1" applyFill="1" applyBorder="1" applyAlignment="1">
      <alignment horizontal="center" vertical="center"/>
    </xf>
    <xf numFmtId="0" fontId="8" fillId="14" borderId="0" xfId="0" applyFont="1" applyFill="1" applyBorder="1" applyAlignment="1">
      <alignment horizontal="center" vertical="center"/>
    </xf>
    <xf numFmtId="165" fontId="10" fillId="18" borderId="11" xfId="1" applyNumberFormat="1" applyFont="1" applyFill="1" applyBorder="1" applyAlignment="1">
      <alignment horizontal="center" vertical="center"/>
    </xf>
    <xf numFmtId="0" fontId="11" fillId="18" borderId="0" xfId="0" applyFont="1" applyFill="1" applyBorder="1" applyAlignment="1">
      <alignment horizontal="center" vertical="center"/>
    </xf>
    <xf numFmtId="0" fontId="39" fillId="0" borderId="0" xfId="0" applyFont="1"/>
    <xf numFmtId="0" fontId="8" fillId="0" borderId="2" xfId="0" applyFont="1" applyBorder="1" applyAlignment="1">
      <alignment horizontal="center" vertical="center"/>
    </xf>
    <xf numFmtId="0" fontId="5" fillId="2" borderId="11" xfId="0" applyFont="1" applyFill="1" applyBorder="1" applyAlignment="1">
      <alignment vertical="center"/>
    </xf>
    <xf numFmtId="0" fontId="8" fillId="0" borderId="2" xfId="0" applyFont="1" applyBorder="1" applyAlignment="1">
      <alignment horizontal="left" vertical="center" indent="1"/>
    </xf>
    <xf numFmtId="0" fontId="6" fillId="11" borderId="2" xfId="0" applyFont="1" applyFill="1" applyBorder="1" applyAlignment="1">
      <alignment horizontal="left" vertical="center" indent="1"/>
    </xf>
    <xf numFmtId="0" fontId="6" fillId="11" borderId="0" xfId="0" applyFont="1" applyFill="1" applyBorder="1" applyAlignment="1">
      <alignment horizontal="left" vertical="center" indent="1"/>
    </xf>
    <xf numFmtId="0" fontId="8" fillId="12" borderId="2" xfId="0" applyFont="1" applyFill="1" applyBorder="1" applyAlignment="1">
      <alignment horizontal="left" vertical="center" indent="1"/>
    </xf>
    <xf numFmtId="14" fontId="8" fillId="12" borderId="0" xfId="0" applyNumberFormat="1" applyFont="1" applyFill="1" applyBorder="1" applyAlignment="1">
      <alignment horizontal="left" vertical="center" indent="1"/>
    </xf>
    <xf numFmtId="0" fontId="5" fillId="4" borderId="11" xfId="0" applyFont="1" applyFill="1" applyBorder="1" applyAlignment="1">
      <alignment horizontal="center" vertical="center" wrapText="1"/>
    </xf>
    <xf numFmtId="0" fontId="8" fillId="20" borderId="7" xfId="0" applyFont="1" applyFill="1" applyBorder="1" applyAlignment="1">
      <alignment horizontal="left" vertical="center" indent="1"/>
    </xf>
    <xf numFmtId="0" fontId="8" fillId="13" borderId="2" xfId="0" applyFont="1" applyFill="1" applyBorder="1" applyAlignment="1">
      <alignment horizontal="left" vertical="center" indent="1"/>
    </xf>
    <xf numFmtId="0" fontId="8" fillId="13" borderId="27" xfId="0" applyFont="1" applyFill="1" applyBorder="1" applyAlignment="1">
      <alignment horizontal="left" vertical="center" indent="1"/>
    </xf>
    <xf numFmtId="0" fontId="39" fillId="0" borderId="2" xfId="0" applyFont="1" applyBorder="1"/>
    <xf numFmtId="0" fontId="5" fillId="5" borderId="0" xfId="0" applyFont="1" applyFill="1" applyBorder="1" applyAlignment="1">
      <alignment vertical="center"/>
    </xf>
    <xf numFmtId="0" fontId="8" fillId="0" borderId="9" xfId="0" applyFont="1" applyBorder="1" applyAlignment="1">
      <alignment horizontal="left" vertical="center" indent="1"/>
    </xf>
    <xf numFmtId="0" fontId="8" fillId="16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left" vertical="center" indent="1"/>
    </xf>
    <xf numFmtId="0" fontId="10" fillId="18" borderId="2" xfId="3" quotePrefix="1" applyFont="1" applyFill="1" applyBorder="1" applyAlignment="1">
      <alignment horizontal="left" vertical="center" indent="1"/>
    </xf>
    <xf numFmtId="0" fontId="6" fillId="10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top" wrapText="1"/>
    </xf>
    <xf numFmtId="14" fontId="10" fillId="18" borderId="2" xfId="0" applyNumberFormat="1" applyFont="1" applyFill="1" applyBorder="1" applyAlignment="1">
      <alignment horizontal="left" vertical="center" indent="1"/>
    </xf>
    <xf numFmtId="14" fontId="10" fillId="18" borderId="0" xfId="0" applyNumberFormat="1" applyFont="1" applyFill="1" applyBorder="1" applyAlignment="1">
      <alignment horizontal="left" vertical="center" indent="1"/>
    </xf>
    <xf numFmtId="0" fontId="8" fillId="16" borderId="5" xfId="0" applyFont="1" applyFill="1" applyBorder="1" applyAlignment="1">
      <alignment horizontal="left" vertical="center" indent="1"/>
    </xf>
    <xf numFmtId="0" fontId="5" fillId="4" borderId="11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vertical="center" wrapText="1"/>
    </xf>
    <xf numFmtId="0" fontId="8" fillId="14" borderId="6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vertical="center" wrapText="1"/>
    </xf>
    <xf numFmtId="0" fontId="39" fillId="0" borderId="0" xfId="0" applyFont="1" applyBorder="1"/>
    <xf numFmtId="0" fontId="10" fillId="0" borderId="12" xfId="0" applyFont="1" applyBorder="1" applyAlignment="1">
      <alignment horizontal="left" indent="1"/>
    </xf>
    <xf numFmtId="0" fontId="10" fillId="0" borderId="0" xfId="0" quotePrefix="1" applyFont="1" applyBorder="1" applyAlignment="1">
      <alignment horizontal="left" vertical="center" indent="1"/>
    </xf>
    <xf numFmtId="0" fontId="14" fillId="0" borderId="0" xfId="0" applyFont="1" applyBorder="1" applyAlignment="1">
      <alignment horizontal="left" vertical="center" indent="1"/>
    </xf>
    <xf numFmtId="14" fontId="9" fillId="17" borderId="0" xfId="0" applyNumberFormat="1" applyFont="1" applyFill="1" applyBorder="1" applyAlignment="1">
      <alignment horizontal="left" vertical="center" indent="1"/>
    </xf>
    <xf numFmtId="0" fontId="17" fillId="0" borderId="0" xfId="0" applyFont="1" applyBorder="1" applyAlignment="1">
      <alignment horizontal="left" vertical="top"/>
    </xf>
    <xf numFmtId="0" fontId="10" fillId="12" borderId="0" xfId="0" applyFont="1" applyFill="1" applyBorder="1" applyAlignment="1">
      <alignment horizontal="left" indent="1"/>
    </xf>
    <xf numFmtId="0" fontId="10" fillId="12" borderId="15" xfId="0" applyFont="1" applyFill="1" applyBorder="1" applyAlignment="1">
      <alignment horizontal="left" indent="1"/>
    </xf>
    <xf numFmtId="0" fontId="10" fillId="12" borderId="21" xfId="0" applyFont="1" applyFill="1" applyBorder="1" applyAlignment="1">
      <alignment horizontal="left" indent="1"/>
    </xf>
    <xf numFmtId="14" fontId="10" fillId="12" borderId="15" xfId="0" applyNumberFormat="1" applyFont="1" applyFill="1" applyBorder="1" applyAlignment="1">
      <alignment horizontal="left" indent="1"/>
    </xf>
    <xf numFmtId="14" fontId="10" fillId="12" borderId="21" xfId="0" applyNumberFormat="1" applyFont="1" applyFill="1" applyBorder="1" applyAlignment="1">
      <alignment horizontal="left" indent="1"/>
    </xf>
    <xf numFmtId="0" fontId="10" fillId="18" borderId="15" xfId="0" applyFont="1" applyFill="1" applyBorder="1" applyAlignment="1">
      <alignment horizontal="left" indent="1"/>
    </xf>
    <xf numFmtId="166" fontId="8" fillId="0" borderId="15" xfId="0" applyNumberFormat="1" applyFont="1" applyBorder="1" applyAlignment="1">
      <alignment horizontal="left" vertical="center" indent="1"/>
    </xf>
    <xf numFmtId="0" fontId="8" fillId="0" borderId="2" xfId="0" quotePrefix="1" applyFont="1" applyBorder="1" applyAlignment="1">
      <alignment horizontal="left" vertical="center" indent="1"/>
    </xf>
    <xf numFmtId="0" fontId="0" fillId="0" borderId="15" xfId="0" quotePrefix="1" applyBorder="1" applyAlignment="1">
      <alignment horizontal="left" vertical="center" indent="1"/>
    </xf>
    <xf numFmtId="0" fontId="10" fillId="0" borderId="9" xfId="0" quotePrefix="1" applyFont="1" applyBorder="1" applyAlignment="1">
      <alignment horizontal="left" indent="1"/>
    </xf>
    <xf numFmtId="0" fontId="10" fillId="18" borderId="14" xfId="3" quotePrefix="1" applyFont="1" applyFill="1" applyBorder="1" applyAlignment="1">
      <alignment horizontal="left" indent="1"/>
    </xf>
    <xf numFmtId="0" fontId="8" fillId="0" borderId="26" xfId="0" applyFont="1" applyBorder="1" applyAlignment="1">
      <alignment horizontal="left" vertical="center" indent="1"/>
    </xf>
    <xf numFmtId="0" fontId="10" fillId="0" borderId="21" xfId="0" applyFont="1" applyBorder="1" applyAlignment="1">
      <alignment horizontal="left" indent="1"/>
    </xf>
    <xf numFmtId="0" fontId="26" fillId="0" borderId="0" xfId="0" applyFont="1" applyBorder="1" applyAlignment="1">
      <alignment horizontal="left" indent="1"/>
    </xf>
    <xf numFmtId="0" fontId="8" fillId="16" borderId="0" xfId="0" applyFont="1" applyFill="1" applyBorder="1" applyAlignment="1">
      <alignment horizontal="center" vertical="center"/>
    </xf>
    <xf numFmtId="0" fontId="8" fillId="17" borderId="3" xfId="0" quotePrefix="1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vertical="center"/>
    </xf>
    <xf numFmtId="0" fontId="8" fillId="17" borderId="4" xfId="0" quotePrefix="1" applyFont="1" applyFill="1" applyBorder="1" applyAlignment="1">
      <alignment horizontal="center" vertical="center"/>
    </xf>
    <xf numFmtId="0" fontId="8" fillId="17" borderId="2" xfId="0" quotePrefix="1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vertical="center" wrapText="1"/>
    </xf>
    <xf numFmtId="0" fontId="5" fillId="9" borderId="20" xfId="0" applyFont="1" applyFill="1" applyBorder="1" applyAlignment="1">
      <alignment horizontal="center" vertical="center" wrapText="1"/>
    </xf>
    <xf numFmtId="0" fontId="10" fillId="21" borderId="11" xfId="3" quotePrefix="1" applyFont="1" applyFill="1" applyBorder="1" applyAlignment="1">
      <alignment horizontal="left" vertical="center" indent="1"/>
    </xf>
    <xf numFmtId="0" fontId="0" fillId="0" borderId="16" xfId="0" quotePrefix="1" applyBorder="1" applyAlignment="1">
      <alignment horizontal="left" vertical="center" indent="1"/>
    </xf>
    <xf numFmtId="0" fontId="10" fillId="0" borderId="2" xfId="2" applyFont="1" applyBorder="1" applyAlignment="1" applyProtection="1">
      <alignment horizontal="left" vertical="center" indent="1"/>
    </xf>
    <xf numFmtId="0" fontId="18" fillId="0" borderId="15" xfId="0" applyFont="1" applyBorder="1" applyAlignment="1">
      <alignment horizontal="left" indent="1"/>
    </xf>
    <xf numFmtId="0" fontId="1" fillId="0" borderId="15" xfId="2" applyFont="1" applyBorder="1" applyAlignment="1">
      <alignment horizontal="left" vertical="center" indent="1"/>
    </xf>
    <xf numFmtId="0" fontId="6" fillId="2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10" borderId="20" xfId="0" applyFont="1" applyFill="1" applyBorder="1" applyAlignment="1">
      <alignment vertical="center" textRotation="90"/>
    </xf>
    <xf numFmtId="0" fontId="13" fillId="18" borderId="16" xfId="0" applyFont="1" applyFill="1" applyBorder="1" applyAlignment="1">
      <alignment horizontal="center" vertical="center"/>
    </xf>
    <xf numFmtId="0" fontId="10" fillId="18" borderId="5" xfId="1" applyNumberFormat="1" applyFont="1" applyFill="1" applyBorder="1" applyAlignment="1">
      <alignment horizontal="center" vertical="center"/>
    </xf>
    <xf numFmtId="0" fontId="10" fillId="18" borderId="20" xfId="3" applyFont="1" applyFill="1" applyBorder="1" applyAlignment="1">
      <alignment horizontal="center" vertical="center"/>
    </xf>
    <xf numFmtId="49" fontId="10" fillId="18" borderId="0" xfId="1" applyNumberFormat="1" applyFont="1" applyFill="1" applyBorder="1" applyAlignment="1">
      <alignment horizontal="center" vertical="center"/>
    </xf>
    <xf numFmtId="0" fontId="10" fillId="18" borderId="9" xfId="3" applyFont="1" applyFill="1" applyBorder="1" applyAlignment="1">
      <alignment horizontal="center" vertical="center"/>
    </xf>
    <xf numFmtId="0" fontId="6" fillId="10" borderId="20" xfId="0" applyFont="1" applyFill="1" applyBorder="1" applyAlignment="1">
      <alignment horizontal="center" vertical="center" wrapText="1"/>
    </xf>
    <xf numFmtId="0" fontId="6" fillId="18" borderId="2" xfId="3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 wrapText="1"/>
    </xf>
    <xf numFmtId="0" fontId="6" fillId="18" borderId="21" xfId="3" applyFont="1" applyFill="1" applyBorder="1" applyAlignment="1">
      <alignment horizontal="center" vertical="center"/>
    </xf>
    <xf numFmtId="165" fontId="10" fillId="18" borderId="21" xfId="1" applyNumberFormat="1" applyFont="1" applyFill="1" applyBorder="1" applyAlignment="1">
      <alignment horizontal="center" vertical="center"/>
    </xf>
  </cellXfs>
  <cellStyles count="4">
    <cellStyle name="Comma" xfId="1" builtinId="3"/>
    <cellStyle name="Hyperlink" xfId="2" builtinId="8"/>
    <cellStyle name="Normal" xfId="0" builtinId="0"/>
    <cellStyle name="Normal 2" xfId="3" xr:uid="{40D33C57-1099-43D6-A1AB-9693B212E7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847725</xdr:colOff>
      <xdr:row>554</xdr:row>
      <xdr:rowOff>123825</xdr:rowOff>
    </xdr:from>
    <xdr:to>
      <xdr:col>9</xdr:col>
      <xdr:colOff>95250</xdr:colOff>
      <xdr:row>554</xdr:row>
      <xdr:rowOff>133351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6CD2EBF-93A5-4D2C-8BA5-912B6ABF7B9B}"/>
            </a:ext>
          </a:extLst>
        </xdr:cNvPr>
        <xdr:cNvCxnSpPr/>
      </xdr:nvCxnSpPr>
      <xdr:spPr>
        <a:xfrm flipV="1">
          <a:off x="14268450" y="106013250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554</xdr:row>
      <xdr:rowOff>123825</xdr:rowOff>
    </xdr:from>
    <xdr:to>
      <xdr:col>9</xdr:col>
      <xdr:colOff>95250</xdr:colOff>
      <xdr:row>554</xdr:row>
      <xdr:rowOff>133351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B96BF751-77FC-49FB-A161-FEECE2AFE289}"/>
            </a:ext>
          </a:extLst>
        </xdr:cNvPr>
        <xdr:cNvCxnSpPr/>
      </xdr:nvCxnSpPr>
      <xdr:spPr>
        <a:xfrm flipV="1">
          <a:off x="14268450" y="106013250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554</xdr:row>
      <xdr:rowOff>123825</xdr:rowOff>
    </xdr:from>
    <xdr:to>
      <xdr:col>9</xdr:col>
      <xdr:colOff>95250</xdr:colOff>
      <xdr:row>554</xdr:row>
      <xdr:rowOff>133351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A61614B-437D-45B2-85EB-91AABCF5BF6F}"/>
            </a:ext>
          </a:extLst>
        </xdr:cNvPr>
        <xdr:cNvCxnSpPr/>
      </xdr:nvCxnSpPr>
      <xdr:spPr>
        <a:xfrm flipV="1">
          <a:off x="14268450" y="106013250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554</xdr:row>
      <xdr:rowOff>123825</xdr:rowOff>
    </xdr:from>
    <xdr:to>
      <xdr:col>9</xdr:col>
      <xdr:colOff>95250</xdr:colOff>
      <xdr:row>554</xdr:row>
      <xdr:rowOff>133351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D6FD45D-347A-48C1-A662-04B7DE3D8431}"/>
            </a:ext>
          </a:extLst>
        </xdr:cNvPr>
        <xdr:cNvCxnSpPr/>
      </xdr:nvCxnSpPr>
      <xdr:spPr>
        <a:xfrm flipV="1">
          <a:off x="14268450" y="106013250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554</xdr:row>
      <xdr:rowOff>123825</xdr:rowOff>
    </xdr:from>
    <xdr:to>
      <xdr:col>9</xdr:col>
      <xdr:colOff>95250</xdr:colOff>
      <xdr:row>554</xdr:row>
      <xdr:rowOff>133351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BB17B7D-41D5-465C-91D1-3CA9453D3711}"/>
            </a:ext>
          </a:extLst>
        </xdr:cNvPr>
        <xdr:cNvCxnSpPr/>
      </xdr:nvCxnSpPr>
      <xdr:spPr>
        <a:xfrm flipV="1">
          <a:off x="14268450" y="106013250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554</xdr:row>
      <xdr:rowOff>123825</xdr:rowOff>
    </xdr:from>
    <xdr:to>
      <xdr:col>9</xdr:col>
      <xdr:colOff>95250</xdr:colOff>
      <xdr:row>554</xdr:row>
      <xdr:rowOff>133351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BEE7595-90D3-4FEE-9160-4DD6AF2FD663}"/>
            </a:ext>
          </a:extLst>
        </xdr:cNvPr>
        <xdr:cNvCxnSpPr/>
      </xdr:nvCxnSpPr>
      <xdr:spPr>
        <a:xfrm flipV="1">
          <a:off x="14268450" y="106013250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554</xdr:row>
      <xdr:rowOff>123825</xdr:rowOff>
    </xdr:from>
    <xdr:to>
      <xdr:col>9</xdr:col>
      <xdr:colOff>95250</xdr:colOff>
      <xdr:row>554</xdr:row>
      <xdr:rowOff>133351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05799DC-F7EF-4D1B-8B79-4ABC1BEC733D}"/>
            </a:ext>
          </a:extLst>
        </xdr:cNvPr>
        <xdr:cNvCxnSpPr/>
      </xdr:nvCxnSpPr>
      <xdr:spPr>
        <a:xfrm flipV="1">
          <a:off x="14268450" y="106013250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554</xdr:row>
      <xdr:rowOff>123825</xdr:rowOff>
    </xdr:from>
    <xdr:to>
      <xdr:col>9</xdr:col>
      <xdr:colOff>95250</xdr:colOff>
      <xdr:row>554</xdr:row>
      <xdr:rowOff>133351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78981DE-B8F4-4045-9B5F-8CD65A2DCE58}"/>
            </a:ext>
          </a:extLst>
        </xdr:cNvPr>
        <xdr:cNvCxnSpPr/>
      </xdr:nvCxnSpPr>
      <xdr:spPr>
        <a:xfrm flipV="1">
          <a:off x="14268450" y="106013250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847725</xdr:colOff>
      <xdr:row>555</xdr:row>
      <xdr:rowOff>123825</xdr:rowOff>
    </xdr:from>
    <xdr:to>
      <xdr:col>9</xdr:col>
      <xdr:colOff>95250</xdr:colOff>
      <xdr:row>555</xdr:row>
      <xdr:rowOff>133351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786B80A-67E0-42B7-9518-342D38FD1988}"/>
            </a:ext>
          </a:extLst>
        </xdr:cNvPr>
        <xdr:cNvCxnSpPr/>
      </xdr:nvCxnSpPr>
      <xdr:spPr>
        <a:xfrm flipV="1">
          <a:off x="14268450" y="10705147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555</xdr:row>
      <xdr:rowOff>123825</xdr:rowOff>
    </xdr:from>
    <xdr:to>
      <xdr:col>9</xdr:col>
      <xdr:colOff>95250</xdr:colOff>
      <xdr:row>555</xdr:row>
      <xdr:rowOff>133351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FDFCA40-A4C1-4294-BCF6-67BBBCD29913}"/>
            </a:ext>
          </a:extLst>
        </xdr:cNvPr>
        <xdr:cNvCxnSpPr/>
      </xdr:nvCxnSpPr>
      <xdr:spPr>
        <a:xfrm flipV="1">
          <a:off x="14268450" y="10705147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555</xdr:row>
      <xdr:rowOff>123825</xdr:rowOff>
    </xdr:from>
    <xdr:to>
      <xdr:col>9</xdr:col>
      <xdr:colOff>95250</xdr:colOff>
      <xdr:row>555</xdr:row>
      <xdr:rowOff>133351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A3527CF-72DA-4A5D-8171-FCEDC10FEFBC}"/>
            </a:ext>
          </a:extLst>
        </xdr:cNvPr>
        <xdr:cNvCxnSpPr/>
      </xdr:nvCxnSpPr>
      <xdr:spPr>
        <a:xfrm flipV="1">
          <a:off x="14268450" y="10705147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555</xdr:row>
      <xdr:rowOff>123825</xdr:rowOff>
    </xdr:from>
    <xdr:to>
      <xdr:col>9</xdr:col>
      <xdr:colOff>95250</xdr:colOff>
      <xdr:row>555</xdr:row>
      <xdr:rowOff>133351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2BA23CF-C6DF-46FD-836C-7760AF965EDF}"/>
            </a:ext>
          </a:extLst>
        </xdr:cNvPr>
        <xdr:cNvCxnSpPr/>
      </xdr:nvCxnSpPr>
      <xdr:spPr>
        <a:xfrm flipV="1">
          <a:off x="14268450" y="10705147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555</xdr:row>
      <xdr:rowOff>123825</xdr:rowOff>
    </xdr:from>
    <xdr:to>
      <xdr:col>9</xdr:col>
      <xdr:colOff>95250</xdr:colOff>
      <xdr:row>555</xdr:row>
      <xdr:rowOff>133351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D04EA11-BD20-4F15-ABA1-7E967B1825B6}"/>
            </a:ext>
          </a:extLst>
        </xdr:cNvPr>
        <xdr:cNvCxnSpPr/>
      </xdr:nvCxnSpPr>
      <xdr:spPr>
        <a:xfrm flipV="1">
          <a:off x="14268450" y="10705147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555</xdr:row>
      <xdr:rowOff>123825</xdr:rowOff>
    </xdr:from>
    <xdr:to>
      <xdr:col>9</xdr:col>
      <xdr:colOff>95250</xdr:colOff>
      <xdr:row>555</xdr:row>
      <xdr:rowOff>133351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E05B798-6F54-469F-8730-7167388C0041}"/>
            </a:ext>
          </a:extLst>
        </xdr:cNvPr>
        <xdr:cNvCxnSpPr/>
      </xdr:nvCxnSpPr>
      <xdr:spPr>
        <a:xfrm flipV="1">
          <a:off x="14268450" y="10705147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555</xdr:row>
      <xdr:rowOff>123825</xdr:rowOff>
    </xdr:from>
    <xdr:to>
      <xdr:col>9</xdr:col>
      <xdr:colOff>95250</xdr:colOff>
      <xdr:row>555</xdr:row>
      <xdr:rowOff>133351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DE2B8F1-5864-4720-ABF7-DB7042F2B11A}"/>
            </a:ext>
          </a:extLst>
        </xdr:cNvPr>
        <xdr:cNvCxnSpPr/>
      </xdr:nvCxnSpPr>
      <xdr:spPr>
        <a:xfrm flipV="1">
          <a:off x="14268450" y="10705147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555</xdr:row>
      <xdr:rowOff>123825</xdr:rowOff>
    </xdr:from>
    <xdr:to>
      <xdr:col>9</xdr:col>
      <xdr:colOff>95250</xdr:colOff>
      <xdr:row>555</xdr:row>
      <xdr:rowOff>133351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E519033-0FF7-46E0-97BC-C156D50D5469}"/>
            </a:ext>
          </a:extLst>
        </xdr:cNvPr>
        <xdr:cNvCxnSpPr/>
      </xdr:nvCxnSpPr>
      <xdr:spPr>
        <a:xfrm flipV="1">
          <a:off x="14268450" y="10705147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847725</xdr:colOff>
      <xdr:row>558</xdr:row>
      <xdr:rowOff>123825</xdr:rowOff>
    </xdr:from>
    <xdr:to>
      <xdr:col>9</xdr:col>
      <xdr:colOff>95250</xdr:colOff>
      <xdr:row>558</xdr:row>
      <xdr:rowOff>133351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0CA2D45-4D08-42AA-AD69-D4C3E0025EF5}"/>
            </a:ext>
          </a:extLst>
        </xdr:cNvPr>
        <xdr:cNvCxnSpPr/>
      </xdr:nvCxnSpPr>
      <xdr:spPr>
        <a:xfrm flipV="1">
          <a:off x="14268450" y="10718482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558</xdr:row>
      <xdr:rowOff>123825</xdr:rowOff>
    </xdr:from>
    <xdr:to>
      <xdr:col>9</xdr:col>
      <xdr:colOff>95250</xdr:colOff>
      <xdr:row>558</xdr:row>
      <xdr:rowOff>133351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A61201E-CF8F-4BE1-A65C-1FCE8115298E}"/>
            </a:ext>
          </a:extLst>
        </xdr:cNvPr>
        <xdr:cNvCxnSpPr/>
      </xdr:nvCxnSpPr>
      <xdr:spPr>
        <a:xfrm flipV="1">
          <a:off x="14268450" y="10718482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558</xdr:row>
      <xdr:rowOff>123825</xdr:rowOff>
    </xdr:from>
    <xdr:to>
      <xdr:col>9</xdr:col>
      <xdr:colOff>95250</xdr:colOff>
      <xdr:row>558</xdr:row>
      <xdr:rowOff>133351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EC474D3-87A9-4EA7-B38F-6AE84D4E6C64}"/>
            </a:ext>
          </a:extLst>
        </xdr:cNvPr>
        <xdr:cNvCxnSpPr/>
      </xdr:nvCxnSpPr>
      <xdr:spPr>
        <a:xfrm flipV="1">
          <a:off x="14268450" y="10718482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558</xdr:row>
      <xdr:rowOff>123825</xdr:rowOff>
    </xdr:from>
    <xdr:to>
      <xdr:col>9</xdr:col>
      <xdr:colOff>95250</xdr:colOff>
      <xdr:row>558</xdr:row>
      <xdr:rowOff>133351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4DB36EA-BC31-48A2-9685-9E8F8B5483E6}"/>
            </a:ext>
          </a:extLst>
        </xdr:cNvPr>
        <xdr:cNvCxnSpPr/>
      </xdr:nvCxnSpPr>
      <xdr:spPr>
        <a:xfrm flipV="1">
          <a:off x="14268450" y="10718482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558</xdr:row>
      <xdr:rowOff>123825</xdr:rowOff>
    </xdr:from>
    <xdr:to>
      <xdr:col>9</xdr:col>
      <xdr:colOff>95250</xdr:colOff>
      <xdr:row>558</xdr:row>
      <xdr:rowOff>133351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62A700D-2AFB-4739-A450-E8A631AEA713}"/>
            </a:ext>
          </a:extLst>
        </xdr:cNvPr>
        <xdr:cNvCxnSpPr/>
      </xdr:nvCxnSpPr>
      <xdr:spPr>
        <a:xfrm flipV="1">
          <a:off x="14268450" y="10718482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558</xdr:row>
      <xdr:rowOff>123825</xdr:rowOff>
    </xdr:from>
    <xdr:to>
      <xdr:col>9</xdr:col>
      <xdr:colOff>95250</xdr:colOff>
      <xdr:row>558</xdr:row>
      <xdr:rowOff>133351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1FB289D-2A01-4695-8AF3-21C1B5071419}"/>
            </a:ext>
          </a:extLst>
        </xdr:cNvPr>
        <xdr:cNvCxnSpPr/>
      </xdr:nvCxnSpPr>
      <xdr:spPr>
        <a:xfrm flipV="1">
          <a:off x="14268450" y="10718482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558</xdr:row>
      <xdr:rowOff>123825</xdr:rowOff>
    </xdr:from>
    <xdr:to>
      <xdr:col>9</xdr:col>
      <xdr:colOff>95250</xdr:colOff>
      <xdr:row>558</xdr:row>
      <xdr:rowOff>133351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B582EC6-D72E-4627-99BF-7D047CAE09AD}"/>
            </a:ext>
          </a:extLst>
        </xdr:cNvPr>
        <xdr:cNvCxnSpPr/>
      </xdr:nvCxnSpPr>
      <xdr:spPr>
        <a:xfrm flipV="1">
          <a:off x="14268450" y="10718482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558</xdr:row>
      <xdr:rowOff>123825</xdr:rowOff>
    </xdr:from>
    <xdr:to>
      <xdr:col>9</xdr:col>
      <xdr:colOff>95250</xdr:colOff>
      <xdr:row>558</xdr:row>
      <xdr:rowOff>133351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51132E9-D182-4762-9ECB-22258D7B92B5}"/>
            </a:ext>
          </a:extLst>
        </xdr:cNvPr>
        <xdr:cNvCxnSpPr/>
      </xdr:nvCxnSpPr>
      <xdr:spPr>
        <a:xfrm flipV="1">
          <a:off x="14268450" y="107184825"/>
          <a:ext cx="279082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847725</xdr:colOff>
      <xdr:row>561</xdr:row>
      <xdr:rowOff>123825</xdr:rowOff>
    </xdr:from>
    <xdr:to>
      <xdr:col>9</xdr:col>
      <xdr:colOff>95250</xdr:colOff>
      <xdr:row>561</xdr:row>
      <xdr:rowOff>133351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22B42EDB-90C4-44E7-8BC4-63D67D6A15DB}"/>
            </a:ext>
          </a:extLst>
        </xdr:cNvPr>
        <xdr:cNvCxnSpPr/>
      </xdr:nvCxnSpPr>
      <xdr:spPr>
        <a:xfrm flipV="1">
          <a:off x="14182725" y="1077563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561</xdr:row>
      <xdr:rowOff>123825</xdr:rowOff>
    </xdr:from>
    <xdr:to>
      <xdr:col>9</xdr:col>
      <xdr:colOff>95250</xdr:colOff>
      <xdr:row>561</xdr:row>
      <xdr:rowOff>133351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5508E99-6C05-41ED-8CEB-176DED78EF6A}"/>
            </a:ext>
          </a:extLst>
        </xdr:cNvPr>
        <xdr:cNvCxnSpPr/>
      </xdr:nvCxnSpPr>
      <xdr:spPr>
        <a:xfrm flipV="1">
          <a:off x="14182725" y="1077563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561</xdr:row>
      <xdr:rowOff>123825</xdr:rowOff>
    </xdr:from>
    <xdr:to>
      <xdr:col>9</xdr:col>
      <xdr:colOff>95250</xdr:colOff>
      <xdr:row>561</xdr:row>
      <xdr:rowOff>133351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9B162A3-6A57-49AE-802D-8EB46C4C76EE}"/>
            </a:ext>
          </a:extLst>
        </xdr:cNvPr>
        <xdr:cNvCxnSpPr/>
      </xdr:nvCxnSpPr>
      <xdr:spPr>
        <a:xfrm flipV="1">
          <a:off x="14182725" y="1077563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561</xdr:row>
      <xdr:rowOff>123825</xdr:rowOff>
    </xdr:from>
    <xdr:to>
      <xdr:col>9</xdr:col>
      <xdr:colOff>95250</xdr:colOff>
      <xdr:row>561</xdr:row>
      <xdr:rowOff>133351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E927ECD-4C0C-4B88-A25B-D4F20972DE64}"/>
            </a:ext>
          </a:extLst>
        </xdr:cNvPr>
        <xdr:cNvCxnSpPr/>
      </xdr:nvCxnSpPr>
      <xdr:spPr>
        <a:xfrm flipV="1">
          <a:off x="14182725" y="1077563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561</xdr:row>
      <xdr:rowOff>123825</xdr:rowOff>
    </xdr:from>
    <xdr:to>
      <xdr:col>9</xdr:col>
      <xdr:colOff>95250</xdr:colOff>
      <xdr:row>561</xdr:row>
      <xdr:rowOff>133351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FD553DB-A893-4924-9E8D-AA8F10F6DFD4}"/>
            </a:ext>
          </a:extLst>
        </xdr:cNvPr>
        <xdr:cNvCxnSpPr/>
      </xdr:nvCxnSpPr>
      <xdr:spPr>
        <a:xfrm flipV="1">
          <a:off x="14182725" y="1077563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561</xdr:row>
      <xdr:rowOff>123825</xdr:rowOff>
    </xdr:from>
    <xdr:to>
      <xdr:col>9</xdr:col>
      <xdr:colOff>95250</xdr:colOff>
      <xdr:row>561</xdr:row>
      <xdr:rowOff>133351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B031747-0DBE-4F1E-9E28-33B77C26B325}"/>
            </a:ext>
          </a:extLst>
        </xdr:cNvPr>
        <xdr:cNvCxnSpPr/>
      </xdr:nvCxnSpPr>
      <xdr:spPr>
        <a:xfrm flipV="1">
          <a:off x="14182725" y="1077563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561</xdr:row>
      <xdr:rowOff>123825</xdr:rowOff>
    </xdr:from>
    <xdr:to>
      <xdr:col>9</xdr:col>
      <xdr:colOff>95250</xdr:colOff>
      <xdr:row>561</xdr:row>
      <xdr:rowOff>133351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FCEC7FB-72BE-4174-94A6-6D49CAF8A3B7}"/>
            </a:ext>
          </a:extLst>
        </xdr:cNvPr>
        <xdr:cNvCxnSpPr/>
      </xdr:nvCxnSpPr>
      <xdr:spPr>
        <a:xfrm flipV="1">
          <a:off x="14182725" y="1077563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847725</xdr:colOff>
      <xdr:row>561</xdr:row>
      <xdr:rowOff>123825</xdr:rowOff>
    </xdr:from>
    <xdr:to>
      <xdr:col>9</xdr:col>
      <xdr:colOff>95250</xdr:colOff>
      <xdr:row>561</xdr:row>
      <xdr:rowOff>133351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296240A-C3E0-44AB-B2DD-EEAA00EFE26E}"/>
            </a:ext>
          </a:extLst>
        </xdr:cNvPr>
        <xdr:cNvCxnSpPr/>
      </xdr:nvCxnSpPr>
      <xdr:spPr>
        <a:xfrm flipV="1">
          <a:off x="14182725" y="1077563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847725</xdr:colOff>
      <xdr:row>562</xdr:row>
      <xdr:rowOff>123825</xdr:rowOff>
    </xdr:from>
    <xdr:to>
      <xdr:col>10</xdr:col>
      <xdr:colOff>95250</xdr:colOff>
      <xdr:row>562</xdr:row>
      <xdr:rowOff>133351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3EF56E3-1FD0-49A1-9576-B4B37A828C5E}"/>
            </a:ext>
          </a:extLst>
        </xdr:cNvPr>
        <xdr:cNvCxnSpPr/>
      </xdr:nvCxnSpPr>
      <xdr:spPr>
        <a:xfrm flipV="1">
          <a:off x="14182725" y="1083278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847725</xdr:colOff>
      <xdr:row>562</xdr:row>
      <xdr:rowOff>123825</xdr:rowOff>
    </xdr:from>
    <xdr:to>
      <xdr:col>10</xdr:col>
      <xdr:colOff>95250</xdr:colOff>
      <xdr:row>562</xdr:row>
      <xdr:rowOff>133351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0F1A15D-3F6E-4C8E-8A07-BC457FA77244}"/>
            </a:ext>
          </a:extLst>
        </xdr:cNvPr>
        <xdr:cNvCxnSpPr/>
      </xdr:nvCxnSpPr>
      <xdr:spPr>
        <a:xfrm flipV="1">
          <a:off x="14182725" y="1083278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847725</xdr:colOff>
      <xdr:row>562</xdr:row>
      <xdr:rowOff>123825</xdr:rowOff>
    </xdr:from>
    <xdr:to>
      <xdr:col>10</xdr:col>
      <xdr:colOff>95250</xdr:colOff>
      <xdr:row>562</xdr:row>
      <xdr:rowOff>133351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588C358-1547-4D76-A497-41056D05A383}"/>
            </a:ext>
          </a:extLst>
        </xdr:cNvPr>
        <xdr:cNvCxnSpPr/>
      </xdr:nvCxnSpPr>
      <xdr:spPr>
        <a:xfrm flipV="1">
          <a:off x="14182725" y="1083278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847725</xdr:colOff>
      <xdr:row>562</xdr:row>
      <xdr:rowOff>123825</xdr:rowOff>
    </xdr:from>
    <xdr:to>
      <xdr:col>10</xdr:col>
      <xdr:colOff>95250</xdr:colOff>
      <xdr:row>562</xdr:row>
      <xdr:rowOff>133351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E103C20-3947-4526-BB7E-3031BAB36720}"/>
            </a:ext>
          </a:extLst>
        </xdr:cNvPr>
        <xdr:cNvCxnSpPr/>
      </xdr:nvCxnSpPr>
      <xdr:spPr>
        <a:xfrm flipV="1">
          <a:off x="14182725" y="1083278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847725</xdr:colOff>
      <xdr:row>562</xdr:row>
      <xdr:rowOff>123825</xdr:rowOff>
    </xdr:from>
    <xdr:to>
      <xdr:col>10</xdr:col>
      <xdr:colOff>95250</xdr:colOff>
      <xdr:row>562</xdr:row>
      <xdr:rowOff>133351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F1E5361-7E4C-4268-A29D-9E3372E9CED3}"/>
            </a:ext>
          </a:extLst>
        </xdr:cNvPr>
        <xdr:cNvCxnSpPr/>
      </xdr:nvCxnSpPr>
      <xdr:spPr>
        <a:xfrm flipV="1">
          <a:off x="14182725" y="1083278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847725</xdr:colOff>
      <xdr:row>562</xdr:row>
      <xdr:rowOff>123825</xdr:rowOff>
    </xdr:from>
    <xdr:to>
      <xdr:col>10</xdr:col>
      <xdr:colOff>95250</xdr:colOff>
      <xdr:row>562</xdr:row>
      <xdr:rowOff>133351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C96CAA9-5DEC-4865-B0D4-6FACD25F06DB}"/>
            </a:ext>
          </a:extLst>
        </xdr:cNvPr>
        <xdr:cNvCxnSpPr/>
      </xdr:nvCxnSpPr>
      <xdr:spPr>
        <a:xfrm flipV="1">
          <a:off x="14182725" y="1083278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847725</xdr:colOff>
      <xdr:row>562</xdr:row>
      <xdr:rowOff>123825</xdr:rowOff>
    </xdr:from>
    <xdr:to>
      <xdr:col>10</xdr:col>
      <xdr:colOff>95250</xdr:colOff>
      <xdr:row>562</xdr:row>
      <xdr:rowOff>133351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FC2AD934-BC94-4059-8A99-7EB44CA651DD}"/>
            </a:ext>
          </a:extLst>
        </xdr:cNvPr>
        <xdr:cNvCxnSpPr/>
      </xdr:nvCxnSpPr>
      <xdr:spPr>
        <a:xfrm flipV="1">
          <a:off x="14182725" y="1083278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847725</xdr:colOff>
      <xdr:row>562</xdr:row>
      <xdr:rowOff>123825</xdr:rowOff>
    </xdr:from>
    <xdr:to>
      <xdr:col>10</xdr:col>
      <xdr:colOff>95250</xdr:colOff>
      <xdr:row>562</xdr:row>
      <xdr:rowOff>133351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F43B87D3-0A9E-40C5-9C69-6A851EE103DE}"/>
            </a:ext>
          </a:extLst>
        </xdr:cNvPr>
        <xdr:cNvCxnSpPr/>
      </xdr:nvCxnSpPr>
      <xdr:spPr>
        <a:xfrm flipV="1">
          <a:off x="14182725" y="108327825"/>
          <a:ext cx="2847975" cy="9526"/>
        </a:xfrm>
        <a:prstGeom prst="straightConnector1">
          <a:avLst/>
        </a:prstGeom>
        <a:ln w="28575"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v.senonurutama@gmail.com" TargetMode="External"/><Relationship Id="rId21" Type="http://schemas.openxmlformats.org/officeDocument/2006/relationships/hyperlink" Target="mailto:lais.engineering.indonesia@gmail.com" TargetMode="External"/><Relationship Id="rId42" Type="http://schemas.openxmlformats.org/officeDocument/2006/relationships/hyperlink" Target="mailto:marsonoabadi12@gmail.com" TargetMode="External"/><Relationship Id="rId63" Type="http://schemas.openxmlformats.org/officeDocument/2006/relationships/hyperlink" Target="mailto:candrakirana.dc@gmail.com" TargetMode="External"/><Relationship Id="rId84" Type="http://schemas.openxmlformats.org/officeDocument/2006/relationships/hyperlink" Target="mailto:surveypembangunan@gmail.com" TargetMode="External"/><Relationship Id="rId138" Type="http://schemas.openxmlformats.org/officeDocument/2006/relationships/hyperlink" Target="mailto:cv.idealmandiri@gmail.com" TargetMode="External"/><Relationship Id="rId159" Type="http://schemas.openxmlformats.org/officeDocument/2006/relationships/hyperlink" Target="mailto:cvmajapahit97@gmail.com" TargetMode="External"/><Relationship Id="rId170" Type="http://schemas.openxmlformats.org/officeDocument/2006/relationships/hyperlink" Target="mailto:cvmitrabersamamandiri1@gmail.com" TargetMode="External"/><Relationship Id="rId191" Type="http://schemas.openxmlformats.org/officeDocument/2006/relationships/hyperlink" Target="mailto:cv.berjayamakmurkonsultan@gmail.com" TargetMode="External"/><Relationship Id="rId205" Type="http://schemas.openxmlformats.org/officeDocument/2006/relationships/hyperlink" Target="mailto:kcmbtg5a@gmail.com" TargetMode="External"/><Relationship Id="rId226" Type="http://schemas.openxmlformats.org/officeDocument/2006/relationships/hyperlink" Target="mailto:semestarahayudisain@gmail.com" TargetMode="External"/><Relationship Id="rId247" Type="http://schemas.openxmlformats.org/officeDocument/2006/relationships/hyperlink" Target="mailto:improvekaryasolusi@gmail.com" TargetMode="External"/><Relationship Id="rId107" Type="http://schemas.openxmlformats.org/officeDocument/2006/relationships/hyperlink" Target="mailto:arthabc184@gmail.com" TargetMode="External"/><Relationship Id="rId11" Type="http://schemas.openxmlformats.org/officeDocument/2006/relationships/hyperlink" Target="mailto:rekadwipa.studio@gmail.com" TargetMode="External"/><Relationship Id="rId32" Type="http://schemas.openxmlformats.org/officeDocument/2006/relationships/hyperlink" Target="mailto:rafipermatajaya@gmail.com" TargetMode="External"/><Relationship Id="rId53" Type="http://schemas.openxmlformats.org/officeDocument/2006/relationships/hyperlink" Target="mailto:anugerah.jm@yahoo.com" TargetMode="External"/><Relationship Id="rId74" Type="http://schemas.openxmlformats.org/officeDocument/2006/relationships/hyperlink" Target="mailto:subekhan05@gmail.com" TargetMode="External"/><Relationship Id="rId128" Type="http://schemas.openxmlformats.org/officeDocument/2006/relationships/hyperlink" Target="mailto:cvpatriautamapkl@gmail.com" TargetMode="External"/><Relationship Id="rId149" Type="http://schemas.openxmlformats.org/officeDocument/2006/relationships/hyperlink" Target="mailto:cv.galihloka@gmail.com" TargetMode="External"/><Relationship Id="rId5" Type="http://schemas.openxmlformats.org/officeDocument/2006/relationships/hyperlink" Target="mailto:abiseka_nitibuana@yahoo.co.id" TargetMode="External"/><Relationship Id="rId95" Type="http://schemas.openxmlformats.org/officeDocument/2006/relationships/hyperlink" Target="mailto:agasha.kreatif@gmail.com" TargetMode="External"/><Relationship Id="rId160" Type="http://schemas.openxmlformats.org/officeDocument/2006/relationships/hyperlink" Target="mailto:cendanaciptacita@gmail.com" TargetMode="External"/><Relationship Id="rId181" Type="http://schemas.openxmlformats.org/officeDocument/2006/relationships/hyperlink" Target="mailto:konsultanprojo@gmail.com" TargetMode="External"/><Relationship Id="rId216" Type="http://schemas.openxmlformats.org/officeDocument/2006/relationships/hyperlink" Target="mailto:cvdinastijavagroup@gmail.com" TargetMode="External"/><Relationship Id="rId237" Type="http://schemas.openxmlformats.org/officeDocument/2006/relationships/hyperlink" Target="mailto:daafconsultant@gmail.com" TargetMode="External"/><Relationship Id="rId258" Type="http://schemas.openxmlformats.org/officeDocument/2006/relationships/printerSettings" Target="../printerSettings/printerSettings1.bin"/><Relationship Id="rId22" Type="http://schemas.openxmlformats.org/officeDocument/2006/relationships/hyperlink" Target="mailto:guratrp@gmail.com" TargetMode="External"/><Relationship Id="rId43" Type="http://schemas.openxmlformats.org/officeDocument/2006/relationships/hyperlink" Target="mailto:triganajayakonsultan.cv@gmail.com" TargetMode="External"/><Relationship Id="rId64" Type="http://schemas.openxmlformats.org/officeDocument/2006/relationships/hyperlink" Target="mailto:cvdelima55@gmail.com" TargetMode="External"/><Relationship Id="rId118" Type="http://schemas.openxmlformats.org/officeDocument/2006/relationships/hyperlink" Target="mailto:jazzelindonugraha@gmail.com" TargetMode="External"/><Relationship Id="rId139" Type="http://schemas.openxmlformats.org/officeDocument/2006/relationships/hyperlink" Target="mailto:cv.arjip@yahoo.com" TargetMode="External"/><Relationship Id="rId85" Type="http://schemas.openxmlformats.org/officeDocument/2006/relationships/hyperlink" Target="mailto:suminarjaya8@gmail.com" TargetMode="External"/><Relationship Id="rId150" Type="http://schemas.openxmlformats.org/officeDocument/2006/relationships/hyperlink" Target="mailto:gigapratamapekalongan@gmail.com" TargetMode="External"/><Relationship Id="rId171" Type="http://schemas.openxmlformats.org/officeDocument/2006/relationships/hyperlink" Target="mailto:pakarkita.konsultan@gmail.com" TargetMode="External"/><Relationship Id="rId192" Type="http://schemas.openxmlformats.org/officeDocument/2006/relationships/hyperlink" Target="mailto:cv.sumuragungkendal@gmail.com" TargetMode="External"/><Relationship Id="rId206" Type="http://schemas.openxmlformats.org/officeDocument/2006/relationships/hyperlink" Target="mailto:ptkaryagumelarindonesia@gmail.com" TargetMode="External"/><Relationship Id="rId227" Type="http://schemas.openxmlformats.org/officeDocument/2006/relationships/hyperlink" Target="mailto:ideaciptakreasi@gmail.com" TargetMode="External"/><Relationship Id="rId248" Type="http://schemas.openxmlformats.org/officeDocument/2006/relationships/hyperlink" Target="mailto:ptadhistyadharmastitya@gmail.com" TargetMode="External"/><Relationship Id="rId12" Type="http://schemas.openxmlformats.org/officeDocument/2006/relationships/hyperlink" Target="mailto:vikibalsa@yahoo.com" TargetMode="External"/><Relationship Id="rId33" Type="http://schemas.openxmlformats.org/officeDocument/2006/relationships/hyperlink" Target="mailto:radius4rc@gmail.com" TargetMode="External"/><Relationship Id="rId108" Type="http://schemas.openxmlformats.org/officeDocument/2006/relationships/hyperlink" Target="mailto:cv.aditkarya2018@gmail.com" TargetMode="External"/><Relationship Id="rId129" Type="http://schemas.openxmlformats.org/officeDocument/2006/relationships/hyperlink" Target="mailto:megajasaconsultant@gmail.com" TargetMode="External"/><Relationship Id="rId54" Type="http://schemas.openxmlformats.org/officeDocument/2006/relationships/hyperlink" Target="mailto:agoralegalitas@gmail.com" TargetMode="External"/><Relationship Id="rId75" Type="http://schemas.openxmlformats.org/officeDocument/2006/relationships/hyperlink" Target="mailto:dutacitraoss@gmail.com" TargetMode="External"/><Relationship Id="rId96" Type="http://schemas.openxmlformats.org/officeDocument/2006/relationships/hyperlink" Target="mailto:tectonicarch.rbg@gmail.com" TargetMode="External"/><Relationship Id="rId140" Type="http://schemas.openxmlformats.org/officeDocument/2006/relationships/hyperlink" Target="mailto:ciptamawakreasi@gmail.com" TargetMode="External"/><Relationship Id="rId161" Type="http://schemas.openxmlformats.org/officeDocument/2006/relationships/hyperlink" Target="mailto:rekayasamitramuda@gmail.com" TargetMode="External"/><Relationship Id="rId182" Type="http://schemas.openxmlformats.org/officeDocument/2006/relationships/hyperlink" Target="mailto:unggulsentosajaya1@gmail.com" TargetMode="External"/><Relationship Id="rId217" Type="http://schemas.openxmlformats.org/officeDocument/2006/relationships/hyperlink" Target="mailto:acegeconsultant@gmail.com" TargetMode="External"/><Relationship Id="rId6" Type="http://schemas.openxmlformats.org/officeDocument/2006/relationships/hyperlink" Target="mailto:cvtrisaktiarsitek@gmail.com" TargetMode="External"/><Relationship Id="rId238" Type="http://schemas.openxmlformats.org/officeDocument/2006/relationships/hyperlink" Target="mailto:globalwujudkreasi@gmail.com" TargetMode="External"/><Relationship Id="rId259" Type="http://schemas.openxmlformats.org/officeDocument/2006/relationships/drawing" Target="../drawings/drawing1.xml"/><Relationship Id="rId23" Type="http://schemas.openxmlformats.org/officeDocument/2006/relationships/hyperlink" Target="mailto:bimakaryamandiri64@gmail.com" TargetMode="External"/><Relationship Id="rId119" Type="http://schemas.openxmlformats.org/officeDocument/2006/relationships/hyperlink" Target="mailto:rancang.cipta.global@gmail.com" TargetMode="External"/><Relationship Id="rId44" Type="http://schemas.openxmlformats.org/officeDocument/2006/relationships/hyperlink" Target="mailto:artiyaprimasejahtera.cv@gmail.com" TargetMode="External"/><Relationship Id="rId65" Type="http://schemas.openxmlformats.org/officeDocument/2006/relationships/hyperlink" Target="mailto:iqbalkurniawan195@gmail.com" TargetMode="External"/><Relationship Id="rId86" Type="http://schemas.openxmlformats.org/officeDocument/2006/relationships/hyperlink" Target="mailto:endrotrias@gmail.com" TargetMode="External"/><Relationship Id="rId130" Type="http://schemas.openxmlformats.org/officeDocument/2006/relationships/hyperlink" Target="mailto:cv.dharmaconsultant@gmail.com" TargetMode="External"/><Relationship Id="rId151" Type="http://schemas.openxmlformats.org/officeDocument/2006/relationships/hyperlink" Target="mailto:sabakonstruksi@gmail.com" TargetMode="External"/><Relationship Id="rId172" Type="http://schemas.openxmlformats.org/officeDocument/2006/relationships/hyperlink" Target="mailto:xynerva.pratama.consultant@gmail.com" TargetMode="External"/><Relationship Id="rId193" Type="http://schemas.openxmlformats.org/officeDocument/2006/relationships/hyperlink" Target="mailto:gnakonsultan.lpse@gmail.com" TargetMode="External"/><Relationship Id="rId207" Type="http://schemas.openxmlformats.org/officeDocument/2006/relationships/hyperlink" Target="mailto:cvlemahabangengineering@gmail.com" TargetMode="External"/><Relationship Id="rId228" Type="http://schemas.openxmlformats.org/officeDocument/2006/relationships/hyperlink" Target="mailto:wirakaryaabadi.cv@gmail.com" TargetMode="External"/><Relationship Id="rId249" Type="http://schemas.openxmlformats.org/officeDocument/2006/relationships/hyperlink" Target="mailto:pandupolakonsultan@gmail.com" TargetMode="External"/><Relationship Id="rId13" Type="http://schemas.openxmlformats.org/officeDocument/2006/relationships/hyperlink" Target="mailto:3pusakadisain@gmail.com" TargetMode="External"/><Relationship Id="rId109" Type="http://schemas.openxmlformats.org/officeDocument/2006/relationships/hyperlink" Target="mailto:krida.ganesha@gmail.com" TargetMode="External"/><Relationship Id="rId34" Type="http://schemas.openxmlformats.org/officeDocument/2006/relationships/hyperlink" Target="mailto:cvnirmana20@gmail.com" TargetMode="External"/><Relationship Id="rId55" Type="http://schemas.openxmlformats.org/officeDocument/2006/relationships/hyperlink" Target="mailto:admptaretaswicaksana@gmail.com" TargetMode="External"/><Relationship Id="rId76" Type="http://schemas.openxmlformats.org/officeDocument/2006/relationships/hyperlink" Target="mailto:javagroup.indonesia@gmail.com" TargetMode="External"/><Relationship Id="rId97" Type="http://schemas.openxmlformats.org/officeDocument/2006/relationships/hyperlink" Target="mailto:suparno0912@gmail.com" TargetMode="External"/><Relationship Id="rId120" Type="http://schemas.openxmlformats.org/officeDocument/2006/relationships/hyperlink" Target="mailto:ptpancangmas@gmail.com" TargetMode="External"/><Relationship Id="rId141" Type="http://schemas.openxmlformats.org/officeDocument/2006/relationships/hyperlink" Target="mailto:raihanconsultant@gmail.com" TargetMode="External"/><Relationship Id="rId7" Type="http://schemas.openxmlformats.org/officeDocument/2006/relationships/hyperlink" Target="mailto:cvmangunajibdesign@yahoo.com" TargetMode="External"/><Relationship Id="rId162" Type="http://schemas.openxmlformats.org/officeDocument/2006/relationships/hyperlink" Target="mailto:mitradataabadisolo@gmail.com" TargetMode="External"/><Relationship Id="rId183" Type="http://schemas.openxmlformats.org/officeDocument/2006/relationships/hyperlink" Target="mailto:manunggalingkarsaabadi22@gmail.com" TargetMode="External"/><Relationship Id="rId218" Type="http://schemas.openxmlformats.org/officeDocument/2006/relationships/hyperlink" Target="mailto:benoitestrategic@gmail.com" TargetMode="External"/><Relationship Id="rId239" Type="http://schemas.openxmlformats.org/officeDocument/2006/relationships/hyperlink" Target="mailto:ptmegantarakonsultan@gmail.com" TargetMode="External"/><Relationship Id="rId250" Type="http://schemas.openxmlformats.org/officeDocument/2006/relationships/hyperlink" Target="mailto:hastakaryaprajapathi@gmail.com" TargetMode="External"/><Relationship Id="rId24" Type="http://schemas.openxmlformats.org/officeDocument/2006/relationships/hyperlink" Target="mailto:desaincitra@gmail.com" TargetMode="External"/><Relationship Id="rId45" Type="http://schemas.openxmlformats.org/officeDocument/2006/relationships/hyperlink" Target="mailto:citrayasadesain@gmail.com" TargetMode="External"/><Relationship Id="rId66" Type="http://schemas.openxmlformats.org/officeDocument/2006/relationships/hyperlink" Target="mailto:cvdutaoss@gmail.com" TargetMode="External"/><Relationship Id="rId87" Type="http://schemas.openxmlformats.org/officeDocument/2006/relationships/hyperlink" Target="mailto:admcvtemadea@gmail.com" TargetMode="External"/><Relationship Id="rId110" Type="http://schemas.openxmlformats.org/officeDocument/2006/relationships/hyperlink" Target="mailto:djawakaryakonsultan@yahoo.co.id" TargetMode="External"/><Relationship Id="rId131" Type="http://schemas.openxmlformats.org/officeDocument/2006/relationships/hyperlink" Target="mailto:cv.muktiganesha@gmail.com" TargetMode="External"/><Relationship Id="rId152" Type="http://schemas.openxmlformats.org/officeDocument/2006/relationships/hyperlink" Target="mailto:ptihsanginanjarkonsultan@gmail.com" TargetMode="External"/><Relationship Id="rId173" Type="http://schemas.openxmlformats.org/officeDocument/2006/relationships/hyperlink" Target="mailto:biaas.solusindo@gmail.com" TargetMode="External"/><Relationship Id="rId194" Type="http://schemas.openxmlformats.org/officeDocument/2006/relationships/hyperlink" Target="mailto:cv.kreasindomudamandiri@gmail.com" TargetMode="External"/><Relationship Id="rId208" Type="http://schemas.openxmlformats.org/officeDocument/2006/relationships/hyperlink" Target="mailto:project.apconsultant@gmail.com" TargetMode="External"/><Relationship Id="rId229" Type="http://schemas.openxmlformats.org/officeDocument/2006/relationships/hyperlink" Target="mailto:teamDTS19@gmail.com" TargetMode="External"/><Relationship Id="rId240" Type="http://schemas.openxmlformats.org/officeDocument/2006/relationships/hyperlink" Target="mailto:cvlunaris@gmail.com" TargetMode="External"/><Relationship Id="rId14" Type="http://schemas.openxmlformats.org/officeDocument/2006/relationships/hyperlink" Target="mailto:energi3.elektrindo@gmail.com" TargetMode="External"/><Relationship Id="rId35" Type="http://schemas.openxmlformats.org/officeDocument/2006/relationships/hyperlink" Target="mailto:citraasridesain.pt@gmail.com" TargetMode="External"/><Relationship Id="rId56" Type="http://schemas.openxmlformats.org/officeDocument/2006/relationships/hyperlink" Target="mailto:archdesignconsultant.rbg@gmail.com" TargetMode="External"/><Relationship Id="rId77" Type="http://schemas.openxmlformats.org/officeDocument/2006/relationships/hyperlink" Target="mailto:oksandhika@yahoo.co.id" TargetMode="External"/><Relationship Id="rId100" Type="http://schemas.openxmlformats.org/officeDocument/2006/relationships/hyperlink" Target="mailto:sucrotechfinance@yahoo.com" TargetMode="External"/><Relationship Id="rId8" Type="http://schemas.openxmlformats.org/officeDocument/2006/relationships/hyperlink" Target="mailto:jasautama@yahoo.co.id" TargetMode="External"/><Relationship Id="rId98" Type="http://schemas.openxmlformats.org/officeDocument/2006/relationships/hyperlink" Target="mailto:van.pt.vts@gmail.com" TargetMode="External"/><Relationship Id="rId121" Type="http://schemas.openxmlformats.org/officeDocument/2006/relationships/hyperlink" Target="mailto:karyaenjiniring@gmail.com" TargetMode="External"/><Relationship Id="rId142" Type="http://schemas.openxmlformats.org/officeDocument/2006/relationships/hyperlink" Target="mailto:citrakalpatarucv80@gmail.com" TargetMode="External"/><Relationship Id="rId163" Type="http://schemas.openxmlformats.org/officeDocument/2006/relationships/hyperlink" Target="mailto:info@krida-karya.co.id" TargetMode="External"/><Relationship Id="rId184" Type="http://schemas.openxmlformats.org/officeDocument/2006/relationships/hyperlink" Target="mailto:gracia.naturindo@gmail.com" TargetMode="External"/><Relationship Id="rId219" Type="http://schemas.openxmlformats.org/officeDocument/2006/relationships/hyperlink" Target="mailto:ptwegandasricahya@gmail.com" TargetMode="External"/><Relationship Id="rId230" Type="http://schemas.openxmlformats.org/officeDocument/2006/relationships/hyperlink" Target="mailto:cv.bangunperkasakonsultan@gmail.com" TargetMode="External"/><Relationship Id="rId251" Type="http://schemas.openxmlformats.org/officeDocument/2006/relationships/hyperlink" Target="mailto:ptslf.id@gmail.com" TargetMode="External"/><Relationship Id="rId25" Type="http://schemas.openxmlformats.org/officeDocument/2006/relationships/hyperlink" Target="mailto:cv.designengineering@gmail.com" TargetMode="External"/><Relationship Id="rId46" Type="http://schemas.openxmlformats.org/officeDocument/2006/relationships/hyperlink" Target="mailto:natawinasis@gmail.com" TargetMode="External"/><Relationship Id="rId67" Type="http://schemas.openxmlformats.org/officeDocument/2006/relationships/hyperlink" Target="mailto:ediyasa03@gmail.com" TargetMode="External"/><Relationship Id="rId88" Type="http://schemas.openxmlformats.org/officeDocument/2006/relationships/hyperlink" Target="mailto:tcitragunadesain@gmail.com" TargetMode="External"/><Relationship Id="rId111" Type="http://schemas.openxmlformats.org/officeDocument/2006/relationships/hyperlink" Target="mailto:lintaspembangunan.idn@gmail.com" TargetMode="External"/><Relationship Id="rId132" Type="http://schemas.openxmlformats.org/officeDocument/2006/relationships/hyperlink" Target="mailto:bengawantjipta@gmail.com" TargetMode="External"/><Relationship Id="rId153" Type="http://schemas.openxmlformats.org/officeDocument/2006/relationships/hyperlink" Target="mailto:slawikonsultan@gmail.com" TargetMode="External"/><Relationship Id="rId174" Type="http://schemas.openxmlformats.org/officeDocument/2006/relationships/hyperlink" Target="mailto:sondarekayasa2016@gmail.com" TargetMode="External"/><Relationship Id="rId195" Type="http://schemas.openxmlformats.org/officeDocument/2006/relationships/hyperlink" Target="mailto:ptfasakaryahutama@gmail.com" TargetMode="External"/><Relationship Id="rId209" Type="http://schemas.openxmlformats.org/officeDocument/2006/relationships/hyperlink" Target="mailto:cv.bahuwirya.nu2023@gmail.com" TargetMode="External"/><Relationship Id="rId220" Type="http://schemas.openxmlformats.org/officeDocument/2006/relationships/hyperlink" Target="mailto:gafamediakonsultan@gmail.com" TargetMode="External"/><Relationship Id="rId241" Type="http://schemas.openxmlformats.org/officeDocument/2006/relationships/hyperlink" Target="mailto:pt.dk.rancangpersada@gmail.com" TargetMode="External"/><Relationship Id="rId15" Type="http://schemas.openxmlformats.org/officeDocument/2006/relationships/hyperlink" Target="mailto:ptindotama@yahoo.co.id" TargetMode="External"/><Relationship Id="rId36" Type="http://schemas.openxmlformats.org/officeDocument/2006/relationships/hyperlink" Target="mailto:pt.gatra@gmail.com" TargetMode="External"/><Relationship Id="rId57" Type="http://schemas.openxmlformats.org/officeDocument/2006/relationships/hyperlink" Target="mailto:andalanconsultant@yahoo.co.id" TargetMode="External"/><Relationship Id="rId78" Type="http://schemas.openxmlformats.org/officeDocument/2006/relationships/hyperlink" Target="mailto:steger8370@gmail.com" TargetMode="External"/><Relationship Id="rId99" Type="http://schemas.openxmlformats.org/officeDocument/2006/relationships/hyperlink" Target="mailto:cv.mahakarya16@gmail.com" TargetMode="External"/><Relationship Id="rId101" Type="http://schemas.openxmlformats.org/officeDocument/2006/relationships/hyperlink" Target="mailto:mirazhcons@gmail.com" TargetMode="External"/><Relationship Id="rId122" Type="http://schemas.openxmlformats.org/officeDocument/2006/relationships/hyperlink" Target="mailto:citrapatabangunpersada@gmail.com" TargetMode="External"/><Relationship Id="rId143" Type="http://schemas.openxmlformats.org/officeDocument/2006/relationships/hyperlink" Target="mailto:integrita_cv@yahoo.com" TargetMode="External"/><Relationship Id="rId164" Type="http://schemas.openxmlformats.org/officeDocument/2006/relationships/hyperlink" Target="mailto:adhyastharekayasadesain@gmail.com" TargetMode="External"/><Relationship Id="rId185" Type="http://schemas.openxmlformats.org/officeDocument/2006/relationships/hyperlink" Target="mailto:jatiutama15@gmail.com" TargetMode="External"/><Relationship Id="rId9" Type="http://schemas.openxmlformats.org/officeDocument/2006/relationships/hyperlink" Target="mailto:cvmutiarakonsultant@gmail.com" TargetMode="External"/><Relationship Id="rId210" Type="http://schemas.openxmlformats.org/officeDocument/2006/relationships/hyperlink" Target="mailto:arhengineering92@gmail.com" TargetMode="External"/><Relationship Id="rId26" Type="http://schemas.openxmlformats.org/officeDocument/2006/relationships/hyperlink" Target="mailto:hrv.planner@yahoo.com" TargetMode="External"/><Relationship Id="rId231" Type="http://schemas.openxmlformats.org/officeDocument/2006/relationships/hyperlink" Target="mailto:pberdikari98@gmail.com" TargetMode="External"/><Relationship Id="rId252" Type="http://schemas.openxmlformats.org/officeDocument/2006/relationships/hyperlink" Target="mailto:pentahelixkolaborasi@gmail.com" TargetMode="External"/><Relationship Id="rId47" Type="http://schemas.openxmlformats.org/officeDocument/2006/relationships/hyperlink" Target="mailto:sasmita.murakabi@gmail.com" TargetMode="External"/><Relationship Id="rId68" Type="http://schemas.openxmlformats.org/officeDocument/2006/relationships/hyperlink" Target="mailto:gunatataperkasa@gmail.com" TargetMode="External"/><Relationship Id="rId89" Type="http://schemas.openxmlformats.org/officeDocument/2006/relationships/hyperlink" Target="mailto:v_sarwahita@yahoo.co.id" TargetMode="External"/><Relationship Id="rId112" Type="http://schemas.openxmlformats.org/officeDocument/2006/relationships/hyperlink" Target="mailto:harsayakarya@gmail.com" TargetMode="External"/><Relationship Id="rId133" Type="http://schemas.openxmlformats.org/officeDocument/2006/relationships/hyperlink" Target="mailto:tunggulmajapahitsejahtera@gmail.com" TargetMode="External"/><Relationship Id="rId154" Type="http://schemas.openxmlformats.org/officeDocument/2006/relationships/hyperlink" Target="mailto:heriyanto.1463@gmail.com" TargetMode="External"/><Relationship Id="rId175" Type="http://schemas.openxmlformats.org/officeDocument/2006/relationships/hyperlink" Target="mailto:pt.permadanikhatulistiwa01@gmail.com" TargetMode="External"/><Relationship Id="rId196" Type="http://schemas.openxmlformats.org/officeDocument/2006/relationships/hyperlink" Target="mailto:mahna.he.al.abadah@gmail.com" TargetMode="External"/><Relationship Id="rId200" Type="http://schemas.openxmlformats.org/officeDocument/2006/relationships/hyperlink" Target="mailto:ptpurifikasi@gmail.com" TargetMode="External"/><Relationship Id="rId16" Type="http://schemas.openxmlformats.org/officeDocument/2006/relationships/hyperlink" Target="mailto:contact@gwadestek.com" TargetMode="External"/><Relationship Id="rId221" Type="http://schemas.openxmlformats.org/officeDocument/2006/relationships/hyperlink" Target="mailto:cv.dutateknikkonsultan@gmail.com" TargetMode="External"/><Relationship Id="rId242" Type="http://schemas.openxmlformats.org/officeDocument/2006/relationships/hyperlink" Target="mailto:risanngremboko@gmail.com" TargetMode="External"/><Relationship Id="rId37" Type="http://schemas.openxmlformats.org/officeDocument/2006/relationships/hyperlink" Target="mailto:salcocv.konsultan@gmail.com" TargetMode="External"/><Relationship Id="rId58" Type="http://schemas.openxmlformats.org/officeDocument/2006/relationships/hyperlink" Target="mailto:cvbarunajaya.tmg@gmail.com" TargetMode="External"/><Relationship Id="rId79" Type="http://schemas.openxmlformats.org/officeDocument/2006/relationships/hyperlink" Target="mailto:mgl.mktoni@gmail.com" TargetMode="External"/><Relationship Id="rId102" Type="http://schemas.openxmlformats.org/officeDocument/2006/relationships/hyperlink" Target="mailto:ptesensinara@gmail.com" TargetMode="External"/><Relationship Id="rId123" Type="http://schemas.openxmlformats.org/officeDocument/2006/relationships/hyperlink" Target="mailto:suryanuskonsultan@gmail.com" TargetMode="External"/><Relationship Id="rId144" Type="http://schemas.openxmlformats.org/officeDocument/2006/relationships/hyperlink" Target="mailto:cvinovatifseketsa@gmail.com" TargetMode="External"/><Relationship Id="rId90" Type="http://schemas.openxmlformats.org/officeDocument/2006/relationships/hyperlink" Target="mailto:ptwastuwidyawan@gmail.com" TargetMode="External"/><Relationship Id="rId165" Type="http://schemas.openxmlformats.org/officeDocument/2006/relationships/hyperlink" Target="mailto:cv.gagasrancangpersada@gmail.com" TargetMode="External"/><Relationship Id="rId186" Type="http://schemas.openxmlformats.org/officeDocument/2006/relationships/hyperlink" Target="mailto:intiglobal.net@gmail.com" TargetMode="External"/><Relationship Id="rId211" Type="http://schemas.openxmlformats.org/officeDocument/2006/relationships/hyperlink" Target="mailto:abiyyukaryakonsultan.pt@gmail.com" TargetMode="External"/><Relationship Id="rId232" Type="http://schemas.openxmlformats.org/officeDocument/2006/relationships/hyperlink" Target="mailto:lina.consultant8010@gmail.com" TargetMode="External"/><Relationship Id="rId253" Type="http://schemas.openxmlformats.org/officeDocument/2006/relationships/hyperlink" Target="mailto:koopillar.td@gmail.com" TargetMode="External"/><Relationship Id="rId27" Type="http://schemas.openxmlformats.org/officeDocument/2006/relationships/hyperlink" Target="mailto:azrina.jaya.konsultan@gmail.com" TargetMode="External"/><Relationship Id="rId48" Type="http://schemas.openxmlformats.org/officeDocument/2006/relationships/hyperlink" Target="mailto:shirvanoconsulting@gmail.com" TargetMode="External"/><Relationship Id="rId69" Type="http://schemas.openxmlformats.org/officeDocument/2006/relationships/hyperlink" Target="mailto:gmtmandiritunggal2@gmail.com" TargetMode="External"/><Relationship Id="rId113" Type="http://schemas.openxmlformats.org/officeDocument/2006/relationships/hyperlink" Target="mailto:cahayakaryaengineering@gmail.com" TargetMode="External"/><Relationship Id="rId134" Type="http://schemas.openxmlformats.org/officeDocument/2006/relationships/hyperlink" Target="mailto:irsyadkurniadesign@gmail.com" TargetMode="External"/><Relationship Id="rId80" Type="http://schemas.openxmlformats.org/officeDocument/2006/relationships/hyperlink" Target="mailto:medisain.konsultan@gmail.com" TargetMode="External"/><Relationship Id="rId155" Type="http://schemas.openxmlformats.org/officeDocument/2006/relationships/hyperlink" Target="mailto:arthagemilang08@gmail.com" TargetMode="External"/><Relationship Id="rId176" Type="http://schemas.openxmlformats.org/officeDocument/2006/relationships/hyperlink" Target="mailto:adyatma.consultant@gmail.com" TargetMode="External"/><Relationship Id="rId197" Type="http://schemas.openxmlformats.org/officeDocument/2006/relationships/hyperlink" Target="mailto:intankautama@gmail.com" TargetMode="External"/><Relationship Id="rId201" Type="http://schemas.openxmlformats.org/officeDocument/2006/relationships/hyperlink" Target="mailto:pratamajayareka.office@gmail.com" TargetMode="External"/><Relationship Id="rId222" Type="http://schemas.openxmlformats.org/officeDocument/2006/relationships/hyperlink" Target="mailto:design.by.smartlab@gmail.com" TargetMode="External"/><Relationship Id="rId243" Type="http://schemas.openxmlformats.org/officeDocument/2006/relationships/hyperlink" Target="mailto:multigraha.cons@gmail.com" TargetMode="External"/><Relationship Id="rId17" Type="http://schemas.openxmlformats.org/officeDocument/2006/relationships/hyperlink" Target="mailto:trihastasejahtera@gmail.com" TargetMode="External"/><Relationship Id="rId38" Type="http://schemas.openxmlformats.org/officeDocument/2006/relationships/hyperlink" Target="mailto:pt.jbkons@gmail.com" TargetMode="External"/><Relationship Id="rId59" Type="http://schemas.openxmlformats.org/officeDocument/2006/relationships/hyperlink" Target="mailto:borobudurec1@gmail.com" TargetMode="External"/><Relationship Id="rId103" Type="http://schemas.openxmlformats.org/officeDocument/2006/relationships/hyperlink" Target="mailto:fikriya.consultant@gmail.com" TargetMode="External"/><Relationship Id="rId124" Type="http://schemas.openxmlformats.org/officeDocument/2006/relationships/hyperlink" Target="mailto:cv.bismat@gmail.com" TargetMode="External"/><Relationship Id="rId70" Type="http://schemas.openxmlformats.org/officeDocument/2006/relationships/hyperlink" Target="mailto:geosaranaguna@gmail.com" TargetMode="External"/><Relationship Id="rId91" Type="http://schemas.openxmlformats.org/officeDocument/2006/relationships/hyperlink" Target="mailto:yoka.pajak@gmail.com" TargetMode="External"/><Relationship Id="rId145" Type="http://schemas.openxmlformats.org/officeDocument/2006/relationships/hyperlink" Target="mailto:griyaputrakonsultama@gmail.com" TargetMode="External"/><Relationship Id="rId166" Type="http://schemas.openxmlformats.org/officeDocument/2006/relationships/hyperlink" Target="mailto:pt.sangklatmataspratomo@gmail.com" TargetMode="External"/><Relationship Id="rId187" Type="http://schemas.openxmlformats.org/officeDocument/2006/relationships/hyperlink" Target="mailto:pilartritamakonsultan@yahoo.co.id" TargetMode="External"/><Relationship Id="rId1" Type="http://schemas.openxmlformats.org/officeDocument/2006/relationships/hyperlink" Target="mailto:fina.kusnadi@gmail.com" TargetMode="External"/><Relationship Id="rId212" Type="http://schemas.openxmlformats.org/officeDocument/2006/relationships/hyperlink" Target="mailto:abekaryakebumen@gmail.com" TargetMode="External"/><Relationship Id="rId233" Type="http://schemas.openxmlformats.org/officeDocument/2006/relationships/hyperlink" Target="mailto:drekapuri@yahoo.com" TargetMode="External"/><Relationship Id="rId254" Type="http://schemas.openxmlformats.org/officeDocument/2006/relationships/hyperlink" Target="mailto:cvkhazanahkatulistiwa@gmail.com" TargetMode="External"/><Relationship Id="rId28" Type="http://schemas.openxmlformats.org/officeDocument/2006/relationships/hyperlink" Target="mailto:cv.adhyastarekapersada@gmail.com" TargetMode="External"/><Relationship Id="rId49" Type="http://schemas.openxmlformats.org/officeDocument/2006/relationships/hyperlink" Target="mailto:purisaptaconsultant@yahoo.com" TargetMode="External"/><Relationship Id="rId114" Type="http://schemas.openxmlformats.org/officeDocument/2006/relationships/hyperlink" Target="mailto:sigmapratamaengineering@gmail.com" TargetMode="External"/><Relationship Id="rId60" Type="http://schemas.openxmlformats.org/officeDocument/2006/relationships/hyperlink" Target="mailto:barokahteknika69@gmail.com" TargetMode="External"/><Relationship Id="rId81" Type="http://schemas.openxmlformats.org/officeDocument/2006/relationships/hyperlink" Target="mailto:parisraya.smrg@gmail.com" TargetMode="External"/><Relationship Id="rId135" Type="http://schemas.openxmlformats.org/officeDocument/2006/relationships/hyperlink" Target="mailto:cv.resko_teknik@yahoo.co.id" TargetMode="External"/><Relationship Id="rId156" Type="http://schemas.openxmlformats.org/officeDocument/2006/relationships/hyperlink" Target="mailto:binarekatamacv@gmail.com" TargetMode="External"/><Relationship Id="rId177" Type="http://schemas.openxmlformats.org/officeDocument/2006/relationships/hyperlink" Target="mailto:CV.BOGOWONTOSAE@GMAIL.com" TargetMode="External"/><Relationship Id="rId198" Type="http://schemas.openxmlformats.org/officeDocument/2006/relationships/hyperlink" Target="mailto:abhinayacaturkarsa@gmail.com" TargetMode="External"/><Relationship Id="rId202" Type="http://schemas.openxmlformats.org/officeDocument/2006/relationships/hyperlink" Target="mailto:pebi.cv@gmail.com" TargetMode="External"/><Relationship Id="rId223" Type="http://schemas.openxmlformats.org/officeDocument/2006/relationships/hyperlink" Target="mailto:admin@ptskalaabadijaya.com" TargetMode="External"/><Relationship Id="rId244" Type="http://schemas.openxmlformats.org/officeDocument/2006/relationships/hyperlink" Target="mailto:winkaryadesain24@gmail.com" TargetMode="External"/><Relationship Id="rId18" Type="http://schemas.openxmlformats.org/officeDocument/2006/relationships/hyperlink" Target="mailto:tatarekaprayautamapt@gmail.com" TargetMode="External"/><Relationship Id="rId39" Type="http://schemas.openxmlformats.org/officeDocument/2006/relationships/hyperlink" Target="mailto:mustikoklopojati@gmail.com" TargetMode="External"/><Relationship Id="rId50" Type="http://schemas.openxmlformats.org/officeDocument/2006/relationships/hyperlink" Target="mailto:skala.teknik@yahoo.com" TargetMode="External"/><Relationship Id="rId104" Type="http://schemas.openxmlformats.org/officeDocument/2006/relationships/hyperlink" Target="mailto:dtm.diponegoro@gmail.com" TargetMode="External"/><Relationship Id="rId125" Type="http://schemas.openxmlformats.org/officeDocument/2006/relationships/hyperlink" Target="mailto:hitakaryajasa@gmail.com" TargetMode="External"/><Relationship Id="rId146" Type="http://schemas.openxmlformats.org/officeDocument/2006/relationships/hyperlink" Target="mailto:cv.setiyabakthi@gmail.com" TargetMode="External"/><Relationship Id="rId167" Type="http://schemas.openxmlformats.org/officeDocument/2006/relationships/hyperlink" Target="mailto:javasfantana@gmail.com" TargetMode="External"/><Relationship Id="rId188" Type="http://schemas.openxmlformats.org/officeDocument/2006/relationships/hyperlink" Target="mailto:ekajayamultiguna@gmail.com" TargetMode="External"/><Relationship Id="rId71" Type="http://schemas.openxmlformats.org/officeDocument/2006/relationships/hyperlink" Target="mailto:graciaadicipta@gmail.com" TargetMode="External"/><Relationship Id="rId92" Type="http://schemas.openxmlformats.org/officeDocument/2006/relationships/hyperlink" Target="mailto:rekamatrakencana@yahoo.co.id" TargetMode="External"/><Relationship Id="rId213" Type="http://schemas.openxmlformats.org/officeDocument/2006/relationships/hyperlink" Target="mailto:oknikaarchitect@gmail.com" TargetMode="External"/><Relationship Id="rId234" Type="http://schemas.openxmlformats.org/officeDocument/2006/relationships/hyperlink" Target="mailto:arstudio.architects13@gmail.com" TargetMode="External"/><Relationship Id="rId2" Type="http://schemas.openxmlformats.org/officeDocument/2006/relationships/hyperlink" Target="mailto:jellung.realtindo@gmail.com" TargetMode="External"/><Relationship Id="rId29" Type="http://schemas.openxmlformats.org/officeDocument/2006/relationships/hyperlink" Target="mailto:bhumiciptakreasi.cv@gmail.com" TargetMode="External"/><Relationship Id="rId255" Type="http://schemas.openxmlformats.org/officeDocument/2006/relationships/hyperlink" Target="mailto:pt.triarthaprajakarya@gmail.com" TargetMode="External"/><Relationship Id="rId40" Type="http://schemas.openxmlformats.org/officeDocument/2006/relationships/hyperlink" Target="mailto:teknika.jaya2020@gmail.com" TargetMode="External"/><Relationship Id="rId115" Type="http://schemas.openxmlformats.org/officeDocument/2006/relationships/hyperlink" Target="mailto:tritamalaksana@gmail.com" TargetMode="External"/><Relationship Id="rId136" Type="http://schemas.openxmlformats.org/officeDocument/2006/relationships/hyperlink" Target="mailto:istakamuda@yahoo.com" TargetMode="External"/><Relationship Id="rId157" Type="http://schemas.openxmlformats.org/officeDocument/2006/relationships/hyperlink" Target="mailto:bromasdamarkauripan@gmail.com" TargetMode="External"/><Relationship Id="rId178" Type="http://schemas.openxmlformats.org/officeDocument/2006/relationships/hyperlink" Target="mailto:blambangan.konsultan@gmail.com" TargetMode="External"/><Relationship Id="rId61" Type="http://schemas.openxmlformats.org/officeDocument/2006/relationships/hyperlink" Target="mailto:citramuda.konsultan@ymail.com" TargetMode="External"/><Relationship Id="rId82" Type="http://schemas.openxmlformats.org/officeDocument/2006/relationships/hyperlink" Target="mailto:cvprismarekatamakonsultan@gmail.com" TargetMode="External"/><Relationship Id="rId199" Type="http://schemas.openxmlformats.org/officeDocument/2006/relationships/hyperlink" Target="mailto:pustakasentradesain.cv@gmail.com" TargetMode="External"/><Relationship Id="rId203" Type="http://schemas.openxmlformats.org/officeDocument/2006/relationships/hyperlink" Target="mailto:undipcitra@gmail.com" TargetMode="External"/><Relationship Id="rId19" Type="http://schemas.openxmlformats.org/officeDocument/2006/relationships/hyperlink" Target="mailto:adhisatya234@gmail.com" TargetMode="External"/><Relationship Id="rId224" Type="http://schemas.openxmlformats.org/officeDocument/2006/relationships/hyperlink" Target="mailto:putrarayaconsultants@gmail.com" TargetMode="External"/><Relationship Id="rId245" Type="http://schemas.openxmlformats.org/officeDocument/2006/relationships/hyperlink" Target="mailto:contact@gfm-consult.com" TargetMode="External"/><Relationship Id="rId30" Type="http://schemas.openxmlformats.org/officeDocument/2006/relationships/hyperlink" Target="mailto:cv.sangkaraarchitect@gmail.com" TargetMode="External"/><Relationship Id="rId105" Type="http://schemas.openxmlformats.org/officeDocument/2006/relationships/hyperlink" Target="mailto:cvkaryaakbarconsultant@gmail.com" TargetMode="External"/><Relationship Id="rId126" Type="http://schemas.openxmlformats.org/officeDocument/2006/relationships/hyperlink" Target="mailto:titiansejahtera86@gmail.com" TargetMode="External"/><Relationship Id="rId147" Type="http://schemas.openxmlformats.org/officeDocument/2006/relationships/hyperlink" Target="mailto:harsagrahaindonesia@gmail.com" TargetMode="External"/><Relationship Id="rId168" Type="http://schemas.openxmlformats.org/officeDocument/2006/relationships/hyperlink" Target="mailto:tunaskonsultan@yahoo.com" TargetMode="External"/><Relationship Id="rId51" Type="http://schemas.openxmlformats.org/officeDocument/2006/relationships/hyperlink" Target="mailto:barapilar20@gmail.com" TargetMode="External"/><Relationship Id="rId72" Type="http://schemas.openxmlformats.org/officeDocument/2006/relationships/hyperlink" Target="mailto:graciawidya1@gmail.com" TargetMode="External"/><Relationship Id="rId93" Type="http://schemas.openxmlformats.org/officeDocument/2006/relationships/hyperlink" Target="mailto:haryonoenko@gmail.com" TargetMode="External"/><Relationship Id="rId189" Type="http://schemas.openxmlformats.org/officeDocument/2006/relationships/hyperlink" Target="mailto:baratanabilapratama@gmail.com" TargetMode="External"/><Relationship Id="rId3" Type="http://schemas.openxmlformats.org/officeDocument/2006/relationships/hyperlink" Target="mailto:kencanamuliakarya2000@gmail.com" TargetMode="External"/><Relationship Id="rId214" Type="http://schemas.openxmlformats.org/officeDocument/2006/relationships/hyperlink" Target="mailto:artatamaciptamandiri@gmail.com" TargetMode="External"/><Relationship Id="rId235" Type="http://schemas.openxmlformats.org/officeDocument/2006/relationships/hyperlink" Target="mailto:mahadicipta24@gmail.com" TargetMode="External"/><Relationship Id="rId256" Type="http://schemas.openxmlformats.org/officeDocument/2006/relationships/hyperlink" Target="mailto:puspahadismg@gmail.com" TargetMode="External"/><Relationship Id="rId116" Type="http://schemas.openxmlformats.org/officeDocument/2006/relationships/hyperlink" Target="mailto:cv.kc.elang@gmail.com" TargetMode="External"/><Relationship Id="rId137" Type="http://schemas.openxmlformats.org/officeDocument/2006/relationships/hyperlink" Target="mailto:javasvedakonsultan@gmail.com" TargetMode="External"/><Relationship Id="rId158" Type="http://schemas.openxmlformats.org/officeDocument/2006/relationships/hyperlink" Target="mailto:ciptaartakreasikons@gmail.com" TargetMode="External"/><Relationship Id="rId20" Type="http://schemas.openxmlformats.org/officeDocument/2006/relationships/hyperlink" Target="mailto:phicos.id@gmail.com" TargetMode="External"/><Relationship Id="rId41" Type="http://schemas.openxmlformats.org/officeDocument/2006/relationships/hyperlink" Target="mailto:carakagrhateknitama2020@gmail.com" TargetMode="External"/><Relationship Id="rId62" Type="http://schemas.openxmlformats.org/officeDocument/2006/relationships/hyperlink" Target="mailto:samudrakaryateknik@gmail.com" TargetMode="External"/><Relationship Id="rId83" Type="http://schemas.openxmlformats.org/officeDocument/2006/relationships/hyperlink" Target="mailto:harisetioskn@gmail.com" TargetMode="External"/><Relationship Id="rId179" Type="http://schemas.openxmlformats.org/officeDocument/2006/relationships/hyperlink" Target="mailto:cv.sinarkonsultanjaya67@gmail.com" TargetMode="External"/><Relationship Id="rId190" Type="http://schemas.openxmlformats.org/officeDocument/2006/relationships/hyperlink" Target="mailto:cvideabagusconsultant@gmail.com" TargetMode="External"/><Relationship Id="rId204" Type="http://schemas.openxmlformats.org/officeDocument/2006/relationships/hyperlink" Target="mailto:hilmyanugerah@yahoo.co.id" TargetMode="External"/><Relationship Id="rId225" Type="http://schemas.openxmlformats.org/officeDocument/2006/relationships/hyperlink" Target="mailto:cvwisanggeniarsitektur@gmail.com" TargetMode="External"/><Relationship Id="rId246" Type="http://schemas.openxmlformats.org/officeDocument/2006/relationships/hyperlink" Target="mailto:greenevirotamapt@gmail.com" TargetMode="External"/><Relationship Id="rId106" Type="http://schemas.openxmlformats.org/officeDocument/2006/relationships/hyperlink" Target="mailto:bayuprakarsaprima@gmail.com" TargetMode="External"/><Relationship Id="rId127" Type="http://schemas.openxmlformats.org/officeDocument/2006/relationships/hyperlink" Target="mailto:multiline.creator@gmail.com" TargetMode="External"/><Relationship Id="rId10" Type="http://schemas.openxmlformats.org/officeDocument/2006/relationships/hyperlink" Target="mailto:duta.primayuda@gmail.com" TargetMode="External"/><Relationship Id="rId31" Type="http://schemas.openxmlformats.org/officeDocument/2006/relationships/hyperlink" Target="mailto:slfkonsultan.smg@gmail.com" TargetMode="External"/><Relationship Id="rId52" Type="http://schemas.openxmlformats.org/officeDocument/2006/relationships/hyperlink" Target="mailto:cita.kreasindo@gmail.com" TargetMode="External"/><Relationship Id="rId73" Type="http://schemas.openxmlformats.org/officeDocument/2006/relationships/hyperlink" Target="mailto:geloracrono2@yahoo.com" TargetMode="External"/><Relationship Id="rId94" Type="http://schemas.openxmlformats.org/officeDocument/2006/relationships/hyperlink" Target="mailto:mitradesign21@gmail.com" TargetMode="External"/><Relationship Id="rId148" Type="http://schemas.openxmlformats.org/officeDocument/2006/relationships/hyperlink" Target="mailto:ptpuriajibuana@gmail.com" TargetMode="External"/><Relationship Id="rId169" Type="http://schemas.openxmlformats.org/officeDocument/2006/relationships/hyperlink" Target="mailto:akarkreasi.pt@gmail.com" TargetMode="External"/><Relationship Id="rId4" Type="http://schemas.openxmlformats.org/officeDocument/2006/relationships/hyperlink" Target="mailto:cvarsitra@gmail.com" TargetMode="External"/><Relationship Id="rId180" Type="http://schemas.openxmlformats.org/officeDocument/2006/relationships/hyperlink" Target="mailto:erinawijayaconsult@gmail.com" TargetMode="External"/><Relationship Id="rId215" Type="http://schemas.openxmlformats.org/officeDocument/2006/relationships/hyperlink" Target="mailto:mahakaryabumipersada@gmail.com" TargetMode="External"/><Relationship Id="rId236" Type="http://schemas.openxmlformats.org/officeDocument/2006/relationships/hyperlink" Target="mailto:perencanajayaindonesia@gmail.com" TargetMode="External"/><Relationship Id="rId257" Type="http://schemas.openxmlformats.org/officeDocument/2006/relationships/hyperlink" Target="mailto:adhigunarikshapratama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cv.senonurutama@gmail.com" TargetMode="External"/><Relationship Id="rId21" Type="http://schemas.openxmlformats.org/officeDocument/2006/relationships/hyperlink" Target="mailto:lais.engineering.indonesia@gmail.com" TargetMode="External"/><Relationship Id="rId42" Type="http://schemas.openxmlformats.org/officeDocument/2006/relationships/hyperlink" Target="mailto:marsonoabadi12@gmail.com" TargetMode="External"/><Relationship Id="rId63" Type="http://schemas.openxmlformats.org/officeDocument/2006/relationships/hyperlink" Target="mailto:candrakirana.dc@gmail.com" TargetMode="External"/><Relationship Id="rId84" Type="http://schemas.openxmlformats.org/officeDocument/2006/relationships/hyperlink" Target="mailto:surveypembangunan@gmail.com" TargetMode="External"/><Relationship Id="rId138" Type="http://schemas.openxmlformats.org/officeDocument/2006/relationships/hyperlink" Target="mailto:cv.idealmandiri@gmail.com" TargetMode="External"/><Relationship Id="rId159" Type="http://schemas.openxmlformats.org/officeDocument/2006/relationships/hyperlink" Target="mailto:cvmajapahit97@gmail.com" TargetMode="External"/><Relationship Id="rId170" Type="http://schemas.openxmlformats.org/officeDocument/2006/relationships/hyperlink" Target="mailto:cvmitrabersamamandiri1@gmail.com" TargetMode="External"/><Relationship Id="rId191" Type="http://schemas.openxmlformats.org/officeDocument/2006/relationships/hyperlink" Target="mailto:cv.berjayamakmurkonsultan@gmail.com" TargetMode="External"/><Relationship Id="rId205" Type="http://schemas.openxmlformats.org/officeDocument/2006/relationships/hyperlink" Target="mailto:kcmbtg5a@gmail.com" TargetMode="External"/><Relationship Id="rId226" Type="http://schemas.openxmlformats.org/officeDocument/2006/relationships/hyperlink" Target="mailto:semestarahayudisain@gmail.com" TargetMode="External"/><Relationship Id="rId247" Type="http://schemas.openxmlformats.org/officeDocument/2006/relationships/hyperlink" Target="mailto:improvekaryasolusi@gmail.com" TargetMode="External"/><Relationship Id="rId107" Type="http://schemas.openxmlformats.org/officeDocument/2006/relationships/hyperlink" Target="mailto:arthabc184@gmail.com" TargetMode="External"/><Relationship Id="rId11" Type="http://schemas.openxmlformats.org/officeDocument/2006/relationships/hyperlink" Target="mailto:rekadwipa.studio@gmail.com" TargetMode="External"/><Relationship Id="rId32" Type="http://schemas.openxmlformats.org/officeDocument/2006/relationships/hyperlink" Target="mailto:rafipermatajaya@gmail.com" TargetMode="External"/><Relationship Id="rId53" Type="http://schemas.openxmlformats.org/officeDocument/2006/relationships/hyperlink" Target="mailto:anugerah.jm@yahoo.com" TargetMode="External"/><Relationship Id="rId74" Type="http://schemas.openxmlformats.org/officeDocument/2006/relationships/hyperlink" Target="mailto:subekhan05@gmail.com" TargetMode="External"/><Relationship Id="rId128" Type="http://schemas.openxmlformats.org/officeDocument/2006/relationships/hyperlink" Target="mailto:cvpatriautamapkl@gmail.com" TargetMode="External"/><Relationship Id="rId149" Type="http://schemas.openxmlformats.org/officeDocument/2006/relationships/hyperlink" Target="mailto:cv.galihloka@gmail.com" TargetMode="External"/><Relationship Id="rId5" Type="http://schemas.openxmlformats.org/officeDocument/2006/relationships/hyperlink" Target="mailto:abiseka_nitibuana@yahoo.co.id" TargetMode="External"/><Relationship Id="rId95" Type="http://schemas.openxmlformats.org/officeDocument/2006/relationships/hyperlink" Target="mailto:agasha.kreatif@gmail.com" TargetMode="External"/><Relationship Id="rId160" Type="http://schemas.openxmlformats.org/officeDocument/2006/relationships/hyperlink" Target="mailto:cendanaciptacita@gmail.com" TargetMode="External"/><Relationship Id="rId181" Type="http://schemas.openxmlformats.org/officeDocument/2006/relationships/hyperlink" Target="mailto:konsultanprojo@gmail.com" TargetMode="External"/><Relationship Id="rId216" Type="http://schemas.openxmlformats.org/officeDocument/2006/relationships/hyperlink" Target="mailto:cvdinastijavagroup@gmail.com" TargetMode="External"/><Relationship Id="rId237" Type="http://schemas.openxmlformats.org/officeDocument/2006/relationships/hyperlink" Target="mailto:daafconsultant@gmail.com" TargetMode="External"/><Relationship Id="rId258" Type="http://schemas.openxmlformats.org/officeDocument/2006/relationships/hyperlink" Target="mailto:ptannabapersada5757@gmail.com" TargetMode="External"/><Relationship Id="rId22" Type="http://schemas.openxmlformats.org/officeDocument/2006/relationships/hyperlink" Target="mailto:guratrp@gmail.com" TargetMode="External"/><Relationship Id="rId43" Type="http://schemas.openxmlformats.org/officeDocument/2006/relationships/hyperlink" Target="mailto:triganajayakonsultan.cv@gmail.com" TargetMode="External"/><Relationship Id="rId64" Type="http://schemas.openxmlformats.org/officeDocument/2006/relationships/hyperlink" Target="mailto:cvdelima55@gmail.com" TargetMode="External"/><Relationship Id="rId118" Type="http://schemas.openxmlformats.org/officeDocument/2006/relationships/hyperlink" Target="mailto:jazzelindonugraha@gmail.com" TargetMode="External"/><Relationship Id="rId139" Type="http://schemas.openxmlformats.org/officeDocument/2006/relationships/hyperlink" Target="mailto:cv.arjip@yahoo.com" TargetMode="External"/><Relationship Id="rId85" Type="http://schemas.openxmlformats.org/officeDocument/2006/relationships/hyperlink" Target="mailto:suminarjaya8@gmail.com" TargetMode="External"/><Relationship Id="rId150" Type="http://schemas.openxmlformats.org/officeDocument/2006/relationships/hyperlink" Target="mailto:gigapratamapekalongan@gmail.com" TargetMode="External"/><Relationship Id="rId171" Type="http://schemas.openxmlformats.org/officeDocument/2006/relationships/hyperlink" Target="mailto:pakarkita.konsultan@gmail.com" TargetMode="External"/><Relationship Id="rId192" Type="http://schemas.openxmlformats.org/officeDocument/2006/relationships/hyperlink" Target="mailto:cv.sumuragungkendal@gmail.com" TargetMode="External"/><Relationship Id="rId206" Type="http://schemas.openxmlformats.org/officeDocument/2006/relationships/hyperlink" Target="mailto:ptkaryagumelarindonesia@gmail.com" TargetMode="External"/><Relationship Id="rId227" Type="http://schemas.openxmlformats.org/officeDocument/2006/relationships/hyperlink" Target="mailto:ideaciptakreasi@gmail.com" TargetMode="External"/><Relationship Id="rId248" Type="http://schemas.openxmlformats.org/officeDocument/2006/relationships/hyperlink" Target="mailto:ptadhistyadharmastitya@gmail.com" TargetMode="External"/><Relationship Id="rId12" Type="http://schemas.openxmlformats.org/officeDocument/2006/relationships/hyperlink" Target="mailto:vikibalsa@yahoo.com" TargetMode="External"/><Relationship Id="rId33" Type="http://schemas.openxmlformats.org/officeDocument/2006/relationships/hyperlink" Target="mailto:radius4rc@gmail.com" TargetMode="External"/><Relationship Id="rId108" Type="http://schemas.openxmlformats.org/officeDocument/2006/relationships/hyperlink" Target="mailto:cv.aditkarya2018@gmail.com" TargetMode="External"/><Relationship Id="rId129" Type="http://schemas.openxmlformats.org/officeDocument/2006/relationships/hyperlink" Target="mailto:megajasaconsultant@gmail.com" TargetMode="External"/><Relationship Id="rId54" Type="http://schemas.openxmlformats.org/officeDocument/2006/relationships/hyperlink" Target="mailto:agoralegalitas@gmail.com" TargetMode="External"/><Relationship Id="rId75" Type="http://schemas.openxmlformats.org/officeDocument/2006/relationships/hyperlink" Target="mailto:dutacitraoss@gmail.com" TargetMode="External"/><Relationship Id="rId96" Type="http://schemas.openxmlformats.org/officeDocument/2006/relationships/hyperlink" Target="mailto:tectonicarch.rbg@gmail.com" TargetMode="External"/><Relationship Id="rId140" Type="http://schemas.openxmlformats.org/officeDocument/2006/relationships/hyperlink" Target="mailto:ciptamawakreasi@gmail.com" TargetMode="External"/><Relationship Id="rId161" Type="http://schemas.openxmlformats.org/officeDocument/2006/relationships/hyperlink" Target="mailto:rekayasamitramuda@gmail.com" TargetMode="External"/><Relationship Id="rId182" Type="http://schemas.openxmlformats.org/officeDocument/2006/relationships/hyperlink" Target="mailto:unggulsentosajaya1@gmail.com" TargetMode="External"/><Relationship Id="rId217" Type="http://schemas.openxmlformats.org/officeDocument/2006/relationships/hyperlink" Target="mailto:acegeconsultant@gmail.com" TargetMode="External"/><Relationship Id="rId6" Type="http://schemas.openxmlformats.org/officeDocument/2006/relationships/hyperlink" Target="mailto:cvtrisaktiarsitek@gmail.com" TargetMode="External"/><Relationship Id="rId238" Type="http://schemas.openxmlformats.org/officeDocument/2006/relationships/hyperlink" Target="mailto:globalwujudkreasi@gmail.com" TargetMode="External"/><Relationship Id="rId259" Type="http://schemas.openxmlformats.org/officeDocument/2006/relationships/hyperlink" Target="mailto:akasarekasolusi@gmail.com" TargetMode="External"/><Relationship Id="rId23" Type="http://schemas.openxmlformats.org/officeDocument/2006/relationships/hyperlink" Target="mailto:bimakaryamandiri64@gmail.com" TargetMode="External"/><Relationship Id="rId119" Type="http://schemas.openxmlformats.org/officeDocument/2006/relationships/hyperlink" Target="mailto:rancang.cipta.global@gmail.com" TargetMode="External"/><Relationship Id="rId44" Type="http://schemas.openxmlformats.org/officeDocument/2006/relationships/hyperlink" Target="mailto:artiyaprimasejahtera.cv@gmail.com" TargetMode="External"/><Relationship Id="rId65" Type="http://schemas.openxmlformats.org/officeDocument/2006/relationships/hyperlink" Target="mailto:iqbalkurniawan195@gmail.com" TargetMode="External"/><Relationship Id="rId86" Type="http://schemas.openxmlformats.org/officeDocument/2006/relationships/hyperlink" Target="mailto:endrotrias@gmail.com" TargetMode="External"/><Relationship Id="rId130" Type="http://schemas.openxmlformats.org/officeDocument/2006/relationships/hyperlink" Target="mailto:cv.dharmaconsultant@gmail.com" TargetMode="External"/><Relationship Id="rId151" Type="http://schemas.openxmlformats.org/officeDocument/2006/relationships/hyperlink" Target="mailto:sabakonstruksi@gmail.com" TargetMode="External"/><Relationship Id="rId172" Type="http://schemas.openxmlformats.org/officeDocument/2006/relationships/hyperlink" Target="mailto:xynerva.pratama.consultant@gmail.com" TargetMode="External"/><Relationship Id="rId193" Type="http://schemas.openxmlformats.org/officeDocument/2006/relationships/hyperlink" Target="mailto:gnakonsultan.lpse@gmail.com" TargetMode="External"/><Relationship Id="rId207" Type="http://schemas.openxmlformats.org/officeDocument/2006/relationships/hyperlink" Target="mailto:cvlemahabangengineering@gmail.com" TargetMode="External"/><Relationship Id="rId228" Type="http://schemas.openxmlformats.org/officeDocument/2006/relationships/hyperlink" Target="mailto:wirakaryaabadi.cv@gmail.com" TargetMode="External"/><Relationship Id="rId249" Type="http://schemas.openxmlformats.org/officeDocument/2006/relationships/hyperlink" Target="mailto:pandupolakonsultan@gmail.com" TargetMode="External"/><Relationship Id="rId13" Type="http://schemas.openxmlformats.org/officeDocument/2006/relationships/hyperlink" Target="mailto:3pusakadisain@gmail.com" TargetMode="External"/><Relationship Id="rId109" Type="http://schemas.openxmlformats.org/officeDocument/2006/relationships/hyperlink" Target="mailto:krida.ganesha@gmail.com" TargetMode="External"/><Relationship Id="rId260" Type="http://schemas.openxmlformats.org/officeDocument/2006/relationships/drawing" Target="../drawings/drawing2.xml"/><Relationship Id="rId34" Type="http://schemas.openxmlformats.org/officeDocument/2006/relationships/hyperlink" Target="mailto:cvnirmana20@gmail.com" TargetMode="External"/><Relationship Id="rId55" Type="http://schemas.openxmlformats.org/officeDocument/2006/relationships/hyperlink" Target="mailto:admptaretaswicaksana@gmail.com" TargetMode="External"/><Relationship Id="rId76" Type="http://schemas.openxmlformats.org/officeDocument/2006/relationships/hyperlink" Target="mailto:javagroup.indonesia@gmail.com" TargetMode="External"/><Relationship Id="rId97" Type="http://schemas.openxmlformats.org/officeDocument/2006/relationships/hyperlink" Target="mailto:suparno0912@gmail.com" TargetMode="External"/><Relationship Id="rId120" Type="http://schemas.openxmlformats.org/officeDocument/2006/relationships/hyperlink" Target="mailto:ptpancangmas@gmail.com" TargetMode="External"/><Relationship Id="rId141" Type="http://schemas.openxmlformats.org/officeDocument/2006/relationships/hyperlink" Target="mailto:raihanconsultant@gmail.com" TargetMode="External"/><Relationship Id="rId7" Type="http://schemas.openxmlformats.org/officeDocument/2006/relationships/hyperlink" Target="mailto:cvmangunajibdesign@yahoo.com" TargetMode="External"/><Relationship Id="rId162" Type="http://schemas.openxmlformats.org/officeDocument/2006/relationships/hyperlink" Target="mailto:mitradataabadisolo@gmail.com" TargetMode="External"/><Relationship Id="rId183" Type="http://schemas.openxmlformats.org/officeDocument/2006/relationships/hyperlink" Target="mailto:manunggalingkarsaabadi22@gmail.com" TargetMode="External"/><Relationship Id="rId218" Type="http://schemas.openxmlformats.org/officeDocument/2006/relationships/hyperlink" Target="mailto:benoitestrategic@gmail.com" TargetMode="External"/><Relationship Id="rId239" Type="http://schemas.openxmlformats.org/officeDocument/2006/relationships/hyperlink" Target="mailto:ptmegantarakonsultan@gmail.com" TargetMode="External"/><Relationship Id="rId250" Type="http://schemas.openxmlformats.org/officeDocument/2006/relationships/hyperlink" Target="mailto:hastakaryaprajapathi@gmail.com" TargetMode="External"/><Relationship Id="rId24" Type="http://schemas.openxmlformats.org/officeDocument/2006/relationships/hyperlink" Target="mailto:desaincitra@gmail.com" TargetMode="External"/><Relationship Id="rId45" Type="http://schemas.openxmlformats.org/officeDocument/2006/relationships/hyperlink" Target="mailto:citrayasadesain@gmail.com" TargetMode="External"/><Relationship Id="rId66" Type="http://schemas.openxmlformats.org/officeDocument/2006/relationships/hyperlink" Target="mailto:cvdutaoss@gmail.com" TargetMode="External"/><Relationship Id="rId87" Type="http://schemas.openxmlformats.org/officeDocument/2006/relationships/hyperlink" Target="mailto:admcvtemadea@gmail.com" TargetMode="External"/><Relationship Id="rId110" Type="http://schemas.openxmlformats.org/officeDocument/2006/relationships/hyperlink" Target="mailto:djawakaryakonsultan@yahoo.co.id" TargetMode="External"/><Relationship Id="rId131" Type="http://schemas.openxmlformats.org/officeDocument/2006/relationships/hyperlink" Target="mailto:cv.muktiganesha@gmail.com" TargetMode="External"/><Relationship Id="rId152" Type="http://schemas.openxmlformats.org/officeDocument/2006/relationships/hyperlink" Target="mailto:ptihsanginanjarkonsultan@gmail.com" TargetMode="External"/><Relationship Id="rId173" Type="http://schemas.openxmlformats.org/officeDocument/2006/relationships/hyperlink" Target="mailto:biaas.solusindo@gmail.com" TargetMode="External"/><Relationship Id="rId194" Type="http://schemas.openxmlformats.org/officeDocument/2006/relationships/hyperlink" Target="mailto:cv.kreasindomudamandiri@gmail.com" TargetMode="External"/><Relationship Id="rId208" Type="http://schemas.openxmlformats.org/officeDocument/2006/relationships/hyperlink" Target="mailto:project.apconsultant@gmail.com" TargetMode="External"/><Relationship Id="rId229" Type="http://schemas.openxmlformats.org/officeDocument/2006/relationships/hyperlink" Target="mailto:teamDTS19@gmail.com" TargetMode="External"/><Relationship Id="rId240" Type="http://schemas.openxmlformats.org/officeDocument/2006/relationships/hyperlink" Target="mailto:cvlunaris@gmail.com" TargetMode="External"/><Relationship Id="rId14" Type="http://schemas.openxmlformats.org/officeDocument/2006/relationships/hyperlink" Target="mailto:energi3.elektrindo@gmail.com" TargetMode="External"/><Relationship Id="rId35" Type="http://schemas.openxmlformats.org/officeDocument/2006/relationships/hyperlink" Target="mailto:citraasridesain.pt@gmail.com" TargetMode="External"/><Relationship Id="rId56" Type="http://schemas.openxmlformats.org/officeDocument/2006/relationships/hyperlink" Target="mailto:archdesignconsultant.rbg@gmail.com" TargetMode="External"/><Relationship Id="rId77" Type="http://schemas.openxmlformats.org/officeDocument/2006/relationships/hyperlink" Target="mailto:oksandhika@yahoo.co.id" TargetMode="External"/><Relationship Id="rId100" Type="http://schemas.openxmlformats.org/officeDocument/2006/relationships/hyperlink" Target="mailto:sucrotechfinance@yahoo.com" TargetMode="External"/><Relationship Id="rId8" Type="http://schemas.openxmlformats.org/officeDocument/2006/relationships/hyperlink" Target="mailto:jasautama@yahoo.co.id" TargetMode="External"/><Relationship Id="rId98" Type="http://schemas.openxmlformats.org/officeDocument/2006/relationships/hyperlink" Target="mailto:van.pt.vts@gmail.com" TargetMode="External"/><Relationship Id="rId121" Type="http://schemas.openxmlformats.org/officeDocument/2006/relationships/hyperlink" Target="mailto:karyaenjiniring@gmail.com" TargetMode="External"/><Relationship Id="rId142" Type="http://schemas.openxmlformats.org/officeDocument/2006/relationships/hyperlink" Target="mailto:citrakalpatarucv80@gmail.com" TargetMode="External"/><Relationship Id="rId163" Type="http://schemas.openxmlformats.org/officeDocument/2006/relationships/hyperlink" Target="mailto:info@krida-karya.co.id" TargetMode="External"/><Relationship Id="rId184" Type="http://schemas.openxmlformats.org/officeDocument/2006/relationships/hyperlink" Target="mailto:gracia.naturindo@gmail.com" TargetMode="External"/><Relationship Id="rId219" Type="http://schemas.openxmlformats.org/officeDocument/2006/relationships/hyperlink" Target="mailto:ptwegandasricahya@gmail.com" TargetMode="External"/><Relationship Id="rId230" Type="http://schemas.openxmlformats.org/officeDocument/2006/relationships/hyperlink" Target="mailto:cv.bangunperkasakonsultan@gmail.com" TargetMode="External"/><Relationship Id="rId251" Type="http://schemas.openxmlformats.org/officeDocument/2006/relationships/hyperlink" Target="mailto:ptslf.id@gmail.com" TargetMode="External"/><Relationship Id="rId25" Type="http://schemas.openxmlformats.org/officeDocument/2006/relationships/hyperlink" Target="mailto:cv.designengineering@gmail.com" TargetMode="External"/><Relationship Id="rId46" Type="http://schemas.openxmlformats.org/officeDocument/2006/relationships/hyperlink" Target="mailto:natawinasis@gmail.com" TargetMode="External"/><Relationship Id="rId67" Type="http://schemas.openxmlformats.org/officeDocument/2006/relationships/hyperlink" Target="mailto:ediyasa03@gmail.com" TargetMode="External"/><Relationship Id="rId88" Type="http://schemas.openxmlformats.org/officeDocument/2006/relationships/hyperlink" Target="mailto:tcitragunadesain@gmail.com" TargetMode="External"/><Relationship Id="rId111" Type="http://schemas.openxmlformats.org/officeDocument/2006/relationships/hyperlink" Target="mailto:lintaspembangunan.idn@gmail.com" TargetMode="External"/><Relationship Id="rId132" Type="http://schemas.openxmlformats.org/officeDocument/2006/relationships/hyperlink" Target="mailto:bengawantjipta@gmail.com" TargetMode="External"/><Relationship Id="rId153" Type="http://schemas.openxmlformats.org/officeDocument/2006/relationships/hyperlink" Target="mailto:slawikonsultan@gmail.com" TargetMode="External"/><Relationship Id="rId174" Type="http://schemas.openxmlformats.org/officeDocument/2006/relationships/hyperlink" Target="mailto:sondarekayasa2016@gmail.com" TargetMode="External"/><Relationship Id="rId195" Type="http://schemas.openxmlformats.org/officeDocument/2006/relationships/hyperlink" Target="mailto:ptfasakaryahutama@gmail.com" TargetMode="External"/><Relationship Id="rId209" Type="http://schemas.openxmlformats.org/officeDocument/2006/relationships/hyperlink" Target="mailto:cv.bahuwirya.nu2023@gmail.com" TargetMode="External"/><Relationship Id="rId220" Type="http://schemas.openxmlformats.org/officeDocument/2006/relationships/hyperlink" Target="mailto:gafamediakonsultan@gmail.com" TargetMode="External"/><Relationship Id="rId241" Type="http://schemas.openxmlformats.org/officeDocument/2006/relationships/hyperlink" Target="mailto:pt.dk.rancangpersada@gmail.com" TargetMode="External"/><Relationship Id="rId15" Type="http://schemas.openxmlformats.org/officeDocument/2006/relationships/hyperlink" Target="mailto:ptindotama@yahoo.co.id" TargetMode="External"/><Relationship Id="rId36" Type="http://schemas.openxmlformats.org/officeDocument/2006/relationships/hyperlink" Target="mailto:pt.gatra@gmail.com" TargetMode="External"/><Relationship Id="rId57" Type="http://schemas.openxmlformats.org/officeDocument/2006/relationships/hyperlink" Target="mailto:andalanconsultant@yahoo.co.id" TargetMode="External"/><Relationship Id="rId78" Type="http://schemas.openxmlformats.org/officeDocument/2006/relationships/hyperlink" Target="mailto:steger8370@gmail.com" TargetMode="External"/><Relationship Id="rId99" Type="http://schemas.openxmlformats.org/officeDocument/2006/relationships/hyperlink" Target="mailto:cv.mahakarya16@gmail.com" TargetMode="External"/><Relationship Id="rId101" Type="http://schemas.openxmlformats.org/officeDocument/2006/relationships/hyperlink" Target="mailto:mirazhcons@gmail.com" TargetMode="External"/><Relationship Id="rId122" Type="http://schemas.openxmlformats.org/officeDocument/2006/relationships/hyperlink" Target="mailto:citrapatabangunpersada@gmail.com" TargetMode="External"/><Relationship Id="rId143" Type="http://schemas.openxmlformats.org/officeDocument/2006/relationships/hyperlink" Target="mailto:integrita_cv@yahoo.com" TargetMode="External"/><Relationship Id="rId164" Type="http://schemas.openxmlformats.org/officeDocument/2006/relationships/hyperlink" Target="mailto:adhyastharekayasadesain@gmail.com" TargetMode="External"/><Relationship Id="rId185" Type="http://schemas.openxmlformats.org/officeDocument/2006/relationships/hyperlink" Target="mailto:jatiutama15@gmail.com" TargetMode="External"/><Relationship Id="rId9" Type="http://schemas.openxmlformats.org/officeDocument/2006/relationships/hyperlink" Target="mailto:cvmutiarakonsultant@gmail.com" TargetMode="External"/><Relationship Id="rId210" Type="http://schemas.openxmlformats.org/officeDocument/2006/relationships/hyperlink" Target="mailto:arhengineering92@gmail.com" TargetMode="External"/><Relationship Id="rId26" Type="http://schemas.openxmlformats.org/officeDocument/2006/relationships/hyperlink" Target="mailto:hrv.planner@yahoo.com" TargetMode="External"/><Relationship Id="rId231" Type="http://schemas.openxmlformats.org/officeDocument/2006/relationships/hyperlink" Target="mailto:pberdikari98@gmail.com" TargetMode="External"/><Relationship Id="rId252" Type="http://schemas.openxmlformats.org/officeDocument/2006/relationships/hyperlink" Target="mailto:pentahelixkolaborasi@gmail.com" TargetMode="External"/><Relationship Id="rId47" Type="http://schemas.openxmlformats.org/officeDocument/2006/relationships/hyperlink" Target="mailto:sasmita.murakabi@gmail.com" TargetMode="External"/><Relationship Id="rId68" Type="http://schemas.openxmlformats.org/officeDocument/2006/relationships/hyperlink" Target="mailto:gunatataperkasa@gmail.com" TargetMode="External"/><Relationship Id="rId89" Type="http://schemas.openxmlformats.org/officeDocument/2006/relationships/hyperlink" Target="mailto:v_sarwahita@yahoo.co.id" TargetMode="External"/><Relationship Id="rId112" Type="http://schemas.openxmlformats.org/officeDocument/2006/relationships/hyperlink" Target="mailto:harsayakarya@gmail.com" TargetMode="External"/><Relationship Id="rId133" Type="http://schemas.openxmlformats.org/officeDocument/2006/relationships/hyperlink" Target="mailto:tunggulmajapahitsejahtera@gmail.com" TargetMode="External"/><Relationship Id="rId154" Type="http://schemas.openxmlformats.org/officeDocument/2006/relationships/hyperlink" Target="mailto:heriyanto.1463@gmail.com" TargetMode="External"/><Relationship Id="rId175" Type="http://schemas.openxmlformats.org/officeDocument/2006/relationships/hyperlink" Target="mailto:pt.permadanikhatulistiwa01@gmail.com" TargetMode="External"/><Relationship Id="rId196" Type="http://schemas.openxmlformats.org/officeDocument/2006/relationships/hyperlink" Target="mailto:mahna.he.al.abadah@gmail.com" TargetMode="External"/><Relationship Id="rId200" Type="http://schemas.openxmlformats.org/officeDocument/2006/relationships/hyperlink" Target="mailto:ptpurifikasi@gmail.com" TargetMode="External"/><Relationship Id="rId16" Type="http://schemas.openxmlformats.org/officeDocument/2006/relationships/hyperlink" Target="mailto:contact@gwadestek.com" TargetMode="External"/><Relationship Id="rId221" Type="http://schemas.openxmlformats.org/officeDocument/2006/relationships/hyperlink" Target="mailto:cv.dutateknikkonsultan@gmail.com" TargetMode="External"/><Relationship Id="rId242" Type="http://schemas.openxmlformats.org/officeDocument/2006/relationships/hyperlink" Target="mailto:risanngremboko@gmail.com" TargetMode="External"/><Relationship Id="rId37" Type="http://schemas.openxmlformats.org/officeDocument/2006/relationships/hyperlink" Target="mailto:salcocv.konsultan@gmail.com" TargetMode="External"/><Relationship Id="rId58" Type="http://schemas.openxmlformats.org/officeDocument/2006/relationships/hyperlink" Target="mailto:cvbarunajaya.tmg@gmail.com" TargetMode="External"/><Relationship Id="rId79" Type="http://schemas.openxmlformats.org/officeDocument/2006/relationships/hyperlink" Target="mailto:mgl.mktoni@gmail.com" TargetMode="External"/><Relationship Id="rId102" Type="http://schemas.openxmlformats.org/officeDocument/2006/relationships/hyperlink" Target="mailto:ptesensinara@gmail.com" TargetMode="External"/><Relationship Id="rId123" Type="http://schemas.openxmlformats.org/officeDocument/2006/relationships/hyperlink" Target="mailto:suryanuskonsultan@gmail.com" TargetMode="External"/><Relationship Id="rId144" Type="http://schemas.openxmlformats.org/officeDocument/2006/relationships/hyperlink" Target="mailto:cvinovatifseketsa@gmail.com" TargetMode="External"/><Relationship Id="rId90" Type="http://schemas.openxmlformats.org/officeDocument/2006/relationships/hyperlink" Target="mailto:ptwastuwidyawan@gmail.com" TargetMode="External"/><Relationship Id="rId165" Type="http://schemas.openxmlformats.org/officeDocument/2006/relationships/hyperlink" Target="mailto:cv.gagasrancangpersada@gmail.com" TargetMode="External"/><Relationship Id="rId186" Type="http://schemas.openxmlformats.org/officeDocument/2006/relationships/hyperlink" Target="mailto:intiglobal.net@gmail.com" TargetMode="External"/><Relationship Id="rId211" Type="http://schemas.openxmlformats.org/officeDocument/2006/relationships/hyperlink" Target="mailto:abiyyukaryakonsultan.pt@gmail.com" TargetMode="External"/><Relationship Id="rId232" Type="http://schemas.openxmlformats.org/officeDocument/2006/relationships/hyperlink" Target="mailto:lina.consultant8010@gmail.com" TargetMode="External"/><Relationship Id="rId253" Type="http://schemas.openxmlformats.org/officeDocument/2006/relationships/hyperlink" Target="mailto:koopillar.td@gmail.com" TargetMode="External"/><Relationship Id="rId27" Type="http://schemas.openxmlformats.org/officeDocument/2006/relationships/hyperlink" Target="mailto:azrina.jaya.konsultan@gmail.com" TargetMode="External"/><Relationship Id="rId48" Type="http://schemas.openxmlformats.org/officeDocument/2006/relationships/hyperlink" Target="mailto:shirvanoconsulting@gmail.com" TargetMode="External"/><Relationship Id="rId69" Type="http://schemas.openxmlformats.org/officeDocument/2006/relationships/hyperlink" Target="mailto:gmtmandiritunggal2@gmail.com" TargetMode="External"/><Relationship Id="rId113" Type="http://schemas.openxmlformats.org/officeDocument/2006/relationships/hyperlink" Target="mailto:cahayakaryaengineering@gmail.com" TargetMode="External"/><Relationship Id="rId134" Type="http://schemas.openxmlformats.org/officeDocument/2006/relationships/hyperlink" Target="mailto:irsyadkurniadesign@gmail.com" TargetMode="External"/><Relationship Id="rId80" Type="http://schemas.openxmlformats.org/officeDocument/2006/relationships/hyperlink" Target="mailto:medisain.konsultan@gmail.com" TargetMode="External"/><Relationship Id="rId155" Type="http://schemas.openxmlformats.org/officeDocument/2006/relationships/hyperlink" Target="mailto:arthagemilang08@gmail.com" TargetMode="External"/><Relationship Id="rId176" Type="http://schemas.openxmlformats.org/officeDocument/2006/relationships/hyperlink" Target="mailto:adyatma.consultant@gmail.com" TargetMode="External"/><Relationship Id="rId197" Type="http://schemas.openxmlformats.org/officeDocument/2006/relationships/hyperlink" Target="mailto:intankautama@gmail.com" TargetMode="External"/><Relationship Id="rId201" Type="http://schemas.openxmlformats.org/officeDocument/2006/relationships/hyperlink" Target="mailto:pratamajayareka.office@gmail.com" TargetMode="External"/><Relationship Id="rId222" Type="http://schemas.openxmlformats.org/officeDocument/2006/relationships/hyperlink" Target="mailto:design.by.smartlab@gmail.com" TargetMode="External"/><Relationship Id="rId243" Type="http://schemas.openxmlformats.org/officeDocument/2006/relationships/hyperlink" Target="mailto:multigraha.cons@gmail.com" TargetMode="External"/><Relationship Id="rId17" Type="http://schemas.openxmlformats.org/officeDocument/2006/relationships/hyperlink" Target="mailto:trihastasejahtera@gmail.com" TargetMode="External"/><Relationship Id="rId38" Type="http://schemas.openxmlformats.org/officeDocument/2006/relationships/hyperlink" Target="mailto:pt.jbkons@gmail.com" TargetMode="External"/><Relationship Id="rId59" Type="http://schemas.openxmlformats.org/officeDocument/2006/relationships/hyperlink" Target="mailto:borobudurec1@gmail.com" TargetMode="External"/><Relationship Id="rId103" Type="http://schemas.openxmlformats.org/officeDocument/2006/relationships/hyperlink" Target="mailto:fikriya.consultant@gmail.com" TargetMode="External"/><Relationship Id="rId124" Type="http://schemas.openxmlformats.org/officeDocument/2006/relationships/hyperlink" Target="mailto:cv.bismat@gmail.com" TargetMode="External"/><Relationship Id="rId70" Type="http://schemas.openxmlformats.org/officeDocument/2006/relationships/hyperlink" Target="mailto:geosaranaguna@gmail.com" TargetMode="External"/><Relationship Id="rId91" Type="http://schemas.openxmlformats.org/officeDocument/2006/relationships/hyperlink" Target="mailto:yoka.pajak@gmail.com" TargetMode="External"/><Relationship Id="rId145" Type="http://schemas.openxmlformats.org/officeDocument/2006/relationships/hyperlink" Target="mailto:griyaputrakonsultama@gmail.com" TargetMode="External"/><Relationship Id="rId166" Type="http://schemas.openxmlformats.org/officeDocument/2006/relationships/hyperlink" Target="mailto:pt.sangklatmataspratomo@gmail.com" TargetMode="External"/><Relationship Id="rId187" Type="http://schemas.openxmlformats.org/officeDocument/2006/relationships/hyperlink" Target="mailto:pilartritamakonsultan@yahoo.co.id" TargetMode="External"/><Relationship Id="rId1" Type="http://schemas.openxmlformats.org/officeDocument/2006/relationships/hyperlink" Target="mailto:fina.kusnadi@gmail.com" TargetMode="External"/><Relationship Id="rId212" Type="http://schemas.openxmlformats.org/officeDocument/2006/relationships/hyperlink" Target="mailto:abekaryakebumen@gmail.com" TargetMode="External"/><Relationship Id="rId233" Type="http://schemas.openxmlformats.org/officeDocument/2006/relationships/hyperlink" Target="mailto:drekapuri@yahoo.com" TargetMode="External"/><Relationship Id="rId254" Type="http://schemas.openxmlformats.org/officeDocument/2006/relationships/hyperlink" Target="mailto:cvkhazanahkatulistiwa@gmail.com" TargetMode="External"/><Relationship Id="rId28" Type="http://schemas.openxmlformats.org/officeDocument/2006/relationships/hyperlink" Target="mailto:cv.adhyastarekapersada@gmail.com" TargetMode="External"/><Relationship Id="rId49" Type="http://schemas.openxmlformats.org/officeDocument/2006/relationships/hyperlink" Target="mailto:purisaptaconsultant@yahoo.com" TargetMode="External"/><Relationship Id="rId114" Type="http://schemas.openxmlformats.org/officeDocument/2006/relationships/hyperlink" Target="mailto:sigmapratamaengineering@gmail.com" TargetMode="External"/><Relationship Id="rId60" Type="http://schemas.openxmlformats.org/officeDocument/2006/relationships/hyperlink" Target="mailto:barokahteknika69@gmail.com" TargetMode="External"/><Relationship Id="rId81" Type="http://schemas.openxmlformats.org/officeDocument/2006/relationships/hyperlink" Target="mailto:parisraya.smrg@gmail.com" TargetMode="External"/><Relationship Id="rId135" Type="http://schemas.openxmlformats.org/officeDocument/2006/relationships/hyperlink" Target="mailto:cv.resko_teknik@yahoo.co.id" TargetMode="External"/><Relationship Id="rId156" Type="http://schemas.openxmlformats.org/officeDocument/2006/relationships/hyperlink" Target="mailto:binarekatamacv@gmail.com" TargetMode="External"/><Relationship Id="rId177" Type="http://schemas.openxmlformats.org/officeDocument/2006/relationships/hyperlink" Target="mailto:CV.BOGOWONTOSAE@GMAIL.com" TargetMode="External"/><Relationship Id="rId198" Type="http://schemas.openxmlformats.org/officeDocument/2006/relationships/hyperlink" Target="mailto:abhinayacaturkarsa@gmail.com" TargetMode="External"/><Relationship Id="rId202" Type="http://schemas.openxmlformats.org/officeDocument/2006/relationships/hyperlink" Target="mailto:pebi.cv@gmail.com" TargetMode="External"/><Relationship Id="rId223" Type="http://schemas.openxmlformats.org/officeDocument/2006/relationships/hyperlink" Target="mailto:admin@ptskalaabadijaya.com" TargetMode="External"/><Relationship Id="rId244" Type="http://schemas.openxmlformats.org/officeDocument/2006/relationships/hyperlink" Target="mailto:winkaryadesain24@gmail.com" TargetMode="External"/><Relationship Id="rId18" Type="http://schemas.openxmlformats.org/officeDocument/2006/relationships/hyperlink" Target="mailto:tatarekaprayautamapt@gmail.com" TargetMode="External"/><Relationship Id="rId39" Type="http://schemas.openxmlformats.org/officeDocument/2006/relationships/hyperlink" Target="mailto:mustikoklopojati@gmail.com" TargetMode="External"/><Relationship Id="rId50" Type="http://schemas.openxmlformats.org/officeDocument/2006/relationships/hyperlink" Target="mailto:skala.teknik@yahoo.com" TargetMode="External"/><Relationship Id="rId104" Type="http://schemas.openxmlformats.org/officeDocument/2006/relationships/hyperlink" Target="mailto:dtm.diponegoro@gmail.com" TargetMode="External"/><Relationship Id="rId125" Type="http://schemas.openxmlformats.org/officeDocument/2006/relationships/hyperlink" Target="mailto:hitakaryajasa@gmail.com" TargetMode="External"/><Relationship Id="rId146" Type="http://schemas.openxmlformats.org/officeDocument/2006/relationships/hyperlink" Target="mailto:cv.setiyabakthi@gmail.com" TargetMode="External"/><Relationship Id="rId167" Type="http://schemas.openxmlformats.org/officeDocument/2006/relationships/hyperlink" Target="mailto:javasfantana@gmail.com" TargetMode="External"/><Relationship Id="rId188" Type="http://schemas.openxmlformats.org/officeDocument/2006/relationships/hyperlink" Target="mailto:ekajayamultiguna@gmail.com" TargetMode="External"/><Relationship Id="rId71" Type="http://schemas.openxmlformats.org/officeDocument/2006/relationships/hyperlink" Target="mailto:graciaadicipta@gmail.com" TargetMode="External"/><Relationship Id="rId92" Type="http://schemas.openxmlformats.org/officeDocument/2006/relationships/hyperlink" Target="mailto:rekamatrakencana@yahoo.co.id" TargetMode="External"/><Relationship Id="rId213" Type="http://schemas.openxmlformats.org/officeDocument/2006/relationships/hyperlink" Target="mailto:oknikaarchitect@gmail.com" TargetMode="External"/><Relationship Id="rId234" Type="http://schemas.openxmlformats.org/officeDocument/2006/relationships/hyperlink" Target="mailto:arstudio.architects13@gmail.com" TargetMode="External"/><Relationship Id="rId2" Type="http://schemas.openxmlformats.org/officeDocument/2006/relationships/hyperlink" Target="mailto:jellung.realtindo@gmail.com" TargetMode="External"/><Relationship Id="rId29" Type="http://schemas.openxmlformats.org/officeDocument/2006/relationships/hyperlink" Target="mailto:bhumiciptakreasi.cv@gmail.com" TargetMode="External"/><Relationship Id="rId255" Type="http://schemas.openxmlformats.org/officeDocument/2006/relationships/hyperlink" Target="mailto:pt.triarthaprajakarya@gmail.com" TargetMode="External"/><Relationship Id="rId40" Type="http://schemas.openxmlformats.org/officeDocument/2006/relationships/hyperlink" Target="mailto:teknika.jaya2020@gmail.com" TargetMode="External"/><Relationship Id="rId115" Type="http://schemas.openxmlformats.org/officeDocument/2006/relationships/hyperlink" Target="mailto:tritamalaksana@gmail.com" TargetMode="External"/><Relationship Id="rId136" Type="http://schemas.openxmlformats.org/officeDocument/2006/relationships/hyperlink" Target="mailto:istakamuda@yahoo.com" TargetMode="External"/><Relationship Id="rId157" Type="http://schemas.openxmlformats.org/officeDocument/2006/relationships/hyperlink" Target="mailto:bromasdamarkauripan@gmail.com" TargetMode="External"/><Relationship Id="rId178" Type="http://schemas.openxmlformats.org/officeDocument/2006/relationships/hyperlink" Target="mailto:blambangan.konsultan@gmail.com" TargetMode="External"/><Relationship Id="rId61" Type="http://schemas.openxmlformats.org/officeDocument/2006/relationships/hyperlink" Target="mailto:citramuda.konsultan@ymail.com" TargetMode="External"/><Relationship Id="rId82" Type="http://schemas.openxmlformats.org/officeDocument/2006/relationships/hyperlink" Target="mailto:cvprismarekatamakonsultan@gmail.com" TargetMode="External"/><Relationship Id="rId199" Type="http://schemas.openxmlformats.org/officeDocument/2006/relationships/hyperlink" Target="mailto:pustakasentradesain.cv@gmail.com" TargetMode="External"/><Relationship Id="rId203" Type="http://schemas.openxmlformats.org/officeDocument/2006/relationships/hyperlink" Target="mailto:undipcitra@gmail.com" TargetMode="External"/><Relationship Id="rId19" Type="http://schemas.openxmlformats.org/officeDocument/2006/relationships/hyperlink" Target="mailto:adhisatya234@gmail.com" TargetMode="External"/><Relationship Id="rId224" Type="http://schemas.openxmlformats.org/officeDocument/2006/relationships/hyperlink" Target="mailto:putrarayaconsultants@gmail.com" TargetMode="External"/><Relationship Id="rId245" Type="http://schemas.openxmlformats.org/officeDocument/2006/relationships/hyperlink" Target="mailto:contact@gfm-consult.com" TargetMode="External"/><Relationship Id="rId30" Type="http://schemas.openxmlformats.org/officeDocument/2006/relationships/hyperlink" Target="mailto:cv.sangkaraarchitect@gmail.com" TargetMode="External"/><Relationship Id="rId105" Type="http://schemas.openxmlformats.org/officeDocument/2006/relationships/hyperlink" Target="mailto:cvkaryaakbarconsultant@gmail.com" TargetMode="External"/><Relationship Id="rId126" Type="http://schemas.openxmlformats.org/officeDocument/2006/relationships/hyperlink" Target="mailto:titiansejahtera86@gmail.com" TargetMode="External"/><Relationship Id="rId147" Type="http://schemas.openxmlformats.org/officeDocument/2006/relationships/hyperlink" Target="mailto:harsagrahaindonesia@gmail.com" TargetMode="External"/><Relationship Id="rId168" Type="http://schemas.openxmlformats.org/officeDocument/2006/relationships/hyperlink" Target="mailto:tunaskonsultan@yahoo.com" TargetMode="External"/><Relationship Id="rId51" Type="http://schemas.openxmlformats.org/officeDocument/2006/relationships/hyperlink" Target="mailto:barapilar20@gmail.com" TargetMode="External"/><Relationship Id="rId72" Type="http://schemas.openxmlformats.org/officeDocument/2006/relationships/hyperlink" Target="mailto:graciawidya1@gmail.com" TargetMode="External"/><Relationship Id="rId93" Type="http://schemas.openxmlformats.org/officeDocument/2006/relationships/hyperlink" Target="mailto:haryonoenko@gmail.com" TargetMode="External"/><Relationship Id="rId189" Type="http://schemas.openxmlformats.org/officeDocument/2006/relationships/hyperlink" Target="mailto:baratanabilapratama@gmail.com" TargetMode="External"/><Relationship Id="rId3" Type="http://schemas.openxmlformats.org/officeDocument/2006/relationships/hyperlink" Target="mailto:kencanamuliakarya2000@gmail.com" TargetMode="External"/><Relationship Id="rId214" Type="http://schemas.openxmlformats.org/officeDocument/2006/relationships/hyperlink" Target="mailto:artatamaciptamandiri@gmail.com" TargetMode="External"/><Relationship Id="rId235" Type="http://schemas.openxmlformats.org/officeDocument/2006/relationships/hyperlink" Target="mailto:mahadicipta24@gmail.com" TargetMode="External"/><Relationship Id="rId256" Type="http://schemas.openxmlformats.org/officeDocument/2006/relationships/hyperlink" Target="mailto:puspahadismg@gmail.com" TargetMode="External"/><Relationship Id="rId116" Type="http://schemas.openxmlformats.org/officeDocument/2006/relationships/hyperlink" Target="mailto:cv.kc.elang@gmail.com" TargetMode="External"/><Relationship Id="rId137" Type="http://schemas.openxmlformats.org/officeDocument/2006/relationships/hyperlink" Target="mailto:javasvedakonsultan@gmail.com" TargetMode="External"/><Relationship Id="rId158" Type="http://schemas.openxmlformats.org/officeDocument/2006/relationships/hyperlink" Target="mailto:ciptaartakreasikons@gmail.com" TargetMode="External"/><Relationship Id="rId20" Type="http://schemas.openxmlformats.org/officeDocument/2006/relationships/hyperlink" Target="mailto:phicos.id@gmail.com" TargetMode="External"/><Relationship Id="rId41" Type="http://schemas.openxmlformats.org/officeDocument/2006/relationships/hyperlink" Target="mailto:carakagrhateknitama2020@gmail.com" TargetMode="External"/><Relationship Id="rId62" Type="http://schemas.openxmlformats.org/officeDocument/2006/relationships/hyperlink" Target="mailto:samudrakaryateknik@gmail.com" TargetMode="External"/><Relationship Id="rId83" Type="http://schemas.openxmlformats.org/officeDocument/2006/relationships/hyperlink" Target="mailto:harisetioskn@gmail.com" TargetMode="External"/><Relationship Id="rId179" Type="http://schemas.openxmlformats.org/officeDocument/2006/relationships/hyperlink" Target="mailto:cv.sinarkonsultanjaya67@gmail.com" TargetMode="External"/><Relationship Id="rId190" Type="http://schemas.openxmlformats.org/officeDocument/2006/relationships/hyperlink" Target="mailto:cvideabagusconsultant@gmail.com" TargetMode="External"/><Relationship Id="rId204" Type="http://schemas.openxmlformats.org/officeDocument/2006/relationships/hyperlink" Target="mailto:hilmyanugerah@yahoo.co.id" TargetMode="External"/><Relationship Id="rId225" Type="http://schemas.openxmlformats.org/officeDocument/2006/relationships/hyperlink" Target="mailto:cvwisanggeniarsitektur@gmail.com" TargetMode="External"/><Relationship Id="rId246" Type="http://schemas.openxmlformats.org/officeDocument/2006/relationships/hyperlink" Target="mailto:greenevirotamapt@gmail.com" TargetMode="External"/><Relationship Id="rId106" Type="http://schemas.openxmlformats.org/officeDocument/2006/relationships/hyperlink" Target="mailto:bayuprakarsaprima@gmail.com" TargetMode="External"/><Relationship Id="rId127" Type="http://schemas.openxmlformats.org/officeDocument/2006/relationships/hyperlink" Target="mailto:multiline.creator@gmail.com" TargetMode="External"/><Relationship Id="rId10" Type="http://schemas.openxmlformats.org/officeDocument/2006/relationships/hyperlink" Target="mailto:duta.primayuda@gmail.com" TargetMode="External"/><Relationship Id="rId31" Type="http://schemas.openxmlformats.org/officeDocument/2006/relationships/hyperlink" Target="mailto:slfkonsultan.smg@gmail.com" TargetMode="External"/><Relationship Id="rId52" Type="http://schemas.openxmlformats.org/officeDocument/2006/relationships/hyperlink" Target="mailto:cita.kreasindo@gmail.com" TargetMode="External"/><Relationship Id="rId73" Type="http://schemas.openxmlformats.org/officeDocument/2006/relationships/hyperlink" Target="mailto:geloracrono2@yahoo.com" TargetMode="External"/><Relationship Id="rId94" Type="http://schemas.openxmlformats.org/officeDocument/2006/relationships/hyperlink" Target="mailto:mitradesign21@gmail.com" TargetMode="External"/><Relationship Id="rId148" Type="http://schemas.openxmlformats.org/officeDocument/2006/relationships/hyperlink" Target="mailto:ptpuriajibuana@gmail.com" TargetMode="External"/><Relationship Id="rId169" Type="http://schemas.openxmlformats.org/officeDocument/2006/relationships/hyperlink" Target="mailto:akarkreasi.pt@gmail.com" TargetMode="External"/><Relationship Id="rId4" Type="http://schemas.openxmlformats.org/officeDocument/2006/relationships/hyperlink" Target="mailto:cvarsitra@gmail.com" TargetMode="External"/><Relationship Id="rId180" Type="http://schemas.openxmlformats.org/officeDocument/2006/relationships/hyperlink" Target="mailto:erinawijayaconsult@gmail.com" TargetMode="External"/><Relationship Id="rId215" Type="http://schemas.openxmlformats.org/officeDocument/2006/relationships/hyperlink" Target="mailto:mahakaryabumipersada@gmail.com" TargetMode="External"/><Relationship Id="rId236" Type="http://schemas.openxmlformats.org/officeDocument/2006/relationships/hyperlink" Target="mailto:perencanajayaindonesia@gmail.com" TargetMode="External"/><Relationship Id="rId257" Type="http://schemas.openxmlformats.org/officeDocument/2006/relationships/hyperlink" Target="mailto:adhigunarikshapratama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cv.senonurutama@gmail.com" TargetMode="External"/><Relationship Id="rId21" Type="http://schemas.openxmlformats.org/officeDocument/2006/relationships/hyperlink" Target="mailto:lais.engineering.indonesia@gmail.com" TargetMode="External"/><Relationship Id="rId63" Type="http://schemas.openxmlformats.org/officeDocument/2006/relationships/hyperlink" Target="mailto:candrakirana.dc@gmail.com" TargetMode="External"/><Relationship Id="rId159" Type="http://schemas.openxmlformats.org/officeDocument/2006/relationships/hyperlink" Target="mailto:cvmajapahit97@gmail.com" TargetMode="External"/><Relationship Id="rId170" Type="http://schemas.openxmlformats.org/officeDocument/2006/relationships/hyperlink" Target="mailto:cvmitrabersamamandiri1@gmail.com" TargetMode="External"/><Relationship Id="rId191" Type="http://schemas.openxmlformats.org/officeDocument/2006/relationships/hyperlink" Target="mailto:cv.berjayamakmurkonsultan@gmail.com" TargetMode="External"/><Relationship Id="rId205" Type="http://schemas.openxmlformats.org/officeDocument/2006/relationships/hyperlink" Target="mailto:kcmbtg5a@gmail.com" TargetMode="External"/><Relationship Id="rId226" Type="http://schemas.openxmlformats.org/officeDocument/2006/relationships/hyperlink" Target="mailto:semestarahayudisain@gmail.com" TargetMode="External"/><Relationship Id="rId247" Type="http://schemas.openxmlformats.org/officeDocument/2006/relationships/hyperlink" Target="mailto:improvekaryasolusi@gmail.com" TargetMode="External"/><Relationship Id="rId107" Type="http://schemas.openxmlformats.org/officeDocument/2006/relationships/hyperlink" Target="mailto:arthabc184@gmail.com" TargetMode="External"/><Relationship Id="rId11" Type="http://schemas.openxmlformats.org/officeDocument/2006/relationships/hyperlink" Target="mailto:rekadwipa.studio@gmail.com" TargetMode="External"/><Relationship Id="rId32" Type="http://schemas.openxmlformats.org/officeDocument/2006/relationships/hyperlink" Target="mailto:rafipermatajaya@gmail.com" TargetMode="External"/><Relationship Id="rId53" Type="http://schemas.openxmlformats.org/officeDocument/2006/relationships/hyperlink" Target="mailto:anugerah.jm@yahoo.com" TargetMode="External"/><Relationship Id="rId74" Type="http://schemas.openxmlformats.org/officeDocument/2006/relationships/hyperlink" Target="mailto:subekhan05@gmail.com" TargetMode="External"/><Relationship Id="rId128" Type="http://schemas.openxmlformats.org/officeDocument/2006/relationships/hyperlink" Target="mailto:cvpatriautamapkl@gmail.com" TargetMode="External"/><Relationship Id="rId149" Type="http://schemas.openxmlformats.org/officeDocument/2006/relationships/hyperlink" Target="mailto:cv.galihloka@gmail.com" TargetMode="External"/><Relationship Id="rId5" Type="http://schemas.openxmlformats.org/officeDocument/2006/relationships/hyperlink" Target="mailto:abiseka_nitibuana@yahoo.co.id" TargetMode="External"/><Relationship Id="rId95" Type="http://schemas.openxmlformats.org/officeDocument/2006/relationships/hyperlink" Target="mailto:agasha.kreatif@gmail.com" TargetMode="External"/><Relationship Id="rId160" Type="http://schemas.openxmlformats.org/officeDocument/2006/relationships/hyperlink" Target="mailto:cendanaciptacita@gmail.com" TargetMode="External"/><Relationship Id="rId181" Type="http://schemas.openxmlformats.org/officeDocument/2006/relationships/hyperlink" Target="mailto:konsultanprojo@gmail.com" TargetMode="External"/><Relationship Id="rId216" Type="http://schemas.openxmlformats.org/officeDocument/2006/relationships/hyperlink" Target="mailto:cvdinastijavagroup@gmail.com" TargetMode="External"/><Relationship Id="rId237" Type="http://schemas.openxmlformats.org/officeDocument/2006/relationships/hyperlink" Target="mailto:daafconsultant@gmail.com" TargetMode="External"/><Relationship Id="rId258" Type="http://schemas.openxmlformats.org/officeDocument/2006/relationships/hyperlink" Target="mailto:ptannabapersada5757@gmail.com" TargetMode="External"/><Relationship Id="rId22" Type="http://schemas.openxmlformats.org/officeDocument/2006/relationships/hyperlink" Target="mailto:guratrp@gmail.com" TargetMode="External"/><Relationship Id="rId43" Type="http://schemas.openxmlformats.org/officeDocument/2006/relationships/hyperlink" Target="mailto:triganajayakonsultan.cv@gmail.com" TargetMode="External"/><Relationship Id="rId64" Type="http://schemas.openxmlformats.org/officeDocument/2006/relationships/hyperlink" Target="mailto:cvdelima55@gmail.com" TargetMode="External"/><Relationship Id="rId118" Type="http://schemas.openxmlformats.org/officeDocument/2006/relationships/hyperlink" Target="mailto:jazzelindonugraha@gmail.com" TargetMode="External"/><Relationship Id="rId139" Type="http://schemas.openxmlformats.org/officeDocument/2006/relationships/hyperlink" Target="mailto:cv.arjip@yahoo.com" TargetMode="External"/><Relationship Id="rId85" Type="http://schemas.openxmlformats.org/officeDocument/2006/relationships/hyperlink" Target="mailto:suminarjaya8@gmail.com" TargetMode="External"/><Relationship Id="rId150" Type="http://schemas.openxmlformats.org/officeDocument/2006/relationships/hyperlink" Target="mailto:gigapratamapekalongan@gmail.com" TargetMode="External"/><Relationship Id="rId171" Type="http://schemas.openxmlformats.org/officeDocument/2006/relationships/hyperlink" Target="mailto:pakarkita.konsultan@gmail.com" TargetMode="External"/><Relationship Id="rId192" Type="http://schemas.openxmlformats.org/officeDocument/2006/relationships/hyperlink" Target="mailto:cv.sumuragungkendal@gmail.com" TargetMode="External"/><Relationship Id="rId206" Type="http://schemas.openxmlformats.org/officeDocument/2006/relationships/hyperlink" Target="mailto:ptkaryagumelarindonesia@gmail.com" TargetMode="External"/><Relationship Id="rId227" Type="http://schemas.openxmlformats.org/officeDocument/2006/relationships/hyperlink" Target="mailto:ideaciptakreasi@gmail.com" TargetMode="External"/><Relationship Id="rId248" Type="http://schemas.openxmlformats.org/officeDocument/2006/relationships/hyperlink" Target="mailto:ptadhistyadharmastitya@gmail.com" TargetMode="External"/><Relationship Id="rId12" Type="http://schemas.openxmlformats.org/officeDocument/2006/relationships/hyperlink" Target="mailto:vikibalsa@yahoo.com" TargetMode="External"/><Relationship Id="rId33" Type="http://schemas.openxmlformats.org/officeDocument/2006/relationships/hyperlink" Target="mailto:radius4rc@gmail.com" TargetMode="External"/><Relationship Id="rId108" Type="http://schemas.openxmlformats.org/officeDocument/2006/relationships/hyperlink" Target="mailto:cv.aditkarya2018@gmail.com" TargetMode="External"/><Relationship Id="rId129" Type="http://schemas.openxmlformats.org/officeDocument/2006/relationships/hyperlink" Target="mailto:megajasaconsultant@gmail.com" TargetMode="External"/><Relationship Id="rId54" Type="http://schemas.openxmlformats.org/officeDocument/2006/relationships/hyperlink" Target="mailto:agoralegalitas@gmail.com" TargetMode="External"/><Relationship Id="rId75" Type="http://schemas.openxmlformats.org/officeDocument/2006/relationships/hyperlink" Target="mailto:dutacitraoss@gmail.com" TargetMode="External"/><Relationship Id="rId96" Type="http://schemas.openxmlformats.org/officeDocument/2006/relationships/hyperlink" Target="mailto:tectonicarch.rbg@gmail.com" TargetMode="External"/><Relationship Id="rId140" Type="http://schemas.openxmlformats.org/officeDocument/2006/relationships/hyperlink" Target="mailto:ciptamawakreasi@gmail.com" TargetMode="External"/><Relationship Id="rId161" Type="http://schemas.openxmlformats.org/officeDocument/2006/relationships/hyperlink" Target="mailto:rekayasamitramuda@gmail.com" TargetMode="External"/><Relationship Id="rId182" Type="http://schemas.openxmlformats.org/officeDocument/2006/relationships/hyperlink" Target="mailto:unggulsentosajaya1@gmail.com" TargetMode="External"/><Relationship Id="rId217" Type="http://schemas.openxmlformats.org/officeDocument/2006/relationships/hyperlink" Target="mailto:acegeconsultant@gmail.com" TargetMode="External"/><Relationship Id="rId6" Type="http://schemas.openxmlformats.org/officeDocument/2006/relationships/hyperlink" Target="mailto:cvtrisaktiarsitek@gmail.com" TargetMode="External"/><Relationship Id="rId238" Type="http://schemas.openxmlformats.org/officeDocument/2006/relationships/hyperlink" Target="mailto:globalwujudkreasi@gmail.com" TargetMode="External"/><Relationship Id="rId259" Type="http://schemas.openxmlformats.org/officeDocument/2006/relationships/hyperlink" Target="mailto:akasarekasolusi@gmail.com" TargetMode="External"/><Relationship Id="rId23" Type="http://schemas.openxmlformats.org/officeDocument/2006/relationships/hyperlink" Target="mailto:bimakaryamandiri64@gmail.com" TargetMode="External"/><Relationship Id="rId119" Type="http://schemas.openxmlformats.org/officeDocument/2006/relationships/hyperlink" Target="mailto:rancang.cipta.global@gmail.com" TargetMode="External"/><Relationship Id="rId44" Type="http://schemas.openxmlformats.org/officeDocument/2006/relationships/hyperlink" Target="mailto:artiyaprimasejahtera.cv@gmail.com" TargetMode="External"/><Relationship Id="rId65" Type="http://schemas.openxmlformats.org/officeDocument/2006/relationships/hyperlink" Target="mailto:iqbalkurniawan195@gmail.com" TargetMode="External"/><Relationship Id="rId86" Type="http://schemas.openxmlformats.org/officeDocument/2006/relationships/hyperlink" Target="mailto:endrotrias@gmail.com" TargetMode="External"/><Relationship Id="rId130" Type="http://schemas.openxmlformats.org/officeDocument/2006/relationships/hyperlink" Target="mailto:cv.dharmaconsultant@gmail.com" TargetMode="External"/><Relationship Id="rId151" Type="http://schemas.openxmlformats.org/officeDocument/2006/relationships/hyperlink" Target="mailto:sabakonstruksi@gmail.com" TargetMode="External"/><Relationship Id="rId172" Type="http://schemas.openxmlformats.org/officeDocument/2006/relationships/hyperlink" Target="mailto:xynerva.pratama.consultant@gmail.com" TargetMode="External"/><Relationship Id="rId193" Type="http://schemas.openxmlformats.org/officeDocument/2006/relationships/hyperlink" Target="mailto:gnakonsultan.lpse@gmail.com" TargetMode="External"/><Relationship Id="rId207" Type="http://schemas.openxmlformats.org/officeDocument/2006/relationships/hyperlink" Target="mailto:cvlemahabangengineering@gmail.com" TargetMode="External"/><Relationship Id="rId228" Type="http://schemas.openxmlformats.org/officeDocument/2006/relationships/hyperlink" Target="mailto:wirakaryaabadi.cv@gmail.com" TargetMode="External"/><Relationship Id="rId249" Type="http://schemas.openxmlformats.org/officeDocument/2006/relationships/hyperlink" Target="mailto:pandupolakonsultan@gmail.com" TargetMode="External"/><Relationship Id="rId13" Type="http://schemas.openxmlformats.org/officeDocument/2006/relationships/hyperlink" Target="mailto:3pusakadisain@gmail.com" TargetMode="External"/><Relationship Id="rId109" Type="http://schemas.openxmlformats.org/officeDocument/2006/relationships/hyperlink" Target="mailto:krida.ganesha@gmail.com" TargetMode="External"/><Relationship Id="rId260" Type="http://schemas.openxmlformats.org/officeDocument/2006/relationships/hyperlink" Target="mailto:dipodharmapersada@gmail.com" TargetMode="External"/><Relationship Id="rId34" Type="http://schemas.openxmlformats.org/officeDocument/2006/relationships/hyperlink" Target="mailto:cvnirmana20@gmail.com" TargetMode="External"/><Relationship Id="rId55" Type="http://schemas.openxmlformats.org/officeDocument/2006/relationships/hyperlink" Target="mailto:admptaretaswicaksana@gmail.com" TargetMode="External"/><Relationship Id="rId76" Type="http://schemas.openxmlformats.org/officeDocument/2006/relationships/hyperlink" Target="mailto:javagroup.indonesia@gmail.com" TargetMode="External"/><Relationship Id="rId97" Type="http://schemas.openxmlformats.org/officeDocument/2006/relationships/hyperlink" Target="mailto:suparno0912@gmail.com" TargetMode="External"/><Relationship Id="rId120" Type="http://schemas.openxmlformats.org/officeDocument/2006/relationships/hyperlink" Target="mailto:ptpancangmas@gmail.com" TargetMode="External"/><Relationship Id="rId141" Type="http://schemas.openxmlformats.org/officeDocument/2006/relationships/hyperlink" Target="mailto:raihanconsultant@gmail.com" TargetMode="External"/><Relationship Id="rId7" Type="http://schemas.openxmlformats.org/officeDocument/2006/relationships/hyperlink" Target="mailto:cvmangunajibdesign@yahoo.com" TargetMode="External"/><Relationship Id="rId162" Type="http://schemas.openxmlformats.org/officeDocument/2006/relationships/hyperlink" Target="mailto:mitradataabadisolo@gmail.com" TargetMode="External"/><Relationship Id="rId183" Type="http://schemas.openxmlformats.org/officeDocument/2006/relationships/hyperlink" Target="mailto:manunggalingkarsaabadi22@gmail.com" TargetMode="External"/><Relationship Id="rId218" Type="http://schemas.openxmlformats.org/officeDocument/2006/relationships/hyperlink" Target="mailto:benoitestrategic@gmail.com" TargetMode="External"/><Relationship Id="rId239" Type="http://schemas.openxmlformats.org/officeDocument/2006/relationships/hyperlink" Target="mailto:ptmegantarakonsultan@gmail.com" TargetMode="External"/><Relationship Id="rId250" Type="http://schemas.openxmlformats.org/officeDocument/2006/relationships/hyperlink" Target="mailto:hastakaryaprajapathi@gmail.com" TargetMode="External"/><Relationship Id="rId24" Type="http://schemas.openxmlformats.org/officeDocument/2006/relationships/hyperlink" Target="mailto:desaincitra@gmail.com" TargetMode="External"/><Relationship Id="rId45" Type="http://schemas.openxmlformats.org/officeDocument/2006/relationships/hyperlink" Target="mailto:citrayasadesain@gmail.com" TargetMode="External"/><Relationship Id="rId66" Type="http://schemas.openxmlformats.org/officeDocument/2006/relationships/hyperlink" Target="mailto:cvdutaoss@gmail.com" TargetMode="External"/><Relationship Id="rId87" Type="http://schemas.openxmlformats.org/officeDocument/2006/relationships/hyperlink" Target="mailto:admcvtemadea@gmail.com" TargetMode="External"/><Relationship Id="rId110" Type="http://schemas.openxmlformats.org/officeDocument/2006/relationships/hyperlink" Target="mailto:djawakaryakonsultan@yahoo.co.id" TargetMode="External"/><Relationship Id="rId131" Type="http://schemas.openxmlformats.org/officeDocument/2006/relationships/hyperlink" Target="mailto:cv.muktiganesha@gmail.com" TargetMode="External"/><Relationship Id="rId152" Type="http://schemas.openxmlformats.org/officeDocument/2006/relationships/hyperlink" Target="mailto:ptihsanginanjarkonsultan@gmail.com" TargetMode="External"/><Relationship Id="rId173" Type="http://schemas.openxmlformats.org/officeDocument/2006/relationships/hyperlink" Target="mailto:biaas.solusindo@gmail.com" TargetMode="External"/><Relationship Id="rId194" Type="http://schemas.openxmlformats.org/officeDocument/2006/relationships/hyperlink" Target="mailto:cv.kreasindomudamandiri@gmail.com" TargetMode="External"/><Relationship Id="rId208" Type="http://schemas.openxmlformats.org/officeDocument/2006/relationships/hyperlink" Target="mailto:project.apconsultant@gmail.com" TargetMode="External"/><Relationship Id="rId229" Type="http://schemas.openxmlformats.org/officeDocument/2006/relationships/hyperlink" Target="mailto:teamDTS19@gmail.com" TargetMode="External"/><Relationship Id="rId240" Type="http://schemas.openxmlformats.org/officeDocument/2006/relationships/hyperlink" Target="mailto:cvlunaris@gmail.com" TargetMode="External"/><Relationship Id="rId261" Type="http://schemas.openxmlformats.org/officeDocument/2006/relationships/hyperlink" Target="mailto:cvkonsultanbangunperkasa@gmail.com" TargetMode="External"/><Relationship Id="rId14" Type="http://schemas.openxmlformats.org/officeDocument/2006/relationships/hyperlink" Target="mailto:energi3.elektrindo@gmail.com" TargetMode="External"/><Relationship Id="rId35" Type="http://schemas.openxmlformats.org/officeDocument/2006/relationships/hyperlink" Target="mailto:citraasridesain.pt@gmail.com" TargetMode="External"/><Relationship Id="rId56" Type="http://schemas.openxmlformats.org/officeDocument/2006/relationships/hyperlink" Target="mailto:archdesignconsultant.rbg@gmail.com" TargetMode="External"/><Relationship Id="rId77" Type="http://schemas.openxmlformats.org/officeDocument/2006/relationships/hyperlink" Target="mailto:oksandhika@yahoo.co.id" TargetMode="External"/><Relationship Id="rId100" Type="http://schemas.openxmlformats.org/officeDocument/2006/relationships/hyperlink" Target="mailto:sucrotechfinance@yahoo.com" TargetMode="External"/><Relationship Id="rId8" Type="http://schemas.openxmlformats.org/officeDocument/2006/relationships/hyperlink" Target="mailto:jasautama@yahoo.co.id" TargetMode="External"/><Relationship Id="rId98" Type="http://schemas.openxmlformats.org/officeDocument/2006/relationships/hyperlink" Target="mailto:van.pt.vts@gmail.com" TargetMode="External"/><Relationship Id="rId121" Type="http://schemas.openxmlformats.org/officeDocument/2006/relationships/hyperlink" Target="mailto:karyaenjiniring@gmail.com" TargetMode="External"/><Relationship Id="rId142" Type="http://schemas.openxmlformats.org/officeDocument/2006/relationships/hyperlink" Target="mailto:citrakalpatarucv80@gmail.com" TargetMode="External"/><Relationship Id="rId163" Type="http://schemas.openxmlformats.org/officeDocument/2006/relationships/hyperlink" Target="mailto:info@krida-karya.co.id" TargetMode="External"/><Relationship Id="rId184" Type="http://schemas.openxmlformats.org/officeDocument/2006/relationships/hyperlink" Target="mailto:gracia.naturindo@gmail.com" TargetMode="External"/><Relationship Id="rId219" Type="http://schemas.openxmlformats.org/officeDocument/2006/relationships/hyperlink" Target="mailto:ptwegandasricahya@gmail.com" TargetMode="External"/><Relationship Id="rId230" Type="http://schemas.openxmlformats.org/officeDocument/2006/relationships/hyperlink" Target="mailto:cv.bangunperkasakonsultan@gmail.com" TargetMode="External"/><Relationship Id="rId251" Type="http://schemas.openxmlformats.org/officeDocument/2006/relationships/hyperlink" Target="mailto:ptslf.id@gmail.com" TargetMode="External"/><Relationship Id="rId25" Type="http://schemas.openxmlformats.org/officeDocument/2006/relationships/hyperlink" Target="mailto:cv.designengineering@gmail.com" TargetMode="External"/><Relationship Id="rId46" Type="http://schemas.openxmlformats.org/officeDocument/2006/relationships/hyperlink" Target="mailto:natawinasis@gmail.com" TargetMode="External"/><Relationship Id="rId67" Type="http://schemas.openxmlformats.org/officeDocument/2006/relationships/hyperlink" Target="mailto:ediyasa03@gmail.com" TargetMode="External"/><Relationship Id="rId88" Type="http://schemas.openxmlformats.org/officeDocument/2006/relationships/hyperlink" Target="mailto:tcitragunadesain@gmail.com" TargetMode="External"/><Relationship Id="rId111" Type="http://schemas.openxmlformats.org/officeDocument/2006/relationships/hyperlink" Target="mailto:lintaspembangunan.idn@gmail.com" TargetMode="External"/><Relationship Id="rId132" Type="http://schemas.openxmlformats.org/officeDocument/2006/relationships/hyperlink" Target="mailto:bengawantjipta@gmail.com" TargetMode="External"/><Relationship Id="rId153" Type="http://schemas.openxmlformats.org/officeDocument/2006/relationships/hyperlink" Target="mailto:slawikonsultan@gmail.com" TargetMode="External"/><Relationship Id="rId174" Type="http://schemas.openxmlformats.org/officeDocument/2006/relationships/hyperlink" Target="mailto:sondarekayasa2016@gmail.com" TargetMode="External"/><Relationship Id="rId195" Type="http://schemas.openxmlformats.org/officeDocument/2006/relationships/hyperlink" Target="mailto:ptfasakaryahutama@gmail.com" TargetMode="External"/><Relationship Id="rId209" Type="http://schemas.openxmlformats.org/officeDocument/2006/relationships/hyperlink" Target="mailto:cv.bahuwirya.nu2023@gmail.com" TargetMode="External"/><Relationship Id="rId220" Type="http://schemas.openxmlformats.org/officeDocument/2006/relationships/hyperlink" Target="mailto:gafamediakonsultan@gmail.com" TargetMode="External"/><Relationship Id="rId241" Type="http://schemas.openxmlformats.org/officeDocument/2006/relationships/hyperlink" Target="mailto:pt.dk.rancangpersada@gmail.com" TargetMode="External"/><Relationship Id="rId15" Type="http://schemas.openxmlformats.org/officeDocument/2006/relationships/hyperlink" Target="mailto:ptindotama@yahoo.co.id" TargetMode="External"/><Relationship Id="rId36" Type="http://schemas.openxmlformats.org/officeDocument/2006/relationships/hyperlink" Target="mailto:pt.gatra@gmail.com" TargetMode="External"/><Relationship Id="rId57" Type="http://schemas.openxmlformats.org/officeDocument/2006/relationships/hyperlink" Target="mailto:andalanconsultant@yahoo.co.id" TargetMode="External"/><Relationship Id="rId262" Type="http://schemas.openxmlformats.org/officeDocument/2006/relationships/printerSettings" Target="../printerSettings/printerSettings2.bin"/><Relationship Id="rId78" Type="http://schemas.openxmlformats.org/officeDocument/2006/relationships/hyperlink" Target="mailto:steger8370@gmail.com" TargetMode="External"/><Relationship Id="rId99" Type="http://schemas.openxmlformats.org/officeDocument/2006/relationships/hyperlink" Target="mailto:cv.mahakarya16@gmail.com" TargetMode="External"/><Relationship Id="rId101" Type="http://schemas.openxmlformats.org/officeDocument/2006/relationships/hyperlink" Target="mailto:mirazhcons@gmail.com" TargetMode="External"/><Relationship Id="rId122" Type="http://schemas.openxmlformats.org/officeDocument/2006/relationships/hyperlink" Target="mailto:citrapatabangunpersada@gmail.com" TargetMode="External"/><Relationship Id="rId143" Type="http://schemas.openxmlformats.org/officeDocument/2006/relationships/hyperlink" Target="mailto:integrita_cv@yahoo.com" TargetMode="External"/><Relationship Id="rId164" Type="http://schemas.openxmlformats.org/officeDocument/2006/relationships/hyperlink" Target="mailto:adhyastharekayasadesain@gmail.com" TargetMode="External"/><Relationship Id="rId185" Type="http://schemas.openxmlformats.org/officeDocument/2006/relationships/hyperlink" Target="mailto:jatiutama15@gmail.com" TargetMode="External"/><Relationship Id="rId9" Type="http://schemas.openxmlformats.org/officeDocument/2006/relationships/hyperlink" Target="mailto:cvmutiarakonsultant@gmail.com" TargetMode="External"/><Relationship Id="rId210" Type="http://schemas.openxmlformats.org/officeDocument/2006/relationships/hyperlink" Target="mailto:arhengineering92@gmail.com" TargetMode="External"/><Relationship Id="rId26" Type="http://schemas.openxmlformats.org/officeDocument/2006/relationships/hyperlink" Target="mailto:hrv.planner@yahoo.com" TargetMode="External"/><Relationship Id="rId231" Type="http://schemas.openxmlformats.org/officeDocument/2006/relationships/hyperlink" Target="mailto:pberdikari98@gmail.com" TargetMode="External"/><Relationship Id="rId252" Type="http://schemas.openxmlformats.org/officeDocument/2006/relationships/hyperlink" Target="mailto:pentahelixkolaborasi@gmail.com" TargetMode="External"/><Relationship Id="rId47" Type="http://schemas.openxmlformats.org/officeDocument/2006/relationships/hyperlink" Target="mailto:sasmita.murakabi@gmail.com" TargetMode="External"/><Relationship Id="rId68" Type="http://schemas.openxmlformats.org/officeDocument/2006/relationships/hyperlink" Target="mailto:gunatataperkasa@gmail.com" TargetMode="External"/><Relationship Id="rId89" Type="http://schemas.openxmlformats.org/officeDocument/2006/relationships/hyperlink" Target="mailto:v_sarwahita@yahoo.co.id" TargetMode="External"/><Relationship Id="rId112" Type="http://schemas.openxmlformats.org/officeDocument/2006/relationships/hyperlink" Target="mailto:harsayakarya@gmail.com" TargetMode="External"/><Relationship Id="rId133" Type="http://schemas.openxmlformats.org/officeDocument/2006/relationships/hyperlink" Target="mailto:tunggulmajapahitsejahtera@gmail.com" TargetMode="External"/><Relationship Id="rId154" Type="http://schemas.openxmlformats.org/officeDocument/2006/relationships/hyperlink" Target="mailto:heriyanto.1463@gmail.com" TargetMode="External"/><Relationship Id="rId175" Type="http://schemas.openxmlformats.org/officeDocument/2006/relationships/hyperlink" Target="mailto:pt.permadanikhatulistiwa01@gmail.com" TargetMode="External"/><Relationship Id="rId196" Type="http://schemas.openxmlformats.org/officeDocument/2006/relationships/hyperlink" Target="mailto:mahna.he.al.abadah@gmail.com" TargetMode="External"/><Relationship Id="rId200" Type="http://schemas.openxmlformats.org/officeDocument/2006/relationships/hyperlink" Target="mailto:ptpurifikasi@gmail.com" TargetMode="External"/><Relationship Id="rId16" Type="http://schemas.openxmlformats.org/officeDocument/2006/relationships/hyperlink" Target="mailto:contact@gwadestek.com" TargetMode="External"/><Relationship Id="rId221" Type="http://schemas.openxmlformats.org/officeDocument/2006/relationships/hyperlink" Target="mailto:cv.dutateknikkonsultan@gmail.com" TargetMode="External"/><Relationship Id="rId242" Type="http://schemas.openxmlformats.org/officeDocument/2006/relationships/hyperlink" Target="mailto:risanngremboko@gmail.com" TargetMode="External"/><Relationship Id="rId263" Type="http://schemas.openxmlformats.org/officeDocument/2006/relationships/drawing" Target="../drawings/drawing3.xml"/><Relationship Id="rId37" Type="http://schemas.openxmlformats.org/officeDocument/2006/relationships/hyperlink" Target="mailto:salcocv.konsultan@gmail.com" TargetMode="External"/><Relationship Id="rId58" Type="http://schemas.openxmlformats.org/officeDocument/2006/relationships/hyperlink" Target="mailto:cvbarunajaya.tmg@gmail.com" TargetMode="External"/><Relationship Id="rId79" Type="http://schemas.openxmlformats.org/officeDocument/2006/relationships/hyperlink" Target="mailto:mgl.mktoni@gmail.com" TargetMode="External"/><Relationship Id="rId102" Type="http://schemas.openxmlformats.org/officeDocument/2006/relationships/hyperlink" Target="mailto:ptesensinara@gmail.com" TargetMode="External"/><Relationship Id="rId123" Type="http://schemas.openxmlformats.org/officeDocument/2006/relationships/hyperlink" Target="mailto:suryanuskonsultan@gmail.com" TargetMode="External"/><Relationship Id="rId144" Type="http://schemas.openxmlformats.org/officeDocument/2006/relationships/hyperlink" Target="mailto:cvinovatifseketsa@gmail.com" TargetMode="External"/><Relationship Id="rId90" Type="http://schemas.openxmlformats.org/officeDocument/2006/relationships/hyperlink" Target="mailto:ptwastuwidyawan@gmail.com" TargetMode="External"/><Relationship Id="rId165" Type="http://schemas.openxmlformats.org/officeDocument/2006/relationships/hyperlink" Target="mailto:cv.gagasrancangpersada@gmail.com" TargetMode="External"/><Relationship Id="rId186" Type="http://schemas.openxmlformats.org/officeDocument/2006/relationships/hyperlink" Target="mailto:intiglobal.net@gmail.com" TargetMode="External"/><Relationship Id="rId211" Type="http://schemas.openxmlformats.org/officeDocument/2006/relationships/hyperlink" Target="mailto:abiyyukaryakonsultan.pt@gmail.com" TargetMode="External"/><Relationship Id="rId232" Type="http://schemas.openxmlformats.org/officeDocument/2006/relationships/hyperlink" Target="mailto:lina.consultant8010@gmail.com" TargetMode="External"/><Relationship Id="rId253" Type="http://schemas.openxmlformats.org/officeDocument/2006/relationships/hyperlink" Target="mailto:koopillar.td@gmail.com" TargetMode="External"/><Relationship Id="rId27" Type="http://schemas.openxmlformats.org/officeDocument/2006/relationships/hyperlink" Target="mailto:azrina.jaya.konsultan@gmail.com" TargetMode="External"/><Relationship Id="rId48" Type="http://schemas.openxmlformats.org/officeDocument/2006/relationships/hyperlink" Target="mailto:shirvanoconsulting@gmail.com" TargetMode="External"/><Relationship Id="rId69" Type="http://schemas.openxmlformats.org/officeDocument/2006/relationships/hyperlink" Target="mailto:gmtmandiritunggal2@gmail.com" TargetMode="External"/><Relationship Id="rId113" Type="http://schemas.openxmlformats.org/officeDocument/2006/relationships/hyperlink" Target="mailto:cahayakaryaengineering@gmail.com" TargetMode="External"/><Relationship Id="rId134" Type="http://schemas.openxmlformats.org/officeDocument/2006/relationships/hyperlink" Target="mailto:irsyadkurniadesign@gmail.com" TargetMode="External"/><Relationship Id="rId80" Type="http://schemas.openxmlformats.org/officeDocument/2006/relationships/hyperlink" Target="mailto:medisain.konsultan@gmail.com" TargetMode="External"/><Relationship Id="rId155" Type="http://schemas.openxmlformats.org/officeDocument/2006/relationships/hyperlink" Target="mailto:arthagemilang08@gmail.com" TargetMode="External"/><Relationship Id="rId176" Type="http://schemas.openxmlformats.org/officeDocument/2006/relationships/hyperlink" Target="mailto:adyatma.consultant@gmail.com" TargetMode="External"/><Relationship Id="rId197" Type="http://schemas.openxmlformats.org/officeDocument/2006/relationships/hyperlink" Target="mailto:intankautama@gmail.com" TargetMode="External"/><Relationship Id="rId201" Type="http://schemas.openxmlformats.org/officeDocument/2006/relationships/hyperlink" Target="mailto:pratamajayareka.office@gmail.com" TargetMode="External"/><Relationship Id="rId222" Type="http://schemas.openxmlformats.org/officeDocument/2006/relationships/hyperlink" Target="mailto:design.by.smartlab@gmail.com" TargetMode="External"/><Relationship Id="rId243" Type="http://schemas.openxmlformats.org/officeDocument/2006/relationships/hyperlink" Target="mailto:multigraha.cons@gmail.com" TargetMode="External"/><Relationship Id="rId17" Type="http://schemas.openxmlformats.org/officeDocument/2006/relationships/hyperlink" Target="mailto:trihastasejahtera@gmail.com" TargetMode="External"/><Relationship Id="rId38" Type="http://schemas.openxmlformats.org/officeDocument/2006/relationships/hyperlink" Target="mailto:pt.jbkons@gmail.com" TargetMode="External"/><Relationship Id="rId59" Type="http://schemas.openxmlformats.org/officeDocument/2006/relationships/hyperlink" Target="mailto:borobudurec1@gmail.com" TargetMode="External"/><Relationship Id="rId103" Type="http://schemas.openxmlformats.org/officeDocument/2006/relationships/hyperlink" Target="mailto:fikriya.consultant@gmail.com" TargetMode="External"/><Relationship Id="rId124" Type="http://schemas.openxmlformats.org/officeDocument/2006/relationships/hyperlink" Target="mailto:cv.bismat@gmail.com" TargetMode="External"/><Relationship Id="rId70" Type="http://schemas.openxmlformats.org/officeDocument/2006/relationships/hyperlink" Target="mailto:geosaranaguna@gmail.com" TargetMode="External"/><Relationship Id="rId91" Type="http://schemas.openxmlformats.org/officeDocument/2006/relationships/hyperlink" Target="mailto:yoka.pajak@gmail.com" TargetMode="External"/><Relationship Id="rId145" Type="http://schemas.openxmlformats.org/officeDocument/2006/relationships/hyperlink" Target="mailto:griyaputrakonsultama@gmail.com" TargetMode="External"/><Relationship Id="rId166" Type="http://schemas.openxmlformats.org/officeDocument/2006/relationships/hyperlink" Target="mailto:pt.sangklatmataspratomo@gmail.com" TargetMode="External"/><Relationship Id="rId187" Type="http://schemas.openxmlformats.org/officeDocument/2006/relationships/hyperlink" Target="mailto:pilartritamakonsultan@yahoo.co.id" TargetMode="External"/><Relationship Id="rId1" Type="http://schemas.openxmlformats.org/officeDocument/2006/relationships/hyperlink" Target="mailto:fina.kusnadi@gmail.com" TargetMode="External"/><Relationship Id="rId212" Type="http://schemas.openxmlformats.org/officeDocument/2006/relationships/hyperlink" Target="mailto:abekaryakebumen@gmail.com" TargetMode="External"/><Relationship Id="rId233" Type="http://schemas.openxmlformats.org/officeDocument/2006/relationships/hyperlink" Target="mailto:drekapuri@yahoo.com" TargetMode="External"/><Relationship Id="rId254" Type="http://schemas.openxmlformats.org/officeDocument/2006/relationships/hyperlink" Target="mailto:cvkhazanahkatulistiwa@gmail.com" TargetMode="External"/><Relationship Id="rId28" Type="http://schemas.openxmlformats.org/officeDocument/2006/relationships/hyperlink" Target="mailto:cv.adhyastarekapersada@gmail.com" TargetMode="External"/><Relationship Id="rId49" Type="http://schemas.openxmlformats.org/officeDocument/2006/relationships/hyperlink" Target="mailto:purisaptaconsultant@yahoo.com" TargetMode="External"/><Relationship Id="rId114" Type="http://schemas.openxmlformats.org/officeDocument/2006/relationships/hyperlink" Target="mailto:sigmapratamaengineering@gmail.com" TargetMode="External"/><Relationship Id="rId60" Type="http://schemas.openxmlformats.org/officeDocument/2006/relationships/hyperlink" Target="mailto:barokahteknika69@gmail.com" TargetMode="External"/><Relationship Id="rId81" Type="http://schemas.openxmlformats.org/officeDocument/2006/relationships/hyperlink" Target="mailto:parisraya.smrg@gmail.com" TargetMode="External"/><Relationship Id="rId135" Type="http://schemas.openxmlformats.org/officeDocument/2006/relationships/hyperlink" Target="mailto:cv.resko_teknik@yahoo.co.id" TargetMode="External"/><Relationship Id="rId156" Type="http://schemas.openxmlformats.org/officeDocument/2006/relationships/hyperlink" Target="mailto:binarekatamacv@gmail.com" TargetMode="External"/><Relationship Id="rId177" Type="http://schemas.openxmlformats.org/officeDocument/2006/relationships/hyperlink" Target="mailto:CV.BOGOWONTOSAE@GMAIL.com" TargetMode="External"/><Relationship Id="rId198" Type="http://schemas.openxmlformats.org/officeDocument/2006/relationships/hyperlink" Target="mailto:abhinayacaturkarsa@gmail.com" TargetMode="External"/><Relationship Id="rId202" Type="http://schemas.openxmlformats.org/officeDocument/2006/relationships/hyperlink" Target="mailto:pebi.cv@gmail.com" TargetMode="External"/><Relationship Id="rId223" Type="http://schemas.openxmlformats.org/officeDocument/2006/relationships/hyperlink" Target="mailto:admin@ptskalaabadijaya.com" TargetMode="External"/><Relationship Id="rId244" Type="http://schemas.openxmlformats.org/officeDocument/2006/relationships/hyperlink" Target="mailto:winkaryadesain24@gmail.com" TargetMode="External"/><Relationship Id="rId18" Type="http://schemas.openxmlformats.org/officeDocument/2006/relationships/hyperlink" Target="mailto:tatarekaprayautamapt@gmail.com" TargetMode="External"/><Relationship Id="rId39" Type="http://schemas.openxmlformats.org/officeDocument/2006/relationships/hyperlink" Target="mailto:mustikoklopojati@gmail.com" TargetMode="External"/><Relationship Id="rId50" Type="http://schemas.openxmlformats.org/officeDocument/2006/relationships/hyperlink" Target="mailto:skala.teknik@yahoo.com" TargetMode="External"/><Relationship Id="rId104" Type="http://schemas.openxmlformats.org/officeDocument/2006/relationships/hyperlink" Target="mailto:dtm.diponegoro@gmail.com" TargetMode="External"/><Relationship Id="rId125" Type="http://schemas.openxmlformats.org/officeDocument/2006/relationships/hyperlink" Target="mailto:hitakaryajasa@gmail.com" TargetMode="External"/><Relationship Id="rId146" Type="http://schemas.openxmlformats.org/officeDocument/2006/relationships/hyperlink" Target="mailto:cv.setiyabakthi@gmail.com" TargetMode="External"/><Relationship Id="rId167" Type="http://schemas.openxmlformats.org/officeDocument/2006/relationships/hyperlink" Target="mailto:javasfantana@gmail.com" TargetMode="External"/><Relationship Id="rId188" Type="http://schemas.openxmlformats.org/officeDocument/2006/relationships/hyperlink" Target="mailto:ekajayamultiguna@gmail.com" TargetMode="External"/><Relationship Id="rId71" Type="http://schemas.openxmlformats.org/officeDocument/2006/relationships/hyperlink" Target="mailto:graciaadicipta@gmail.com" TargetMode="External"/><Relationship Id="rId92" Type="http://schemas.openxmlformats.org/officeDocument/2006/relationships/hyperlink" Target="mailto:rekamatrakencana@yahoo.co.id" TargetMode="External"/><Relationship Id="rId213" Type="http://schemas.openxmlformats.org/officeDocument/2006/relationships/hyperlink" Target="mailto:oknikaarchitect@gmail.com" TargetMode="External"/><Relationship Id="rId234" Type="http://schemas.openxmlformats.org/officeDocument/2006/relationships/hyperlink" Target="mailto:arstudio.architects13@gmail.com" TargetMode="External"/><Relationship Id="rId2" Type="http://schemas.openxmlformats.org/officeDocument/2006/relationships/hyperlink" Target="mailto:jellung.realtindo@gmail.com" TargetMode="External"/><Relationship Id="rId29" Type="http://schemas.openxmlformats.org/officeDocument/2006/relationships/hyperlink" Target="mailto:bhumiciptakreasi.cv@gmail.com" TargetMode="External"/><Relationship Id="rId255" Type="http://schemas.openxmlformats.org/officeDocument/2006/relationships/hyperlink" Target="mailto:pt.triarthaprajakarya@gmail.com" TargetMode="External"/><Relationship Id="rId40" Type="http://schemas.openxmlformats.org/officeDocument/2006/relationships/hyperlink" Target="mailto:teknika.jaya2020@gmail.com" TargetMode="External"/><Relationship Id="rId115" Type="http://schemas.openxmlformats.org/officeDocument/2006/relationships/hyperlink" Target="mailto:tritamalaksana@gmail.com" TargetMode="External"/><Relationship Id="rId136" Type="http://schemas.openxmlformats.org/officeDocument/2006/relationships/hyperlink" Target="mailto:istakamuda@yahoo.com" TargetMode="External"/><Relationship Id="rId157" Type="http://schemas.openxmlformats.org/officeDocument/2006/relationships/hyperlink" Target="mailto:bromasdamarkauripan@gmail.com" TargetMode="External"/><Relationship Id="rId178" Type="http://schemas.openxmlformats.org/officeDocument/2006/relationships/hyperlink" Target="mailto:blambangan.konsultan@gmail.com" TargetMode="External"/><Relationship Id="rId61" Type="http://schemas.openxmlformats.org/officeDocument/2006/relationships/hyperlink" Target="mailto:citramuda.konsultan@ymail.com" TargetMode="External"/><Relationship Id="rId82" Type="http://schemas.openxmlformats.org/officeDocument/2006/relationships/hyperlink" Target="mailto:cvprismarekatamakonsultan@gmail.com" TargetMode="External"/><Relationship Id="rId199" Type="http://schemas.openxmlformats.org/officeDocument/2006/relationships/hyperlink" Target="mailto:pustakasentradesain.cv@gmail.com" TargetMode="External"/><Relationship Id="rId203" Type="http://schemas.openxmlformats.org/officeDocument/2006/relationships/hyperlink" Target="mailto:undipcitra@gmail.com" TargetMode="External"/><Relationship Id="rId19" Type="http://schemas.openxmlformats.org/officeDocument/2006/relationships/hyperlink" Target="mailto:adhisatya234@gmail.com" TargetMode="External"/><Relationship Id="rId224" Type="http://schemas.openxmlformats.org/officeDocument/2006/relationships/hyperlink" Target="mailto:putrarayaconsultants@gmail.com" TargetMode="External"/><Relationship Id="rId245" Type="http://schemas.openxmlformats.org/officeDocument/2006/relationships/hyperlink" Target="mailto:contact@gfm-consult.com" TargetMode="External"/><Relationship Id="rId30" Type="http://schemas.openxmlformats.org/officeDocument/2006/relationships/hyperlink" Target="mailto:cv.sangkaraarchitect@gmail.com" TargetMode="External"/><Relationship Id="rId105" Type="http://schemas.openxmlformats.org/officeDocument/2006/relationships/hyperlink" Target="mailto:cvkaryaakbarconsultant@gmail.com" TargetMode="External"/><Relationship Id="rId126" Type="http://schemas.openxmlformats.org/officeDocument/2006/relationships/hyperlink" Target="mailto:titiansejahtera86@gmail.com" TargetMode="External"/><Relationship Id="rId147" Type="http://schemas.openxmlformats.org/officeDocument/2006/relationships/hyperlink" Target="mailto:harsagrahaindonesia@gmail.com" TargetMode="External"/><Relationship Id="rId168" Type="http://schemas.openxmlformats.org/officeDocument/2006/relationships/hyperlink" Target="mailto:tunaskonsultan@yahoo.com" TargetMode="External"/><Relationship Id="rId51" Type="http://schemas.openxmlformats.org/officeDocument/2006/relationships/hyperlink" Target="mailto:barapilar20@gmail.com" TargetMode="External"/><Relationship Id="rId72" Type="http://schemas.openxmlformats.org/officeDocument/2006/relationships/hyperlink" Target="mailto:graciawidya1@gmail.com" TargetMode="External"/><Relationship Id="rId93" Type="http://schemas.openxmlformats.org/officeDocument/2006/relationships/hyperlink" Target="mailto:haryonoenko@gmail.com" TargetMode="External"/><Relationship Id="rId189" Type="http://schemas.openxmlformats.org/officeDocument/2006/relationships/hyperlink" Target="mailto:baratanabilapratama@gmail.com" TargetMode="External"/><Relationship Id="rId3" Type="http://schemas.openxmlformats.org/officeDocument/2006/relationships/hyperlink" Target="mailto:kencanamuliakarya2000@gmail.com" TargetMode="External"/><Relationship Id="rId214" Type="http://schemas.openxmlformats.org/officeDocument/2006/relationships/hyperlink" Target="mailto:artatamaciptamandiri@gmail.com" TargetMode="External"/><Relationship Id="rId235" Type="http://schemas.openxmlformats.org/officeDocument/2006/relationships/hyperlink" Target="mailto:mahadicipta24@gmail.com" TargetMode="External"/><Relationship Id="rId256" Type="http://schemas.openxmlformats.org/officeDocument/2006/relationships/hyperlink" Target="mailto:puspahadismg@gmail.com" TargetMode="External"/><Relationship Id="rId116" Type="http://schemas.openxmlformats.org/officeDocument/2006/relationships/hyperlink" Target="mailto:cv.kc.elang@gmail.com" TargetMode="External"/><Relationship Id="rId137" Type="http://schemas.openxmlformats.org/officeDocument/2006/relationships/hyperlink" Target="mailto:javasvedakonsultan@gmail.com" TargetMode="External"/><Relationship Id="rId158" Type="http://schemas.openxmlformats.org/officeDocument/2006/relationships/hyperlink" Target="mailto:ciptaartakreasikons@gmail.com" TargetMode="External"/><Relationship Id="rId20" Type="http://schemas.openxmlformats.org/officeDocument/2006/relationships/hyperlink" Target="mailto:phicos.id@gmail.com" TargetMode="External"/><Relationship Id="rId41" Type="http://schemas.openxmlformats.org/officeDocument/2006/relationships/hyperlink" Target="mailto:carakagrhateknitama2020@gmail.com" TargetMode="External"/><Relationship Id="rId62" Type="http://schemas.openxmlformats.org/officeDocument/2006/relationships/hyperlink" Target="mailto:samudrakaryateknik@gmail.com" TargetMode="External"/><Relationship Id="rId83" Type="http://schemas.openxmlformats.org/officeDocument/2006/relationships/hyperlink" Target="mailto:harisetioskn@gmail.com" TargetMode="External"/><Relationship Id="rId179" Type="http://schemas.openxmlformats.org/officeDocument/2006/relationships/hyperlink" Target="mailto:cv.sinarkonsultanjaya67@gmail.com" TargetMode="External"/><Relationship Id="rId190" Type="http://schemas.openxmlformats.org/officeDocument/2006/relationships/hyperlink" Target="mailto:cvideabagusconsultant@gmail.com" TargetMode="External"/><Relationship Id="rId204" Type="http://schemas.openxmlformats.org/officeDocument/2006/relationships/hyperlink" Target="mailto:hilmyanugerah@yahoo.co.id" TargetMode="External"/><Relationship Id="rId225" Type="http://schemas.openxmlformats.org/officeDocument/2006/relationships/hyperlink" Target="mailto:cvwisanggeniarsitektur@gmail.com" TargetMode="External"/><Relationship Id="rId246" Type="http://schemas.openxmlformats.org/officeDocument/2006/relationships/hyperlink" Target="mailto:greenevirotamapt@gmail.com" TargetMode="External"/><Relationship Id="rId106" Type="http://schemas.openxmlformats.org/officeDocument/2006/relationships/hyperlink" Target="mailto:bayuprakarsaprima@gmail.com" TargetMode="External"/><Relationship Id="rId127" Type="http://schemas.openxmlformats.org/officeDocument/2006/relationships/hyperlink" Target="mailto:multiline.creator@gmail.com" TargetMode="External"/><Relationship Id="rId10" Type="http://schemas.openxmlformats.org/officeDocument/2006/relationships/hyperlink" Target="mailto:duta.primayuda@gmail.com" TargetMode="External"/><Relationship Id="rId31" Type="http://schemas.openxmlformats.org/officeDocument/2006/relationships/hyperlink" Target="mailto:slfkonsultan.smg@gmail.com" TargetMode="External"/><Relationship Id="rId52" Type="http://schemas.openxmlformats.org/officeDocument/2006/relationships/hyperlink" Target="mailto:cita.kreasindo@gmail.com" TargetMode="External"/><Relationship Id="rId73" Type="http://schemas.openxmlformats.org/officeDocument/2006/relationships/hyperlink" Target="mailto:geloracrono2@yahoo.com" TargetMode="External"/><Relationship Id="rId94" Type="http://schemas.openxmlformats.org/officeDocument/2006/relationships/hyperlink" Target="mailto:mitradesign21@gmail.com" TargetMode="External"/><Relationship Id="rId148" Type="http://schemas.openxmlformats.org/officeDocument/2006/relationships/hyperlink" Target="mailto:ptpuriajibuana@gmail.com" TargetMode="External"/><Relationship Id="rId169" Type="http://schemas.openxmlformats.org/officeDocument/2006/relationships/hyperlink" Target="mailto:akarkreasi.pt@gmail.com" TargetMode="External"/><Relationship Id="rId4" Type="http://schemas.openxmlformats.org/officeDocument/2006/relationships/hyperlink" Target="mailto:cvarsitra@gmail.com" TargetMode="External"/><Relationship Id="rId180" Type="http://schemas.openxmlformats.org/officeDocument/2006/relationships/hyperlink" Target="mailto:erinawijayaconsult@gmail.com" TargetMode="External"/><Relationship Id="rId215" Type="http://schemas.openxmlformats.org/officeDocument/2006/relationships/hyperlink" Target="mailto:mahakaryabumipersada@gmail.com" TargetMode="External"/><Relationship Id="rId236" Type="http://schemas.openxmlformats.org/officeDocument/2006/relationships/hyperlink" Target="mailto:perencanajayaindonesia@gmail.com" TargetMode="External"/><Relationship Id="rId257" Type="http://schemas.openxmlformats.org/officeDocument/2006/relationships/hyperlink" Target="mailto:adhigunarikshapratama@gmail.com" TargetMode="External"/><Relationship Id="rId42" Type="http://schemas.openxmlformats.org/officeDocument/2006/relationships/hyperlink" Target="mailto:marsonoabadi12@gmail.com" TargetMode="External"/><Relationship Id="rId84" Type="http://schemas.openxmlformats.org/officeDocument/2006/relationships/hyperlink" Target="mailto:surveypembangunan@gmail.com" TargetMode="External"/><Relationship Id="rId138" Type="http://schemas.openxmlformats.org/officeDocument/2006/relationships/hyperlink" Target="mailto:cv.idealmandiri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cv.senonurutama@gmail.com" TargetMode="External"/><Relationship Id="rId21" Type="http://schemas.openxmlformats.org/officeDocument/2006/relationships/hyperlink" Target="mailto:lais.engineering.indonesia@gmail.com" TargetMode="External"/><Relationship Id="rId63" Type="http://schemas.openxmlformats.org/officeDocument/2006/relationships/hyperlink" Target="mailto:candrakirana.dc@gmail.com" TargetMode="External"/><Relationship Id="rId159" Type="http://schemas.openxmlformats.org/officeDocument/2006/relationships/hyperlink" Target="mailto:cvmajapahit97@gmail.com" TargetMode="External"/><Relationship Id="rId170" Type="http://schemas.openxmlformats.org/officeDocument/2006/relationships/hyperlink" Target="mailto:cvmitrabersamamandiri1@gmail.com" TargetMode="External"/><Relationship Id="rId226" Type="http://schemas.openxmlformats.org/officeDocument/2006/relationships/hyperlink" Target="mailto:ideaciptakreasi@gmail.com" TargetMode="External"/><Relationship Id="rId107" Type="http://schemas.openxmlformats.org/officeDocument/2006/relationships/hyperlink" Target="mailto:arthabc184@gmail.com" TargetMode="External"/><Relationship Id="rId11" Type="http://schemas.openxmlformats.org/officeDocument/2006/relationships/hyperlink" Target="mailto:rekadwipa.studio@gmail.com" TargetMode="External"/><Relationship Id="rId32" Type="http://schemas.openxmlformats.org/officeDocument/2006/relationships/hyperlink" Target="mailto:rafipermatajaya@gmail.com" TargetMode="External"/><Relationship Id="rId53" Type="http://schemas.openxmlformats.org/officeDocument/2006/relationships/hyperlink" Target="mailto:anugerah.jm@yahoo.com" TargetMode="External"/><Relationship Id="rId74" Type="http://schemas.openxmlformats.org/officeDocument/2006/relationships/hyperlink" Target="mailto:subekhan05@gmail.com" TargetMode="External"/><Relationship Id="rId128" Type="http://schemas.openxmlformats.org/officeDocument/2006/relationships/hyperlink" Target="mailto:cvpatriautamapkl@gmail.com" TargetMode="External"/><Relationship Id="rId149" Type="http://schemas.openxmlformats.org/officeDocument/2006/relationships/hyperlink" Target="mailto:cv.galihloka@gmail.com" TargetMode="External"/><Relationship Id="rId5" Type="http://schemas.openxmlformats.org/officeDocument/2006/relationships/hyperlink" Target="mailto:abiseka_nitibuana@yahoo.co.id" TargetMode="External"/><Relationship Id="rId95" Type="http://schemas.openxmlformats.org/officeDocument/2006/relationships/hyperlink" Target="mailto:agasha.kreatif@gmail.com" TargetMode="External"/><Relationship Id="rId160" Type="http://schemas.openxmlformats.org/officeDocument/2006/relationships/hyperlink" Target="mailto:cendanaciptacita@gmail.com" TargetMode="External"/><Relationship Id="rId181" Type="http://schemas.openxmlformats.org/officeDocument/2006/relationships/hyperlink" Target="mailto:konsultanprojo@gmail.com" TargetMode="External"/><Relationship Id="rId216" Type="http://schemas.openxmlformats.org/officeDocument/2006/relationships/hyperlink" Target="mailto:acegeconsultant@gmail.com" TargetMode="External"/><Relationship Id="rId237" Type="http://schemas.openxmlformats.org/officeDocument/2006/relationships/hyperlink" Target="mailto:globalwujudkreasi@gmail.com" TargetMode="External"/><Relationship Id="rId258" Type="http://schemas.openxmlformats.org/officeDocument/2006/relationships/hyperlink" Target="mailto:akasarekasolusi@gmail.com" TargetMode="External"/><Relationship Id="rId22" Type="http://schemas.openxmlformats.org/officeDocument/2006/relationships/hyperlink" Target="mailto:guratrp@gmail.com" TargetMode="External"/><Relationship Id="rId43" Type="http://schemas.openxmlformats.org/officeDocument/2006/relationships/hyperlink" Target="mailto:triganajayakonsultan.cv@gmail.com" TargetMode="External"/><Relationship Id="rId64" Type="http://schemas.openxmlformats.org/officeDocument/2006/relationships/hyperlink" Target="mailto:cvdelima55@gmail.com" TargetMode="External"/><Relationship Id="rId118" Type="http://schemas.openxmlformats.org/officeDocument/2006/relationships/hyperlink" Target="mailto:jazzelindonugraha@gmail.com" TargetMode="External"/><Relationship Id="rId139" Type="http://schemas.openxmlformats.org/officeDocument/2006/relationships/hyperlink" Target="mailto:cv.arjip@yahoo.com" TargetMode="External"/><Relationship Id="rId85" Type="http://schemas.openxmlformats.org/officeDocument/2006/relationships/hyperlink" Target="mailto:suminarjaya8@gmail.com" TargetMode="External"/><Relationship Id="rId150" Type="http://schemas.openxmlformats.org/officeDocument/2006/relationships/hyperlink" Target="mailto:gigapratamapekalongan@gmail.com" TargetMode="External"/><Relationship Id="rId171" Type="http://schemas.openxmlformats.org/officeDocument/2006/relationships/hyperlink" Target="mailto:pakarkita.konsultan@gmail.com" TargetMode="External"/><Relationship Id="rId192" Type="http://schemas.openxmlformats.org/officeDocument/2006/relationships/hyperlink" Target="mailto:cv.sumuragungkendal@gmail.com" TargetMode="External"/><Relationship Id="rId206" Type="http://schemas.openxmlformats.org/officeDocument/2006/relationships/hyperlink" Target="mailto:cvlemahabangengineering@gmail.com" TargetMode="External"/><Relationship Id="rId227" Type="http://schemas.openxmlformats.org/officeDocument/2006/relationships/hyperlink" Target="mailto:wirakaryaabadi.cv@gmail.com" TargetMode="External"/><Relationship Id="rId248" Type="http://schemas.openxmlformats.org/officeDocument/2006/relationships/hyperlink" Target="mailto:pandupolakonsultan@gmail.com" TargetMode="External"/><Relationship Id="rId12" Type="http://schemas.openxmlformats.org/officeDocument/2006/relationships/hyperlink" Target="mailto:vikibalsa@yahoo.com" TargetMode="External"/><Relationship Id="rId33" Type="http://schemas.openxmlformats.org/officeDocument/2006/relationships/hyperlink" Target="mailto:radius4rc@gmail.com" TargetMode="External"/><Relationship Id="rId108" Type="http://schemas.openxmlformats.org/officeDocument/2006/relationships/hyperlink" Target="mailto:cv.aditkarya2018@gmail.com" TargetMode="External"/><Relationship Id="rId129" Type="http://schemas.openxmlformats.org/officeDocument/2006/relationships/hyperlink" Target="mailto:megajasaconsultant@gmail.com" TargetMode="External"/><Relationship Id="rId54" Type="http://schemas.openxmlformats.org/officeDocument/2006/relationships/hyperlink" Target="mailto:agoralegalitas@gmail.com" TargetMode="External"/><Relationship Id="rId75" Type="http://schemas.openxmlformats.org/officeDocument/2006/relationships/hyperlink" Target="mailto:dutacitraoss@gmail.com" TargetMode="External"/><Relationship Id="rId96" Type="http://schemas.openxmlformats.org/officeDocument/2006/relationships/hyperlink" Target="mailto:tectonicarch.rbg@gmail.com" TargetMode="External"/><Relationship Id="rId140" Type="http://schemas.openxmlformats.org/officeDocument/2006/relationships/hyperlink" Target="mailto:ciptamawakreasi@gmail.com" TargetMode="External"/><Relationship Id="rId161" Type="http://schemas.openxmlformats.org/officeDocument/2006/relationships/hyperlink" Target="mailto:rekayasamitramuda@gmail.com" TargetMode="External"/><Relationship Id="rId182" Type="http://schemas.openxmlformats.org/officeDocument/2006/relationships/hyperlink" Target="mailto:unggulsentosajaya1@gmail.com" TargetMode="External"/><Relationship Id="rId217" Type="http://schemas.openxmlformats.org/officeDocument/2006/relationships/hyperlink" Target="mailto:benoitestrategic@gmail.com" TargetMode="External"/><Relationship Id="rId6" Type="http://schemas.openxmlformats.org/officeDocument/2006/relationships/hyperlink" Target="mailto:cvtrisaktiarsitek@gmail.com" TargetMode="External"/><Relationship Id="rId238" Type="http://schemas.openxmlformats.org/officeDocument/2006/relationships/hyperlink" Target="mailto:ptmegantarakonsultan@gmail.com" TargetMode="External"/><Relationship Id="rId259" Type="http://schemas.openxmlformats.org/officeDocument/2006/relationships/hyperlink" Target="mailto:dipodharmapersada@gmail.com" TargetMode="External"/><Relationship Id="rId23" Type="http://schemas.openxmlformats.org/officeDocument/2006/relationships/hyperlink" Target="mailto:bimakaryamandiri64@gmail.com" TargetMode="External"/><Relationship Id="rId119" Type="http://schemas.openxmlformats.org/officeDocument/2006/relationships/hyperlink" Target="mailto:rancang.cipta.global@gmail.com" TargetMode="External"/><Relationship Id="rId44" Type="http://schemas.openxmlformats.org/officeDocument/2006/relationships/hyperlink" Target="mailto:artiyaprimasejahtera.cv@gmail.com" TargetMode="External"/><Relationship Id="rId65" Type="http://schemas.openxmlformats.org/officeDocument/2006/relationships/hyperlink" Target="mailto:iqbalkurniawan195@gmail.com" TargetMode="External"/><Relationship Id="rId86" Type="http://schemas.openxmlformats.org/officeDocument/2006/relationships/hyperlink" Target="mailto:endrotrias@gmail.com" TargetMode="External"/><Relationship Id="rId130" Type="http://schemas.openxmlformats.org/officeDocument/2006/relationships/hyperlink" Target="mailto:cv.dharmaconsultant@gmail.com" TargetMode="External"/><Relationship Id="rId151" Type="http://schemas.openxmlformats.org/officeDocument/2006/relationships/hyperlink" Target="mailto:sabakonstruksi@gmail.com" TargetMode="External"/><Relationship Id="rId172" Type="http://schemas.openxmlformats.org/officeDocument/2006/relationships/hyperlink" Target="mailto:xynerva.pratama.consultant@gmail.com" TargetMode="External"/><Relationship Id="rId193" Type="http://schemas.openxmlformats.org/officeDocument/2006/relationships/hyperlink" Target="mailto:gnakonsultan.lpse@gmail.com" TargetMode="External"/><Relationship Id="rId207" Type="http://schemas.openxmlformats.org/officeDocument/2006/relationships/hyperlink" Target="mailto:project.apconsultant@gmail.com" TargetMode="External"/><Relationship Id="rId228" Type="http://schemas.openxmlformats.org/officeDocument/2006/relationships/hyperlink" Target="mailto:teamDTS19@gmail.com" TargetMode="External"/><Relationship Id="rId249" Type="http://schemas.openxmlformats.org/officeDocument/2006/relationships/hyperlink" Target="mailto:hastakaryaprajapathi@gmail.com" TargetMode="External"/><Relationship Id="rId13" Type="http://schemas.openxmlformats.org/officeDocument/2006/relationships/hyperlink" Target="mailto:3pusakadisain@gmail.com" TargetMode="External"/><Relationship Id="rId109" Type="http://schemas.openxmlformats.org/officeDocument/2006/relationships/hyperlink" Target="mailto:krida.ganesha@gmail.com" TargetMode="External"/><Relationship Id="rId260" Type="http://schemas.openxmlformats.org/officeDocument/2006/relationships/hyperlink" Target="mailto:cvkonsultanbangunperkasa@gmail.com" TargetMode="External"/><Relationship Id="rId34" Type="http://schemas.openxmlformats.org/officeDocument/2006/relationships/hyperlink" Target="mailto:cvnirmana20@gmail.com" TargetMode="External"/><Relationship Id="rId55" Type="http://schemas.openxmlformats.org/officeDocument/2006/relationships/hyperlink" Target="mailto:admptaretaswicaksana@gmail.com" TargetMode="External"/><Relationship Id="rId76" Type="http://schemas.openxmlformats.org/officeDocument/2006/relationships/hyperlink" Target="mailto:javagroup.indonesia@gmail.com" TargetMode="External"/><Relationship Id="rId97" Type="http://schemas.openxmlformats.org/officeDocument/2006/relationships/hyperlink" Target="mailto:suparno0912@gmail.com" TargetMode="External"/><Relationship Id="rId120" Type="http://schemas.openxmlformats.org/officeDocument/2006/relationships/hyperlink" Target="mailto:ptpancangmas@gmail.com" TargetMode="External"/><Relationship Id="rId141" Type="http://schemas.openxmlformats.org/officeDocument/2006/relationships/hyperlink" Target="mailto:raihanconsultant@gmail.com" TargetMode="External"/><Relationship Id="rId7" Type="http://schemas.openxmlformats.org/officeDocument/2006/relationships/hyperlink" Target="mailto:cvmangunajibdesign@yahoo.com" TargetMode="External"/><Relationship Id="rId162" Type="http://schemas.openxmlformats.org/officeDocument/2006/relationships/hyperlink" Target="mailto:mitradataabadisolo@gmail.com" TargetMode="External"/><Relationship Id="rId183" Type="http://schemas.openxmlformats.org/officeDocument/2006/relationships/hyperlink" Target="mailto:manunggalingkarsaabadi22@gmail.com" TargetMode="External"/><Relationship Id="rId218" Type="http://schemas.openxmlformats.org/officeDocument/2006/relationships/hyperlink" Target="mailto:ptwegandasricahya@gmail.com" TargetMode="External"/><Relationship Id="rId239" Type="http://schemas.openxmlformats.org/officeDocument/2006/relationships/hyperlink" Target="mailto:cvlunaris@gmail.com" TargetMode="External"/><Relationship Id="rId250" Type="http://schemas.openxmlformats.org/officeDocument/2006/relationships/hyperlink" Target="mailto:ptslf.id@gmail.com" TargetMode="External"/><Relationship Id="rId24" Type="http://schemas.openxmlformats.org/officeDocument/2006/relationships/hyperlink" Target="mailto:desaincitra@gmail.com" TargetMode="External"/><Relationship Id="rId45" Type="http://schemas.openxmlformats.org/officeDocument/2006/relationships/hyperlink" Target="mailto:citrayasadesain@gmail.com" TargetMode="External"/><Relationship Id="rId66" Type="http://schemas.openxmlformats.org/officeDocument/2006/relationships/hyperlink" Target="mailto:cvdutaoss@gmail.com" TargetMode="External"/><Relationship Id="rId87" Type="http://schemas.openxmlformats.org/officeDocument/2006/relationships/hyperlink" Target="mailto:admcvtemadea@gmail.com" TargetMode="External"/><Relationship Id="rId110" Type="http://schemas.openxmlformats.org/officeDocument/2006/relationships/hyperlink" Target="mailto:djawakaryakonsultan@yahoo.co.id" TargetMode="External"/><Relationship Id="rId131" Type="http://schemas.openxmlformats.org/officeDocument/2006/relationships/hyperlink" Target="mailto:cv.muktiganesha@gmail.com" TargetMode="External"/><Relationship Id="rId152" Type="http://schemas.openxmlformats.org/officeDocument/2006/relationships/hyperlink" Target="mailto:ptihsanginanjarkonsultan@gmail.com" TargetMode="External"/><Relationship Id="rId173" Type="http://schemas.openxmlformats.org/officeDocument/2006/relationships/hyperlink" Target="mailto:biaas.solusindo@gmail.com" TargetMode="External"/><Relationship Id="rId194" Type="http://schemas.openxmlformats.org/officeDocument/2006/relationships/hyperlink" Target="mailto:cv.kreasindomudamandiri@gmail.com" TargetMode="External"/><Relationship Id="rId208" Type="http://schemas.openxmlformats.org/officeDocument/2006/relationships/hyperlink" Target="mailto:cv.bahuwirya.nu2023@gmail.com" TargetMode="External"/><Relationship Id="rId229" Type="http://schemas.openxmlformats.org/officeDocument/2006/relationships/hyperlink" Target="mailto:cv.bangunperkasakonsultan@gmail.com" TargetMode="External"/><Relationship Id="rId240" Type="http://schemas.openxmlformats.org/officeDocument/2006/relationships/hyperlink" Target="mailto:pt.dk.rancangpersada@gmail.com" TargetMode="External"/><Relationship Id="rId261" Type="http://schemas.openxmlformats.org/officeDocument/2006/relationships/hyperlink" Target="mailto:ptnexusconsultant@gmail.com" TargetMode="External"/><Relationship Id="rId14" Type="http://schemas.openxmlformats.org/officeDocument/2006/relationships/hyperlink" Target="mailto:energi3.elektrindo@gmail.com" TargetMode="External"/><Relationship Id="rId35" Type="http://schemas.openxmlformats.org/officeDocument/2006/relationships/hyperlink" Target="mailto:citraasridesain.pt@gmail.com" TargetMode="External"/><Relationship Id="rId56" Type="http://schemas.openxmlformats.org/officeDocument/2006/relationships/hyperlink" Target="mailto:archdesignconsultant.rbg@gmail.com" TargetMode="External"/><Relationship Id="rId77" Type="http://schemas.openxmlformats.org/officeDocument/2006/relationships/hyperlink" Target="mailto:oksandhika@yahoo.co.id" TargetMode="External"/><Relationship Id="rId100" Type="http://schemas.openxmlformats.org/officeDocument/2006/relationships/hyperlink" Target="mailto:sucrotechfinance@yahoo.com" TargetMode="External"/><Relationship Id="rId8" Type="http://schemas.openxmlformats.org/officeDocument/2006/relationships/hyperlink" Target="mailto:jasautama@yahoo.co.id" TargetMode="External"/><Relationship Id="rId98" Type="http://schemas.openxmlformats.org/officeDocument/2006/relationships/hyperlink" Target="mailto:van.pt.vts@gmail.com" TargetMode="External"/><Relationship Id="rId121" Type="http://schemas.openxmlformats.org/officeDocument/2006/relationships/hyperlink" Target="mailto:karyaenjiniring@gmail.com" TargetMode="External"/><Relationship Id="rId142" Type="http://schemas.openxmlformats.org/officeDocument/2006/relationships/hyperlink" Target="mailto:citrakalpatarucv80@gmail.com" TargetMode="External"/><Relationship Id="rId163" Type="http://schemas.openxmlformats.org/officeDocument/2006/relationships/hyperlink" Target="mailto:info@krida-karya.co.id" TargetMode="External"/><Relationship Id="rId184" Type="http://schemas.openxmlformats.org/officeDocument/2006/relationships/hyperlink" Target="mailto:gracia.naturindo@gmail.com" TargetMode="External"/><Relationship Id="rId219" Type="http://schemas.openxmlformats.org/officeDocument/2006/relationships/hyperlink" Target="mailto:gafamediakonsultan@gmail.com" TargetMode="External"/><Relationship Id="rId230" Type="http://schemas.openxmlformats.org/officeDocument/2006/relationships/hyperlink" Target="mailto:pberdikari98@gmail.com" TargetMode="External"/><Relationship Id="rId251" Type="http://schemas.openxmlformats.org/officeDocument/2006/relationships/hyperlink" Target="mailto:pentahelixkolaborasi@gmail.com" TargetMode="External"/><Relationship Id="rId25" Type="http://schemas.openxmlformats.org/officeDocument/2006/relationships/hyperlink" Target="mailto:cv.designengineering@gmail.com" TargetMode="External"/><Relationship Id="rId46" Type="http://schemas.openxmlformats.org/officeDocument/2006/relationships/hyperlink" Target="mailto:natawinasis@gmail.com" TargetMode="External"/><Relationship Id="rId67" Type="http://schemas.openxmlformats.org/officeDocument/2006/relationships/hyperlink" Target="mailto:ediyasa03@gmail.com" TargetMode="External"/><Relationship Id="rId88" Type="http://schemas.openxmlformats.org/officeDocument/2006/relationships/hyperlink" Target="mailto:tcitragunadesain@gmail.com" TargetMode="External"/><Relationship Id="rId111" Type="http://schemas.openxmlformats.org/officeDocument/2006/relationships/hyperlink" Target="mailto:lintaspembangunan.idn@gmail.com" TargetMode="External"/><Relationship Id="rId132" Type="http://schemas.openxmlformats.org/officeDocument/2006/relationships/hyperlink" Target="mailto:bengawantjipta@gmail.com" TargetMode="External"/><Relationship Id="rId153" Type="http://schemas.openxmlformats.org/officeDocument/2006/relationships/hyperlink" Target="mailto:slawikonsultan@gmail.com" TargetMode="External"/><Relationship Id="rId174" Type="http://schemas.openxmlformats.org/officeDocument/2006/relationships/hyperlink" Target="mailto:sondarekayasa2016@gmail.com" TargetMode="External"/><Relationship Id="rId195" Type="http://schemas.openxmlformats.org/officeDocument/2006/relationships/hyperlink" Target="mailto:ptfasakaryahutama@gmail.com" TargetMode="External"/><Relationship Id="rId209" Type="http://schemas.openxmlformats.org/officeDocument/2006/relationships/hyperlink" Target="mailto:arhengineering92@gmail.com" TargetMode="External"/><Relationship Id="rId220" Type="http://schemas.openxmlformats.org/officeDocument/2006/relationships/hyperlink" Target="mailto:cv.dutateknikkonsultan@gmail.com" TargetMode="External"/><Relationship Id="rId241" Type="http://schemas.openxmlformats.org/officeDocument/2006/relationships/hyperlink" Target="mailto:risanngremboko@gmail.com" TargetMode="External"/><Relationship Id="rId15" Type="http://schemas.openxmlformats.org/officeDocument/2006/relationships/hyperlink" Target="mailto:ptindotama@yahoo.co.id" TargetMode="External"/><Relationship Id="rId36" Type="http://schemas.openxmlformats.org/officeDocument/2006/relationships/hyperlink" Target="mailto:pt.gatra@gmail.com" TargetMode="External"/><Relationship Id="rId57" Type="http://schemas.openxmlformats.org/officeDocument/2006/relationships/hyperlink" Target="mailto:andalanconsultant@yahoo.co.id" TargetMode="External"/><Relationship Id="rId262" Type="http://schemas.openxmlformats.org/officeDocument/2006/relationships/hyperlink" Target="mailto:cvganendraascarya@gmail.com" TargetMode="External"/><Relationship Id="rId78" Type="http://schemas.openxmlformats.org/officeDocument/2006/relationships/hyperlink" Target="mailto:steger8370@gmail.com" TargetMode="External"/><Relationship Id="rId99" Type="http://schemas.openxmlformats.org/officeDocument/2006/relationships/hyperlink" Target="mailto:cv.mahakarya16@gmail.com" TargetMode="External"/><Relationship Id="rId101" Type="http://schemas.openxmlformats.org/officeDocument/2006/relationships/hyperlink" Target="mailto:mirazhcons@gmail.com" TargetMode="External"/><Relationship Id="rId122" Type="http://schemas.openxmlformats.org/officeDocument/2006/relationships/hyperlink" Target="mailto:citrapatabangunpersada@gmail.com" TargetMode="External"/><Relationship Id="rId143" Type="http://schemas.openxmlformats.org/officeDocument/2006/relationships/hyperlink" Target="mailto:integrita_cv@yahoo.com" TargetMode="External"/><Relationship Id="rId164" Type="http://schemas.openxmlformats.org/officeDocument/2006/relationships/hyperlink" Target="mailto:adhyastharekayasadesain@gmail.com" TargetMode="External"/><Relationship Id="rId185" Type="http://schemas.openxmlformats.org/officeDocument/2006/relationships/hyperlink" Target="mailto:jatiutama15@gmail.com" TargetMode="External"/><Relationship Id="rId9" Type="http://schemas.openxmlformats.org/officeDocument/2006/relationships/hyperlink" Target="mailto:cvmutiarakonsultant@gmail.com" TargetMode="External"/><Relationship Id="rId210" Type="http://schemas.openxmlformats.org/officeDocument/2006/relationships/hyperlink" Target="mailto:abiyyukaryakonsultan.pt@gmail.com" TargetMode="External"/><Relationship Id="rId26" Type="http://schemas.openxmlformats.org/officeDocument/2006/relationships/hyperlink" Target="mailto:hrv.planner@yahoo.com" TargetMode="External"/><Relationship Id="rId231" Type="http://schemas.openxmlformats.org/officeDocument/2006/relationships/hyperlink" Target="mailto:lina.consultant8010@gmail.com" TargetMode="External"/><Relationship Id="rId252" Type="http://schemas.openxmlformats.org/officeDocument/2006/relationships/hyperlink" Target="mailto:koopillar.td@gmail.com" TargetMode="External"/><Relationship Id="rId47" Type="http://schemas.openxmlformats.org/officeDocument/2006/relationships/hyperlink" Target="mailto:sasmita.murakabi@gmail.com" TargetMode="External"/><Relationship Id="rId68" Type="http://schemas.openxmlformats.org/officeDocument/2006/relationships/hyperlink" Target="mailto:gunatataperkasa@gmail.com" TargetMode="External"/><Relationship Id="rId89" Type="http://schemas.openxmlformats.org/officeDocument/2006/relationships/hyperlink" Target="mailto:v_sarwahita@yahoo.co.id" TargetMode="External"/><Relationship Id="rId112" Type="http://schemas.openxmlformats.org/officeDocument/2006/relationships/hyperlink" Target="mailto:harsayakarya@gmail.com" TargetMode="External"/><Relationship Id="rId133" Type="http://schemas.openxmlformats.org/officeDocument/2006/relationships/hyperlink" Target="mailto:tunggulmajapahitsejahtera@gmail.com" TargetMode="External"/><Relationship Id="rId154" Type="http://schemas.openxmlformats.org/officeDocument/2006/relationships/hyperlink" Target="mailto:heriyanto.1463@gmail.com" TargetMode="External"/><Relationship Id="rId175" Type="http://schemas.openxmlformats.org/officeDocument/2006/relationships/hyperlink" Target="mailto:pt.permadanikhatulistiwa01@gmail.com" TargetMode="External"/><Relationship Id="rId196" Type="http://schemas.openxmlformats.org/officeDocument/2006/relationships/hyperlink" Target="mailto:mahna.he.al.abadah@gmail.com" TargetMode="External"/><Relationship Id="rId200" Type="http://schemas.openxmlformats.org/officeDocument/2006/relationships/hyperlink" Target="mailto:ptpurifikasi@gmail.com" TargetMode="External"/><Relationship Id="rId16" Type="http://schemas.openxmlformats.org/officeDocument/2006/relationships/hyperlink" Target="mailto:contact@gwadestek.com" TargetMode="External"/><Relationship Id="rId221" Type="http://schemas.openxmlformats.org/officeDocument/2006/relationships/hyperlink" Target="mailto:design.by.smartlab@gmail.com" TargetMode="External"/><Relationship Id="rId242" Type="http://schemas.openxmlformats.org/officeDocument/2006/relationships/hyperlink" Target="mailto:multigraha.cons@gmail.com" TargetMode="External"/><Relationship Id="rId263" Type="http://schemas.openxmlformats.org/officeDocument/2006/relationships/hyperlink" Target="mailto:ambara18225@gmail.com" TargetMode="External"/><Relationship Id="rId37" Type="http://schemas.openxmlformats.org/officeDocument/2006/relationships/hyperlink" Target="mailto:salcocv.konsultan@gmail.com" TargetMode="External"/><Relationship Id="rId58" Type="http://schemas.openxmlformats.org/officeDocument/2006/relationships/hyperlink" Target="mailto:cvbarunajaya.tmg@gmail.com" TargetMode="External"/><Relationship Id="rId79" Type="http://schemas.openxmlformats.org/officeDocument/2006/relationships/hyperlink" Target="mailto:mgl.mktoni@gmail.com" TargetMode="External"/><Relationship Id="rId102" Type="http://schemas.openxmlformats.org/officeDocument/2006/relationships/hyperlink" Target="mailto:ptesensinara@gmail.com" TargetMode="External"/><Relationship Id="rId123" Type="http://schemas.openxmlformats.org/officeDocument/2006/relationships/hyperlink" Target="mailto:suryanuskonsultan@gmail.com" TargetMode="External"/><Relationship Id="rId144" Type="http://schemas.openxmlformats.org/officeDocument/2006/relationships/hyperlink" Target="mailto:cvinovatifseketsa@gmail.com" TargetMode="External"/><Relationship Id="rId90" Type="http://schemas.openxmlformats.org/officeDocument/2006/relationships/hyperlink" Target="mailto:ptwastuwidyawan@gmail.com" TargetMode="External"/><Relationship Id="rId165" Type="http://schemas.openxmlformats.org/officeDocument/2006/relationships/hyperlink" Target="mailto:cv.gagasrancangpersada@gmail.com" TargetMode="External"/><Relationship Id="rId186" Type="http://schemas.openxmlformats.org/officeDocument/2006/relationships/hyperlink" Target="mailto:intiglobal.net@gmail.com" TargetMode="External"/><Relationship Id="rId211" Type="http://schemas.openxmlformats.org/officeDocument/2006/relationships/hyperlink" Target="mailto:abekaryakebumen@gmail.com" TargetMode="External"/><Relationship Id="rId232" Type="http://schemas.openxmlformats.org/officeDocument/2006/relationships/hyperlink" Target="mailto:drekapuri@yahoo.com" TargetMode="External"/><Relationship Id="rId253" Type="http://schemas.openxmlformats.org/officeDocument/2006/relationships/hyperlink" Target="mailto:cvkhazanahkatulistiwa@gmail.com" TargetMode="External"/><Relationship Id="rId27" Type="http://schemas.openxmlformats.org/officeDocument/2006/relationships/hyperlink" Target="mailto:azrina.jaya.konsultan@gmail.com" TargetMode="External"/><Relationship Id="rId48" Type="http://schemas.openxmlformats.org/officeDocument/2006/relationships/hyperlink" Target="mailto:shirvanoconsulting@gmail.com" TargetMode="External"/><Relationship Id="rId69" Type="http://schemas.openxmlformats.org/officeDocument/2006/relationships/hyperlink" Target="mailto:gmtmandiritunggal2@gmail.com" TargetMode="External"/><Relationship Id="rId113" Type="http://schemas.openxmlformats.org/officeDocument/2006/relationships/hyperlink" Target="mailto:cahayakaryaengineering@gmail.com" TargetMode="External"/><Relationship Id="rId134" Type="http://schemas.openxmlformats.org/officeDocument/2006/relationships/hyperlink" Target="mailto:irsyadkurniadesign@gmail.com" TargetMode="External"/><Relationship Id="rId80" Type="http://schemas.openxmlformats.org/officeDocument/2006/relationships/hyperlink" Target="mailto:medisain.konsultan@gmail.com" TargetMode="External"/><Relationship Id="rId155" Type="http://schemas.openxmlformats.org/officeDocument/2006/relationships/hyperlink" Target="mailto:arthagemilang08@gmail.com" TargetMode="External"/><Relationship Id="rId176" Type="http://schemas.openxmlformats.org/officeDocument/2006/relationships/hyperlink" Target="mailto:adyatma.consultant@gmail.com" TargetMode="External"/><Relationship Id="rId197" Type="http://schemas.openxmlformats.org/officeDocument/2006/relationships/hyperlink" Target="mailto:intankautama@gmail.com" TargetMode="External"/><Relationship Id="rId201" Type="http://schemas.openxmlformats.org/officeDocument/2006/relationships/hyperlink" Target="mailto:pratamajayareka.office@gmail.com" TargetMode="External"/><Relationship Id="rId222" Type="http://schemas.openxmlformats.org/officeDocument/2006/relationships/hyperlink" Target="mailto:admin@ptskalaabadijaya.com" TargetMode="External"/><Relationship Id="rId243" Type="http://schemas.openxmlformats.org/officeDocument/2006/relationships/hyperlink" Target="mailto:winkaryadesain24@gmail.com" TargetMode="External"/><Relationship Id="rId264" Type="http://schemas.openxmlformats.org/officeDocument/2006/relationships/hyperlink" Target="mailto:kjjpsihwiryadi@gmail.com" TargetMode="External"/><Relationship Id="rId17" Type="http://schemas.openxmlformats.org/officeDocument/2006/relationships/hyperlink" Target="mailto:trihastasejahtera@gmail.com" TargetMode="External"/><Relationship Id="rId38" Type="http://schemas.openxmlformats.org/officeDocument/2006/relationships/hyperlink" Target="mailto:pt.jbkons@gmail.com" TargetMode="External"/><Relationship Id="rId59" Type="http://schemas.openxmlformats.org/officeDocument/2006/relationships/hyperlink" Target="mailto:borobudurec1@gmail.com" TargetMode="External"/><Relationship Id="rId103" Type="http://schemas.openxmlformats.org/officeDocument/2006/relationships/hyperlink" Target="mailto:fikriya.consultant@gmail.com" TargetMode="External"/><Relationship Id="rId124" Type="http://schemas.openxmlformats.org/officeDocument/2006/relationships/hyperlink" Target="mailto:cv.bismat@gmail.com" TargetMode="External"/><Relationship Id="rId70" Type="http://schemas.openxmlformats.org/officeDocument/2006/relationships/hyperlink" Target="mailto:geosaranaguna@gmail.com" TargetMode="External"/><Relationship Id="rId91" Type="http://schemas.openxmlformats.org/officeDocument/2006/relationships/hyperlink" Target="mailto:yoka.pajak@gmail.com" TargetMode="External"/><Relationship Id="rId145" Type="http://schemas.openxmlformats.org/officeDocument/2006/relationships/hyperlink" Target="mailto:griyaputrakonsultama@gmail.com" TargetMode="External"/><Relationship Id="rId166" Type="http://schemas.openxmlformats.org/officeDocument/2006/relationships/hyperlink" Target="mailto:pt.sangklatmataspratomo@gmail.com" TargetMode="External"/><Relationship Id="rId187" Type="http://schemas.openxmlformats.org/officeDocument/2006/relationships/hyperlink" Target="mailto:pilartritamakonsultan@yahoo.co.id" TargetMode="External"/><Relationship Id="rId1" Type="http://schemas.openxmlformats.org/officeDocument/2006/relationships/hyperlink" Target="mailto:fina.kusnadi@gmail.com" TargetMode="External"/><Relationship Id="rId212" Type="http://schemas.openxmlformats.org/officeDocument/2006/relationships/hyperlink" Target="mailto:oknikaarchitect@gmail.com" TargetMode="External"/><Relationship Id="rId233" Type="http://schemas.openxmlformats.org/officeDocument/2006/relationships/hyperlink" Target="mailto:arstudio.architects13@gmail.com" TargetMode="External"/><Relationship Id="rId254" Type="http://schemas.openxmlformats.org/officeDocument/2006/relationships/hyperlink" Target="mailto:pt.triarthaprajakarya@gmail.com" TargetMode="External"/><Relationship Id="rId28" Type="http://schemas.openxmlformats.org/officeDocument/2006/relationships/hyperlink" Target="mailto:cv.adhyastarekapersada@gmail.com" TargetMode="External"/><Relationship Id="rId49" Type="http://schemas.openxmlformats.org/officeDocument/2006/relationships/hyperlink" Target="mailto:purisaptaconsultant@yahoo.com" TargetMode="External"/><Relationship Id="rId114" Type="http://schemas.openxmlformats.org/officeDocument/2006/relationships/hyperlink" Target="mailto:sigmapratamaengineering@gmail.com" TargetMode="External"/><Relationship Id="rId60" Type="http://schemas.openxmlformats.org/officeDocument/2006/relationships/hyperlink" Target="mailto:barokahteknika69@gmail.com" TargetMode="External"/><Relationship Id="rId81" Type="http://schemas.openxmlformats.org/officeDocument/2006/relationships/hyperlink" Target="mailto:parisraya.smrg@gmail.com" TargetMode="External"/><Relationship Id="rId135" Type="http://schemas.openxmlformats.org/officeDocument/2006/relationships/hyperlink" Target="mailto:cv.resko_teknik@yahoo.co.id" TargetMode="External"/><Relationship Id="rId156" Type="http://schemas.openxmlformats.org/officeDocument/2006/relationships/hyperlink" Target="mailto:binarekatamacv@gmail.com" TargetMode="External"/><Relationship Id="rId177" Type="http://schemas.openxmlformats.org/officeDocument/2006/relationships/hyperlink" Target="mailto:CV.BOGOWONTOSAE@GMAIL.com" TargetMode="External"/><Relationship Id="rId198" Type="http://schemas.openxmlformats.org/officeDocument/2006/relationships/hyperlink" Target="mailto:abhinayacaturkarsa@gmail.com" TargetMode="External"/><Relationship Id="rId202" Type="http://schemas.openxmlformats.org/officeDocument/2006/relationships/hyperlink" Target="mailto:pebi.cv@gmail.com" TargetMode="External"/><Relationship Id="rId223" Type="http://schemas.openxmlformats.org/officeDocument/2006/relationships/hyperlink" Target="mailto:putrarayaconsultants@gmail.com" TargetMode="External"/><Relationship Id="rId244" Type="http://schemas.openxmlformats.org/officeDocument/2006/relationships/hyperlink" Target="mailto:contact@gfm-consult.com" TargetMode="External"/><Relationship Id="rId18" Type="http://schemas.openxmlformats.org/officeDocument/2006/relationships/hyperlink" Target="mailto:tatarekaprayautamapt@gmail.com" TargetMode="External"/><Relationship Id="rId39" Type="http://schemas.openxmlformats.org/officeDocument/2006/relationships/hyperlink" Target="mailto:mustikoklopojati@gmail.com" TargetMode="External"/><Relationship Id="rId265" Type="http://schemas.openxmlformats.org/officeDocument/2006/relationships/drawing" Target="../drawings/drawing4.xml"/><Relationship Id="rId50" Type="http://schemas.openxmlformats.org/officeDocument/2006/relationships/hyperlink" Target="mailto:skala.teknik@yahoo.com" TargetMode="External"/><Relationship Id="rId104" Type="http://schemas.openxmlformats.org/officeDocument/2006/relationships/hyperlink" Target="mailto:dtm.diponegoro@gmail.com" TargetMode="External"/><Relationship Id="rId125" Type="http://schemas.openxmlformats.org/officeDocument/2006/relationships/hyperlink" Target="mailto:hitakaryajasa@gmail.com" TargetMode="External"/><Relationship Id="rId146" Type="http://schemas.openxmlformats.org/officeDocument/2006/relationships/hyperlink" Target="mailto:cv.setiyabakthi@gmail.com" TargetMode="External"/><Relationship Id="rId167" Type="http://schemas.openxmlformats.org/officeDocument/2006/relationships/hyperlink" Target="mailto:javasfantana@gmail.com" TargetMode="External"/><Relationship Id="rId188" Type="http://schemas.openxmlformats.org/officeDocument/2006/relationships/hyperlink" Target="mailto:ekajayamultiguna@gmail.com" TargetMode="External"/><Relationship Id="rId71" Type="http://schemas.openxmlformats.org/officeDocument/2006/relationships/hyperlink" Target="mailto:graciaadicipta@gmail.com" TargetMode="External"/><Relationship Id="rId92" Type="http://schemas.openxmlformats.org/officeDocument/2006/relationships/hyperlink" Target="mailto:rekamatrakencana@yahoo.co.id" TargetMode="External"/><Relationship Id="rId213" Type="http://schemas.openxmlformats.org/officeDocument/2006/relationships/hyperlink" Target="mailto:artatamaciptamandiri@gmail.com" TargetMode="External"/><Relationship Id="rId234" Type="http://schemas.openxmlformats.org/officeDocument/2006/relationships/hyperlink" Target="mailto:mahadicipta24@gmail.com" TargetMode="External"/><Relationship Id="rId2" Type="http://schemas.openxmlformats.org/officeDocument/2006/relationships/hyperlink" Target="mailto:jellung.realtindo@gmail.com" TargetMode="External"/><Relationship Id="rId29" Type="http://schemas.openxmlformats.org/officeDocument/2006/relationships/hyperlink" Target="mailto:bhumiciptakreasi.cv@gmail.com" TargetMode="External"/><Relationship Id="rId255" Type="http://schemas.openxmlformats.org/officeDocument/2006/relationships/hyperlink" Target="mailto:puspahadismg@gmail.com" TargetMode="External"/><Relationship Id="rId40" Type="http://schemas.openxmlformats.org/officeDocument/2006/relationships/hyperlink" Target="mailto:teknika.jaya2020@gmail.com" TargetMode="External"/><Relationship Id="rId115" Type="http://schemas.openxmlformats.org/officeDocument/2006/relationships/hyperlink" Target="mailto:tritamalaksana@gmail.com" TargetMode="External"/><Relationship Id="rId136" Type="http://schemas.openxmlformats.org/officeDocument/2006/relationships/hyperlink" Target="mailto:istakamuda@yahoo.com" TargetMode="External"/><Relationship Id="rId157" Type="http://schemas.openxmlformats.org/officeDocument/2006/relationships/hyperlink" Target="mailto:bromasdamarkauripan@gmail.com" TargetMode="External"/><Relationship Id="rId178" Type="http://schemas.openxmlformats.org/officeDocument/2006/relationships/hyperlink" Target="mailto:blambangan.konsultan@gmail.com" TargetMode="External"/><Relationship Id="rId61" Type="http://schemas.openxmlformats.org/officeDocument/2006/relationships/hyperlink" Target="mailto:citramuda.konsultan@ymail.com" TargetMode="External"/><Relationship Id="rId82" Type="http://schemas.openxmlformats.org/officeDocument/2006/relationships/hyperlink" Target="mailto:cvprismarekatamakonsultan@gmail.com" TargetMode="External"/><Relationship Id="rId199" Type="http://schemas.openxmlformats.org/officeDocument/2006/relationships/hyperlink" Target="mailto:pustakasentradesain.cv@gmail.com" TargetMode="External"/><Relationship Id="rId203" Type="http://schemas.openxmlformats.org/officeDocument/2006/relationships/hyperlink" Target="mailto:undipcitra@gmail.com" TargetMode="External"/><Relationship Id="rId19" Type="http://schemas.openxmlformats.org/officeDocument/2006/relationships/hyperlink" Target="mailto:adhisatya234@gmail.com" TargetMode="External"/><Relationship Id="rId224" Type="http://schemas.openxmlformats.org/officeDocument/2006/relationships/hyperlink" Target="mailto:cvwisanggeniarsitektur@gmail.com" TargetMode="External"/><Relationship Id="rId245" Type="http://schemas.openxmlformats.org/officeDocument/2006/relationships/hyperlink" Target="mailto:greenevirotamapt@gmail.com" TargetMode="External"/><Relationship Id="rId30" Type="http://schemas.openxmlformats.org/officeDocument/2006/relationships/hyperlink" Target="mailto:cv.sangkaraarchitect@gmail.com" TargetMode="External"/><Relationship Id="rId105" Type="http://schemas.openxmlformats.org/officeDocument/2006/relationships/hyperlink" Target="mailto:cvkaryaakbarconsultant@gmail.com" TargetMode="External"/><Relationship Id="rId126" Type="http://schemas.openxmlformats.org/officeDocument/2006/relationships/hyperlink" Target="mailto:titiansejahtera86@gmail.com" TargetMode="External"/><Relationship Id="rId147" Type="http://schemas.openxmlformats.org/officeDocument/2006/relationships/hyperlink" Target="mailto:harsagrahaindonesia@gmail.com" TargetMode="External"/><Relationship Id="rId168" Type="http://schemas.openxmlformats.org/officeDocument/2006/relationships/hyperlink" Target="mailto:tunaskonsultan@yahoo.com" TargetMode="External"/><Relationship Id="rId51" Type="http://schemas.openxmlformats.org/officeDocument/2006/relationships/hyperlink" Target="mailto:barapilar20@gmail.com" TargetMode="External"/><Relationship Id="rId72" Type="http://schemas.openxmlformats.org/officeDocument/2006/relationships/hyperlink" Target="mailto:graciawidya1@gmail.com" TargetMode="External"/><Relationship Id="rId93" Type="http://schemas.openxmlformats.org/officeDocument/2006/relationships/hyperlink" Target="mailto:haryonoenko@gmail.com" TargetMode="External"/><Relationship Id="rId189" Type="http://schemas.openxmlformats.org/officeDocument/2006/relationships/hyperlink" Target="mailto:baratanabilapratama@gmail.com" TargetMode="External"/><Relationship Id="rId3" Type="http://schemas.openxmlformats.org/officeDocument/2006/relationships/hyperlink" Target="mailto:kencanamuliakarya2000@gmail.com" TargetMode="External"/><Relationship Id="rId214" Type="http://schemas.openxmlformats.org/officeDocument/2006/relationships/hyperlink" Target="mailto:mahakaryabumipersada@gmail.com" TargetMode="External"/><Relationship Id="rId235" Type="http://schemas.openxmlformats.org/officeDocument/2006/relationships/hyperlink" Target="mailto:perencanajayaindonesia@gmail.com" TargetMode="External"/><Relationship Id="rId256" Type="http://schemas.openxmlformats.org/officeDocument/2006/relationships/hyperlink" Target="mailto:adhigunarikshapratama@gmail.com" TargetMode="External"/><Relationship Id="rId116" Type="http://schemas.openxmlformats.org/officeDocument/2006/relationships/hyperlink" Target="mailto:cv.kc.elang@gmail.com" TargetMode="External"/><Relationship Id="rId137" Type="http://schemas.openxmlformats.org/officeDocument/2006/relationships/hyperlink" Target="mailto:javasvedakonsultan@gmail.com" TargetMode="External"/><Relationship Id="rId158" Type="http://schemas.openxmlformats.org/officeDocument/2006/relationships/hyperlink" Target="mailto:ciptaartakreasikons@gmail.com" TargetMode="External"/><Relationship Id="rId20" Type="http://schemas.openxmlformats.org/officeDocument/2006/relationships/hyperlink" Target="mailto:phicos.id@gmail.com" TargetMode="External"/><Relationship Id="rId41" Type="http://schemas.openxmlformats.org/officeDocument/2006/relationships/hyperlink" Target="mailto:carakagrhateknitama2020@gmail.com" TargetMode="External"/><Relationship Id="rId62" Type="http://schemas.openxmlformats.org/officeDocument/2006/relationships/hyperlink" Target="mailto:samudrakaryateknik@gmail.com" TargetMode="External"/><Relationship Id="rId83" Type="http://schemas.openxmlformats.org/officeDocument/2006/relationships/hyperlink" Target="mailto:harisetioskn@gmail.com" TargetMode="External"/><Relationship Id="rId179" Type="http://schemas.openxmlformats.org/officeDocument/2006/relationships/hyperlink" Target="mailto:cv.sinarkonsultanjaya67@gmail.com" TargetMode="External"/><Relationship Id="rId190" Type="http://schemas.openxmlformats.org/officeDocument/2006/relationships/hyperlink" Target="mailto:cvideabagusconsultant@gmail.com" TargetMode="External"/><Relationship Id="rId204" Type="http://schemas.openxmlformats.org/officeDocument/2006/relationships/hyperlink" Target="mailto:hilmyanugerah@yahoo.co.id" TargetMode="External"/><Relationship Id="rId225" Type="http://schemas.openxmlformats.org/officeDocument/2006/relationships/hyperlink" Target="mailto:semestarahayudisain@gmail.com" TargetMode="External"/><Relationship Id="rId246" Type="http://schemas.openxmlformats.org/officeDocument/2006/relationships/hyperlink" Target="mailto:improvekaryasolusi@gmail.com" TargetMode="External"/><Relationship Id="rId106" Type="http://schemas.openxmlformats.org/officeDocument/2006/relationships/hyperlink" Target="mailto:bayuprakarsaprima@gmail.com" TargetMode="External"/><Relationship Id="rId127" Type="http://schemas.openxmlformats.org/officeDocument/2006/relationships/hyperlink" Target="mailto:multiline.creator@gmail.com" TargetMode="External"/><Relationship Id="rId10" Type="http://schemas.openxmlformats.org/officeDocument/2006/relationships/hyperlink" Target="mailto:duta.primayuda@gmail.com" TargetMode="External"/><Relationship Id="rId31" Type="http://schemas.openxmlformats.org/officeDocument/2006/relationships/hyperlink" Target="mailto:slfkonsultan.smg@gmail.com" TargetMode="External"/><Relationship Id="rId52" Type="http://schemas.openxmlformats.org/officeDocument/2006/relationships/hyperlink" Target="mailto:cita.kreasindo@gmail.com" TargetMode="External"/><Relationship Id="rId73" Type="http://schemas.openxmlformats.org/officeDocument/2006/relationships/hyperlink" Target="mailto:geloracrono2@yahoo.com" TargetMode="External"/><Relationship Id="rId94" Type="http://schemas.openxmlformats.org/officeDocument/2006/relationships/hyperlink" Target="mailto:mitradesign21@gmail.com" TargetMode="External"/><Relationship Id="rId148" Type="http://schemas.openxmlformats.org/officeDocument/2006/relationships/hyperlink" Target="mailto:ptpuriajibuana@gmail.com" TargetMode="External"/><Relationship Id="rId169" Type="http://schemas.openxmlformats.org/officeDocument/2006/relationships/hyperlink" Target="mailto:akarkreasi.pt@gmail.com" TargetMode="External"/><Relationship Id="rId4" Type="http://schemas.openxmlformats.org/officeDocument/2006/relationships/hyperlink" Target="mailto:cvarsitra@gmail.com" TargetMode="External"/><Relationship Id="rId180" Type="http://schemas.openxmlformats.org/officeDocument/2006/relationships/hyperlink" Target="mailto:erinawijayaconsult@gmail.com" TargetMode="External"/><Relationship Id="rId215" Type="http://schemas.openxmlformats.org/officeDocument/2006/relationships/hyperlink" Target="mailto:cvdinastijavagroup@gmail.com" TargetMode="External"/><Relationship Id="rId236" Type="http://schemas.openxmlformats.org/officeDocument/2006/relationships/hyperlink" Target="mailto:daafconsultant@gmail.com" TargetMode="External"/><Relationship Id="rId257" Type="http://schemas.openxmlformats.org/officeDocument/2006/relationships/hyperlink" Target="mailto:ptannabapersada5757@gmail.com" TargetMode="External"/><Relationship Id="rId42" Type="http://schemas.openxmlformats.org/officeDocument/2006/relationships/hyperlink" Target="mailto:marsonoabadi12@gmail.com" TargetMode="External"/><Relationship Id="rId84" Type="http://schemas.openxmlformats.org/officeDocument/2006/relationships/hyperlink" Target="mailto:surveypembangunan@gmail.com" TargetMode="External"/><Relationship Id="rId138" Type="http://schemas.openxmlformats.org/officeDocument/2006/relationships/hyperlink" Target="mailto:cv.idealmandiri@gmail.com" TargetMode="External"/><Relationship Id="rId191" Type="http://schemas.openxmlformats.org/officeDocument/2006/relationships/hyperlink" Target="mailto:cv.berjayamakmurkonsultan@gmail.com" TargetMode="External"/><Relationship Id="rId205" Type="http://schemas.openxmlformats.org/officeDocument/2006/relationships/hyperlink" Target="mailto:ptkaryagumelarindonesia@gmail.com" TargetMode="External"/><Relationship Id="rId247" Type="http://schemas.openxmlformats.org/officeDocument/2006/relationships/hyperlink" Target="mailto:ptadhistyadharmastitya@gmail.com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cv.senonurutama@gmail.com" TargetMode="External"/><Relationship Id="rId21" Type="http://schemas.openxmlformats.org/officeDocument/2006/relationships/hyperlink" Target="mailto:lais.engineering.indonesia@gmail.com" TargetMode="External"/><Relationship Id="rId63" Type="http://schemas.openxmlformats.org/officeDocument/2006/relationships/hyperlink" Target="mailto:candrakirana.dc@gmail.com" TargetMode="External"/><Relationship Id="rId159" Type="http://schemas.openxmlformats.org/officeDocument/2006/relationships/hyperlink" Target="mailto:cvmajapahit97@gmail.com" TargetMode="External"/><Relationship Id="rId170" Type="http://schemas.openxmlformats.org/officeDocument/2006/relationships/hyperlink" Target="mailto:cvmitrabersamamandiri1@gmail.com" TargetMode="External"/><Relationship Id="rId191" Type="http://schemas.openxmlformats.org/officeDocument/2006/relationships/hyperlink" Target="mailto:cv.berjayamakmurkonsultan@gmail.com" TargetMode="External"/><Relationship Id="rId205" Type="http://schemas.openxmlformats.org/officeDocument/2006/relationships/hyperlink" Target="mailto:ptkaryagumelarindonesia@gmail.com" TargetMode="External"/><Relationship Id="rId226" Type="http://schemas.openxmlformats.org/officeDocument/2006/relationships/hyperlink" Target="mailto:ideaciptakreasi@gmail.com" TargetMode="External"/><Relationship Id="rId247" Type="http://schemas.openxmlformats.org/officeDocument/2006/relationships/hyperlink" Target="mailto:hastakaryaprajapathi@gmail.com" TargetMode="External"/><Relationship Id="rId107" Type="http://schemas.openxmlformats.org/officeDocument/2006/relationships/hyperlink" Target="mailto:arthabc184@gmail.com" TargetMode="External"/><Relationship Id="rId11" Type="http://schemas.openxmlformats.org/officeDocument/2006/relationships/hyperlink" Target="mailto:rekadwipa.studio@gmail.com" TargetMode="External"/><Relationship Id="rId32" Type="http://schemas.openxmlformats.org/officeDocument/2006/relationships/hyperlink" Target="mailto:rafipermatajaya@gmail.com" TargetMode="External"/><Relationship Id="rId53" Type="http://schemas.openxmlformats.org/officeDocument/2006/relationships/hyperlink" Target="mailto:anugerah.jm@yahoo.com" TargetMode="External"/><Relationship Id="rId74" Type="http://schemas.openxmlformats.org/officeDocument/2006/relationships/hyperlink" Target="mailto:subekhan05@gmail.com" TargetMode="External"/><Relationship Id="rId128" Type="http://schemas.openxmlformats.org/officeDocument/2006/relationships/hyperlink" Target="mailto:cvpatriautamapkl@gmail.com" TargetMode="External"/><Relationship Id="rId149" Type="http://schemas.openxmlformats.org/officeDocument/2006/relationships/hyperlink" Target="mailto:cv.galihloka@gmail.com" TargetMode="External"/><Relationship Id="rId5" Type="http://schemas.openxmlformats.org/officeDocument/2006/relationships/hyperlink" Target="mailto:abiseka_nitibuana@yahoo.co.id" TargetMode="External"/><Relationship Id="rId95" Type="http://schemas.openxmlformats.org/officeDocument/2006/relationships/hyperlink" Target="mailto:agasha.kreatif@gmail.com" TargetMode="External"/><Relationship Id="rId160" Type="http://schemas.openxmlformats.org/officeDocument/2006/relationships/hyperlink" Target="mailto:cendanaciptacita@gmail.com" TargetMode="External"/><Relationship Id="rId181" Type="http://schemas.openxmlformats.org/officeDocument/2006/relationships/hyperlink" Target="mailto:konsultanprojo@gmail.com" TargetMode="External"/><Relationship Id="rId216" Type="http://schemas.openxmlformats.org/officeDocument/2006/relationships/hyperlink" Target="mailto:acegeconsultant@gmail.com" TargetMode="External"/><Relationship Id="rId237" Type="http://schemas.openxmlformats.org/officeDocument/2006/relationships/hyperlink" Target="mailto:globalwujudkreasi@gmail.com" TargetMode="External"/><Relationship Id="rId258" Type="http://schemas.openxmlformats.org/officeDocument/2006/relationships/hyperlink" Target="mailto:cvkonsultanbangunperkasa@gmail.com" TargetMode="External"/><Relationship Id="rId22" Type="http://schemas.openxmlformats.org/officeDocument/2006/relationships/hyperlink" Target="mailto:guratrp@gmail.com" TargetMode="External"/><Relationship Id="rId43" Type="http://schemas.openxmlformats.org/officeDocument/2006/relationships/hyperlink" Target="mailto:triganajayakonsultan.cv@gmail.com" TargetMode="External"/><Relationship Id="rId64" Type="http://schemas.openxmlformats.org/officeDocument/2006/relationships/hyperlink" Target="mailto:cvdelima55@gmail.com" TargetMode="External"/><Relationship Id="rId118" Type="http://schemas.openxmlformats.org/officeDocument/2006/relationships/hyperlink" Target="mailto:jazzelindonugraha@gmail.com" TargetMode="External"/><Relationship Id="rId139" Type="http://schemas.openxmlformats.org/officeDocument/2006/relationships/hyperlink" Target="mailto:cv.arjip@yahoo.com" TargetMode="External"/><Relationship Id="rId85" Type="http://schemas.openxmlformats.org/officeDocument/2006/relationships/hyperlink" Target="mailto:suminarjaya8@gmail.com" TargetMode="External"/><Relationship Id="rId150" Type="http://schemas.openxmlformats.org/officeDocument/2006/relationships/hyperlink" Target="mailto:gigapratamapekalongan@gmail.com" TargetMode="External"/><Relationship Id="rId171" Type="http://schemas.openxmlformats.org/officeDocument/2006/relationships/hyperlink" Target="mailto:pakarkita.konsultan@gmail.com" TargetMode="External"/><Relationship Id="rId192" Type="http://schemas.openxmlformats.org/officeDocument/2006/relationships/hyperlink" Target="mailto:cv.sumuragungkendal@gmail.com" TargetMode="External"/><Relationship Id="rId206" Type="http://schemas.openxmlformats.org/officeDocument/2006/relationships/hyperlink" Target="mailto:cvlemahabangengineering@gmail.com" TargetMode="External"/><Relationship Id="rId227" Type="http://schemas.openxmlformats.org/officeDocument/2006/relationships/hyperlink" Target="mailto:wirakaryaabadi.cv@gmail.com" TargetMode="External"/><Relationship Id="rId248" Type="http://schemas.openxmlformats.org/officeDocument/2006/relationships/hyperlink" Target="mailto:ptslf.id@gmail.com" TargetMode="External"/><Relationship Id="rId12" Type="http://schemas.openxmlformats.org/officeDocument/2006/relationships/hyperlink" Target="mailto:vikibalsa@yahoo.com" TargetMode="External"/><Relationship Id="rId33" Type="http://schemas.openxmlformats.org/officeDocument/2006/relationships/hyperlink" Target="mailto:radius4rc@gmail.com" TargetMode="External"/><Relationship Id="rId108" Type="http://schemas.openxmlformats.org/officeDocument/2006/relationships/hyperlink" Target="mailto:cv.aditkarya2018@gmail.com" TargetMode="External"/><Relationship Id="rId129" Type="http://schemas.openxmlformats.org/officeDocument/2006/relationships/hyperlink" Target="mailto:megajasaconsultant@gmail.com" TargetMode="External"/><Relationship Id="rId54" Type="http://schemas.openxmlformats.org/officeDocument/2006/relationships/hyperlink" Target="mailto:agoralegalitas@gmail.com" TargetMode="External"/><Relationship Id="rId75" Type="http://schemas.openxmlformats.org/officeDocument/2006/relationships/hyperlink" Target="mailto:dutacitraoss@gmail.com" TargetMode="External"/><Relationship Id="rId96" Type="http://schemas.openxmlformats.org/officeDocument/2006/relationships/hyperlink" Target="mailto:tectonicarch.rbg@gmail.com" TargetMode="External"/><Relationship Id="rId140" Type="http://schemas.openxmlformats.org/officeDocument/2006/relationships/hyperlink" Target="mailto:ciptamawakreasi@gmail.com" TargetMode="External"/><Relationship Id="rId161" Type="http://schemas.openxmlformats.org/officeDocument/2006/relationships/hyperlink" Target="mailto:rekayasamitramuda@gmail.com" TargetMode="External"/><Relationship Id="rId182" Type="http://schemas.openxmlformats.org/officeDocument/2006/relationships/hyperlink" Target="mailto:unggulsentosajaya1@gmail.com" TargetMode="External"/><Relationship Id="rId217" Type="http://schemas.openxmlformats.org/officeDocument/2006/relationships/hyperlink" Target="mailto:benoitestrategic@gmail.com" TargetMode="External"/><Relationship Id="rId6" Type="http://schemas.openxmlformats.org/officeDocument/2006/relationships/hyperlink" Target="mailto:cvtrisaktiarsitek@gmail.com" TargetMode="External"/><Relationship Id="rId238" Type="http://schemas.openxmlformats.org/officeDocument/2006/relationships/hyperlink" Target="mailto:ptmegantarakonsultan@gmail.com" TargetMode="External"/><Relationship Id="rId259" Type="http://schemas.openxmlformats.org/officeDocument/2006/relationships/hyperlink" Target="mailto:ptnexusconsultant@gmail.com" TargetMode="External"/><Relationship Id="rId23" Type="http://schemas.openxmlformats.org/officeDocument/2006/relationships/hyperlink" Target="mailto:bimakaryamandiri64@gmail.com" TargetMode="External"/><Relationship Id="rId119" Type="http://schemas.openxmlformats.org/officeDocument/2006/relationships/hyperlink" Target="mailto:rancang.cipta.global@gmail.com" TargetMode="External"/><Relationship Id="rId44" Type="http://schemas.openxmlformats.org/officeDocument/2006/relationships/hyperlink" Target="mailto:artiyaprimasejahtera.cv@gmail.com" TargetMode="External"/><Relationship Id="rId65" Type="http://schemas.openxmlformats.org/officeDocument/2006/relationships/hyperlink" Target="mailto:iqbalkurniawan195@gmail.com" TargetMode="External"/><Relationship Id="rId86" Type="http://schemas.openxmlformats.org/officeDocument/2006/relationships/hyperlink" Target="mailto:endrotrias@gmail.com" TargetMode="External"/><Relationship Id="rId130" Type="http://schemas.openxmlformats.org/officeDocument/2006/relationships/hyperlink" Target="mailto:cv.dharmaconsultant@gmail.com" TargetMode="External"/><Relationship Id="rId151" Type="http://schemas.openxmlformats.org/officeDocument/2006/relationships/hyperlink" Target="mailto:sabakonstruksi@gmail.com" TargetMode="External"/><Relationship Id="rId172" Type="http://schemas.openxmlformats.org/officeDocument/2006/relationships/hyperlink" Target="mailto:xynerva.pratama.consultant@gmail.com" TargetMode="External"/><Relationship Id="rId193" Type="http://schemas.openxmlformats.org/officeDocument/2006/relationships/hyperlink" Target="mailto:gnakonsultan.lpse@gmail.com" TargetMode="External"/><Relationship Id="rId207" Type="http://schemas.openxmlformats.org/officeDocument/2006/relationships/hyperlink" Target="mailto:project.apconsultant@gmail.com" TargetMode="External"/><Relationship Id="rId228" Type="http://schemas.openxmlformats.org/officeDocument/2006/relationships/hyperlink" Target="mailto:teamDTS19@gmail.com" TargetMode="External"/><Relationship Id="rId249" Type="http://schemas.openxmlformats.org/officeDocument/2006/relationships/hyperlink" Target="mailto:pentahelixkolaborasi@gmail.com" TargetMode="External"/><Relationship Id="rId13" Type="http://schemas.openxmlformats.org/officeDocument/2006/relationships/hyperlink" Target="mailto:3pusakadisain@gmail.com" TargetMode="External"/><Relationship Id="rId109" Type="http://schemas.openxmlformats.org/officeDocument/2006/relationships/hyperlink" Target="mailto:krida.ganesha@gmail.com" TargetMode="External"/><Relationship Id="rId260" Type="http://schemas.openxmlformats.org/officeDocument/2006/relationships/hyperlink" Target="mailto:cvganendraascarya@gmail.com" TargetMode="External"/><Relationship Id="rId34" Type="http://schemas.openxmlformats.org/officeDocument/2006/relationships/hyperlink" Target="mailto:cvnirmana20@gmail.com" TargetMode="External"/><Relationship Id="rId55" Type="http://schemas.openxmlformats.org/officeDocument/2006/relationships/hyperlink" Target="mailto:admptaretaswicaksana@gmail.com" TargetMode="External"/><Relationship Id="rId76" Type="http://schemas.openxmlformats.org/officeDocument/2006/relationships/hyperlink" Target="mailto:javagroup.indonesia@gmail.com" TargetMode="External"/><Relationship Id="rId97" Type="http://schemas.openxmlformats.org/officeDocument/2006/relationships/hyperlink" Target="mailto:suparno0912@gmail.com" TargetMode="External"/><Relationship Id="rId120" Type="http://schemas.openxmlformats.org/officeDocument/2006/relationships/hyperlink" Target="mailto:ptpancangmas@gmail.com" TargetMode="External"/><Relationship Id="rId141" Type="http://schemas.openxmlformats.org/officeDocument/2006/relationships/hyperlink" Target="mailto:raihanconsultant@gmail.com" TargetMode="External"/><Relationship Id="rId7" Type="http://schemas.openxmlformats.org/officeDocument/2006/relationships/hyperlink" Target="mailto:cvmangunajibdesign@yahoo.com" TargetMode="External"/><Relationship Id="rId162" Type="http://schemas.openxmlformats.org/officeDocument/2006/relationships/hyperlink" Target="mailto:mitradataabadisolo@gmail.com" TargetMode="External"/><Relationship Id="rId183" Type="http://schemas.openxmlformats.org/officeDocument/2006/relationships/hyperlink" Target="mailto:manunggalingkarsaabadi22@gmail.com" TargetMode="External"/><Relationship Id="rId218" Type="http://schemas.openxmlformats.org/officeDocument/2006/relationships/hyperlink" Target="mailto:ptwegandasricahya@gmail.com" TargetMode="External"/><Relationship Id="rId239" Type="http://schemas.openxmlformats.org/officeDocument/2006/relationships/hyperlink" Target="mailto:cvlunaris@gmail.com" TargetMode="External"/><Relationship Id="rId250" Type="http://schemas.openxmlformats.org/officeDocument/2006/relationships/hyperlink" Target="mailto:koopillar.td@gmail.com" TargetMode="External"/><Relationship Id="rId24" Type="http://schemas.openxmlformats.org/officeDocument/2006/relationships/hyperlink" Target="mailto:desaincitra@gmail.com" TargetMode="External"/><Relationship Id="rId45" Type="http://schemas.openxmlformats.org/officeDocument/2006/relationships/hyperlink" Target="mailto:citrayasadesain@gmail.com" TargetMode="External"/><Relationship Id="rId66" Type="http://schemas.openxmlformats.org/officeDocument/2006/relationships/hyperlink" Target="mailto:cvdutaoss@gmail.com" TargetMode="External"/><Relationship Id="rId87" Type="http://schemas.openxmlformats.org/officeDocument/2006/relationships/hyperlink" Target="mailto:admcvtemadea@gmail.com" TargetMode="External"/><Relationship Id="rId110" Type="http://schemas.openxmlformats.org/officeDocument/2006/relationships/hyperlink" Target="mailto:djawakaryakonsultan@yahoo.co.id" TargetMode="External"/><Relationship Id="rId131" Type="http://schemas.openxmlformats.org/officeDocument/2006/relationships/hyperlink" Target="mailto:cv.muktiganesha@gmail.com" TargetMode="External"/><Relationship Id="rId152" Type="http://schemas.openxmlformats.org/officeDocument/2006/relationships/hyperlink" Target="mailto:ptihsanginanjarkonsultan@gmail.com" TargetMode="External"/><Relationship Id="rId173" Type="http://schemas.openxmlformats.org/officeDocument/2006/relationships/hyperlink" Target="mailto:biaas.solusindo@gmail.com" TargetMode="External"/><Relationship Id="rId194" Type="http://schemas.openxmlformats.org/officeDocument/2006/relationships/hyperlink" Target="mailto:cv.kreasindomudamandiri@gmail.com" TargetMode="External"/><Relationship Id="rId208" Type="http://schemas.openxmlformats.org/officeDocument/2006/relationships/hyperlink" Target="mailto:cv.bahuwirya.nu2023@gmail.com" TargetMode="External"/><Relationship Id="rId229" Type="http://schemas.openxmlformats.org/officeDocument/2006/relationships/hyperlink" Target="mailto:cv.bangunperkasakonsultan@gmail.com" TargetMode="External"/><Relationship Id="rId240" Type="http://schemas.openxmlformats.org/officeDocument/2006/relationships/hyperlink" Target="mailto:pt.dk.rancangpersada@gmail.com" TargetMode="External"/><Relationship Id="rId261" Type="http://schemas.openxmlformats.org/officeDocument/2006/relationships/hyperlink" Target="mailto:ambara18225@gmail.com" TargetMode="External"/><Relationship Id="rId14" Type="http://schemas.openxmlformats.org/officeDocument/2006/relationships/hyperlink" Target="mailto:energi3.elektrindo@gmail.com" TargetMode="External"/><Relationship Id="rId35" Type="http://schemas.openxmlformats.org/officeDocument/2006/relationships/hyperlink" Target="mailto:citraasridesain.pt@gmail.com" TargetMode="External"/><Relationship Id="rId56" Type="http://schemas.openxmlformats.org/officeDocument/2006/relationships/hyperlink" Target="mailto:archdesignconsultant.rbg@gmail.com" TargetMode="External"/><Relationship Id="rId77" Type="http://schemas.openxmlformats.org/officeDocument/2006/relationships/hyperlink" Target="mailto:oksandhika@yahoo.co.id" TargetMode="External"/><Relationship Id="rId100" Type="http://schemas.openxmlformats.org/officeDocument/2006/relationships/hyperlink" Target="mailto:sucrotechfinance@yahoo.com" TargetMode="External"/><Relationship Id="rId8" Type="http://schemas.openxmlformats.org/officeDocument/2006/relationships/hyperlink" Target="mailto:jasautama@yahoo.co.id" TargetMode="External"/><Relationship Id="rId98" Type="http://schemas.openxmlformats.org/officeDocument/2006/relationships/hyperlink" Target="mailto:van.pt.vts@gmail.com" TargetMode="External"/><Relationship Id="rId121" Type="http://schemas.openxmlformats.org/officeDocument/2006/relationships/hyperlink" Target="mailto:karyaenjiniring@gmail.com" TargetMode="External"/><Relationship Id="rId142" Type="http://schemas.openxmlformats.org/officeDocument/2006/relationships/hyperlink" Target="mailto:citrakalpatarucv80@gmail.com" TargetMode="External"/><Relationship Id="rId163" Type="http://schemas.openxmlformats.org/officeDocument/2006/relationships/hyperlink" Target="mailto:info@krida-karya.co.id" TargetMode="External"/><Relationship Id="rId184" Type="http://schemas.openxmlformats.org/officeDocument/2006/relationships/hyperlink" Target="mailto:gracia.naturindo@gmail.com" TargetMode="External"/><Relationship Id="rId219" Type="http://schemas.openxmlformats.org/officeDocument/2006/relationships/hyperlink" Target="mailto:gafamediakonsultan@gmail.com" TargetMode="External"/><Relationship Id="rId230" Type="http://schemas.openxmlformats.org/officeDocument/2006/relationships/hyperlink" Target="mailto:pberdikari98@gmail.com" TargetMode="External"/><Relationship Id="rId251" Type="http://schemas.openxmlformats.org/officeDocument/2006/relationships/hyperlink" Target="mailto:cvkhazanahkatulistiwa@gmail.com" TargetMode="External"/><Relationship Id="rId25" Type="http://schemas.openxmlformats.org/officeDocument/2006/relationships/hyperlink" Target="mailto:cv.designengineering@gmail.com" TargetMode="External"/><Relationship Id="rId46" Type="http://schemas.openxmlformats.org/officeDocument/2006/relationships/hyperlink" Target="mailto:natawinasis@gmail.com" TargetMode="External"/><Relationship Id="rId67" Type="http://schemas.openxmlformats.org/officeDocument/2006/relationships/hyperlink" Target="mailto:ediyasa03@gmail.com" TargetMode="External"/><Relationship Id="rId88" Type="http://schemas.openxmlformats.org/officeDocument/2006/relationships/hyperlink" Target="mailto:tcitragunadesain@gmail.com" TargetMode="External"/><Relationship Id="rId111" Type="http://schemas.openxmlformats.org/officeDocument/2006/relationships/hyperlink" Target="mailto:lintaspembangunan.idn@gmail.com" TargetMode="External"/><Relationship Id="rId132" Type="http://schemas.openxmlformats.org/officeDocument/2006/relationships/hyperlink" Target="mailto:bengawantjipta@gmail.com" TargetMode="External"/><Relationship Id="rId153" Type="http://schemas.openxmlformats.org/officeDocument/2006/relationships/hyperlink" Target="mailto:slawikonsultan@gmail.com" TargetMode="External"/><Relationship Id="rId174" Type="http://schemas.openxmlformats.org/officeDocument/2006/relationships/hyperlink" Target="mailto:sondarekayasa2016@gmail.com" TargetMode="External"/><Relationship Id="rId195" Type="http://schemas.openxmlformats.org/officeDocument/2006/relationships/hyperlink" Target="mailto:ptfasakaryahutama@gmail.com" TargetMode="External"/><Relationship Id="rId209" Type="http://schemas.openxmlformats.org/officeDocument/2006/relationships/hyperlink" Target="mailto:arhengineering92@gmail.com" TargetMode="External"/><Relationship Id="rId220" Type="http://schemas.openxmlformats.org/officeDocument/2006/relationships/hyperlink" Target="mailto:cv.dutateknikkonsultan@gmail.com" TargetMode="External"/><Relationship Id="rId241" Type="http://schemas.openxmlformats.org/officeDocument/2006/relationships/hyperlink" Target="mailto:risanngremboko@gmail.com" TargetMode="External"/><Relationship Id="rId15" Type="http://schemas.openxmlformats.org/officeDocument/2006/relationships/hyperlink" Target="mailto:ptindotama@yahoo.co.id" TargetMode="External"/><Relationship Id="rId36" Type="http://schemas.openxmlformats.org/officeDocument/2006/relationships/hyperlink" Target="mailto:pt.gatra@gmail.com" TargetMode="External"/><Relationship Id="rId57" Type="http://schemas.openxmlformats.org/officeDocument/2006/relationships/hyperlink" Target="mailto:andalanconsultant@yahoo.co.id" TargetMode="External"/><Relationship Id="rId262" Type="http://schemas.openxmlformats.org/officeDocument/2006/relationships/hyperlink" Target="mailto:kjjpsihwiryadi@gmail.com" TargetMode="External"/><Relationship Id="rId78" Type="http://schemas.openxmlformats.org/officeDocument/2006/relationships/hyperlink" Target="mailto:steger8370@gmail.com" TargetMode="External"/><Relationship Id="rId99" Type="http://schemas.openxmlformats.org/officeDocument/2006/relationships/hyperlink" Target="mailto:cv.mahakarya16@gmail.com" TargetMode="External"/><Relationship Id="rId101" Type="http://schemas.openxmlformats.org/officeDocument/2006/relationships/hyperlink" Target="mailto:mirazhcons@gmail.com" TargetMode="External"/><Relationship Id="rId122" Type="http://schemas.openxmlformats.org/officeDocument/2006/relationships/hyperlink" Target="mailto:citrapatabangunpersada@gmail.com" TargetMode="External"/><Relationship Id="rId143" Type="http://schemas.openxmlformats.org/officeDocument/2006/relationships/hyperlink" Target="mailto:integrita_cv@yahoo.com" TargetMode="External"/><Relationship Id="rId164" Type="http://schemas.openxmlformats.org/officeDocument/2006/relationships/hyperlink" Target="mailto:adhyastharekayasadesain@gmail.com" TargetMode="External"/><Relationship Id="rId185" Type="http://schemas.openxmlformats.org/officeDocument/2006/relationships/hyperlink" Target="mailto:jatiutama15@gmail.com" TargetMode="External"/><Relationship Id="rId9" Type="http://schemas.openxmlformats.org/officeDocument/2006/relationships/hyperlink" Target="mailto:cvmutiarakonsultant@gmail.com" TargetMode="External"/><Relationship Id="rId210" Type="http://schemas.openxmlformats.org/officeDocument/2006/relationships/hyperlink" Target="mailto:abiyyukaryakonsultan.pt@gmail.com" TargetMode="External"/><Relationship Id="rId26" Type="http://schemas.openxmlformats.org/officeDocument/2006/relationships/hyperlink" Target="mailto:hrv.planner@yahoo.com" TargetMode="External"/><Relationship Id="rId231" Type="http://schemas.openxmlformats.org/officeDocument/2006/relationships/hyperlink" Target="mailto:lina.consultant8010@gmail.com" TargetMode="External"/><Relationship Id="rId252" Type="http://schemas.openxmlformats.org/officeDocument/2006/relationships/hyperlink" Target="mailto:pt.triarthaprajakarya@gmail.com" TargetMode="External"/><Relationship Id="rId47" Type="http://schemas.openxmlformats.org/officeDocument/2006/relationships/hyperlink" Target="mailto:sasmita.murakabi@gmail.com" TargetMode="External"/><Relationship Id="rId68" Type="http://schemas.openxmlformats.org/officeDocument/2006/relationships/hyperlink" Target="mailto:gunatataperkasa@gmail.com" TargetMode="External"/><Relationship Id="rId89" Type="http://schemas.openxmlformats.org/officeDocument/2006/relationships/hyperlink" Target="mailto:v_sarwahita@yahoo.co.id" TargetMode="External"/><Relationship Id="rId112" Type="http://schemas.openxmlformats.org/officeDocument/2006/relationships/hyperlink" Target="mailto:harsayakarya@gmail.com" TargetMode="External"/><Relationship Id="rId133" Type="http://schemas.openxmlformats.org/officeDocument/2006/relationships/hyperlink" Target="mailto:tunggulmajapahitsejahtera@gmail.com" TargetMode="External"/><Relationship Id="rId154" Type="http://schemas.openxmlformats.org/officeDocument/2006/relationships/hyperlink" Target="mailto:heriyanto.1463@gmail.com" TargetMode="External"/><Relationship Id="rId175" Type="http://schemas.openxmlformats.org/officeDocument/2006/relationships/hyperlink" Target="mailto:pt.permadanikhatulistiwa01@gmail.com" TargetMode="External"/><Relationship Id="rId196" Type="http://schemas.openxmlformats.org/officeDocument/2006/relationships/hyperlink" Target="mailto:mahna.he.al.abadah@gmail.com" TargetMode="External"/><Relationship Id="rId200" Type="http://schemas.openxmlformats.org/officeDocument/2006/relationships/hyperlink" Target="mailto:ptpurifikasi@gmail.com" TargetMode="External"/><Relationship Id="rId16" Type="http://schemas.openxmlformats.org/officeDocument/2006/relationships/hyperlink" Target="mailto:contact@gwadestek.com" TargetMode="External"/><Relationship Id="rId221" Type="http://schemas.openxmlformats.org/officeDocument/2006/relationships/hyperlink" Target="mailto:design.by.smartlab@gmail.com" TargetMode="External"/><Relationship Id="rId242" Type="http://schemas.openxmlformats.org/officeDocument/2006/relationships/hyperlink" Target="mailto:multigraha.cons@gmail.com" TargetMode="External"/><Relationship Id="rId263" Type="http://schemas.openxmlformats.org/officeDocument/2006/relationships/hyperlink" Target="mailto:mogujaya9@gmail.com" TargetMode="External"/><Relationship Id="rId37" Type="http://schemas.openxmlformats.org/officeDocument/2006/relationships/hyperlink" Target="mailto:salcocv.konsultan@gmail.com" TargetMode="External"/><Relationship Id="rId58" Type="http://schemas.openxmlformats.org/officeDocument/2006/relationships/hyperlink" Target="mailto:cvbarunajaya.tmg@gmail.com" TargetMode="External"/><Relationship Id="rId79" Type="http://schemas.openxmlformats.org/officeDocument/2006/relationships/hyperlink" Target="mailto:mgl.mktoni@gmail.com" TargetMode="External"/><Relationship Id="rId102" Type="http://schemas.openxmlformats.org/officeDocument/2006/relationships/hyperlink" Target="mailto:ptesensinara@gmail.com" TargetMode="External"/><Relationship Id="rId123" Type="http://schemas.openxmlformats.org/officeDocument/2006/relationships/hyperlink" Target="mailto:suryanuskonsultan@gmail.com" TargetMode="External"/><Relationship Id="rId144" Type="http://schemas.openxmlformats.org/officeDocument/2006/relationships/hyperlink" Target="mailto:cvinovatifseketsa@gmail.com" TargetMode="External"/><Relationship Id="rId90" Type="http://schemas.openxmlformats.org/officeDocument/2006/relationships/hyperlink" Target="mailto:ptwastuwidyawan@gmail.com" TargetMode="External"/><Relationship Id="rId165" Type="http://schemas.openxmlformats.org/officeDocument/2006/relationships/hyperlink" Target="mailto:cv.gagasrancangpersada@gmail.com" TargetMode="External"/><Relationship Id="rId186" Type="http://schemas.openxmlformats.org/officeDocument/2006/relationships/hyperlink" Target="mailto:intiglobal.net@gmail.com" TargetMode="External"/><Relationship Id="rId211" Type="http://schemas.openxmlformats.org/officeDocument/2006/relationships/hyperlink" Target="mailto:abekaryakebumen@gmail.com" TargetMode="External"/><Relationship Id="rId232" Type="http://schemas.openxmlformats.org/officeDocument/2006/relationships/hyperlink" Target="mailto:drekapuri@yahoo.com" TargetMode="External"/><Relationship Id="rId253" Type="http://schemas.openxmlformats.org/officeDocument/2006/relationships/hyperlink" Target="mailto:puspahadismg@gmail.com" TargetMode="External"/><Relationship Id="rId27" Type="http://schemas.openxmlformats.org/officeDocument/2006/relationships/hyperlink" Target="mailto:azrina.jaya.konsultan@gmail.com" TargetMode="External"/><Relationship Id="rId48" Type="http://schemas.openxmlformats.org/officeDocument/2006/relationships/hyperlink" Target="mailto:shirvanoconsulting@gmail.com" TargetMode="External"/><Relationship Id="rId69" Type="http://schemas.openxmlformats.org/officeDocument/2006/relationships/hyperlink" Target="mailto:gmtmandiritunggal2@gmail.com" TargetMode="External"/><Relationship Id="rId113" Type="http://schemas.openxmlformats.org/officeDocument/2006/relationships/hyperlink" Target="mailto:cahayakaryaengineering@gmail.com" TargetMode="External"/><Relationship Id="rId134" Type="http://schemas.openxmlformats.org/officeDocument/2006/relationships/hyperlink" Target="mailto:irsyadkurniadesign@gmail.com" TargetMode="External"/><Relationship Id="rId80" Type="http://schemas.openxmlformats.org/officeDocument/2006/relationships/hyperlink" Target="mailto:medisain.konsultan@gmail.com" TargetMode="External"/><Relationship Id="rId155" Type="http://schemas.openxmlformats.org/officeDocument/2006/relationships/hyperlink" Target="mailto:arthagemilang08@gmail.com" TargetMode="External"/><Relationship Id="rId176" Type="http://schemas.openxmlformats.org/officeDocument/2006/relationships/hyperlink" Target="mailto:adyatma.consultant@gmail.com" TargetMode="External"/><Relationship Id="rId197" Type="http://schemas.openxmlformats.org/officeDocument/2006/relationships/hyperlink" Target="mailto:intankautama@gmail.com" TargetMode="External"/><Relationship Id="rId201" Type="http://schemas.openxmlformats.org/officeDocument/2006/relationships/hyperlink" Target="mailto:pratamajayareka.office@gmail.com" TargetMode="External"/><Relationship Id="rId222" Type="http://schemas.openxmlformats.org/officeDocument/2006/relationships/hyperlink" Target="mailto:admin@ptskalaabadijaya.com" TargetMode="External"/><Relationship Id="rId243" Type="http://schemas.openxmlformats.org/officeDocument/2006/relationships/hyperlink" Target="mailto:winkaryadesain24@gmail.com" TargetMode="External"/><Relationship Id="rId264" Type="http://schemas.openxmlformats.org/officeDocument/2006/relationships/drawing" Target="../drawings/drawing5.xml"/><Relationship Id="rId17" Type="http://schemas.openxmlformats.org/officeDocument/2006/relationships/hyperlink" Target="mailto:trihastasejahtera@gmail.com" TargetMode="External"/><Relationship Id="rId38" Type="http://schemas.openxmlformats.org/officeDocument/2006/relationships/hyperlink" Target="mailto:pt.jbkons@gmail.com" TargetMode="External"/><Relationship Id="rId59" Type="http://schemas.openxmlformats.org/officeDocument/2006/relationships/hyperlink" Target="mailto:borobudurec1@gmail.com" TargetMode="External"/><Relationship Id="rId103" Type="http://schemas.openxmlformats.org/officeDocument/2006/relationships/hyperlink" Target="mailto:fikriya.consultant@gmail.com" TargetMode="External"/><Relationship Id="rId124" Type="http://schemas.openxmlformats.org/officeDocument/2006/relationships/hyperlink" Target="mailto:cv.bismat@gmail.com" TargetMode="External"/><Relationship Id="rId70" Type="http://schemas.openxmlformats.org/officeDocument/2006/relationships/hyperlink" Target="mailto:geosaranaguna@gmail.com" TargetMode="External"/><Relationship Id="rId91" Type="http://schemas.openxmlformats.org/officeDocument/2006/relationships/hyperlink" Target="mailto:yoka.pajak@gmail.com" TargetMode="External"/><Relationship Id="rId145" Type="http://schemas.openxmlformats.org/officeDocument/2006/relationships/hyperlink" Target="mailto:griyaputrakonsultama@gmail.com" TargetMode="External"/><Relationship Id="rId166" Type="http://schemas.openxmlformats.org/officeDocument/2006/relationships/hyperlink" Target="mailto:pt.sangklatmataspratomo@gmail.com" TargetMode="External"/><Relationship Id="rId187" Type="http://schemas.openxmlformats.org/officeDocument/2006/relationships/hyperlink" Target="mailto:pilartritamakonsultan@yahoo.co.id" TargetMode="External"/><Relationship Id="rId1" Type="http://schemas.openxmlformats.org/officeDocument/2006/relationships/hyperlink" Target="mailto:fina.kusnadi@gmail.com" TargetMode="External"/><Relationship Id="rId212" Type="http://schemas.openxmlformats.org/officeDocument/2006/relationships/hyperlink" Target="mailto:oknikaarchitect@gmail.com" TargetMode="External"/><Relationship Id="rId233" Type="http://schemas.openxmlformats.org/officeDocument/2006/relationships/hyperlink" Target="mailto:arstudio.architects13@gmail.com" TargetMode="External"/><Relationship Id="rId254" Type="http://schemas.openxmlformats.org/officeDocument/2006/relationships/hyperlink" Target="mailto:adhigunarikshapratama@gmail.com" TargetMode="External"/><Relationship Id="rId28" Type="http://schemas.openxmlformats.org/officeDocument/2006/relationships/hyperlink" Target="mailto:cv.adhyastarekapersada@gmail.com" TargetMode="External"/><Relationship Id="rId49" Type="http://schemas.openxmlformats.org/officeDocument/2006/relationships/hyperlink" Target="mailto:purisaptaconsultant@yahoo.com" TargetMode="External"/><Relationship Id="rId114" Type="http://schemas.openxmlformats.org/officeDocument/2006/relationships/hyperlink" Target="mailto:sigmapratamaengineering@gmail.com" TargetMode="External"/><Relationship Id="rId60" Type="http://schemas.openxmlformats.org/officeDocument/2006/relationships/hyperlink" Target="mailto:barokahteknika69@gmail.com" TargetMode="External"/><Relationship Id="rId81" Type="http://schemas.openxmlformats.org/officeDocument/2006/relationships/hyperlink" Target="mailto:parisraya.smrg@gmail.com" TargetMode="External"/><Relationship Id="rId135" Type="http://schemas.openxmlformats.org/officeDocument/2006/relationships/hyperlink" Target="mailto:cv.resko_teknik@yahoo.co.id" TargetMode="External"/><Relationship Id="rId156" Type="http://schemas.openxmlformats.org/officeDocument/2006/relationships/hyperlink" Target="mailto:binarekatamacv@gmail.com" TargetMode="External"/><Relationship Id="rId177" Type="http://schemas.openxmlformats.org/officeDocument/2006/relationships/hyperlink" Target="mailto:CV.BOGOWONTOSAE@GMAIL.com" TargetMode="External"/><Relationship Id="rId198" Type="http://schemas.openxmlformats.org/officeDocument/2006/relationships/hyperlink" Target="mailto:abhinayacaturkarsa@gmail.com" TargetMode="External"/><Relationship Id="rId202" Type="http://schemas.openxmlformats.org/officeDocument/2006/relationships/hyperlink" Target="mailto:pebi.cv@gmail.com" TargetMode="External"/><Relationship Id="rId223" Type="http://schemas.openxmlformats.org/officeDocument/2006/relationships/hyperlink" Target="mailto:putrarayaconsultants@gmail.com" TargetMode="External"/><Relationship Id="rId244" Type="http://schemas.openxmlformats.org/officeDocument/2006/relationships/hyperlink" Target="mailto:improvekaryasolusi@gmail.com" TargetMode="External"/><Relationship Id="rId18" Type="http://schemas.openxmlformats.org/officeDocument/2006/relationships/hyperlink" Target="mailto:tatarekaprayautamapt@gmail.com" TargetMode="External"/><Relationship Id="rId39" Type="http://schemas.openxmlformats.org/officeDocument/2006/relationships/hyperlink" Target="mailto:mustikoklopojati@gmail.com" TargetMode="External"/><Relationship Id="rId50" Type="http://schemas.openxmlformats.org/officeDocument/2006/relationships/hyperlink" Target="mailto:skala.teknik@yahoo.com" TargetMode="External"/><Relationship Id="rId104" Type="http://schemas.openxmlformats.org/officeDocument/2006/relationships/hyperlink" Target="mailto:dtm.diponegoro@gmail.com" TargetMode="External"/><Relationship Id="rId125" Type="http://schemas.openxmlformats.org/officeDocument/2006/relationships/hyperlink" Target="mailto:hitakaryajasa@gmail.com" TargetMode="External"/><Relationship Id="rId146" Type="http://schemas.openxmlformats.org/officeDocument/2006/relationships/hyperlink" Target="mailto:cv.setiyabakthi@gmail.com" TargetMode="External"/><Relationship Id="rId167" Type="http://schemas.openxmlformats.org/officeDocument/2006/relationships/hyperlink" Target="mailto:javasfantana@gmail.com" TargetMode="External"/><Relationship Id="rId188" Type="http://schemas.openxmlformats.org/officeDocument/2006/relationships/hyperlink" Target="mailto:ekajayamultiguna@gmail.com" TargetMode="External"/><Relationship Id="rId71" Type="http://schemas.openxmlformats.org/officeDocument/2006/relationships/hyperlink" Target="mailto:graciaadicipta@gmail.com" TargetMode="External"/><Relationship Id="rId92" Type="http://schemas.openxmlformats.org/officeDocument/2006/relationships/hyperlink" Target="mailto:rekamatrakencana@yahoo.co.id" TargetMode="External"/><Relationship Id="rId213" Type="http://schemas.openxmlformats.org/officeDocument/2006/relationships/hyperlink" Target="mailto:artatamaciptamandiri@gmail.com" TargetMode="External"/><Relationship Id="rId234" Type="http://schemas.openxmlformats.org/officeDocument/2006/relationships/hyperlink" Target="mailto:mahadicipta24@gmail.com" TargetMode="External"/><Relationship Id="rId2" Type="http://schemas.openxmlformats.org/officeDocument/2006/relationships/hyperlink" Target="mailto:jellung.realtindo@gmail.com" TargetMode="External"/><Relationship Id="rId29" Type="http://schemas.openxmlformats.org/officeDocument/2006/relationships/hyperlink" Target="mailto:bhumiciptakreasi.cv@gmail.com" TargetMode="External"/><Relationship Id="rId255" Type="http://schemas.openxmlformats.org/officeDocument/2006/relationships/hyperlink" Target="mailto:ptannabapersada5757@gmail.com" TargetMode="External"/><Relationship Id="rId40" Type="http://schemas.openxmlformats.org/officeDocument/2006/relationships/hyperlink" Target="mailto:teknika.jaya2020@gmail.com" TargetMode="External"/><Relationship Id="rId115" Type="http://schemas.openxmlformats.org/officeDocument/2006/relationships/hyperlink" Target="mailto:tritamalaksana@gmail.com" TargetMode="External"/><Relationship Id="rId136" Type="http://schemas.openxmlformats.org/officeDocument/2006/relationships/hyperlink" Target="mailto:istakamuda@yahoo.com" TargetMode="External"/><Relationship Id="rId157" Type="http://schemas.openxmlformats.org/officeDocument/2006/relationships/hyperlink" Target="mailto:bromasdamarkauripan@gmail.com" TargetMode="External"/><Relationship Id="rId178" Type="http://schemas.openxmlformats.org/officeDocument/2006/relationships/hyperlink" Target="mailto:blambangan.konsultan@gmail.com" TargetMode="External"/><Relationship Id="rId61" Type="http://schemas.openxmlformats.org/officeDocument/2006/relationships/hyperlink" Target="mailto:citramuda.konsultan@ymail.com" TargetMode="External"/><Relationship Id="rId82" Type="http://schemas.openxmlformats.org/officeDocument/2006/relationships/hyperlink" Target="mailto:cvprismarekatamakonsultan@gmail.com" TargetMode="External"/><Relationship Id="rId199" Type="http://schemas.openxmlformats.org/officeDocument/2006/relationships/hyperlink" Target="mailto:pustakasentradesain.cv@gmail.com" TargetMode="External"/><Relationship Id="rId203" Type="http://schemas.openxmlformats.org/officeDocument/2006/relationships/hyperlink" Target="mailto:undipcitra@gmail.com" TargetMode="External"/><Relationship Id="rId19" Type="http://schemas.openxmlformats.org/officeDocument/2006/relationships/hyperlink" Target="mailto:adhisatya234@gmail.com" TargetMode="External"/><Relationship Id="rId224" Type="http://schemas.openxmlformats.org/officeDocument/2006/relationships/hyperlink" Target="mailto:cvwisanggeniarsitektur@gmail.com" TargetMode="External"/><Relationship Id="rId245" Type="http://schemas.openxmlformats.org/officeDocument/2006/relationships/hyperlink" Target="mailto:ptadhistyadharmastitya@gmail.com" TargetMode="External"/><Relationship Id="rId30" Type="http://schemas.openxmlformats.org/officeDocument/2006/relationships/hyperlink" Target="mailto:cv.sangkaraarchitect@gmail.com" TargetMode="External"/><Relationship Id="rId105" Type="http://schemas.openxmlformats.org/officeDocument/2006/relationships/hyperlink" Target="mailto:cvkaryaakbarconsultant@gmail.com" TargetMode="External"/><Relationship Id="rId126" Type="http://schemas.openxmlformats.org/officeDocument/2006/relationships/hyperlink" Target="mailto:titiansejahtera86@gmail.com" TargetMode="External"/><Relationship Id="rId147" Type="http://schemas.openxmlformats.org/officeDocument/2006/relationships/hyperlink" Target="mailto:harsagrahaindonesia@gmail.com" TargetMode="External"/><Relationship Id="rId168" Type="http://schemas.openxmlformats.org/officeDocument/2006/relationships/hyperlink" Target="mailto:tunaskonsultan@yahoo.com" TargetMode="External"/><Relationship Id="rId51" Type="http://schemas.openxmlformats.org/officeDocument/2006/relationships/hyperlink" Target="mailto:barapilar20@gmail.com" TargetMode="External"/><Relationship Id="rId72" Type="http://schemas.openxmlformats.org/officeDocument/2006/relationships/hyperlink" Target="mailto:graciawidya1@gmail.com" TargetMode="External"/><Relationship Id="rId93" Type="http://schemas.openxmlformats.org/officeDocument/2006/relationships/hyperlink" Target="mailto:haryonoenko@gmail.com" TargetMode="External"/><Relationship Id="rId189" Type="http://schemas.openxmlformats.org/officeDocument/2006/relationships/hyperlink" Target="mailto:baratanabilapratama@gmail.com" TargetMode="External"/><Relationship Id="rId3" Type="http://schemas.openxmlformats.org/officeDocument/2006/relationships/hyperlink" Target="mailto:kencanamuliakarya2000@gmail.com" TargetMode="External"/><Relationship Id="rId214" Type="http://schemas.openxmlformats.org/officeDocument/2006/relationships/hyperlink" Target="mailto:mahakaryabumipersada@gmail.com" TargetMode="External"/><Relationship Id="rId235" Type="http://schemas.openxmlformats.org/officeDocument/2006/relationships/hyperlink" Target="mailto:perencanajayaindonesia@gmail.com" TargetMode="External"/><Relationship Id="rId256" Type="http://schemas.openxmlformats.org/officeDocument/2006/relationships/hyperlink" Target="mailto:akasarekasolusi@gmail.com" TargetMode="External"/><Relationship Id="rId116" Type="http://schemas.openxmlformats.org/officeDocument/2006/relationships/hyperlink" Target="mailto:cv.kc.elang@gmail.com" TargetMode="External"/><Relationship Id="rId137" Type="http://schemas.openxmlformats.org/officeDocument/2006/relationships/hyperlink" Target="mailto:javasvedakonsultan@gmail.com" TargetMode="External"/><Relationship Id="rId158" Type="http://schemas.openxmlformats.org/officeDocument/2006/relationships/hyperlink" Target="mailto:ciptaartakreasikons@gmail.com" TargetMode="External"/><Relationship Id="rId20" Type="http://schemas.openxmlformats.org/officeDocument/2006/relationships/hyperlink" Target="mailto:phicos.id@gmail.com" TargetMode="External"/><Relationship Id="rId41" Type="http://schemas.openxmlformats.org/officeDocument/2006/relationships/hyperlink" Target="mailto:carakagrhateknitama2020@gmail.com" TargetMode="External"/><Relationship Id="rId62" Type="http://schemas.openxmlformats.org/officeDocument/2006/relationships/hyperlink" Target="mailto:samudrakaryateknik@gmail.com" TargetMode="External"/><Relationship Id="rId83" Type="http://schemas.openxmlformats.org/officeDocument/2006/relationships/hyperlink" Target="mailto:harisetioskn@gmail.com" TargetMode="External"/><Relationship Id="rId179" Type="http://schemas.openxmlformats.org/officeDocument/2006/relationships/hyperlink" Target="mailto:cv.sinarkonsultanjaya67@gmail.com" TargetMode="External"/><Relationship Id="rId190" Type="http://schemas.openxmlformats.org/officeDocument/2006/relationships/hyperlink" Target="mailto:cvideabagusconsultant@gmail.com" TargetMode="External"/><Relationship Id="rId204" Type="http://schemas.openxmlformats.org/officeDocument/2006/relationships/hyperlink" Target="mailto:hilmyanugerah@yahoo.co.id" TargetMode="External"/><Relationship Id="rId225" Type="http://schemas.openxmlformats.org/officeDocument/2006/relationships/hyperlink" Target="mailto:semestarahayudisain@gmail.com" TargetMode="External"/><Relationship Id="rId246" Type="http://schemas.openxmlformats.org/officeDocument/2006/relationships/hyperlink" Target="mailto:pandupolakonsultan@gmail.com" TargetMode="External"/><Relationship Id="rId106" Type="http://schemas.openxmlformats.org/officeDocument/2006/relationships/hyperlink" Target="mailto:bayuprakarsaprima@gmail.com" TargetMode="External"/><Relationship Id="rId127" Type="http://schemas.openxmlformats.org/officeDocument/2006/relationships/hyperlink" Target="mailto:multiline.creator@gmail.com" TargetMode="External"/><Relationship Id="rId10" Type="http://schemas.openxmlformats.org/officeDocument/2006/relationships/hyperlink" Target="mailto:duta.primayuda@gmail.com" TargetMode="External"/><Relationship Id="rId31" Type="http://schemas.openxmlformats.org/officeDocument/2006/relationships/hyperlink" Target="mailto:slfkonsultan.smg@gmail.com" TargetMode="External"/><Relationship Id="rId52" Type="http://schemas.openxmlformats.org/officeDocument/2006/relationships/hyperlink" Target="mailto:cita.kreasindo@gmail.com" TargetMode="External"/><Relationship Id="rId73" Type="http://schemas.openxmlformats.org/officeDocument/2006/relationships/hyperlink" Target="mailto:geloracrono2@yahoo.com" TargetMode="External"/><Relationship Id="rId94" Type="http://schemas.openxmlformats.org/officeDocument/2006/relationships/hyperlink" Target="mailto:mitradesign21@gmail.com" TargetMode="External"/><Relationship Id="rId148" Type="http://schemas.openxmlformats.org/officeDocument/2006/relationships/hyperlink" Target="mailto:ptpuriajibuana@gmail.com" TargetMode="External"/><Relationship Id="rId169" Type="http://schemas.openxmlformats.org/officeDocument/2006/relationships/hyperlink" Target="mailto:akarkreasi.pt@gmail.com" TargetMode="External"/><Relationship Id="rId4" Type="http://schemas.openxmlformats.org/officeDocument/2006/relationships/hyperlink" Target="mailto:cvarsitra@gmail.com" TargetMode="External"/><Relationship Id="rId180" Type="http://schemas.openxmlformats.org/officeDocument/2006/relationships/hyperlink" Target="mailto:erinawijayaconsult@gmail.com" TargetMode="External"/><Relationship Id="rId215" Type="http://schemas.openxmlformats.org/officeDocument/2006/relationships/hyperlink" Target="mailto:cvdinastijavagroup@gmail.com" TargetMode="External"/><Relationship Id="rId236" Type="http://schemas.openxmlformats.org/officeDocument/2006/relationships/hyperlink" Target="mailto:daafconsultant@gmail.com" TargetMode="External"/><Relationship Id="rId257" Type="http://schemas.openxmlformats.org/officeDocument/2006/relationships/hyperlink" Target="mailto:dipodharmapersada@gmail.com" TargetMode="External"/><Relationship Id="rId42" Type="http://schemas.openxmlformats.org/officeDocument/2006/relationships/hyperlink" Target="mailto:marsonoabadi12@gmail.com" TargetMode="External"/><Relationship Id="rId84" Type="http://schemas.openxmlformats.org/officeDocument/2006/relationships/hyperlink" Target="mailto:surveypembangunan@gmail.com" TargetMode="External"/><Relationship Id="rId138" Type="http://schemas.openxmlformats.org/officeDocument/2006/relationships/hyperlink" Target="mailto:cv.idealmandiri@gmail.com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cv.senonurutama@gmail.com" TargetMode="External"/><Relationship Id="rId21" Type="http://schemas.openxmlformats.org/officeDocument/2006/relationships/hyperlink" Target="mailto:lais.engineering.indonesia@gmail.com" TargetMode="External"/><Relationship Id="rId63" Type="http://schemas.openxmlformats.org/officeDocument/2006/relationships/hyperlink" Target="mailto:candrakirana.dc@gmail.com" TargetMode="External"/><Relationship Id="rId159" Type="http://schemas.openxmlformats.org/officeDocument/2006/relationships/hyperlink" Target="mailto:cvmajapahit97@gmail.com" TargetMode="External"/><Relationship Id="rId170" Type="http://schemas.openxmlformats.org/officeDocument/2006/relationships/hyperlink" Target="mailto:cvmitrabersamamandiri1@gmail.com" TargetMode="External"/><Relationship Id="rId191" Type="http://schemas.openxmlformats.org/officeDocument/2006/relationships/hyperlink" Target="mailto:cv.berjayamakmurkonsultan@gmail.com" TargetMode="External"/><Relationship Id="rId205" Type="http://schemas.openxmlformats.org/officeDocument/2006/relationships/hyperlink" Target="mailto:ptkaryagumelarindonesia@gmail.com" TargetMode="External"/><Relationship Id="rId226" Type="http://schemas.openxmlformats.org/officeDocument/2006/relationships/hyperlink" Target="mailto:ideaciptakreasi@gmail.com" TargetMode="External"/><Relationship Id="rId247" Type="http://schemas.openxmlformats.org/officeDocument/2006/relationships/hyperlink" Target="mailto:hastakaryaprajapathi@gmail.com" TargetMode="External"/><Relationship Id="rId107" Type="http://schemas.openxmlformats.org/officeDocument/2006/relationships/hyperlink" Target="mailto:arthabc184@gmail.com" TargetMode="External"/><Relationship Id="rId11" Type="http://schemas.openxmlformats.org/officeDocument/2006/relationships/hyperlink" Target="mailto:rekadwipa.studio@gmail.com" TargetMode="External"/><Relationship Id="rId32" Type="http://schemas.openxmlformats.org/officeDocument/2006/relationships/hyperlink" Target="mailto:rafipermatajaya@gmail.com" TargetMode="External"/><Relationship Id="rId53" Type="http://schemas.openxmlformats.org/officeDocument/2006/relationships/hyperlink" Target="mailto:anugerah.jm@yahoo.com" TargetMode="External"/><Relationship Id="rId74" Type="http://schemas.openxmlformats.org/officeDocument/2006/relationships/hyperlink" Target="mailto:subekhan05@gmail.com" TargetMode="External"/><Relationship Id="rId128" Type="http://schemas.openxmlformats.org/officeDocument/2006/relationships/hyperlink" Target="mailto:cvpatriautamapkl@gmail.com" TargetMode="External"/><Relationship Id="rId149" Type="http://schemas.openxmlformats.org/officeDocument/2006/relationships/hyperlink" Target="mailto:cv.galihloka@gmail.com" TargetMode="External"/><Relationship Id="rId5" Type="http://schemas.openxmlformats.org/officeDocument/2006/relationships/hyperlink" Target="mailto:abiseka_nitibuana@yahoo.co.id" TargetMode="External"/><Relationship Id="rId95" Type="http://schemas.openxmlformats.org/officeDocument/2006/relationships/hyperlink" Target="mailto:agasha.kreatif@gmail.com" TargetMode="External"/><Relationship Id="rId160" Type="http://schemas.openxmlformats.org/officeDocument/2006/relationships/hyperlink" Target="mailto:cendanaciptacita@gmail.com" TargetMode="External"/><Relationship Id="rId181" Type="http://schemas.openxmlformats.org/officeDocument/2006/relationships/hyperlink" Target="mailto:konsultanprojo@gmail.com" TargetMode="External"/><Relationship Id="rId216" Type="http://schemas.openxmlformats.org/officeDocument/2006/relationships/hyperlink" Target="mailto:acegeconsultant@gmail.com" TargetMode="External"/><Relationship Id="rId237" Type="http://schemas.openxmlformats.org/officeDocument/2006/relationships/hyperlink" Target="mailto:globalwujudkreasi@gmail.com" TargetMode="External"/><Relationship Id="rId258" Type="http://schemas.openxmlformats.org/officeDocument/2006/relationships/hyperlink" Target="mailto:cvkonsultanbangunperkasa@gmail.com" TargetMode="External"/><Relationship Id="rId22" Type="http://schemas.openxmlformats.org/officeDocument/2006/relationships/hyperlink" Target="mailto:guratrp@gmail.com" TargetMode="External"/><Relationship Id="rId43" Type="http://schemas.openxmlformats.org/officeDocument/2006/relationships/hyperlink" Target="mailto:triganajayakonsultan.cv@gmail.com" TargetMode="External"/><Relationship Id="rId64" Type="http://schemas.openxmlformats.org/officeDocument/2006/relationships/hyperlink" Target="mailto:cvdelima55@gmail.com" TargetMode="External"/><Relationship Id="rId118" Type="http://schemas.openxmlformats.org/officeDocument/2006/relationships/hyperlink" Target="mailto:jazzelindonugraha@gmail.com" TargetMode="External"/><Relationship Id="rId139" Type="http://schemas.openxmlformats.org/officeDocument/2006/relationships/hyperlink" Target="mailto:cv.arjip@yahoo.com" TargetMode="External"/><Relationship Id="rId85" Type="http://schemas.openxmlformats.org/officeDocument/2006/relationships/hyperlink" Target="mailto:suminarjaya8@gmail.com" TargetMode="External"/><Relationship Id="rId150" Type="http://schemas.openxmlformats.org/officeDocument/2006/relationships/hyperlink" Target="mailto:gigapratamapekalongan@gmail.com" TargetMode="External"/><Relationship Id="rId171" Type="http://schemas.openxmlformats.org/officeDocument/2006/relationships/hyperlink" Target="mailto:pakarkita.konsultan@gmail.com" TargetMode="External"/><Relationship Id="rId192" Type="http://schemas.openxmlformats.org/officeDocument/2006/relationships/hyperlink" Target="mailto:cv.sumuragungkendal@gmail.com" TargetMode="External"/><Relationship Id="rId206" Type="http://schemas.openxmlformats.org/officeDocument/2006/relationships/hyperlink" Target="mailto:cvlemahabangengineering@gmail.com" TargetMode="External"/><Relationship Id="rId227" Type="http://schemas.openxmlformats.org/officeDocument/2006/relationships/hyperlink" Target="mailto:wirakaryaabadi.cv@gmail.com" TargetMode="External"/><Relationship Id="rId248" Type="http://schemas.openxmlformats.org/officeDocument/2006/relationships/hyperlink" Target="mailto:ptslf.id@gmail.com" TargetMode="External"/><Relationship Id="rId12" Type="http://schemas.openxmlformats.org/officeDocument/2006/relationships/hyperlink" Target="mailto:vikibalsa@yahoo.com" TargetMode="External"/><Relationship Id="rId33" Type="http://schemas.openxmlformats.org/officeDocument/2006/relationships/hyperlink" Target="mailto:radius4rc@gmail.com" TargetMode="External"/><Relationship Id="rId108" Type="http://schemas.openxmlformats.org/officeDocument/2006/relationships/hyperlink" Target="mailto:cv.aditkarya2018@gmail.com" TargetMode="External"/><Relationship Id="rId129" Type="http://schemas.openxmlformats.org/officeDocument/2006/relationships/hyperlink" Target="mailto:megajasaconsultant@gmail.com" TargetMode="External"/><Relationship Id="rId54" Type="http://schemas.openxmlformats.org/officeDocument/2006/relationships/hyperlink" Target="mailto:agoralegalitas@gmail.com" TargetMode="External"/><Relationship Id="rId75" Type="http://schemas.openxmlformats.org/officeDocument/2006/relationships/hyperlink" Target="mailto:dutacitraoss@gmail.com" TargetMode="External"/><Relationship Id="rId96" Type="http://schemas.openxmlformats.org/officeDocument/2006/relationships/hyperlink" Target="mailto:tectonicarch.rbg@gmail.com" TargetMode="External"/><Relationship Id="rId140" Type="http://schemas.openxmlformats.org/officeDocument/2006/relationships/hyperlink" Target="mailto:ciptamawakreasi@gmail.com" TargetMode="External"/><Relationship Id="rId161" Type="http://schemas.openxmlformats.org/officeDocument/2006/relationships/hyperlink" Target="mailto:rekayasamitramuda@gmail.com" TargetMode="External"/><Relationship Id="rId182" Type="http://schemas.openxmlformats.org/officeDocument/2006/relationships/hyperlink" Target="mailto:unggulsentosajaya1@gmail.com" TargetMode="External"/><Relationship Id="rId217" Type="http://schemas.openxmlformats.org/officeDocument/2006/relationships/hyperlink" Target="mailto:benoitestrategic@gmail.com" TargetMode="External"/><Relationship Id="rId6" Type="http://schemas.openxmlformats.org/officeDocument/2006/relationships/hyperlink" Target="mailto:cvtrisaktiarsitek@gmail.com" TargetMode="External"/><Relationship Id="rId238" Type="http://schemas.openxmlformats.org/officeDocument/2006/relationships/hyperlink" Target="mailto:ptmegantarakonsultan@gmail.com" TargetMode="External"/><Relationship Id="rId259" Type="http://schemas.openxmlformats.org/officeDocument/2006/relationships/hyperlink" Target="mailto:ptnexusconsultant@gmail.com" TargetMode="External"/><Relationship Id="rId23" Type="http://schemas.openxmlformats.org/officeDocument/2006/relationships/hyperlink" Target="mailto:bimakaryamandiri64@gmail.com" TargetMode="External"/><Relationship Id="rId119" Type="http://schemas.openxmlformats.org/officeDocument/2006/relationships/hyperlink" Target="mailto:rancang.cipta.global@gmail.com" TargetMode="External"/><Relationship Id="rId44" Type="http://schemas.openxmlformats.org/officeDocument/2006/relationships/hyperlink" Target="mailto:artiyaprimasejahtera.cv@gmail.com" TargetMode="External"/><Relationship Id="rId65" Type="http://schemas.openxmlformats.org/officeDocument/2006/relationships/hyperlink" Target="mailto:iqbalkurniawan195@gmail.com" TargetMode="External"/><Relationship Id="rId86" Type="http://schemas.openxmlformats.org/officeDocument/2006/relationships/hyperlink" Target="mailto:endrotrias@gmail.com" TargetMode="External"/><Relationship Id="rId130" Type="http://schemas.openxmlformats.org/officeDocument/2006/relationships/hyperlink" Target="mailto:cv.dharmaconsultant@gmail.com" TargetMode="External"/><Relationship Id="rId151" Type="http://schemas.openxmlformats.org/officeDocument/2006/relationships/hyperlink" Target="mailto:sabakonstruksi@gmail.com" TargetMode="External"/><Relationship Id="rId172" Type="http://schemas.openxmlformats.org/officeDocument/2006/relationships/hyperlink" Target="mailto:xynerva.pratama.consultant@gmail.com" TargetMode="External"/><Relationship Id="rId193" Type="http://schemas.openxmlformats.org/officeDocument/2006/relationships/hyperlink" Target="mailto:gnakonsultan.lpse@gmail.com" TargetMode="External"/><Relationship Id="rId207" Type="http://schemas.openxmlformats.org/officeDocument/2006/relationships/hyperlink" Target="mailto:project.apconsultant@gmail.com" TargetMode="External"/><Relationship Id="rId228" Type="http://schemas.openxmlformats.org/officeDocument/2006/relationships/hyperlink" Target="mailto:teamDTS19@gmail.com" TargetMode="External"/><Relationship Id="rId249" Type="http://schemas.openxmlformats.org/officeDocument/2006/relationships/hyperlink" Target="mailto:pentahelixkolaborasi@gmail.com" TargetMode="External"/><Relationship Id="rId13" Type="http://schemas.openxmlformats.org/officeDocument/2006/relationships/hyperlink" Target="mailto:3pusakadisain@gmail.com" TargetMode="External"/><Relationship Id="rId109" Type="http://schemas.openxmlformats.org/officeDocument/2006/relationships/hyperlink" Target="mailto:krida.ganesha@gmail.com" TargetMode="External"/><Relationship Id="rId260" Type="http://schemas.openxmlformats.org/officeDocument/2006/relationships/hyperlink" Target="mailto:cvganendraascarya@gmail.com" TargetMode="External"/><Relationship Id="rId34" Type="http://schemas.openxmlformats.org/officeDocument/2006/relationships/hyperlink" Target="mailto:cvnirmana20@gmail.com" TargetMode="External"/><Relationship Id="rId55" Type="http://schemas.openxmlformats.org/officeDocument/2006/relationships/hyperlink" Target="mailto:admptaretaswicaksana@gmail.com" TargetMode="External"/><Relationship Id="rId76" Type="http://schemas.openxmlformats.org/officeDocument/2006/relationships/hyperlink" Target="mailto:javagroup.indonesia@gmail.com" TargetMode="External"/><Relationship Id="rId97" Type="http://schemas.openxmlformats.org/officeDocument/2006/relationships/hyperlink" Target="mailto:suparno0912@gmail.com" TargetMode="External"/><Relationship Id="rId120" Type="http://schemas.openxmlformats.org/officeDocument/2006/relationships/hyperlink" Target="mailto:ptpancangmas@gmail.com" TargetMode="External"/><Relationship Id="rId141" Type="http://schemas.openxmlformats.org/officeDocument/2006/relationships/hyperlink" Target="mailto:raihanconsultant@gmail.com" TargetMode="External"/><Relationship Id="rId7" Type="http://schemas.openxmlformats.org/officeDocument/2006/relationships/hyperlink" Target="mailto:cvmangunajibdesign@yahoo.com" TargetMode="External"/><Relationship Id="rId162" Type="http://schemas.openxmlformats.org/officeDocument/2006/relationships/hyperlink" Target="mailto:mitradataabadisolo@gmail.com" TargetMode="External"/><Relationship Id="rId183" Type="http://schemas.openxmlformats.org/officeDocument/2006/relationships/hyperlink" Target="mailto:manunggalingkarsaabadi22@gmail.com" TargetMode="External"/><Relationship Id="rId218" Type="http://schemas.openxmlformats.org/officeDocument/2006/relationships/hyperlink" Target="mailto:ptwegandasricahya@gmail.com" TargetMode="External"/><Relationship Id="rId239" Type="http://schemas.openxmlformats.org/officeDocument/2006/relationships/hyperlink" Target="mailto:cvlunaris@gmail.com" TargetMode="External"/><Relationship Id="rId250" Type="http://schemas.openxmlformats.org/officeDocument/2006/relationships/hyperlink" Target="mailto:koopillar.td@gmail.com" TargetMode="External"/><Relationship Id="rId24" Type="http://schemas.openxmlformats.org/officeDocument/2006/relationships/hyperlink" Target="mailto:desaincitra@gmail.com" TargetMode="External"/><Relationship Id="rId45" Type="http://schemas.openxmlformats.org/officeDocument/2006/relationships/hyperlink" Target="mailto:citrayasadesain@gmail.com" TargetMode="External"/><Relationship Id="rId66" Type="http://schemas.openxmlformats.org/officeDocument/2006/relationships/hyperlink" Target="mailto:cvdutaoss@gmail.com" TargetMode="External"/><Relationship Id="rId87" Type="http://schemas.openxmlformats.org/officeDocument/2006/relationships/hyperlink" Target="mailto:admcvtemadea@gmail.com" TargetMode="External"/><Relationship Id="rId110" Type="http://schemas.openxmlformats.org/officeDocument/2006/relationships/hyperlink" Target="mailto:djawakaryakonsultan@yahoo.co.id" TargetMode="External"/><Relationship Id="rId131" Type="http://schemas.openxmlformats.org/officeDocument/2006/relationships/hyperlink" Target="mailto:cv.muktiganesha@gmail.com" TargetMode="External"/><Relationship Id="rId152" Type="http://schemas.openxmlformats.org/officeDocument/2006/relationships/hyperlink" Target="mailto:ptihsanginanjarkonsultan@gmail.com" TargetMode="External"/><Relationship Id="rId173" Type="http://schemas.openxmlformats.org/officeDocument/2006/relationships/hyperlink" Target="mailto:biaas.solusindo@gmail.com" TargetMode="External"/><Relationship Id="rId194" Type="http://schemas.openxmlformats.org/officeDocument/2006/relationships/hyperlink" Target="mailto:cv.kreasindomudamandiri@gmail.com" TargetMode="External"/><Relationship Id="rId208" Type="http://schemas.openxmlformats.org/officeDocument/2006/relationships/hyperlink" Target="mailto:cv.bahuwirya.nu2023@gmail.com" TargetMode="External"/><Relationship Id="rId229" Type="http://schemas.openxmlformats.org/officeDocument/2006/relationships/hyperlink" Target="mailto:cv.bangunperkasakonsultan@gmail.com" TargetMode="External"/><Relationship Id="rId240" Type="http://schemas.openxmlformats.org/officeDocument/2006/relationships/hyperlink" Target="mailto:pt.dk.rancangpersada@gmail.com" TargetMode="External"/><Relationship Id="rId261" Type="http://schemas.openxmlformats.org/officeDocument/2006/relationships/hyperlink" Target="mailto:ambara18225@gmail.com" TargetMode="External"/><Relationship Id="rId14" Type="http://schemas.openxmlformats.org/officeDocument/2006/relationships/hyperlink" Target="mailto:energi3.elektrindo@gmail.com" TargetMode="External"/><Relationship Id="rId35" Type="http://schemas.openxmlformats.org/officeDocument/2006/relationships/hyperlink" Target="mailto:citraasridesain.pt@gmail.com" TargetMode="External"/><Relationship Id="rId56" Type="http://schemas.openxmlformats.org/officeDocument/2006/relationships/hyperlink" Target="mailto:archdesignconsultant.rbg@gmail.com" TargetMode="External"/><Relationship Id="rId77" Type="http://schemas.openxmlformats.org/officeDocument/2006/relationships/hyperlink" Target="mailto:oksandhika@yahoo.co.id" TargetMode="External"/><Relationship Id="rId100" Type="http://schemas.openxmlformats.org/officeDocument/2006/relationships/hyperlink" Target="mailto:sucrotechfinance@yahoo.com" TargetMode="External"/><Relationship Id="rId8" Type="http://schemas.openxmlformats.org/officeDocument/2006/relationships/hyperlink" Target="mailto:jasautama@yahoo.co.id" TargetMode="External"/><Relationship Id="rId98" Type="http://schemas.openxmlformats.org/officeDocument/2006/relationships/hyperlink" Target="mailto:van.pt.vts@gmail.com" TargetMode="External"/><Relationship Id="rId121" Type="http://schemas.openxmlformats.org/officeDocument/2006/relationships/hyperlink" Target="mailto:karyaenjiniring@gmail.com" TargetMode="External"/><Relationship Id="rId142" Type="http://schemas.openxmlformats.org/officeDocument/2006/relationships/hyperlink" Target="mailto:citrakalpatarucv80@gmail.com" TargetMode="External"/><Relationship Id="rId163" Type="http://schemas.openxmlformats.org/officeDocument/2006/relationships/hyperlink" Target="mailto:info@krida-karya.co.id" TargetMode="External"/><Relationship Id="rId184" Type="http://schemas.openxmlformats.org/officeDocument/2006/relationships/hyperlink" Target="mailto:gracia.naturindo@gmail.com" TargetMode="External"/><Relationship Id="rId219" Type="http://schemas.openxmlformats.org/officeDocument/2006/relationships/hyperlink" Target="mailto:gafamediakonsultan@gmail.com" TargetMode="External"/><Relationship Id="rId230" Type="http://schemas.openxmlformats.org/officeDocument/2006/relationships/hyperlink" Target="mailto:pberdikari98@gmail.com" TargetMode="External"/><Relationship Id="rId251" Type="http://schemas.openxmlformats.org/officeDocument/2006/relationships/hyperlink" Target="mailto:cvkhazanahkatulistiwa@gmail.com" TargetMode="External"/><Relationship Id="rId25" Type="http://schemas.openxmlformats.org/officeDocument/2006/relationships/hyperlink" Target="mailto:cv.designengineering@gmail.com" TargetMode="External"/><Relationship Id="rId46" Type="http://schemas.openxmlformats.org/officeDocument/2006/relationships/hyperlink" Target="mailto:natawinasis@gmail.com" TargetMode="External"/><Relationship Id="rId67" Type="http://schemas.openxmlformats.org/officeDocument/2006/relationships/hyperlink" Target="mailto:ediyasa03@gmail.com" TargetMode="External"/><Relationship Id="rId88" Type="http://schemas.openxmlformats.org/officeDocument/2006/relationships/hyperlink" Target="mailto:tcitragunadesain@gmail.com" TargetMode="External"/><Relationship Id="rId111" Type="http://schemas.openxmlformats.org/officeDocument/2006/relationships/hyperlink" Target="mailto:lintaspembangunan.idn@gmail.com" TargetMode="External"/><Relationship Id="rId132" Type="http://schemas.openxmlformats.org/officeDocument/2006/relationships/hyperlink" Target="mailto:bengawantjipta@gmail.com" TargetMode="External"/><Relationship Id="rId153" Type="http://schemas.openxmlformats.org/officeDocument/2006/relationships/hyperlink" Target="mailto:slawikonsultan@gmail.com" TargetMode="External"/><Relationship Id="rId174" Type="http://schemas.openxmlformats.org/officeDocument/2006/relationships/hyperlink" Target="mailto:sondarekayasa2016@gmail.com" TargetMode="External"/><Relationship Id="rId195" Type="http://schemas.openxmlformats.org/officeDocument/2006/relationships/hyperlink" Target="mailto:ptfasakaryahutama@gmail.com" TargetMode="External"/><Relationship Id="rId209" Type="http://schemas.openxmlformats.org/officeDocument/2006/relationships/hyperlink" Target="mailto:arhengineering92@gmail.com" TargetMode="External"/><Relationship Id="rId220" Type="http://schemas.openxmlformats.org/officeDocument/2006/relationships/hyperlink" Target="mailto:cv.dutateknikkonsultan@gmail.com" TargetMode="External"/><Relationship Id="rId241" Type="http://schemas.openxmlformats.org/officeDocument/2006/relationships/hyperlink" Target="mailto:risanngremboko@gmail.com" TargetMode="External"/><Relationship Id="rId15" Type="http://schemas.openxmlformats.org/officeDocument/2006/relationships/hyperlink" Target="mailto:ptindotama@yahoo.co.id" TargetMode="External"/><Relationship Id="rId36" Type="http://schemas.openxmlformats.org/officeDocument/2006/relationships/hyperlink" Target="mailto:pt.gatra@gmail.com" TargetMode="External"/><Relationship Id="rId57" Type="http://schemas.openxmlformats.org/officeDocument/2006/relationships/hyperlink" Target="mailto:andalanconsultant@yahoo.co.id" TargetMode="External"/><Relationship Id="rId262" Type="http://schemas.openxmlformats.org/officeDocument/2006/relationships/hyperlink" Target="mailto:kjjpsihwiryadi@gmail.com" TargetMode="External"/><Relationship Id="rId78" Type="http://schemas.openxmlformats.org/officeDocument/2006/relationships/hyperlink" Target="mailto:steger8370@gmail.com" TargetMode="External"/><Relationship Id="rId99" Type="http://schemas.openxmlformats.org/officeDocument/2006/relationships/hyperlink" Target="mailto:cv.mahakarya16@gmail.com" TargetMode="External"/><Relationship Id="rId101" Type="http://schemas.openxmlformats.org/officeDocument/2006/relationships/hyperlink" Target="mailto:mirazhcons@gmail.com" TargetMode="External"/><Relationship Id="rId122" Type="http://schemas.openxmlformats.org/officeDocument/2006/relationships/hyperlink" Target="mailto:citrapatabangunpersada@gmail.com" TargetMode="External"/><Relationship Id="rId143" Type="http://schemas.openxmlformats.org/officeDocument/2006/relationships/hyperlink" Target="mailto:integrita_cv@yahoo.com" TargetMode="External"/><Relationship Id="rId164" Type="http://schemas.openxmlformats.org/officeDocument/2006/relationships/hyperlink" Target="mailto:adhyastharekayasadesain@gmail.com" TargetMode="External"/><Relationship Id="rId185" Type="http://schemas.openxmlformats.org/officeDocument/2006/relationships/hyperlink" Target="mailto:jatiutama15@gmail.com" TargetMode="External"/><Relationship Id="rId9" Type="http://schemas.openxmlformats.org/officeDocument/2006/relationships/hyperlink" Target="mailto:cvmutiarakonsultant@gmail.com" TargetMode="External"/><Relationship Id="rId210" Type="http://schemas.openxmlformats.org/officeDocument/2006/relationships/hyperlink" Target="mailto:abiyyukaryakonsultan.pt@gmail.com" TargetMode="External"/><Relationship Id="rId26" Type="http://schemas.openxmlformats.org/officeDocument/2006/relationships/hyperlink" Target="mailto:hrv.planner@yahoo.com" TargetMode="External"/><Relationship Id="rId231" Type="http://schemas.openxmlformats.org/officeDocument/2006/relationships/hyperlink" Target="mailto:lina.consultant8010@gmail.com" TargetMode="External"/><Relationship Id="rId252" Type="http://schemas.openxmlformats.org/officeDocument/2006/relationships/hyperlink" Target="mailto:pt.triarthaprajakarya@gmail.com" TargetMode="External"/><Relationship Id="rId47" Type="http://schemas.openxmlformats.org/officeDocument/2006/relationships/hyperlink" Target="mailto:sasmita.murakabi@gmail.com" TargetMode="External"/><Relationship Id="rId68" Type="http://schemas.openxmlformats.org/officeDocument/2006/relationships/hyperlink" Target="mailto:gunatataperkasa@gmail.com" TargetMode="External"/><Relationship Id="rId89" Type="http://schemas.openxmlformats.org/officeDocument/2006/relationships/hyperlink" Target="mailto:v_sarwahita@yahoo.co.id" TargetMode="External"/><Relationship Id="rId112" Type="http://schemas.openxmlformats.org/officeDocument/2006/relationships/hyperlink" Target="mailto:harsayakarya@gmail.com" TargetMode="External"/><Relationship Id="rId133" Type="http://schemas.openxmlformats.org/officeDocument/2006/relationships/hyperlink" Target="mailto:tunggulmajapahitsejahtera@gmail.com" TargetMode="External"/><Relationship Id="rId154" Type="http://schemas.openxmlformats.org/officeDocument/2006/relationships/hyperlink" Target="mailto:heriyanto.1463@gmail.com" TargetMode="External"/><Relationship Id="rId175" Type="http://schemas.openxmlformats.org/officeDocument/2006/relationships/hyperlink" Target="mailto:pt.permadanikhatulistiwa01@gmail.com" TargetMode="External"/><Relationship Id="rId196" Type="http://schemas.openxmlformats.org/officeDocument/2006/relationships/hyperlink" Target="mailto:mahna.he.al.abadah@gmail.com" TargetMode="External"/><Relationship Id="rId200" Type="http://schemas.openxmlformats.org/officeDocument/2006/relationships/hyperlink" Target="mailto:ptpurifikasi@gmail.com" TargetMode="External"/><Relationship Id="rId16" Type="http://schemas.openxmlformats.org/officeDocument/2006/relationships/hyperlink" Target="mailto:contact@gwadestek.com" TargetMode="External"/><Relationship Id="rId221" Type="http://schemas.openxmlformats.org/officeDocument/2006/relationships/hyperlink" Target="mailto:design.by.smartlab@gmail.com" TargetMode="External"/><Relationship Id="rId242" Type="http://schemas.openxmlformats.org/officeDocument/2006/relationships/hyperlink" Target="mailto:multigraha.cons@gmail.com" TargetMode="External"/><Relationship Id="rId263" Type="http://schemas.openxmlformats.org/officeDocument/2006/relationships/hyperlink" Target="mailto:mogujaya9@gmail.com" TargetMode="External"/><Relationship Id="rId37" Type="http://schemas.openxmlformats.org/officeDocument/2006/relationships/hyperlink" Target="mailto:salcocv.konsultan@gmail.com" TargetMode="External"/><Relationship Id="rId58" Type="http://schemas.openxmlformats.org/officeDocument/2006/relationships/hyperlink" Target="mailto:cvbarunajaya.tmg@gmail.com" TargetMode="External"/><Relationship Id="rId79" Type="http://schemas.openxmlformats.org/officeDocument/2006/relationships/hyperlink" Target="mailto:mgl.mktoni@gmail.com" TargetMode="External"/><Relationship Id="rId102" Type="http://schemas.openxmlformats.org/officeDocument/2006/relationships/hyperlink" Target="mailto:ptesensinara@gmail.com" TargetMode="External"/><Relationship Id="rId123" Type="http://schemas.openxmlformats.org/officeDocument/2006/relationships/hyperlink" Target="mailto:suryanuskonsultan@gmail.com" TargetMode="External"/><Relationship Id="rId144" Type="http://schemas.openxmlformats.org/officeDocument/2006/relationships/hyperlink" Target="mailto:cvinovatifseketsa@gmail.com" TargetMode="External"/><Relationship Id="rId90" Type="http://schemas.openxmlformats.org/officeDocument/2006/relationships/hyperlink" Target="mailto:ptwastuwidyawan@gmail.com" TargetMode="External"/><Relationship Id="rId165" Type="http://schemas.openxmlformats.org/officeDocument/2006/relationships/hyperlink" Target="mailto:cv.gagasrancangpersada@gmail.com" TargetMode="External"/><Relationship Id="rId186" Type="http://schemas.openxmlformats.org/officeDocument/2006/relationships/hyperlink" Target="mailto:intiglobal.net@gmail.com" TargetMode="External"/><Relationship Id="rId211" Type="http://schemas.openxmlformats.org/officeDocument/2006/relationships/hyperlink" Target="mailto:abekaryakebumen@gmail.com" TargetMode="External"/><Relationship Id="rId232" Type="http://schemas.openxmlformats.org/officeDocument/2006/relationships/hyperlink" Target="mailto:drekapuri@yahoo.com" TargetMode="External"/><Relationship Id="rId253" Type="http://schemas.openxmlformats.org/officeDocument/2006/relationships/hyperlink" Target="mailto:puspahadismg@gmail.com" TargetMode="External"/><Relationship Id="rId27" Type="http://schemas.openxmlformats.org/officeDocument/2006/relationships/hyperlink" Target="mailto:azrina.jaya.konsultan@gmail.com" TargetMode="External"/><Relationship Id="rId48" Type="http://schemas.openxmlformats.org/officeDocument/2006/relationships/hyperlink" Target="mailto:shirvanoconsulting@gmail.com" TargetMode="External"/><Relationship Id="rId69" Type="http://schemas.openxmlformats.org/officeDocument/2006/relationships/hyperlink" Target="mailto:gmtmandiritunggal2@gmail.com" TargetMode="External"/><Relationship Id="rId113" Type="http://schemas.openxmlformats.org/officeDocument/2006/relationships/hyperlink" Target="mailto:cahayakaryaengineering@gmail.com" TargetMode="External"/><Relationship Id="rId134" Type="http://schemas.openxmlformats.org/officeDocument/2006/relationships/hyperlink" Target="mailto:irsyadkurniadesign@gmail.com" TargetMode="External"/><Relationship Id="rId80" Type="http://schemas.openxmlformats.org/officeDocument/2006/relationships/hyperlink" Target="mailto:medisain.konsultan@gmail.com" TargetMode="External"/><Relationship Id="rId155" Type="http://schemas.openxmlformats.org/officeDocument/2006/relationships/hyperlink" Target="mailto:arthagemilang08@gmail.com" TargetMode="External"/><Relationship Id="rId176" Type="http://schemas.openxmlformats.org/officeDocument/2006/relationships/hyperlink" Target="mailto:adyatma.consultant@gmail.com" TargetMode="External"/><Relationship Id="rId197" Type="http://schemas.openxmlformats.org/officeDocument/2006/relationships/hyperlink" Target="mailto:intankautama@gmail.com" TargetMode="External"/><Relationship Id="rId201" Type="http://schemas.openxmlformats.org/officeDocument/2006/relationships/hyperlink" Target="mailto:pratamajayareka.office@gmail.com" TargetMode="External"/><Relationship Id="rId222" Type="http://schemas.openxmlformats.org/officeDocument/2006/relationships/hyperlink" Target="mailto:admin@ptskalaabadijaya.com" TargetMode="External"/><Relationship Id="rId243" Type="http://schemas.openxmlformats.org/officeDocument/2006/relationships/hyperlink" Target="mailto:winkaryadesain24@gmail.com" TargetMode="External"/><Relationship Id="rId264" Type="http://schemas.openxmlformats.org/officeDocument/2006/relationships/hyperlink" Target="mailto:kendhamel.consultant24@gmail.com" TargetMode="External"/><Relationship Id="rId17" Type="http://schemas.openxmlformats.org/officeDocument/2006/relationships/hyperlink" Target="mailto:trihastasejahtera@gmail.com" TargetMode="External"/><Relationship Id="rId38" Type="http://schemas.openxmlformats.org/officeDocument/2006/relationships/hyperlink" Target="mailto:pt.jbkons@gmail.com" TargetMode="External"/><Relationship Id="rId59" Type="http://schemas.openxmlformats.org/officeDocument/2006/relationships/hyperlink" Target="mailto:borobudurec1@gmail.com" TargetMode="External"/><Relationship Id="rId103" Type="http://schemas.openxmlformats.org/officeDocument/2006/relationships/hyperlink" Target="mailto:fikriya.consultant@gmail.com" TargetMode="External"/><Relationship Id="rId124" Type="http://schemas.openxmlformats.org/officeDocument/2006/relationships/hyperlink" Target="mailto:cv.bismat@gmail.com" TargetMode="External"/><Relationship Id="rId70" Type="http://schemas.openxmlformats.org/officeDocument/2006/relationships/hyperlink" Target="mailto:geosaranaguna@gmail.com" TargetMode="External"/><Relationship Id="rId91" Type="http://schemas.openxmlformats.org/officeDocument/2006/relationships/hyperlink" Target="mailto:yoka.pajak@gmail.com" TargetMode="External"/><Relationship Id="rId145" Type="http://schemas.openxmlformats.org/officeDocument/2006/relationships/hyperlink" Target="mailto:griyaputrakonsultama@gmail.com" TargetMode="External"/><Relationship Id="rId166" Type="http://schemas.openxmlformats.org/officeDocument/2006/relationships/hyperlink" Target="mailto:pt.sangklatmataspratomo@gmail.com" TargetMode="External"/><Relationship Id="rId187" Type="http://schemas.openxmlformats.org/officeDocument/2006/relationships/hyperlink" Target="mailto:pilartritamakonsultan@yahoo.co.id" TargetMode="External"/><Relationship Id="rId1" Type="http://schemas.openxmlformats.org/officeDocument/2006/relationships/hyperlink" Target="mailto:fina.kusnadi@gmail.com" TargetMode="External"/><Relationship Id="rId212" Type="http://schemas.openxmlformats.org/officeDocument/2006/relationships/hyperlink" Target="mailto:oknikaarchitect@gmail.com" TargetMode="External"/><Relationship Id="rId233" Type="http://schemas.openxmlformats.org/officeDocument/2006/relationships/hyperlink" Target="mailto:arstudio.architects13@gmail.com" TargetMode="External"/><Relationship Id="rId254" Type="http://schemas.openxmlformats.org/officeDocument/2006/relationships/hyperlink" Target="mailto:adhigunarikshapratama@gmail.com" TargetMode="External"/><Relationship Id="rId28" Type="http://schemas.openxmlformats.org/officeDocument/2006/relationships/hyperlink" Target="mailto:cv.adhyastarekapersada@gmail.com" TargetMode="External"/><Relationship Id="rId49" Type="http://schemas.openxmlformats.org/officeDocument/2006/relationships/hyperlink" Target="mailto:purisaptaconsultant@yahoo.com" TargetMode="External"/><Relationship Id="rId114" Type="http://schemas.openxmlformats.org/officeDocument/2006/relationships/hyperlink" Target="mailto:sigmapratamaengineering@gmail.com" TargetMode="External"/><Relationship Id="rId60" Type="http://schemas.openxmlformats.org/officeDocument/2006/relationships/hyperlink" Target="mailto:barokahteknika69@gmail.com" TargetMode="External"/><Relationship Id="rId81" Type="http://schemas.openxmlformats.org/officeDocument/2006/relationships/hyperlink" Target="mailto:parisraya.smrg@gmail.com" TargetMode="External"/><Relationship Id="rId135" Type="http://schemas.openxmlformats.org/officeDocument/2006/relationships/hyperlink" Target="mailto:cv.resko_teknik@yahoo.co.id" TargetMode="External"/><Relationship Id="rId156" Type="http://schemas.openxmlformats.org/officeDocument/2006/relationships/hyperlink" Target="mailto:binarekatamacv@gmail.com" TargetMode="External"/><Relationship Id="rId177" Type="http://schemas.openxmlformats.org/officeDocument/2006/relationships/hyperlink" Target="mailto:CV.BOGOWONTOSAE@GMAIL.com" TargetMode="External"/><Relationship Id="rId198" Type="http://schemas.openxmlformats.org/officeDocument/2006/relationships/hyperlink" Target="mailto:abhinayacaturkarsa@gmail.com" TargetMode="External"/><Relationship Id="rId202" Type="http://schemas.openxmlformats.org/officeDocument/2006/relationships/hyperlink" Target="mailto:pebi.cv@gmail.com" TargetMode="External"/><Relationship Id="rId223" Type="http://schemas.openxmlformats.org/officeDocument/2006/relationships/hyperlink" Target="mailto:putrarayaconsultants@gmail.com" TargetMode="External"/><Relationship Id="rId244" Type="http://schemas.openxmlformats.org/officeDocument/2006/relationships/hyperlink" Target="mailto:improvekaryasolusi@gmail.com" TargetMode="External"/><Relationship Id="rId18" Type="http://schemas.openxmlformats.org/officeDocument/2006/relationships/hyperlink" Target="mailto:tatarekaprayautamapt@gmail.com" TargetMode="External"/><Relationship Id="rId39" Type="http://schemas.openxmlformats.org/officeDocument/2006/relationships/hyperlink" Target="mailto:mustikoklopojati@gmail.com" TargetMode="External"/><Relationship Id="rId50" Type="http://schemas.openxmlformats.org/officeDocument/2006/relationships/hyperlink" Target="mailto:skala.teknik@yahoo.com" TargetMode="External"/><Relationship Id="rId104" Type="http://schemas.openxmlformats.org/officeDocument/2006/relationships/hyperlink" Target="mailto:dtm.diponegoro@gmail.com" TargetMode="External"/><Relationship Id="rId125" Type="http://schemas.openxmlformats.org/officeDocument/2006/relationships/hyperlink" Target="mailto:hitakaryajasa@gmail.com" TargetMode="External"/><Relationship Id="rId146" Type="http://schemas.openxmlformats.org/officeDocument/2006/relationships/hyperlink" Target="mailto:cv.setiyabakthi@gmail.com" TargetMode="External"/><Relationship Id="rId167" Type="http://schemas.openxmlformats.org/officeDocument/2006/relationships/hyperlink" Target="mailto:javasfantana@gmail.com" TargetMode="External"/><Relationship Id="rId188" Type="http://schemas.openxmlformats.org/officeDocument/2006/relationships/hyperlink" Target="mailto:ekajayamultiguna@gmail.com" TargetMode="External"/><Relationship Id="rId71" Type="http://schemas.openxmlformats.org/officeDocument/2006/relationships/hyperlink" Target="mailto:graciaadicipta@gmail.com" TargetMode="External"/><Relationship Id="rId92" Type="http://schemas.openxmlformats.org/officeDocument/2006/relationships/hyperlink" Target="mailto:rekamatrakencana@yahoo.co.id" TargetMode="External"/><Relationship Id="rId213" Type="http://schemas.openxmlformats.org/officeDocument/2006/relationships/hyperlink" Target="mailto:artatamaciptamandiri@gmail.com" TargetMode="External"/><Relationship Id="rId234" Type="http://schemas.openxmlformats.org/officeDocument/2006/relationships/hyperlink" Target="mailto:mahadicipta24@gmail.com" TargetMode="External"/><Relationship Id="rId2" Type="http://schemas.openxmlformats.org/officeDocument/2006/relationships/hyperlink" Target="mailto:jellung.realtindo@gmail.com" TargetMode="External"/><Relationship Id="rId29" Type="http://schemas.openxmlformats.org/officeDocument/2006/relationships/hyperlink" Target="mailto:bhumiciptakreasi.cv@gmail.com" TargetMode="External"/><Relationship Id="rId255" Type="http://schemas.openxmlformats.org/officeDocument/2006/relationships/hyperlink" Target="mailto:ptannabapersada5757@gmail.com" TargetMode="External"/><Relationship Id="rId40" Type="http://schemas.openxmlformats.org/officeDocument/2006/relationships/hyperlink" Target="mailto:teknika.jaya2020@gmail.com" TargetMode="External"/><Relationship Id="rId115" Type="http://schemas.openxmlformats.org/officeDocument/2006/relationships/hyperlink" Target="mailto:tritamalaksana@gmail.com" TargetMode="External"/><Relationship Id="rId136" Type="http://schemas.openxmlformats.org/officeDocument/2006/relationships/hyperlink" Target="mailto:istakamuda@yahoo.com" TargetMode="External"/><Relationship Id="rId157" Type="http://schemas.openxmlformats.org/officeDocument/2006/relationships/hyperlink" Target="mailto:bromasdamarkauripan@gmail.com" TargetMode="External"/><Relationship Id="rId178" Type="http://schemas.openxmlformats.org/officeDocument/2006/relationships/hyperlink" Target="mailto:blambangan.konsultan@gmail.com" TargetMode="External"/><Relationship Id="rId61" Type="http://schemas.openxmlformats.org/officeDocument/2006/relationships/hyperlink" Target="mailto:citramuda.konsultan@ymail.com" TargetMode="External"/><Relationship Id="rId82" Type="http://schemas.openxmlformats.org/officeDocument/2006/relationships/hyperlink" Target="mailto:cvprismarekatamakonsultan@gmail.com" TargetMode="External"/><Relationship Id="rId199" Type="http://schemas.openxmlformats.org/officeDocument/2006/relationships/hyperlink" Target="mailto:pustakasentradesain.cv@gmail.com" TargetMode="External"/><Relationship Id="rId203" Type="http://schemas.openxmlformats.org/officeDocument/2006/relationships/hyperlink" Target="mailto:undipcitra@gmail.com" TargetMode="External"/><Relationship Id="rId19" Type="http://schemas.openxmlformats.org/officeDocument/2006/relationships/hyperlink" Target="mailto:adhisatya234@gmail.com" TargetMode="External"/><Relationship Id="rId224" Type="http://schemas.openxmlformats.org/officeDocument/2006/relationships/hyperlink" Target="mailto:cvwisanggeniarsitektur@gmail.com" TargetMode="External"/><Relationship Id="rId245" Type="http://schemas.openxmlformats.org/officeDocument/2006/relationships/hyperlink" Target="mailto:ptadhistyadharmastitya@gmail.com" TargetMode="External"/><Relationship Id="rId30" Type="http://schemas.openxmlformats.org/officeDocument/2006/relationships/hyperlink" Target="mailto:cv.sangkaraarchitect@gmail.com" TargetMode="External"/><Relationship Id="rId105" Type="http://schemas.openxmlformats.org/officeDocument/2006/relationships/hyperlink" Target="mailto:cvkaryaakbarconsultant@gmail.com" TargetMode="External"/><Relationship Id="rId126" Type="http://schemas.openxmlformats.org/officeDocument/2006/relationships/hyperlink" Target="mailto:titiansejahtera86@gmail.com" TargetMode="External"/><Relationship Id="rId147" Type="http://schemas.openxmlformats.org/officeDocument/2006/relationships/hyperlink" Target="mailto:harsagrahaindonesia@gmail.com" TargetMode="External"/><Relationship Id="rId168" Type="http://schemas.openxmlformats.org/officeDocument/2006/relationships/hyperlink" Target="mailto:tunaskonsultan@yahoo.com" TargetMode="External"/><Relationship Id="rId51" Type="http://schemas.openxmlformats.org/officeDocument/2006/relationships/hyperlink" Target="mailto:barapilar20@gmail.com" TargetMode="External"/><Relationship Id="rId72" Type="http://schemas.openxmlformats.org/officeDocument/2006/relationships/hyperlink" Target="mailto:graciawidya1@gmail.com" TargetMode="External"/><Relationship Id="rId93" Type="http://schemas.openxmlformats.org/officeDocument/2006/relationships/hyperlink" Target="mailto:haryonoenko@gmail.com" TargetMode="External"/><Relationship Id="rId189" Type="http://schemas.openxmlformats.org/officeDocument/2006/relationships/hyperlink" Target="mailto:baratanabilapratama@gmail.com" TargetMode="External"/><Relationship Id="rId3" Type="http://schemas.openxmlformats.org/officeDocument/2006/relationships/hyperlink" Target="mailto:kencanamuliakarya2000@gmail.com" TargetMode="External"/><Relationship Id="rId214" Type="http://schemas.openxmlformats.org/officeDocument/2006/relationships/hyperlink" Target="mailto:mahakaryabumipersada@gmail.com" TargetMode="External"/><Relationship Id="rId235" Type="http://schemas.openxmlformats.org/officeDocument/2006/relationships/hyperlink" Target="mailto:perencanajayaindonesia@gmail.com" TargetMode="External"/><Relationship Id="rId256" Type="http://schemas.openxmlformats.org/officeDocument/2006/relationships/hyperlink" Target="mailto:akasarekasolusi@gmail.com" TargetMode="External"/><Relationship Id="rId116" Type="http://schemas.openxmlformats.org/officeDocument/2006/relationships/hyperlink" Target="mailto:cv.kc.elang@gmail.com" TargetMode="External"/><Relationship Id="rId137" Type="http://schemas.openxmlformats.org/officeDocument/2006/relationships/hyperlink" Target="mailto:javasvedakonsultan@gmail.com" TargetMode="External"/><Relationship Id="rId158" Type="http://schemas.openxmlformats.org/officeDocument/2006/relationships/hyperlink" Target="mailto:ciptaartakreasikons@gmail.com" TargetMode="External"/><Relationship Id="rId20" Type="http://schemas.openxmlformats.org/officeDocument/2006/relationships/hyperlink" Target="mailto:phicos.id@gmail.com" TargetMode="External"/><Relationship Id="rId41" Type="http://schemas.openxmlformats.org/officeDocument/2006/relationships/hyperlink" Target="mailto:carakagrhateknitama2020@gmail.com" TargetMode="External"/><Relationship Id="rId62" Type="http://schemas.openxmlformats.org/officeDocument/2006/relationships/hyperlink" Target="mailto:samudrakaryateknik@gmail.com" TargetMode="External"/><Relationship Id="rId83" Type="http://schemas.openxmlformats.org/officeDocument/2006/relationships/hyperlink" Target="mailto:harisetioskn@gmail.com" TargetMode="External"/><Relationship Id="rId179" Type="http://schemas.openxmlformats.org/officeDocument/2006/relationships/hyperlink" Target="mailto:cv.sinarkonsultanjaya67@gmail.com" TargetMode="External"/><Relationship Id="rId190" Type="http://schemas.openxmlformats.org/officeDocument/2006/relationships/hyperlink" Target="mailto:cvideabagusconsultant@gmail.com" TargetMode="External"/><Relationship Id="rId204" Type="http://schemas.openxmlformats.org/officeDocument/2006/relationships/hyperlink" Target="mailto:hilmyanugerah@yahoo.co.id" TargetMode="External"/><Relationship Id="rId225" Type="http://schemas.openxmlformats.org/officeDocument/2006/relationships/hyperlink" Target="mailto:semestarahayudisain@gmail.com" TargetMode="External"/><Relationship Id="rId246" Type="http://schemas.openxmlformats.org/officeDocument/2006/relationships/hyperlink" Target="mailto:pandupolakonsultan@gmail.com" TargetMode="External"/><Relationship Id="rId106" Type="http://schemas.openxmlformats.org/officeDocument/2006/relationships/hyperlink" Target="mailto:bayuprakarsaprima@gmail.com" TargetMode="External"/><Relationship Id="rId127" Type="http://schemas.openxmlformats.org/officeDocument/2006/relationships/hyperlink" Target="mailto:multiline.creator@gmail.com" TargetMode="External"/><Relationship Id="rId10" Type="http://schemas.openxmlformats.org/officeDocument/2006/relationships/hyperlink" Target="mailto:duta.primayuda@gmail.com" TargetMode="External"/><Relationship Id="rId31" Type="http://schemas.openxmlformats.org/officeDocument/2006/relationships/hyperlink" Target="mailto:slfkonsultan.smg@gmail.com" TargetMode="External"/><Relationship Id="rId52" Type="http://schemas.openxmlformats.org/officeDocument/2006/relationships/hyperlink" Target="mailto:cita.kreasindo@gmail.com" TargetMode="External"/><Relationship Id="rId73" Type="http://schemas.openxmlformats.org/officeDocument/2006/relationships/hyperlink" Target="mailto:geloracrono2@yahoo.com" TargetMode="External"/><Relationship Id="rId94" Type="http://schemas.openxmlformats.org/officeDocument/2006/relationships/hyperlink" Target="mailto:mitradesign21@gmail.com" TargetMode="External"/><Relationship Id="rId148" Type="http://schemas.openxmlformats.org/officeDocument/2006/relationships/hyperlink" Target="mailto:ptpuriajibuana@gmail.com" TargetMode="External"/><Relationship Id="rId169" Type="http://schemas.openxmlformats.org/officeDocument/2006/relationships/hyperlink" Target="mailto:akarkreasi.pt@gmail.com" TargetMode="External"/><Relationship Id="rId4" Type="http://schemas.openxmlformats.org/officeDocument/2006/relationships/hyperlink" Target="mailto:cvarsitra@gmail.com" TargetMode="External"/><Relationship Id="rId180" Type="http://schemas.openxmlformats.org/officeDocument/2006/relationships/hyperlink" Target="mailto:erinawijayaconsult@gmail.com" TargetMode="External"/><Relationship Id="rId215" Type="http://schemas.openxmlformats.org/officeDocument/2006/relationships/hyperlink" Target="mailto:cvdinastijavagroup@gmail.com" TargetMode="External"/><Relationship Id="rId236" Type="http://schemas.openxmlformats.org/officeDocument/2006/relationships/hyperlink" Target="mailto:daafconsultant@gmail.com" TargetMode="External"/><Relationship Id="rId257" Type="http://schemas.openxmlformats.org/officeDocument/2006/relationships/hyperlink" Target="mailto:dipodharmapersada@gmail.com" TargetMode="External"/><Relationship Id="rId42" Type="http://schemas.openxmlformats.org/officeDocument/2006/relationships/hyperlink" Target="mailto:marsonoabadi12@gmail.com" TargetMode="External"/><Relationship Id="rId84" Type="http://schemas.openxmlformats.org/officeDocument/2006/relationships/hyperlink" Target="mailto:surveypembangunan@gmail.com" TargetMode="External"/><Relationship Id="rId138" Type="http://schemas.openxmlformats.org/officeDocument/2006/relationships/hyperlink" Target="mailto:cv.idealmandi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034C-09C3-4BF0-92B0-5F5B80CC6FBD}">
  <dimension ref="A1:BG608"/>
  <sheetViews>
    <sheetView view="pageBreakPreview" topLeftCell="H513" zoomScale="85" zoomScaleNormal="100" zoomScaleSheetLayoutView="85" workbookViewId="0">
      <selection activeCell="AB534" sqref="AB534"/>
    </sheetView>
  </sheetViews>
  <sheetFormatPr baseColWidth="10" defaultColWidth="8.83203125" defaultRowHeight="15" outlineLevelCol="1" x14ac:dyDescent="0.2"/>
  <cols>
    <col min="1" max="1" width="5.83203125" customWidth="1"/>
    <col min="2" max="2" width="16.83203125" customWidth="1"/>
    <col min="3" max="3" width="51.1640625" customWidth="1"/>
    <col min="4" max="4" width="46.5" bestFit="1" customWidth="1"/>
    <col min="5" max="5" width="17.33203125" customWidth="1"/>
    <col min="6" max="6" width="63.6640625" bestFit="1" customWidth="1"/>
    <col min="7" max="8" width="17.6640625" bestFit="1" customWidth="1"/>
    <col min="9" max="9" width="17.6640625" customWidth="1" outlineLevel="1"/>
    <col min="10" max="10" width="16.5" customWidth="1" outlineLevel="1"/>
    <col min="11" max="11" width="4.5" customWidth="1" outlineLevel="1"/>
    <col min="12" max="12" width="13.33203125" customWidth="1" outlineLevel="1"/>
    <col min="13" max="14" width="10.33203125" customWidth="1" outlineLevel="1"/>
    <col min="15" max="16" width="10.5" customWidth="1" outlineLevel="1"/>
    <col min="17" max="17" width="12.5" customWidth="1" outlineLevel="1"/>
    <col min="18" max="18" width="16.5" customWidth="1" outlineLevel="1"/>
    <col min="19" max="23" width="10.83203125" customWidth="1" outlineLevel="1"/>
    <col min="24" max="24" width="18.5" bestFit="1" customWidth="1"/>
    <col min="25" max="25" width="37" bestFit="1" customWidth="1"/>
    <col min="26" max="26" width="31.33203125" bestFit="1" customWidth="1"/>
    <col min="27" max="27" width="13.33203125" bestFit="1" customWidth="1"/>
    <col min="28" max="28" width="11.83203125" bestFit="1" customWidth="1"/>
    <col min="29" max="29" width="10.5" bestFit="1" customWidth="1"/>
    <col min="30" max="30" width="6.33203125" customWidth="1"/>
    <col min="31" max="37" width="5.33203125" customWidth="1"/>
    <col min="38" max="38" width="11.1640625" customWidth="1"/>
    <col min="39" max="39" width="13.5" customWidth="1"/>
    <col min="42" max="42" width="10.5" bestFit="1" customWidth="1"/>
    <col min="51" max="51" width="11.5" bestFit="1" customWidth="1"/>
  </cols>
  <sheetData>
    <row r="1" spans="1:51" ht="23" x14ac:dyDescent="0.25">
      <c r="A1" s="354" t="s">
        <v>4574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</row>
    <row r="2" spans="1:51" ht="16" thickBot="1" x14ac:dyDescent="0.25">
      <c r="A2" s="355" t="s">
        <v>4575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AJ2" s="355"/>
      <c r="AK2" s="355"/>
      <c r="AL2" s="355"/>
      <c r="AM2" s="355"/>
    </row>
    <row r="3" spans="1:51" ht="48" customHeight="1" thickTop="1" thickBot="1" x14ac:dyDescent="0.25">
      <c r="A3" s="356" t="s">
        <v>0</v>
      </c>
      <c r="B3" s="356" t="s">
        <v>1</v>
      </c>
      <c r="C3" s="358" t="s">
        <v>2</v>
      </c>
      <c r="D3" s="360" t="s">
        <v>3</v>
      </c>
      <c r="E3" s="1" t="s">
        <v>4</v>
      </c>
      <c r="F3" s="362" t="s">
        <v>5</v>
      </c>
      <c r="G3" s="363" t="s">
        <v>6</v>
      </c>
      <c r="H3" s="363" t="s">
        <v>7</v>
      </c>
      <c r="I3" s="365" t="s">
        <v>8</v>
      </c>
      <c r="J3" s="377" t="s">
        <v>9</v>
      </c>
      <c r="K3" s="379" t="s">
        <v>10</v>
      </c>
      <c r="L3" s="348" t="s">
        <v>11</v>
      </c>
      <c r="M3" s="350" t="s">
        <v>12</v>
      </c>
      <c r="N3" s="351"/>
      <c r="O3" s="352" t="s">
        <v>13</v>
      </c>
      <c r="P3" s="348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3" t="s">
        <v>21</v>
      </c>
      <c r="Y3" s="4" t="s">
        <v>22</v>
      </c>
      <c r="Z3" s="4" t="s">
        <v>23</v>
      </c>
      <c r="AA3" s="5" t="s">
        <v>24</v>
      </c>
      <c r="AB3" s="6" t="s">
        <v>25</v>
      </c>
      <c r="AC3" s="7" t="s">
        <v>26</v>
      </c>
      <c r="AD3" s="8" t="s">
        <v>27</v>
      </c>
      <c r="AE3" s="375">
        <v>2020</v>
      </c>
      <c r="AF3" s="375">
        <v>2021</v>
      </c>
      <c r="AG3" s="375">
        <v>2022</v>
      </c>
      <c r="AH3" s="375">
        <v>2023</v>
      </c>
      <c r="AI3" s="375">
        <v>2024</v>
      </c>
      <c r="AJ3" s="372">
        <v>2025</v>
      </c>
      <c r="AK3" s="372">
        <v>2026</v>
      </c>
      <c r="AL3" s="9" t="s">
        <v>28</v>
      </c>
      <c r="AM3" s="3" t="s">
        <v>29</v>
      </c>
      <c r="AO3" s="10"/>
      <c r="AP3" s="11"/>
      <c r="AQ3" s="11"/>
      <c r="AR3" s="11"/>
      <c r="AS3" s="11"/>
      <c r="AT3" s="11"/>
      <c r="AU3" s="11"/>
      <c r="AV3" s="11"/>
      <c r="AW3" s="11"/>
      <c r="AX3" s="11"/>
    </row>
    <row r="4" spans="1:51" ht="16" thickTop="1" x14ac:dyDescent="0.2">
      <c r="A4" s="357"/>
      <c r="B4" s="357"/>
      <c r="C4" s="359"/>
      <c r="D4" s="361"/>
      <c r="E4" s="12"/>
      <c r="F4" s="361"/>
      <c r="G4" s="364"/>
      <c r="H4" s="364"/>
      <c r="I4" s="366"/>
      <c r="J4" s="378"/>
      <c r="K4" s="380"/>
      <c r="L4" s="349"/>
      <c r="M4" s="13" t="s">
        <v>30</v>
      </c>
      <c r="N4" s="14" t="s">
        <v>31</v>
      </c>
      <c r="O4" s="353"/>
      <c r="P4" s="349"/>
      <c r="Q4" s="15"/>
      <c r="R4" s="15"/>
      <c r="S4" s="15"/>
      <c r="T4" s="15"/>
      <c r="U4" s="15"/>
      <c r="V4" s="15"/>
      <c r="W4" s="15"/>
      <c r="X4" s="16"/>
      <c r="Y4" s="17"/>
      <c r="Z4" s="17"/>
      <c r="AA4" s="18"/>
      <c r="AB4" s="19"/>
      <c r="AC4" s="20"/>
      <c r="AD4" s="21"/>
      <c r="AE4" s="376"/>
      <c r="AF4" s="376"/>
      <c r="AG4" s="376"/>
      <c r="AH4" s="376"/>
      <c r="AI4" s="376"/>
      <c r="AJ4" s="373"/>
      <c r="AK4" s="373"/>
      <c r="AL4" s="22"/>
      <c r="AM4" s="22"/>
      <c r="AO4" s="10"/>
      <c r="AP4" s="11"/>
      <c r="AQ4" s="11"/>
      <c r="AR4" s="11"/>
      <c r="AS4" s="11"/>
      <c r="AT4" s="11"/>
      <c r="AU4" s="11"/>
      <c r="AV4" s="11"/>
      <c r="AW4" s="11"/>
      <c r="AX4" s="11"/>
    </row>
    <row r="5" spans="1:51" x14ac:dyDescent="0.2">
      <c r="A5" s="23" t="s">
        <v>32</v>
      </c>
      <c r="B5" s="23">
        <v>1</v>
      </c>
      <c r="C5" s="24">
        <v>2</v>
      </c>
      <c r="D5" s="25">
        <v>3</v>
      </c>
      <c r="E5" s="25">
        <v>4</v>
      </c>
      <c r="F5" s="25">
        <v>5</v>
      </c>
      <c r="G5" s="26">
        <v>6</v>
      </c>
      <c r="H5" s="26">
        <v>7</v>
      </c>
      <c r="I5" s="27">
        <v>8</v>
      </c>
      <c r="J5" s="28">
        <v>9</v>
      </c>
      <c r="K5" s="29">
        <v>10</v>
      </c>
      <c r="L5" s="30">
        <f>+K5+1</f>
        <v>11</v>
      </c>
      <c r="M5" s="30">
        <f t="shared" ref="M5:AM5" si="0">+L5+1</f>
        <v>12</v>
      </c>
      <c r="N5" s="30">
        <f t="shared" si="0"/>
        <v>13</v>
      </c>
      <c r="O5" s="30"/>
      <c r="P5" s="30"/>
      <c r="Q5" s="30">
        <f>+N5+1</f>
        <v>14</v>
      </c>
      <c r="R5" s="30">
        <f t="shared" si="0"/>
        <v>15</v>
      </c>
      <c r="S5" s="30">
        <f t="shared" si="0"/>
        <v>16</v>
      </c>
      <c r="T5" s="30">
        <f t="shared" si="0"/>
        <v>17</v>
      </c>
      <c r="U5" s="30">
        <f t="shared" si="0"/>
        <v>18</v>
      </c>
      <c r="V5" s="30">
        <f t="shared" si="0"/>
        <v>19</v>
      </c>
      <c r="W5" s="30"/>
      <c r="X5" s="30">
        <f>+V5+1</f>
        <v>20</v>
      </c>
      <c r="Y5" s="30">
        <f t="shared" si="0"/>
        <v>21</v>
      </c>
      <c r="Z5" s="30">
        <f t="shared" si="0"/>
        <v>22</v>
      </c>
      <c r="AA5" s="30">
        <f t="shared" si="0"/>
        <v>23</v>
      </c>
      <c r="AB5" s="30">
        <f t="shared" si="0"/>
        <v>24</v>
      </c>
      <c r="AC5" s="30">
        <f t="shared" si="0"/>
        <v>25</v>
      </c>
      <c r="AD5" s="30">
        <f t="shared" si="0"/>
        <v>26</v>
      </c>
      <c r="AE5" s="30">
        <f t="shared" si="0"/>
        <v>27</v>
      </c>
      <c r="AF5" s="30">
        <f t="shared" si="0"/>
        <v>28</v>
      </c>
      <c r="AG5" s="30">
        <f t="shared" si="0"/>
        <v>29</v>
      </c>
      <c r="AH5" s="30">
        <f t="shared" si="0"/>
        <v>30</v>
      </c>
      <c r="AI5" s="30">
        <f t="shared" si="0"/>
        <v>31</v>
      </c>
      <c r="AJ5" s="30">
        <f t="shared" si="0"/>
        <v>32</v>
      </c>
      <c r="AK5" s="30">
        <f t="shared" si="0"/>
        <v>33</v>
      </c>
      <c r="AL5" s="30">
        <f t="shared" si="0"/>
        <v>34</v>
      </c>
      <c r="AM5" s="30">
        <f t="shared" si="0"/>
        <v>35</v>
      </c>
      <c r="AN5" s="31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1"/>
    </row>
    <row r="6" spans="1:51" x14ac:dyDescent="0.2">
      <c r="A6" s="33">
        <v>1</v>
      </c>
      <c r="B6" s="34" t="s">
        <v>33</v>
      </c>
      <c r="C6" s="35" t="s">
        <v>34</v>
      </c>
      <c r="D6" s="36" t="s">
        <v>35</v>
      </c>
      <c r="E6" s="36" t="s">
        <v>36</v>
      </c>
      <c r="F6" s="34" t="s">
        <v>37</v>
      </c>
      <c r="G6" s="37" t="s">
        <v>38</v>
      </c>
      <c r="H6" s="37" t="s">
        <v>39</v>
      </c>
      <c r="I6" s="38" t="s">
        <v>40</v>
      </c>
      <c r="J6" s="34" t="s">
        <v>41</v>
      </c>
      <c r="K6" s="39" t="s">
        <v>42</v>
      </c>
      <c r="L6" s="40" t="s">
        <v>43</v>
      </c>
      <c r="M6" s="41"/>
      <c r="N6" s="41"/>
      <c r="O6" s="41"/>
      <c r="P6" s="41"/>
      <c r="Q6" s="41"/>
      <c r="R6" s="41" t="s">
        <v>44</v>
      </c>
      <c r="S6" s="41"/>
      <c r="T6" s="41"/>
      <c r="U6" s="41"/>
      <c r="V6" s="41"/>
      <c r="W6" s="41"/>
      <c r="X6" s="42" t="s">
        <v>45</v>
      </c>
      <c r="Y6" s="43" t="s">
        <v>46</v>
      </c>
      <c r="Z6" s="44"/>
      <c r="AA6" s="45" t="s">
        <v>47</v>
      </c>
      <c r="AB6" s="46" t="s">
        <v>48</v>
      </c>
      <c r="AC6" s="36" t="s">
        <v>26</v>
      </c>
      <c r="AD6" s="47" t="s">
        <v>49</v>
      </c>
      <c r="AE6" s="48" t="s">
        <v>49</v>
      </c>
      <c r="AF6" s="48" t="s">
        <v>49</v>
      </c>
      <c r="AG6" s="48" t="s">
        <v>41</v>
      </c>
      <c r="AH6" s="48" t="s">
        <v>41</v>
      </c>
      <c r="AI6" s="48" t="s">
        <v>41</v>
      </c>
      <c r="AJ6" s="49" t="s">
        <v>41</v>
      </c>
      <c r="AK6" s="48" t="s">
        <v>41</v>
      </c>
      <c r="AL6" s="50">
        <v>5</v>
      </c>
      <c r="AM6" s="51" t="s">
        <v>50</v>
      </c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1"/>
    </row>
    <row r="7" spans="1:51" x14ac:dyDescent="0.2">
      <c r="A7" s="33">
        <f>+A6+1</f>
        <v>2</v>
      </c>
      <c r="B7" s="34" t="s">
        <v>51</v>
      </c>
      <c r="C7" s="35" t="s">
        <v>52</v>
      </c>
      <c r="D7" s="36" t="s">
        <v>53</v>
      </c>
      <c r="E7" s="36" t="s">
        <v>54</v>
      </c>
      <c r="F7" s="34" t="s">
        <v>55</v>
      </c>
      <c r="G7" s="37" t="s">
        <v>56</v>
      </c>
      <c r="H7" s="37" t="s">
        <v>57</v>
      </c>
      <c r="I7" s="38" t="s">
        <v>58</v>
      </c>
      <c r="J7" s="34" t="s">
        <v>41</v>
      </c>
      <c r="K7" s="39" t="s">
        <v>42</v>
      </c>
      <c r="L7" s="40" t="s">
        <v>59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2" t="s">
        <v>45</v>
      </c>
      <c r="Y7" s="52" t="s">
        <v>60</v>
      </c>
      <c r="Z7" s="44" t="s">
        <v>61</v>
      </c>
      <c r="AA7" s="45">
        <v>39286</v>
      </c>
      <c r="AB7" s="46" t="s">
        <v>30</v>
      </c>
      <c r="AC7" s="36" t="s">
        <v>26</v>
      </c>
      <c r="AD7" s="47" t="s">
        <v>49</v>
      </c>
      <c r="AE7" s="48" t="s">
        <v>49</v>
      </c>
      <c r="AF7" s="48" t="s">
        <v>49</v>
      </c>
      <c r="AG7" s="48" t="s">
        <v>49</v>
      </c>
      <c r="AH7" s="48" t="s">
        <v>49</v>
      </c>
      <c r="AI7" s="48" t="s">
        <v>49</v>
      </c>
      <c r="AJ7" s="49" t="s">
        <v>41</v>
      </c>
      <c r="AK7" s="48" t="s">
        <v>41</v>
      </c>
      <c r="AL7" s="50">
        <v>2</v>
      </c>
      <c r="AM7" s="51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1"/>
    </row>
    <row r="8" spans="1:51" x14ac:dyDescent="0.2">
      <c r="A8" s="33">
        <f t="shared" ref="A8:A70" si="1">+A7+1</f>
        <v>3</v>
      </c>
      <c r="B8" s="34" t="s">
        <v>62</v>
      </c>
      <c r="C8" s="35" t="s">
        <v>63</v>
      </c>
      <c r="D8" s="36" t="s">
        <v>64</v>
      </c>
      <c r="E8" s="36" t="s">
        <v>54</v>
      </c>
      <c r="F8" s="34" t="s">
        <v>65</v>
      </c>
      <c r="G8" s="37" t="s">
        <v>56</v>
      </c>
      <c r="H8" s="37" t="s">
        <v>57</v>
      </c>
      <c r="I8" s="38" t="s">
        <v>66</v>
      </c>
      <c r="J8" s="34" t="s">
        <v>41</v>
      </c>
      <c r="K8" s="39" t="s">
        <v>42</v>
      </c>
      <c r="L8" s="53">
        <v>45250</v>
      </c>
      <c r="M8" s="41"/>
      <c r="N8" s="41"/>
      <c r="O8" s="41"/>
      <c r="P8" s="41"/>
      <c r="Q8" s="41"/>
      <c r="R8" s="41"/>
      <c r="S8" s="41"/>
      <c r="T8" s="41" t="s">
        <v>44</v>
      </c>
      <c r="U8" s="41"/>
      <c r="V8" s="41"/>
      <c r="W8" s="41"/>
      <c r="X8" s="54" t="s">
        <v>67</v>
      </c>
      <c r="Y8" s="55" t="s">
        <v>68</v>
      </c>
      <c r="Z8" s="44"/>
      <c r="AA8" s="45">
        <v>45642</v>
      </c>
      <c r="AB8" s="46"/>
      <c r="AC8" s="36"/>
      <c r="AD8" s="47" t="s">
        <v>49</v>
      </c>
      <c r="AE8" s="48" t="s">
        <v>41</v>
      </c>
      <c r="AF8" s="48" t="s">
        <v>41</v>
      </c>
      <c r="AG8" s="48" t="s">
        <v>41</v>
      </c>
      <c r="AH8" s="48" t="s">
        <v>49</v>
      </c>
      <c r="AI8" s="48" t="s">
        <v>49</v>
      </c>
      <c r="AJ8" s="49" t="s">
        <v>49</v>
      </c>
      <c r="AK8" s="48" t="s">
        <v>41</v>
      </c>
      <c r="AL8" s="50">
        <v>1</v>
      </c>
      <c r="AM8" s="51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1"/>
    </row>
    <row r="9" spans="1:51" x14ac:dyDescent="0.2">
      <c r="A9" s="33">
        <f t="shared" si="1"/>
        <v>4</v>
      </c>
      <c r="B9" s="34" t="s">
        <v>69</v>
      </c>
      <c r="C9" s="35" t="s">
        <v>70</v>
      </c>
      <c r="D9" s="36" t="s">
        <v>71</v>
      </c>
      <c r="E9" s="36" t="s">
        <v>54</v>
      </c>
      <c r="F9" s="34" t="s">
        <v>72</v>
      </c>
      <c r="G9" s="37" t="s">
        <v>73</v>
      </c>
      <c r="H9" s="37" t="s">
        <v>73</v>
      </c>
      <c r="I9" s="34" t="s">
        <v>74</v>
      </c>
      <c r="J9" s="38" t="s">
        <v>75</v>
      </c>
      <c r="K9" s="39" t="s">
        <v>42</v>
      </c>
      <c r="L9" s="40" t="s">
        <v>59</v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7" t="s">
        <v>76</v>
      </c>
      <c r="Y9" s="58" t="s">
        <v>77</v>
      </c>
      <c r="Z9" s="44" t="s">
        <v>78</v>
      </c>
      <c r="AA9" s="45">
        <v>42325</v>
      </c>
      <c r="AB9" s="46" t="s">
        <v>30</v>
      </c>
      <c r="AC9" s="36" t="s">
        <v>26</v>
      </c>
      <c r="AD9" s="47" t="s">
        <v>49</v>
      </c>
      <c r="AE9" s="48" t="s">
        <v>49</v>
      </c>
      <c r="AF9" s="48" t="s">
        <v>49</v>
      </c>
      <c r="AG9" s="48" t="s">
        <v>49</v>
      </c>
      <c r="AH9" s="48" t="s">
        <v>49</v>
      </c>
      <c r="AI9" s="48" t="s">
        <v>49</v>
      </c>
      <c r="AJ9" s="49" t="s">
        <v>41</v>
      </c>
      <c r="AK9" s="48" t="s">
        <v>41</v>
      </c>
      <c r="AL9" s="50">
        <v>2</v>
      </c>
      <c r="AM9" s="51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1"/>
    </row>
    <row r="10" spans="1:51" x14ac:dyDescent="0.2">
      <c r="A10" s="33">
        <f t="shared" si="1"/>
        <v>5</v>
      </c>
      <c r="B10" s="34" t="s">
        <v>79</v>
      </c>
      <c r="C10" s="35" t="s">
        <v>80</v>
      </c>
      <c r="D10" s="36" t="s">
        <v>81</v>
      </c>
      <c r="E10" s="36" t="s">
        <v>54</v>
      </c>
      <c r="F10" s="34" t="s">
        <v>82</v>
      </c>
      <c r="G10" s="37" t="s">
        <v>73</v>
      </c>
      <c r="H10" s="37" t="s">
        <v>73</v>
      </c>
      <c r="I10" s="38" t="s">
        <v>83</v>
      </c>
      <c r="J10" s="34" t="s">
        <v>41</v>
      </c>
      <c r="K10" s="39" t="s">
        <v>42</v>
      </c>
      <c r="L10" s="53">
        <v>45244</v>
      </c>
      <c r="M10" s="41"/>
      <c r="N10" s="41"/>
      <c r="O10" s="41"/>
      <c r="P10" s="41"/>
      <c r="Q10" s="41"/>
      <c r="R10" s="41"/>
      <c r="S10" s="41"/>
      <c r="T10" s="41" t="s">
        <v>44</v>
      </c>
      <c r="U10" s="41"/>
      <c r="V10" s="41"/>
      <c r="W10" s="41"/>
      <c r="X10" s="42" t="s">
        <v>84</v>
      </c>
      <c r="Y10" s="55" t="s">
        <v>85</v>
      </c>
      <c r="Z10" s="44"/>
      <c r="AA10" s="45">
        <v>45642</v>
      </c>
      <c r="AB10" s="46"/>
      <c r="AC10" s="36"/>
      <c r="AD10" s="47" t="s">
        <v>49</v>
      </c>
      <c r="AE10" s="48" t="s">
        <v>41</v>
      </c>
      <c r="AF10" s="48" t="s">
        <v>41</v>
      </c>
      <c r="AG10" s="48" t="s">
        <v>41</v>
      </c>
      <c r="AH10" s="48" t="s">
        <v>49</v>
      </c>
      <c r="AI10" s="48" t="s">
        <v>49</v>
      </c>
      <c r="AJ10" s="49" t="s">
        <v>49</v>
      </c>
      <c r="AK10" s="48" t="s">
        <v>49</v>
      </c>
      <c r="AL10" s="50">
        <v>0</v>
      </c>
      <c r="AM10" s="51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1"/>
    </row>
    <row r="11" spans="1:51" x14ac:dyDescent="0.2">
      <c r="A11" s="33">
        <f t="shared" si="1"/>
        <v>6</v>
      </c>
      <c r="B11" s="34" t="s">
        <v>4579</v>
      </c>
      <c r="C11" s="35" t="s">
        <v>4578</v>
      </c>
      <c r="D11" s="36" t="s">
        <v>4494</v>
      </c>
      <c r="E11" s="36" t="s">
        <v>4581</v>
      </c>
      <c r="F11" s="34" t="s">
        <v>4582</v>
      </c>
      <c r="G11" s="37" t="s">
        <v>39</v>
      </c>
      <c r="H11" s="37" t="s">
        <v>39</v>
      </c>
      <c r="I11" s="38" t="s">
        <v>4583</v>
      </c>
      <c r="J11" s="34" t="s">
        <v>41</v>
      </c>
      <c r="K11" s="39" t="s">
        <v>4584</v>
      </c>
      <c r="L11" s="53">
        <v>46031</v>
      </c>
      <c r="M11" s="41" t="s">
        <v>179</v>
      </c>
      <c r="N11" s="41"/>
      <c r="O11" s="41"/>
      <c r="P11" s="41"/>
      <c r="Q11" s="41"/>
      <c r="R11" s="41"/>
      <c r="S11" s="41"/>
      <c r="T11" s="41"/>
      <c r="U11" s="41"/>
      <c r="V11" s="41"/>
      <c r="W11" s="41" t="s">
        <v>44</v>
      </c>
      <c r="X11" s="38" t="s">
        <v>4585</v>
      </c>
      <c r="Y11" s="307" t="s">
        <v>4586</v>
      </c>
      <c r="Z11" s="44"/>
      <c r="AA11" s="45"/>
      <c r="AB11" s="46"/>
      <c r="AC11" s="36"/>
      <c r="AD11" s="47" t="s">
        <v>49</v>
      </c>
      <c r="AE11" s="48"/>
      <c r="AF11" s="48"/>
      <c r="AG11" s="48"/>
      <c r="AH11" s="48"/>
      <c r="AI11" s="48"/>
      <c r="AJ11" s="49"/>
      <c r="AK11" s="48" t="s">
        <v>49</v>
      </c>
      <c r="AL11" s="50">
        <v>0</v>
      </c>
      <c r="AM11" s="51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1"/>
    </row>
    <row r="12" spans="1:51" x14ac:dyDescent="0.2">
      <c r="A12" s="33">
        <f t="shared" si="1"/>
        <v>7</v>
      </c>
      <c r="B12" s="34" t="s">
        <v>86</v>
      </c>
      <c r="C12" s="35" t="s">
        <v>87</v>
      </c>
      <c r="D12" s="36" t="s">
        <v>88</v>
      </c>
      <c r="E12" s="36" t="s">
        <v>54</v>
      </c>
      <c r="F12" s="34" t="s">
        <v>89</v>
      </c>
      <c r="G12" s="37" t="s">
        <v>56</v>
      </c>
      <c r="H12" s="37" t="s">
        <v>57</v>
      </c>
      <c r="I12" s="38" t="s">
        <v>90</v>
      </c>
      <c r="J12" s="34" t="s">
        <v>41</v>
      </c>
      <c r="K12" s="39" t="s">
        <v>42</v>
      </c>
      <c r="L12" s="53" t="s">
        <v>91</v>
      </c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42" t="s">
        <v>92</v>
      </c>
      <c r="Y12" s="58" t="s">
        <v>93</v>
      </c>
      <c r="Z12" s="44" t="s">
        <v>61</v>
      </c>
      <c r="AA12" s="45">
        <v>43200</v>
      </c>
      <c r="AB12" s="46" t="s">
        <v>94</v>
      </c>
      <c r="AC12" s="36" t="s">
        <v>26</v>
      </c>
      <c r="AD12" s="47" t="s">
        <v>49</v>
      </c>
      <c r="AE12" s="48" t="s">
        <v>49</v>
      </c>
      <c r="AF12" s="48" t="s">
        <v>49</v>
      </c>
      <c r="AG12" s="48" t="s">
        <v>49</v>
      </c>
      <c r="AH12" s="48" t="s">
        <v>49</v>
      </c>
      <c r="AI12" s="48" t="s">
        <v>49</v>
      </c>
      <c r="AJ12" s="49" t="s">
        <v>49</v>
      </c>
      <c r="AK12" s="48" t="s">
        <v>49</v>
      </c>
      <c r="AL12" s="50">
        <v>0</v>
      </c>
      <c r="AM12" s="59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1"/>
    </row>
    <row r="13" spans="1:51" x14ac:dyDescent="0.2">
      <c r="A13" s="33">
        <f t="shared" si="1"/>
        <v>8</v>
      </c>
      <c r="B13" s="34" t="s">
        <v>95</v>
      </c>
      <c r="C13" s="35" t="s">
        <v>96</v>
      </c>
      <c r="D13" s="36" t="s">
        <v>97</v>
      </c>
      <c r="E13" s="36" t="s">
        <v>54</v>
      </c>
      <c r="F13" s="34" t="s">
        <v>98</v>
      </c>
      <c r="G13" s="37" t="s">
        <v>56</v>
      </c>
      <c r="H13" s="37" t="s">
        <v>57</v>
      </c>
      <c r="I13" s="34">
        <v>81328792103</v>
      </c>
      <c r="J13" s="34" t="s">
        <v>41</v>
      </c>
      <c r="K13" s="39" t="s">
        <v>42</v>
      </c>
      <c r="L13" s="53">
        <v>39256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2" t="s">
        <v>99</v>
      </c>
      <c r="Y13" s="60" t="s">
        <v>100</v>
      </c>
      <c r="Z13" s="44" t="s">
        <v>61</v>
      </c>
      <c r="AA13" s="45" t="s">
        <v>101</v>
      </c>
      <c r="AB13" s="46" t="s">
        <v>30</v>
      </c>
      <c r="AC13" s="36" t="s">
        <v>26</v>
      </c>
      <c r="AD13" s="47" t="s">
        <v>49</v>
      </c>
      <c r="AE13" s="48" t="s">
        <v>49</v>
      </c>
      <c r="AF13" s="48" t="s">
        <v>49</v>
      </c>
      <c r="AG13" s="48" t="s">
        <v>49</v>
      </c>
      <c r="AH13" s="48" t="s">
        <v>49</v>
      </c>
      <c r="AI13" s="48" t="s">
        <v>49</v>
      </c>
      <c r="AJ13" s="49" t="s">
        <v>49</v>
      </c>
      <c r="AK13" s="48" t="s">
        <v>49</v>
      </c>
      <c r="AL13" s="50">
        <v>0</v>
      </c>
      <c r="AM13" s="59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1"/>
    </row>
    <row r="14" spans="1:51" x14ac:dyDescent="0.2">
      <c r="A14" s="33">
        <f t="shared" si="1"/>
        <v>9</v>
      </c>
      <c r="B14" s="34" t="s">
        <v>102</v>
      </c>
      <c r="C14" s="35" t="s">
        <v>103</v>
      </c>
      <c r="D14" s="36" t="s">
        <v>104</v>
      </c>
      <c r="E14" s="36" t="s">
        <v>54</v>
      </c>
      <c r="F14" s="34" t="s">
        <v>105</v>
      </c>
      <c r="G14" s="37" t="s">
        <v>73</v>
      </c>
      <c r="H14" s="37" t="s">
        <v>73</v>
      </c>
      <c r="I14" s="38" t="s">
        <v>106</v>
      </c>
      <c r="J14" s="34" t="s">
        <v>41</v>
      </c>
      <c r="K14" s="39" t="s">
        <v>42</v>
      </c>
      <c r="L14" s="40" t="s">
        <v>107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2" t="s">
        <v>108</v>
      </c>
      <c r="Y14" s="58" t="s">
        <v>109</v>
      </c>
      <c r="Z14" s="58"/>
      <c r="AA14" s="45" t="s">
        <v>47</v>
      </c>
      <c r="AB14" s="46"/>
      <c r="AC14" s="36" t="s">
        <v>26</v>
      </c>
      <c r="AD14" s="61" t="s">
        <v>49</v>
      </c>
      <c r="AE14" s="48" t="s">
        <v>49</v>
      </c>
      <c r="AF14" s="48" t="s">
        <v>41</v>
      </c>
      <c r="AG14" s="48" t="s">
        <v>41</v>
      </c>
      <c r="AH14" s="48" t="s">
        <v>41</v>
      </c>
      <c r="AI14" s="48" t="s">
        <v>41</v>
      </c>
      <c r="AJ14" s="49" t="s">
        <v>41</v>
      </c>
      <c r="AK14" s="48" t="s">
        <v>41</v>
      </c>
      <c r="AL14" s="62" t="s">
        <v>4587</v>
      </c>
      <c r="AM14" s="63" t="s">
        <v>50</v>
      </c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1"/>
    </row>
    <row r="15" spans="1:51" x14ac:dyDescent="0.2">
      <c r="A15" s="33">
        <f t="shared" si="1"/>
        <v>10</v>
      </c>
      <c r="B15" s="34" t="s">
        <v>111</v>
      </c>
      <c r="C15" s="35" t="s">
        <v>112</v>
      </c>
      <c r="D15" s="36" t="s">
        <v>113</v>
      </c>
      <c r="E15" s="36" t="s">
        <v>54</v>
      </c>
      <c r="F15" s="34" t="s">
        <v>114</v>
      </c>
      <c r="G15" s="37" t="s">
        <v>73</v>
      </c>
      <c r="H15" s="37" t="s">
        <v>73</v>
      </c>
      <c r="I15" s="34" t="s">
        <v>115</v>
      </c>
      <c r="J15" s="34" t="s">
        <v>116</v>
      </c>
      <c r="K15" s="39" t="s">
        <v>42</v>
      </c>
      <c r="L15" s="40" t="s">
        <v>117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2" t="s">
        <v>118</v>
      </c>
      <c r="Y15" s="58" t="s">
        <v>119</v>
      </c>
      <c r="Z15" s="44" t="s">
        <v>78</v>
      </c>
      <c r="AA15" s="45">
        <v>40815</v>
      </c>
      <c r="AB15" s="46" t="s">
        <v>30</v>
      </c>
      <c r="AC15" s="36" t="s">
        <v>26</v>
      </c>
      <c r="AD15" s="64" t="s">
        <v>120</v>
      </c>
      <c r="AE15" s="48" t="s">
        <v>120</v>
      </c>
      <c r="AF15" s="48" t="s">
        <v>120</v>
      </c>
      <c r="AG15" s="48" t="s">
        <v>120</v>
      </c>
      <c r="AH15" s="48" t="s">
        <v>120</v>
      </c>
      <c r="AI15" s="48" t="s">
        <v>120</v>
      </c>
      <c r="AJ15" s="49" t="s">
        <v>120</v>
      </c>
      <c r="AK15" s="48" t="s">
        <v>120</v>
      </c>
      <c r="AL15" s="65" t="s">
        <v>32</v>
      </c>
      <c r="AM15" s="59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1"/>
    </row>
    <row r="16" spans="1:51" x14ac:dyDescent="0.2">
      <c r="A16" s="33">
        <f t="shared" si="1"/>
        <v>11</v>
      </c>
      <c r="B16" s="34" t="s">
        <v>121</v>
      </c>
      <c r="C16" s="35" t="s">
        <v>122</v>
      </c>
      <c r="D16" s="36" t="s">
        <v>123</v>
      </c>
      <c r="E16" s="36" t="s">
        <v>54</v>
      </c>
      <c r="F16" s="34" t="s">
        <v>124</v>
      </c>
      <c r="G16" s="37" t="s">
        <v>73</v>
      </c>
      <c r="H16" s="37" t="s">
        <v>73</v>
      </c>
      <c r="I16" s="34" t="s">
        <v>125</v>
      </c>
      <c r="J16" s="34" t="s">
        <v>126</v>
      </c>
      <c r="K16" s="39" t="s">
        <v>42</v>
      </c>
      <c r="L16" s="53">
        <v>30353</v>
      </c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42" t="s">
        <v>127</v>
      </c>
      <c r="Y16" s="58" t="s">
        <v>128</v>
      </c>
      <c r="Z16" s="44" t="s">
        <v>61</v>
      </c>
      <c r="AA16" s="45">
        <v>34597</v>
      </c>
      <c r="AB16" s="46" t="s">
        <v>129</v>
      </c>
      <c r="AC16" s="36" t="s">
        <v>26</v>
      </c>
      <c r="AD16" s="66" t="s">
        <v>130</v>
      </c>
      <c r="AE16" s="48" t="s">
        <v>130</v>
      </c>
      <c r="AF16" s="48" t="s">
        <v>130</v>
      </c>
      <c r="AG16" s="48" t="s">
        <v>130</v>
      </c>
      <c r="AH16" s="48" t="s">
        <v>130</v>
      </c>
      <c r="AI16" s="48" t="s">
        <v>130</v>
      </c>
      <c r="AJ16" s="49" t="s">
        <v>130</v>
      </c>
      <c r="AK16" s="48" t="s">
        <v>41</v>
      </c>
      <c r="AL16" s="65" t="s">
        <v>148</v>
      </c>
      <c r="AM16" s="67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1"/>
    </row>
    <row r="17" spans="1:51" x14ac:dyDescent="0.2">
      <c r="A17" s="33">
        <f t="shared" si="1"/>
        <v>12</v>
      </c>
      <c r="B17" s="34" t="s">
        <v>131</v>
      </c>
      <c r="C17" s="35" t="s">
        <v>132</v>
      </c>
      <c r="D17" s="36" t="s">
        <v>133</v>
      </c>
      <c r="E17" s="36" t="s">
        <v>54</v>
      </c>
      <c r="F17" s="34" t="s">
        <v>134</v>
      </c>
      <c r="G17" s="37" t="s">
        <v>73</v>
      </c>
      <c r="H17" s="37" t="s">
        <v>73</v>
      </c>
      <c r="I17" s="38" t="s">
        <v>135</v>
      </c>
      <c r="J17" s="34" t="s">
        <v>41</v>
      </c>
      <c r="K17" s="39" t="s">
        <v>42</v>
      </c>
      <c r="L17" s="53">
        <v>43746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2" t="s">
        <v>136</v>
      </c>
      <c r="Y17" s="58" t="s">
        <v>137</v>
      </c>
      <c r="Z17" s="44" t="s">
        <v>138</v>
      </c>
      <c r="AA17" s="45">
        <v>44944</v>
      </c>
      <c r="AB17" s="46" t="s">
        <v>30</v>
      </c>
      <c r="AC17" s="36" t="s">
        <v>26</v>
      </c>
      <c r="AD17" s="61" t="s">
        <v>49</v>
      </c>
      <c r="AE17" s="48" t="s">
        <v>49</v>
      </c>
      <c r="AF17" s="48" t="s">
        <v>49</v>
      </c>
      <c r="AG17" s="48" t="s">
        <v>41</v>
      </c>
      <c r="AH17" s="48" t="s">
        <v>41</v>
      </c>
      <c r="AI17" s="48" t="s">
        <v>41</v>
      </c>
      <c r="AJ17" s="49" t="s">
        <v>41</v>
      </c>
      <c r="AK17" s="48" t="s">
        <v>41</v>
      </c>
      <c r="AL17" s="62" t="s">
        <v>110</v>
      </c>
      <c r="AM17" s="51" t="s">
        <v>50</v>
      </c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1"/>
    </row>
    <row r="18" spans="1:51" x14ac:dyDescent="0.2">
      <c r="A18" s="33">
        <f t="shared" si="1"/>
        <v>13</v>
      </c>
      <c r="B18" s="34" t="s">
        <v>140</v>
      </c>
      <c r="C18" s="35" t="s">
        <v>141</v>
      </c>
      <c r="D18" s="36" t="s">
        <v>142</v>
      </c>
      <c r="E18" s="36" t="s">
        <v>54</v>
      </c>
      <c r="F18" s="34" t="s">
        <v>143</v>
      </c>
      <c r="G18" s="37" t="s">
        <v>73</v>
      </c>
      <c r="H18" s="37" t="s">
        <v>73</v>
      </c>
      <c r="I18" s="38" t="s">
        <v>144</v>
      </c>
      <c r="J18" s="34" t="s">
        <v>41</v>
      </c>
      <c r="K18" s="39" t="s">
        <v>42</v>
      </c>
      <c r="L18" s="53">
        <v>44690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2" t="s">
        <v>145</v>
      </c>
      <c r="Y18" s="58" t="s">
        <v>146</v>
      </c>
      <c r="Z18" s="44" t="s">
        <v>147</v>
      </c>
      <c r="AA18" s="45">
        <v>44944</v>
      </c>
      <c r="AB18" s="46" t="s">
        <v>30</v>
      </c>
      <c r="AC18" s="36"/>
      <c r="AD18" s="61" t="s">
        <v>49</v>
      </c>
      <c r="AE18" s="48" t="s">
        <v>41</v>
      </c>
      <c r="AF18" s="48" t="s">
        <v>41</v>
      </c>
      <c r="AG18" s="48" t="s">
        <v>49</v>
      </c>
      <c r="AH18" s="48" t="s">
        <v>49</v>
      </c>
      <c r="AI18" s="48" t="s">
        <v>49</v>
      </c>
      <c r="AJ18" s="49" t="s">
        <v>49</v>
      </c>
      <c r="AK18" s="48" t="s">
        <v>49</v>
      </c>
      <c r="AL18" s="62" t="s">
        <v>32</v>
      </c>
      <c r="AM18" s="59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1"/>
    </row>
    <row r="19" spans="1:51" x14ac:dyDescent="0.2">
      <c r="A19" s="33">
        <f t="shared" si="1"/>
        <v>14</v>
      </c>
      <c r="B19" s="34" t="s">
        <v>149</v>
      </c>
      <c r="C19" s="35" t="s">
        <v>150</v>
      </c>
      <c r="D19" s="36" t="s">
        <v>151</v>
      </c>
      <c r="E19" s="36" t="s">
        <v>54</v>
      </c>
      <c r="F19" s="34" t="s">
        <v>152</v>
      </c>
      <c r="G19" s="37" t="s">
        <v>73</v>
      </c>
      <c r="H19" s="37" t="s">
        <v>73</v>
      </c>
      <c r="I19" s="34" t="s">
        <v>153</v>
      </c>
      <c r="J19" s="34" t="s">
        <v>154</v>
      </c>
      <c r="K19" s="39" t="s">
        <v>42</v>
      </c>
      <c r="L19" s="40" t="s">
        <v>155</v>
      </c>
      <c r="M19" s="56"/>
      <c r="N19" s="56"/>
      <c r="O19" s="56"/>
      <c r="P19" s="56"/>
      <c r="Q19" s="56"/>
      <c r="R19" s="68"/>
      <c r="S19" s="68"/>
      <c r="T19" s="68"/>
      <c r="U19" s="68"/>
      <c r="V19" s="68"/>
      <c r="W19" s="68"/>
      <c r="X19" s="57" t="s">
        <v>156</v>
      </c>
      <c r="Y19" s="69" t="s">
        <v>157</v>
      </c>
      <c r="Z19" s="44" t="s">
        <v>61</v>
      </c>
      <c r="AA19" s="45">
        <v>40280</v>
      </c>
      <c r="AB19" s="46" t="s">
        <v>30</v>
      </c>
      <c r="AC19" s="36" t="s">
        <v>26</v>
      </c>
      <c r="AD19" s="47" t="s">
        <v>49</v>
      </c>
      <c r="AE19" s="48" t="s">
        <v>49</v>
      </c>
      <c r="AF19" s="48" t="s">
        <v>49</v>
      </c>
      <c r="AG19" s="48" t="s">
        <v>41</v>
      </c>
      <c r="AH19" s="48" t="s">
        <v>41</v>
      </c>
      <c r="AI19" s="48" t="s">
        <v>41</v>
      </c>
      <c r="AJ19" s="49" t="s">
        <v>41</v>
      </c>
      <c r="AK19" s="48" t="s">
        <v>41</v>
      </c>
      <c r="AL19" s="62" t="s">
        <v>110</v>
      </c>
      <c r="AM19" s="59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1"/>
    </row>
    <row r="20" spans="1:51" x14ac:dyDescent="0.2">
      <c r="A20" s="33">
        <f t="shared" si="1"/>
        <v>15</v>
      </c>
      <c r="B20" s="34" t="s">
        <v>158</v>
      </c>
      <c r="C20" s="35" t="s">
        <v>159</v>
      </c>
      <c r="D20" s="36" t="s">
        <v>160</v>
      </c>
      <c r="E20" s="36" t="s">
        <v>36</v>
      </c>
      <c r="F20" s="34" t="s">
        <v>161</v>
      </c>
      <c r="G20" s="37" t="s">
        <v>73</v>
      </c>
      <c r="H20" s="37" t="s">
        <v>73</v>
      </c>
      <c r="I20" s="34" t="s">
        <v>153</v>
      </c>
      <c r="J20" s="34" t="s">
        <v>154</v>
      </c>
      <c r="K20" s="39" t="s">
        <v>42</v>
      </c>
      <c r="L20" s="53">
        <v>32576</v>
      </c>
      <c r="M20" s="41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42" t="s">
        <v>162</v>
      </c>
      <c r="Y20" s="52" t="s">
        <v>163</v>
      </c>
      <c r="Z20" s="44" t="s">
        <v>61</v>
      </c>
      <c r="AA20" s="45">
        <v>34597</v>
      </c>
      <c r="AB20" s="46" t="s">
        <v>30</v>
      </c>
      <c r="AC20" s="36" t="s">
        <v>26</v>
      </c>
      <c r="AD20" s="64" t="s">
        <v>120</v>
      </c>
      <c r="AE20" s="48" t="s">
        <v>120</v>
      </c>
      <c r="AF20" s="48" t="s">
        <v>120</v>
      </c>
      <c r="AG20" s="48" t="s">
        <v>120</v>
      </c>
      <c r="AH20" s="48" t="s">
        <v>120</v>
      </c>
      <c r="AI20" s="48" t="s">
        <v>120</v>
      </c>
      <c r="AJ20" s="49" t="s">
        <v>41</v>
      </c>
      <c r="AK20" s="48" t="s">
        <v>41</v>
      </c>
      <c r="AL20" s="62" t="s">
        <v>276</v>
      </c>
      <c r="AM20" s="59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1"/>
    </row>
    <row r="21" spans="1:51" x14ac:dyDescent="0.2">
      <c r="A21" s="33">
        <f t="shared" si="1"/>
        <v>16</v>
      </c>
      <c r="B21" s="34" t="s">
        <v>164</v>
      </c>
      <c r="C21" s="35" t="s">
        <v>165</v>
      </c>
      <c r="D21" s="36" t="s">
        <v>166</v>
      </c>
      <c r="E21" s="36" t="s">
        <v>54</v>
      </c>
      <c r="F21" s="34" t="s">
        <v>167</v>
      </c>
      <c r="G21" s="37" t="s">
        <v>73</v>
      </c>
      <c r="H21" s="37" t="s">
        <v>73</v>
      </c>
      <c r="I21" s="34" t="s">
        <v>168</v>
      </c>
      <c r="J21" s="34" t="s">
        <v>41</v>
      </c>
      <c r="K21" s="39" t="s">
        <v>42</v>
      </c>
      <c r="L21" s="40" t="s">
        <v>169</v>
      </c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2" t="s">
        <v>170</v>
      </c>
      <c r="Y21" s="71" t="s">
        <v>171</v>
      </c>
      <c r="Z21" s="44" t="s">
        <v>61</v>
      </c>
      <c r="AA21" s="45">
        <v>37208</v>
      </c>
      <c r="AB21" s="46" t="s">
        <v>30</v>
      </c>
      <c r="AC21" s="36" t="s">
        <v>26</v>
      </c>
      <c r="AD21" s="47" t="s">
        <v>49</v>
      </c>
      <c r="AE21" s="48" t="s">
        <v>49</v>
      </c>
      <c r="AF21" s="48" t="s">
        <v>49</v>
      </c>
      <c r="AG21" s="48" t="s">
        <v>41</v>
      </c>
      <c r="AH21" s="48" t="s">
        <v>41</v>
      </c>
      <c r="AI21" s="48" t="s">
        <v>41</v>
      </c>
      <c r="AJ21" s="49" t="s">
        <v>41</v>
      </c>
      <c r="AK21" s="48" t="s">
        <v>41</v>
      </c>
      <c r="AL21" s="62" t="s">
        <v>110</v>
      </c>
      <c r="AM21" s="59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1"/>
    </row>
    <row r="22" spans="1:51" x14ac:dyDescent="0.2">
      <c r="A22" s="33">
        <f t="shared" si="1"/>
        <v>17</v>
      </c>
      <c r="B22" s="72" t="s">
        <v>172</v>
      </c>
      <c r="C22" s="35" t="s">
        <v>173</v>
      </c>
      <c r="D22" s="73" t="s">
        <v>174</v>
      </c>
      <c r="E22" s="36" t="s">
        <v>54</v>
      </c>
      <c r="F22" s="74" t="s">
        <v>175</v>
      </c>
      <c r="G22" s="75" t="s">
        <v>176</v>
      </c>
      <c r="H22" s="75" t="s">
        <v>39</v>
      </c>
      <c r="I22" s="76" t="s">
        <v>177</v>
      </c>
      <c r="J22" s="72" t="s">
        <v>41</v>
      </c>
      <c r="K22" s="77" t="s">
        <v>42</v>
      </c>
      <c r="L22" s="78" t="s">
        <v>178</v>
      </c>
      <c r="M22" s="79" t="s">
        <v>179</v>
      </c>
      <c r="N22" s="79" t="s">
        <v>179</v>
      </c>
      <c r="O22" s="79"/>
      <c r="P22" s="79">
        <v>3</v>
      </c>
      <c r="Q22" s="79"/>
      <c r="R22" s="79" t="s">
        <v>44</v>
      </c>
      <c r="S22" s="79"/>
      <c r="T22" s="79"/>
      <c r="U22" s="79"/>
      <c r="V22" s="79"/>
      <c r="W22" s="79"/>
      <c r="X22" s="42" t="s">
        <v>180</v>
      </c>
      <c r="Y22" s="58" t="s">
        <v>181</v>
      </c>
      <c r="Z22" s="44"/>
      <c r="AA22" s="45" t="s">
        <v>47</v>
      </c>
      <c r="AB22" s="80"/>
      <c r="AC22" s="73"/>
      <c r="AD22" s="81" t="s">
        <v>49</v>
      </c>
      <c r="AE22" s="48" t="s">
        <v>41</v>
      </c>
      <c r="AF22" s="48" t="s">
        <v>49</v>
      </c>
      <c r="AG22" s="48" t="s">
        <v>49</v>
      </c>
      <c r="AH22" s="48" t="s">
        <v>49</v>
      </c>
      <c r="AI22" s="48" t="s">
        <v>49</v>
      </c>
      <c r="AJ22" s="49" t="s">
        <v>49</v>
      </c>
      <c r="AK22" s="48" t="s">
        <v>41</v>
      </c>
      <c r="AL22" s="62" t="s">
        <v>148</v>
      </c>
      <c r="AM22" s="59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1"/>
    </row>
    <row r="23" spans="1:51" x14ac:dyDescent="0.2">
      <c r="A23" s="33">
        <f t="shared" si="1"/>
        <v>18</v>
      </c>
      <c r="B23" s="72" t="s">
        <v>182</v>
      </c>
      <c r="C23" s="35" t="s">
        <v>183</v>
      </c>
      <c r="D23" s="73" t="s">
        <v>184</v>
      </c>
      <c r="E23" s="36" t="s">
        <v>54</v>
      </c>
      <c r="F23" s="74" t="s">
        <v>185</v>
      </c>
      <c r="G23" s="75" t="s">
        <v>186</v>
      </c>
      <c r="H23" s="75" t="s">
        <v>187</v>
      </c>
      <c r="I23" s="72" t="s">
        <v>188</v>
      </c>
      <c r="J23" s="72" t="s">
        <v>41</v>
      </c>
      <c r="K23" s="77" t="s">
        <v>42</v>
      </c>
      <c r="L23" s="78" t="s">
        <v>189</v>
      </c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42" t="s">
        <v>190</v>
      </c>
      <c r="Y23" s="58" t="s">
        <v>191</v>
      </c>
      <c r="Z23" s="44" t="s">
        <v>61</v>
      </c>
      <c r="AA23" s="45">
        <v>34597</v>
      </c>
      <c r="AB23" s="80" t="s">
        <v>30</v>
      </c>
      <c r="AC23" s="73">
        <v>1</v>
      </c>
      <c r="AD23" s="81" t="s">
        <v>49</v>
      </c>
      <c r="AE23" s="48" t="s">
        <v>41</v>
      </c>
      <c r="AF23" s="48" t="s">
        <v>41</v>
      </c>
      <c r="AG23" s="48" t="s">
        <v>41</v>
      </c>
      <c r="AH23" s="48" t="s">
        <v>41</v>
      </c>
      <c r="AI23" s="48" t="s">
        <v>41</v>
      </c>
      <c r="AJ23" s="49" t="s">
        <v>41</v>
      </c>
      <c r="AK23" s="48" t="s">
        <v>41</v>
      </c>
      <c r="AL23" s="82" t="s">
        <v>4588</v>
      </c>
      <c r="AM23" s="59" t="s">
        <v>192</v>
      </c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1"/>
    </row>
    <row r="24" spans="1:51" x14ac:dyDescent="0.2">
      <c r="A24" s="33">
        <f t="shared" si="1"/>
        <v>19</v>
      </c>
      <c r="B24" s="34" t="s">
        <v>193</v>
      </c>
      <c r="C24" s="35" t="s">
        <v>194</v>
      </c>
      <c r="D24" s="36" t="s">
        <v>195</v>
      </c>
      <c r="E24" s="36" t="s">
        <v>54</v>
      </c>
      <c r="F24" s="34" t="s">
        <v>196</v>
      </c>
      <c r="G24" s="37" t="s">
        <v>73</v>
      </c>
      <c r="H24" s="37" t="s">
        <v>73</v>
      </c>
      <c r="I24" s="38" t="s">
        <v>197</v>
      </c>
      <c r="J24" s="34" t="s">
        <v>41</v>
      </c>
      <c r="K24" s="39" t="s">
        <v>42</v>
      </c>
      <c r="L24" s="40" t="s">
        <v>198</v>
      </c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42" t="s">
        <v>199</v>
      </c>
      <c r="Y24" s="58" t="s">
        <v>200</v>
      </c>
      <c r="Z24" s="44" t="s">
        <v>61</v>
      </c>
      <c r="AA24" s="45">
        <v>34597</v>
      </c>
      <c r="AB24" s="46" t="s">
        <v>30</v>
      </c>
      <c r="AC24" s="36" t="s">
        <v>26</v>
      </c>
      <c r="AD24" s="47" t="s">
        <v>49</v>
      </c>
      <c r="AE24" s="48" t="s">
        <v>49</v>
      </c>
      <c r="AF24" s="48" t="s">
        <v>49</v>
      </c>
      <c r="AG24" s="48" t="s">
        <v>49</v>
      </c>
      <c r="AH24" s="48" t="s">
        <v>49</v>
      </c>
      <c r="AI24" s="48" t="s">
        <v>49</v>
      </c>
      <c r="AJ24" s="49" t="s">
        <v>49</v>
      </c>
      <c r="AK24" s="48" t="s">
        <v>41</v>
      </c>
      <c r="AL24" s="62" t="s">
        <v>148</v>
      </c>
      <c r="AM24" s="59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1"/>
    </row>
    <row r="25" spans="1:51" x14ac:dyDescent="0.2">
      <c r="A25" s="33">
        <f t="shared" si="1"/>
        <v>20</v>
      </c>
      <c r="B25" s="34" t="s">
        <v>201</v>
      </c>
      <c r="C25" s="35" t="s">
        <v>202</v>
      </c>
      <c r="D25" s="36" t="s">
        <v>203</v>
      </c>
      <c r="E25" s="36" t="s">
        <v>36</v>
      </c>
      <c r="F25" s="34" t="s">
        <v>204</v>
      </c>
      <c r="G25" s="37" t="s">
        <v>205</v>
      </c>
      <c r="H25" s="37" t="s">
        <v>205</v>
      </c>
      <c r="I25" s="38" t="s">
        <v>206</v>
      </c>
      <c r="J25" s="34" t="s">
        <v>41</v>
      </c>
      <c r="K25" s="39" t="s">
        <v>42</v>
      </c>
      <c r="L25" s="53" t="s">
        <v>207</v>
      </c>
      <c r="M25" s="41"/>
      <c r="N25" s="41"/>
      <c r="O25" s="41"/>
      <c r="P25" s="41"/>
      <c r="Q25" s="41"/>
      <c r="R25" s="41"/>
      <c r="S25" s="41"/>
      <c r="T25" s="41" t="s">
        <v>44</v>
      </c>
      <c r="U25" s="41"/>
      <c r="V25" s="41"/>
      <c r="W25" s="41"/>
      <c r="X25" s="54" t="s">
        <v>208</v>
      </c>
      <c r="Y25" s="83" t="s">
        <v>209</v>
      </c>
      <c r="Z25" s="83"/>
      <c r="AA25" s="45">
        <v>45642</v>
      </c>
      <c r="AB25" s="46"/>
      <c r="AC25" s="36"/>
      <c r="AD25" s="61" t="s">
        <v>49</v>
      </c>
      <c r="AE25" s="48" t="s">
        <v>41</v>
      </c>
      <c r="AF25" s="48" t="s">
        <v>41</v>
      </c>
      <c r="AG25" s="48" t="s">
        <v>41</v>
      </c>
      <c r="AH25" s="48" t="s">
        <v>49</v>
      </c>
      <c r="AI25" s="48" t="s">
        <v>49</v>
      </c>
      <c r="AJ25" s="49" t="s">
        <v>49</v>
      </c>
      <c r="AK25" s="48" t="s">
        <v>49</v>
      </c>
      <c r="AL25" s="65" t="s">
        <v>32</v>
      </c>
      <c r="AM25" s="59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1"/>
    </row>
    <row r="26" spans="1:51" x14ac:dyDescent="0.2">
      <c r="A26" s="33">
        <f t="shared" si="1"/>
        <v>21</v>
      </c>
      <c r="B26" s="34" t="s">
        <v>210</v>
      </c>
      <c r="C26" s="35" t="s">
        <v>211</v>
      </c>
      <c r="D26" s="36" t="s">
        <v>212</v>
      </c>
      <c r="E26" s="36" t="s">
        <v>54</v>
      </c>
      <c r="F26" s="34" t="s">
        <v>213</v>
      </c>
      <c r="G26" s="37" t="s">
        <v>214</v>
      </c>
      <c r="H26" s="37" t="s">
        <v>205</v>
      </c>
      <c r="I26" s="38" t="s">
        <v>215</v>
      </c>
      <c r="J26" s="34" t="s">
        <v>41</v>
      </c>
      <c r="K26" s="39" t="s">
        <v>42</v>
      </c>
      <c r="L26" s="40" t="s">
        <v>216</v>
      </c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42" t="s">
        <v>217</v>
      </c>
      <c r="Y26" s="58" t="s">
        <v>218</v>
      </c>
      <c r="Z26" s="84" t="s">
        <v>219</v>
      </c>
      <c r="AA26" s="45">
        <v>44650</v>
      </c>
      <c r="AB26" s="46" t="s">
        <v>30</v>
      </c>
      <c r="AC26" s="36" t="s">
        <v>220</v>
      </c>
      <c r="AD26" s="47" t="s">
        <v>49</v>
      </c>
      <c r="AE26" s="48" t="s">
        <v>49</v>
      </c>
      <c r="AF26" s="48" t="s">
        <v>49</v>
      </c>
      <c r="AG26" s="48" t="s">
        <v>49</v>
      </c>
      <c r="AH26" s="48" t="s">
        <v>49</v>
      </c>
      <c r="AI26" s="48" t="s">
        <v>49</v>
      </c>
      <c r="AJ26" s="49" t="s">
        <v>41</v>
      </c>
      <c r="AK26" s="48" t="s">
        <v>41</v>
      </c>
      <c r="AL26" s="62" t="s">
        <v>276</v>
      </c>
      <c r="AM26" s="59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1"/>
    </row>
    <row r="27" spans="1:51" x14ac:dyDescent="0.2">
      <c r="A27" s="33">
        <f t="shared" si="1"/>
        <v>22</v>
      </c>
      <c r="B27" s="34" t="s">
        <v>221</v>
      </c>
      <c r="C27" s="35" t="s">
        <v>222</v>
      </c>
      <c r="D27" s="36" t="s">
        <v>223</v>
      </c>
      <c r="E27" s="36" t="s">
        <v>54</v>
      </c>
      <c r="F27" s="34" t="s">
        <v>224</v>
      </c>
      <c r="G27" s="37" t="s">
        <v>73</v>
      </c>
      <c r="H27" s="37" t="s">
        <v>73</v>
      </c>
      <c r="I27" s="34" t="s">
        <v>225</v>
      </c>
      <c r="J27" s="34" t="s">
        <v>226</v>
      </c>
      <c r="K27" s="39" t="s">
        <v>42</v>
      </c>
      <c r="L27" s="53">
        <v>35886</v>
      </c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42" t="s">
        <v>227</v>
      </c>
      <c r="Y27" s="85" t="s">
        <v>228</v>
      </c>
      <c r="Z27" s="44" t="s">
        <v>229</v>
      </c>
      <c r="AA27" s="45">
        <v>42325</v>
      </c>
      <c r="AB27" s="46" t="s">
        <v>30</v>
      </c>
      <c r="AC27" s="36" t="s">
        <v>26</v>
      </c>
      <c r="AD27" s="64" t="s">
        <v>120</v>
      </c>
      <c r="AE27" s="48" t="s">
        <v>120</v>
      </c>
      <c r="AF27" s="48" t="s">
        <v>120</v>
      </c>
      <c r="AG27" s="48" t="s">
        <v>120</v>
      </c>
      <c r="AH27" s="48" t="s">
        <v>120</v>
      </c>
      <c r="AI27" s="48" t="s">
        <v>120</v>
      </c>
      <c r="AJ27" s="49" t="s">
        <v>41</v>
      </c>
      <c r="AK27" s="48" t="s">
        <v>41</v>
      </c>
      <c r="AL27" s="62" t="s">
        <v>276</v>
      </c>
      <c r="AM27" s="59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1"/>
    </row>
    <row r="28" spans="1:51" x14ac:dyDescent="0.2">
      <c r="A28" s="33">
        <f t="shared" si="1"/>
        <v>23</v>
      </c>
      <c r="B28" s="34" t="s">
        <v>230</v>
      </c>
      <c r="C28" s="35" t="s">
        <v>231</v>
      </c>
      <c r="D28" s="36" t="s">
        <v>232</v>
      </c>
      <c r="E28" s="36" t="s">
        <v>54</v>
      </c>
      <c r="F28" s="34" t="s">
        <v>233</v>
      </c>
      <c r="G28" s="37" t="s">
        <v>73</v>
      </c>
      <c r="H28" s="37" t="s">
        <v>73</v>
      </c>
      <c r="I28" s="34" t="s">
        <v>234</v>
      </c>
      <c r="J28" s="34" t="s">
        <v>41</v>
      </c>
      <c r="K28" s="39" t="s">
        <v>42</v>
      </c>
      <c r="L28" s="40" t="s">
        <v>235</v>
      </c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2" t="s">
        <v>236</v>
      </c>
      <c r="Y28" s="52" t="s">
        <v>237</v>
      </c>
      <c r="Z28" s="44" t="s">
        <v>61</v>
      </c>
      <c r="AA28" s="86">
        <v>40815</v>
      </c>
      <c r="AB28" s="46" t="s">
        <v>30</v>
      </c>
      <c r="AC28" s="36" t="s">
        <v>26</v>
      </c>
      <c r="AD28" s="47" t="s">
        <v>49</v>
      </c>
      <c r="AE28" s="48" t="s">
        <v>49</v>
      </c>
      <c r="AF28" s="48" t="s">
        <v>49</v>
      </c>
      <c r="AG28" s="48" t="s">
        <v>49</v>
      </c>
      <c r="AH28" s="48" t="s">
        <v>49</v>
      </c>
      <c r="AI28" s="48" t="s">
        <v>49</v>
      </c>
      <c r="AJ28" s="49" t="s">
        <v>41</v>
      </c>
      <c r="AK28" s="48" t="s">
        <v>41</v>
      </c>
      <c r="AL28" s="62" t="s">
        <v>276</v>
      </c>
      <c r="AM28" s="59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1"/>
    </row>
    <row r="29" spans="1:51" x14ac:dyDescent="0.2">
      <c r="A29" s="33">
        <f t="shared" si="1"/>
        <v>24</v>
      </c>
      <c r="B29" s="87" t="s">
        <v>238</v>
      </c>
      <c r="C29" s="88" t="s">
        <v>239</v>
      </c>
      <c r="D29" s="89" t="s">
        <v>240</v>
      </c>
      <c r="E29" s="89" t="s">
        <v>241</v>
      </c>
      <c r="F29" s="87" t="s">
        <v>242</v>
      </c>
      <c r="G29" s="90" t="s">
        <v>243</v>
      </c>
      <c r="H29" s="90" t="s">
        <v>205</v>
      </c>
      <c r="I29" s="91" t="s">
        <v>244</v>
      </c>
      <c r="J29" s="91" t="s">
        <v>245</v>
      </c>
      <c r="K29" s="92" t="s">
        <v>42</v>
      </c>
      <c r="L29" s="93">
        <v>36413</v>
      </c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42" t="s">
        <v>246</v>
      </c>
      <c r="Y29" s="95" t="s">
        <v>247</v>
      </c>
      <c r="Z29" s="44" t="s">
        <v>61</v>
      </c>
      <c r="AA29" s="45">
        <v>39286</v>
      </c>
      <c r="AB29" s="96" t="s">
        <v>30</v>
      </c>
      <c r="AC29" s="36" t="s">
        <v>26</v>
      </c>
      <c r="AD29" s="97" t="s">
        <v>49</v>
      </c>
      <c r="AE29" s="48" t="s">
        <v>49</v>
      </c>
      <c r="AF29" s="48" t="s">
        <v>49</v>
      </c>
      <c r="AG29" s="48" t="s">
        <v>41</v>
      </c>
      <c r="AH29" s="48" t="s">
        <v>41</v>
      </c>
      <c r="AI29" s="48" t="s">
        <v>41</v>
      </c>
      <c r="AJ29" s="49" t="s">
        <v>41</v>
      </c>
      <c r="AK29" s="48" t="s">
        <v>41</v>
      </c>
      <c r="AL29" s="62">
        <v>5</v>
      </c>
      <c r="AM29" s="59" t="s">
        <v>192</v>
      </c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1"/>
    </row>
    <row r="30" spans="1:51" x14ac:dyDescent="0.2">
      <c r="A30" s="33">
        <f t="shared" si="1"/>
        <v>25</v>
      </c>
      <c r="B30" s="34" t="s">
        <v>248</v>
      </c>
      <c r="C30" s="35" t="s">
        <v>249</v>
      </c>
      <c r="D30" s="73" t="s">
        <v>250</v>
      </c>
      <c r="E30" s="36" t="s">
        <v>54</v>
      </c>
      <c r="F30" s="98" t="s">
        <v>251</v>
      </c>
      <c r="G30" s="37" t="s">
        <v>252</v>
      </c>
      <c r="H30" s="37" t="s">
        <v>57</v>
      </c>
      <c r="I30" s="34" t="s">
        <v>253</v>
      </c>
      <c r="J30" s="34" t="s">
        <v>254</v>
      </c>
      <c r="K30" s="39" t="s">
        <v>42</v>
      </c>
      <c r="L30" s="99" t="s">
        <v>255</v>
      </c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42" t="s">
        <v>256</v>
      </c>
      <c r="Y30" s="100" t="s">
        <v>257</v>
      </c>
      <c r="Z30" s="44" t="s">
        <v>258</v>
      </c>
      <c r="AA30" s="45">
        <v>42935</v>
      </c>
      <c r="AB30" s="101" t="s">
        <v>30</v>
      </c>
      <c r="AC30" s="73" t="s">
        <v>26</v>
      </c>
      <c r="AD30" s="47" t="s">
        <v>49</v>
      </c>
      <c r="AE30" s="48" t="s">
        <v>49</v>
      </c>
      <c r="AF30" s="48" t="s">
        <v>49</v>
      </c>
      <c r="AG30" s="48" t="s">
        <v>49</v>
      </c>
      <c r="AH30" s="48" t="s">
        <v>49</v>
      </c>
      <c r="AI30" s="48" t="s">
        <v>49</v>
      </c>
      <c r="AJ30" s="49" t="s">
        <v>49</v>
      </c>
      <c r="AK30" s="48" t="s">
        <v>49</v>
      </c>
      <c r="AL30" s="62" t="s">
        <v>32</v>
      </c>
      <c r="AM30" s="59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1"/>
    </row>
    <row r="31" spans="1:51" x14ac:dyDescent="0.2">
      <c r="A31" s="33">
        <f t="shared" si="1"/>
        <v>26</v>
      </c>
      <c r="B31" s="34" t="s">
        <v>259</v>
      </c>
      <c r="C31" s="35" t="s">
        <v>260</v>
      </c>
      <c r="D31" s="36" t="s">
        <v>261</v>
      </c>
      <c r="E31" s="36" t="s">
        <v>54</v>
      </c>
      <c r="F31" s="34" t="s">
        <v>262</v>
      </c>
      <c r="G31" s="37" t="s">
        <v>176</v>
      </c>
      <c r="H31" s="37" t="s">
        <v>39</v>
      </c>
      <c r="I31" s="34" t="s">
        <v>263</v>
      </c>
      <c r="J31" s="34" t="s">
        <v>264</v>
      </c>
      <c r="K31" s="39" t="s">
        <v>42</v>
      </c>
      <c r="L31" s="40" t="s">
        <v>265</v>
      </c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42" t="s">
        <v>266</v>
      </c>
      <c r="Y31" s="60" t="s">
        <v>267</v>
      </c>
      <c r="Z31" s="44" t="s">
        <v>61</v>
      </c>
      <c r="AA31" s="45">
        <v>40815</v>
      </c>
      <c r="AB31" s="46" t="s">
        <v>30</v>
      </c>
      <c r="AC31" s="36" t="s">
        <v>26</v>
      </c>
      <c r="AD31" s="47" t="s">
        <v>49</v>
      </c>
      <c r="AE31" s="48" t="s">
        <v>49</v>
      </c>
      <c r="AF31" s="48" t="s">
        <v>41</v>
      </c>
      <c r="AG31" s="48" t="s">
        <v>41</v>
      </c>
      <c r="AH31" s="48" t="s">
        <v>41</v>
      </c>
      <c r="AI31" s="48" t="s">
        <v>41</v>
      </c>
      <c r="AJ31" s="49" t="s">
        <v>41</v>
      </c>
      <c r="AK31" s="48" t="s">
        <v>41</v>
      </c>
      <c r="AL31" s="62" t="s">
        <v>4587</v>
      </c>
      <c r="AM31" s="59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1"/>
    </row>
    <row r="32" spans="1:51" x14ac:dyDescent="0.2">
      <c r="A32" s="33">
        <f t="shared" si="1"/>
        <v>27</v>
      </c>
      <c r="B32" s="34" t="s">
        <v>268</v>
      </c>
      <c r="C32" s="35" t="s">
        <v>269</v>
      </c>
      <c r="D32" s="36" t="s">
        <v>270</v>
      </c>
      <c r="E32" s="36" t="s">
        <v>54</v>
      </c>
      <c r="F32" s="34" t="s">
        <v>271</v>
      </c>
      <c r="G32" s="37" t="s">
        <v>56</v>
      </c>
      <c r="H32" s="37" t="s">
        <v>57</v>
      </c>
      <c r="I32" s="38" t="s">
        <v>272</v>
      </c>
      <c r="J32" s="34" t="s">
        <v>41</v>
      </c>
      <c r="K32" s="39" t="s">
        <v>42</v>
      </c>
      <c r="L32" s="40" t="s">
        <v>273</v>
      </c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2" t="s">
        <v>274</v>
      </c>
      <c r="Y32" s="52" t="s">
        <v>275</v>
      </c>
      <c r="Z32" s="44" t="s">
        <v>61</v>
      </c>
      <c r="AA32" s="45">
        <v>40280</v>
      </c>
      <c r="AB32" s="46" t="s">
        <v>30</v>
      </c>
      <c r="AC32" s="36" t="s">
        <v>26</v>
      </c>
      <c r="AD32" s="47" t="s">
        <v>49</v>
      </c>
      <c r="AE32" s="48" t="s">
        <v>49</v>
      </c>
      <c r="AF32" s="48" t="s">
        <v>49</v>
      </c>
      <c r="AG32" s="48" t="s">
        <v>49</v>
      </c>
      <c r="AH32" s="48" t="s">
        <v>49</v>
      </c>
      <c r="AI32" s="48" t="s">
        <v>41</v>
      </c>
      <c r="AJ32" s="49" t="s">
        <v>41</v>
      </c>
      <c r="AK32" s="48" t="s">
        <v>41</v>
      </c>
      <c r="AL32" s="62" t="s">
        <v>4589</v>
      </c>
      <c r="AM32" s="59"/>
      <c r="AN32" s="10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1"/>
    </row>
    <row r="33" spans="1:51" x14ac:dyDescent="0.2">
      <c r="A33" s="33">
        <f t="shared" si="1"/>
        <v>28</v>
      </c>
      <c r="B33" s="34" t="s">
        <v>277</v>
      </c>
      <c r="C33" s="35" t="s">
        <v>278</v>
      </c>
      <c r="D33" s="36" t="s">
        <v>279</v>
      </c>
      <c r="E33" s="36" t="s">
        <v>36</v>
      </c>
      <c r="F33" s="34" t="s">
        <v>280</v>
      </c>
      <c r="G33" s="37" t="s">
        <v>73</v>
      </c>
      <c r="H33" s="37" t="s">
        <v>73</v>
      </c>
      <c r="I33" s="38" t="s">
        <v>281</v>
      </c>
      <c r="J33" s="34" t="s">
        <v>41</v>
      </c>
      <c r="K33" s="39" t="s">
        <v>42</v>
      </c>
      <c r="L33" s="53" t="s">
        <v>282</v>
      </c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2" t="s">
        <v>283</v>
      </c>
      <c r="Y33" s="58" t="s">
        <v>284</v>
      </c>
      <c r="Z33" s="44" t="s">
        <v>285</v>
      </c>
      <c r="AA33" s="45">
        <v>41793</v>
      </c>
      <c r="AB33" s="46" t="s">
        <v>30</v>
      </c>
      <c r="AC33" s="36" t="s">
        <v>26</v>
      </c>
      <c r="AD33" s="47" t="s">
        <v>49</v>
      </c>
      <c r="AE33" s="48" t="s">
        <v>49</v>
      </c>
      <c r="AF33" s="48" t="s">
        <v>49</v>
      </c>
      <c r="AG33" s="48" t="s">
        <v>49</v>
      </c>
      <c r="AH33" s="48" t="s">
        <v>49</v>
      </c>
      <c r="AI33" s="48" t="s">
        <v>49</v>
      </c>
      <c r="AJ33" s="49" t="s">
        <v>49</v>
      </c>
      <c r="AK33" s="48" t="s">
        <v>49</v>
      </c>
      <c r="AL33" s="62" t="s">
        <v>32</v>
      </c>
      <c r="AM33" s="103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1"/>
    </row>
    <row r="34" spans="1:51" x14ac:dyDescent="0.2">
      <c r="A34" s="33">
        <f t="shared" si="1"/>
        <v>29</v>
      </c>
      <c r="B34" s="34" t="s">
        <v>286</v>
      </c>
      <c r="C34" s="35" t="s">
        <v>287</v>
      </c>
      <c r="D34" s="36" t="s">
        <v>288</v>
      </c>
      <c r="E34" s="36" t="s">
        <v>54</v>
      </c>
      <c r="F34" s="34" t="s">
        <v>289</v>
      </c>
      <c r="G34" s="37" t="s">
        <v>73</v>
      </c>
      <c r="H34" s="37" t="s">
        <v>73</v>
      </c>
      <c r="I34" s="38" t="s">
        <v>290</v>
      </c>
      <c r="J34" s="34" t="s">
        <v>41</v>
      </c>
      <c r="K34" s="39" t="s">
        <v>42</v>
      </c>
      <c r="L34" s="53">
        <v>40672</v>
      </c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2" t="s">
        <v>291</v>
      </c>
      <c r="Y34" s="69" t="s">
        <v>292</v>
      </c>
      <c r="Z34" s="44" t="s">
        <v>293</v>
      </c>
      <c r="AA34" s="45">
        <v>43200</v>
      </c>
      <c r="AB34" s="46" t="s">
        <v>30</v>
      </c>
      <c r="AC34" s="36" t="s">
        <v>26</v>
      </c>
      <c r="AD34" s="47" t="s">
        <v>49</v>
      </c>
      <c r="AE34" s="48" t="s">
        <v>49</v>
      </c>
      <c r="AF34" s="48" t="s">
        <v>49</v>
      </c>
      <c r="AG34" s="48" t="s">
        <v>49</v>
      </c>
      <c r="AH34" s="48" t="s">
        <v>41</v>
      </c>
      <c r="AI34" s="48" t="s">
        <v>41</v>
      </c>
      <c r="AJ34" s="49" t="s">
        <v>41</v>
      </c>
      <c r="AK34" s="48" t="s">
        <v>41</v>
      </c>
      <c r="AL34" s="62" t="s">
        <v>139</v>
      </c>
      <c r="AM34" s="59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1"/>
    </row>
    <row r="35" spans="1:51" x14ac:dyDescent="0.2">
      <c r="A35" s="33">
        <f t="shared" si="1"/>
        <v>30</v>
      </c>
      <c r="B35" s="34" t="s">
        <v>294</v>
      </c>
      <c r="C35" s="35" t="s">
        <v>295</v>
      </c>
      <c r="D35" s="36" t="s">
        <v>296</v>
      </c>
      <c r="E35" s="36" t="s">
        <v>54</v>
      </c>
      <c r="F35" s="34" t="s">
        <v>297</v>
      </c>
      <c r="G35" s="37" t="s">
        <v>252</v>
      </c>
      <c r="H35" s="37" t="s">
        <v>57</v>
      </c>
      <c r="I35" s="38" t="s">
        <v>298</v>
      </c>
      <c r="J35" s="34" t="s">
        <v>41</v>
      </c>
      <c r="K35" s="39" t="s">
        <v>42</v>
      </c>
      <c r="L35" s="53">
        <v>44845</v>
      </c>
      <c r="M35" s="41"/>
      <c r="N35" s="41"/>
      <c r="O35" s="41"/>
      <c r="P35" s="41"/>
      <c r="Q35" s="41"/>
      <c r="R35" s="41"/>
      <c r="S35" s="41" t="s">
        <v>44</v>
      </c>
      <c r="T35" s="41"/>
      <c r="U35" s="41"/>
      <c r="V35" s="41"/>
      <c r="W35" s="41"/>
      <c r="X35" s="42" t="s">
        <v>299</v>
      </c>
      <c r="Y35" s="58" t="s">
        <v>300</v>
      </c>
      <c r="Z35" s="44"/>
      <c r="AA35" s="45">
        <v>45642</v>
      </c>
      <c r="AB35" s="46"/>
      <c r="AC35" s="36"/>
      <c r="AD35" s="47" t="s">
        <v>49</v>
      </c>
      <c r="AE35" s="48" t="s">
        <v>41</v>
      </c>
      <c r="AF35" s="48" t="s">
        <v>41</v>
      </c>
      <c r="AG35" s="48" t="s">
        <v>49</v>
      </c>
      <c r="AH35" s="48" t="s">
        <v>49</v>
      </c>
      <c r="AI35" s="48" t="s">
        <v>49</v>
      </c>
      <c r="AJ35" s="49" t="s">
        <v>49</v>
      </c>
      <c r="AK35" s="48" t="s">
        <v>49</v>
      </c>
      <c r="AL35" s="62" t="s">
        <v>32</v>
      </c>
      <c r="AM35" s="59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1"/>
    </row>
    <row r="36" spans="1:51" x14ac:dyDescent="0.2">
      <c r="A36" s="33">
        <f t="shared" si="1"/>
        <v>31</v>
      </c>
      <c r="B36" s="34" t="s">
        <v>301</v>
      </c>
      <c r="C36" s="35" t="s">
        <v>302</v>
      </c>
      <c r="D36" s="36" t="s">
        <v>303</v>
      </c>
      <c r="E36" s="36" t="s">
        <v>54</v>
      </c>
      <c r="F36" s="34" t="s">
        <v>304</v>
      </c>
      <c r="G36" s="37" t="s">
        <v>73</v>
      </c>
      <c r="H36" s="37" t="s">
        <v>73</v>
      </c>
      <c r="I36" s="38" t="s">
        <v>305</v>
      </c>
      <c r="J36" s="38" t="s">
        <v>306</v>
      </c>
      <c r="K36" s="39" t="s">
        <v>42</v>
      </c>
      <c r="L36" s="40" t="s">
        <v>307</v>
      </c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2" t="s">
        <v>308</v>
      </c>
      <c r="Y36" s="58" t="s">
        <v>309</v>
      </c>
      <c r="Z36" s="44" t="s">
        <v>61</v>
      </c>
      <c r="AA36" s="45">
        <v>40280</v>
      </c>
      <c r="AB36" s="46" t="s">
        <v>30</v>
      </c>
      <c r="AC36" s="36" t="s">
        <v>26</v>
      </c>
      <c r="AD36" s="64" t="s">
        <v>120</v>
      </c>
      <c r="AE36" s="48" t="s">
        <v>120</v>
      </c>
      <c r="AF36" s="48" t="s">
        <v>120</v>
      </c>
      <c r="AG36" s="48" t="s">
        <v>120</v>
      </c>
      <c r="AH36" s="48" t="s">
        <v>120</v>
      </c>
      <c r="AI36" s="48" t="s">
        <v>41</v>
      </c>
      <c r="AJ36" s="49" t="s">
        <v>41</v>
      </c>
      <c r="AK36" s="48" t="s">
        <v>41</v>
      </c>
      <c r="AL36" s="62" t="s">
        <v>4589</v>
      </c>
      <c r="AM36" s="59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1"/>
    </row>
    <row r="37" spans="1:51" x14ac:dyDescent="0.2">
      <c r="A37" s="33">
        <f t="shared" si="1"/>
        <v>32</v>
      </c>
      <c r="B37" s="34" t="s">
        <v>310</v>
      </c>
      <c r="C37" s="35" t="s">
        <v>311</v>
      </c>
      <c r="D37" s="104" t="s">
        <v>312</v>
      </c>
      <c r="E37" s="36" t="s">
        <v>54</v>
      </c>
      <c r="F37" s="34" t="s">
        <v>313</v>
      </c>
      <c r="G37" s="37" t="s">
        <v>214</v>
      </c>
      <c r="H37" s="37" t="s">
        <v>205</v>
      </c>
      <c r="I37" s="57" t="s">
        <v>314</v>
      </c>
      <c r="J37" s="34" t="s">
        <v>315</v>
      </c>
      <c r="K37" s="39" t="s">
        <v>42</v>
      </c>
      <c r="L37" s="40" t="s">
        <v>316</v>
      </c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2" t="s">
        <v>317</v>
      </c>
      <c r="Y37" s="58" t="s">
        <v>318</v>
      </c>
      <c r="Z37" s="44" t="s">
        <v>61</v>
      </c>
      <c r="AA37" s="45">
        <v>40815</v>
      </c>
      <c r="AB37" s="46" t="s">
        <v>30</v>
      </c>
      <c r="AC37" s="36" t="s">
        <v>26</v>
      </c>
      <c r="AD37" s="47" t="s">
        <v>49</v>
      </c>
      <c r="AE37" s="48" t="s">
        <v>49</v>
      </c>
      <c r="AF37" s="48" t="s">
        <v>49</v>
      </c>
      <c r="AG37" s="48" t="s">
        <v>49</v>
      </c>
      <c r="AH37" s="48" t="s">
        <v>49</v>
      </c>
      <c r="AI37" s="48" t="s">
        <v>49</v>
      </c>
      <c r="AJ37" s="49" t="s">
        <v>49</v>
      </c>
      <c r="AK37" s="48" t="s">
        <v>41</v>
      </c>
      <c r="AL37" s="62" t="s">
        <v>148</v>
      </c>
      <c r="AM37" s="59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1"/>
    </row>
    <row r="38" spans="1:51" x14ac:dyDescent="0.2">
      <c r="A38" s="33">
        <f t="shared" si="1"/>
        <v>33</v>
      </c>
      <c r="B38" s="34" t="s">
        <v>319</v>
      </c>
      <c r="C38" s="35" t="s">
        <v>320</v>
      </c>
      <c r="D38" s="36" t="s">
        <v>321</v>
      </c>
      <c r="E38" s="36" t="s">
        <v>54</v>
      </c>
      <c r="F38" s="34" t="s">
        <v>322</v>
      </c>
      <c r="G38" s="37" t="s">
        <v>323</v>
      </c>
      <c r="H38" s="37" t="s">
        <v>39</v>
      </c>
      <c r="I38" s="54" t="s">
        <v>324</v>
      </c>
      <c r="J38" s="34" t="s">
        <v>41</v>
      </c>
      <c r="K38" s="39" t="s">
        <v>42</v>
      </c>
      <c r="L38" s="53" t="s">
        <v>325</v>
      </c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42" t="s">
        <v>326</v>
      </c>
      <c r="Y38" s="58" t="s">
        <v>327</v>
      </c>
      <c r="Z38" s="44" t="s">
        <v>328</v>
      </c>
      <c r="AA38" s="45">
        <v>43200</v>
      </c>
      <c r="AB38" s="46" t="s">
        <v>30</v>
      </c>
      <c r="AC38" s="36" t="s">
        <v>26</v>
      </c>
      <c r="AD38" s="47" t="s">
        <v>49</v>
      </c>
      <c r="AE38" s="48" t="s">
        <v>49</v>
      </c>
      <c r="AF38" s="48" t="s">
        <v>49</v>
      </c>
      <c r="AG38" s="48" t="s">
        <v>49</v>
      </c>
      <c r="AH38" s="48" t="s">
        <v>49</v>
      </c>
      <c r="AI38" s="48" t="s">
        <v>49</v>
      </c>
      <c r="AJ38" s="49" t="s">
        <v>49</v>
      </c>
      <c r="AK38" s="48" t="s">
        <v>49</v>
      </c>
      <c r="AL38" s="65" t="s">
        <v>32</v>
      </c>
      <c r="AM38" s="59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1"/>
    </row>
    <row r="39" spans="1:51" x14ac:dyDescent="0.2">
      <c r="A39" s="33">
        <f t="shared" si="1"/>
        <v>34</v>
      </c>
      <c r="B39" s="34" t="s">
        <v>329</v>
      </c>
      <c r="C39" s="35" t="s">
        <v>330</v>
      </c>
      <c r="D39" s="105" t="s">
        <v>331</v>
      </c>
      <c r="E39" s="36" t="s">
        <v>54</v>
      </c>
      <c r="F39" s="34" t="s">
        <v>332</v>
      </c>
      <c r="G39" s="37" t="s">
        <v>38</v>
      </c>
      <c r="H39" s="37" t="s">
        <v>39</v>
      </c>
      <c r="I39" s="34" t="s">
        <v>333</v>
      </c>
      <c r="J39" s="34" t="s">
        <v>41</v>
      </c>
      <c r="K39" s="39" t="s">
        <v>42</v>
      </c>
      <c r="L39" s="53">
        <v>37202</v>
      </c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57" t="s">
        <v>334</v>
      </c>
      <c r="Y39" s="58" t="s">
        <v>335</v>
      </c>
      <c r="Z39" s="44"/>
      <c r="AA39" s="45"/>
      <c r="AB39" s="46"/>
      <c r="AC39" s="36" t="s">
        <v>26</v>
      </c>
      <c r="AD39" s="47" t="s">
        <v>49</v>
      </c>
      <c r="AE39" s="48" t="s">
        <v>49</v>
      </c>
      <c r="AF39" s="48" t="s">
        <v>49</v>
      </c>
      <c r="AG39" s="48" t="s">
        <v>49</v>
      </c>
      <c r="AH39" s="48" t="s">
        <v>49</v>
      </c>
      <c r="AI39" s="48" t="s">
        <v>49</v>
      </c>
      <c r="AJ39" s="49" t="s">
        <v>49</v>
      </c>
      <c r="AK39" s="48" t="s">
        <v>41</v>
      </c>
      <c r="AL39" s="62" t="s">
        <v>148</v>
      </c>
      <c r="AM39" s="59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1"/>
    </row>
    <row r="40" spans="1:51" x14ac:dyDescent="0.2">
      <c r="A40" s="33">
        <f t="shared" si="1"/>
        <v>35</v>
      </c>
      <c r="B40" s="34" t="s">
        <v>336</v>
      </c>
      <c r="C40" s="35" t="s">
        <v>337</v>
      </c>
      <c r="D40" s="36" t="s">
        <v>338</v>
      </c>
      <c r="E40" s="36" t="s">
        <v>54</v>
      </c>
      <c r="F40" s="34" t="s">
        <v>339</v>
      </c>
      <c r="G40" s="37" t="s">
        <v>73</v>
      </c>
      <c r="H40" s="37" t="s">
        <v>73</v>
      </c>
      <c r="I40" s="38" t="s">
        <v>340</v>
      </c>
      <c r="J40" s="34" t="s">
        <v>41</v>
      </c>
      <c r="K40" s="39" t="s">
        <v>42</v>
      </c>
      <c r="L40" s="53">
        <v>45237</v>
      </c>
      <c r="M40" s="41" t="s">
        <v>179</v>
      </c>
      <c r="N40" s="70" t="s">
        <v>341</v>
      </c>
      <c r="O40" s="70" t="s">
        <v>342</v>
      </c>
      <c r="P40" s="70">
        <v>1</v>
      </c>
      <c r="Q40" s="70" t="s">
        <v>342</v>
      </c>
      <c r="R40" s="70"/>
      <c r="S40" s="70"/>
      <c r="T40" s="70" t="s">
        <v>44</v>
      </c>
      <c r="U40" s="70"/>
      <c r="V40" s="70"/>
      <c r="W40" s="70"/>
      <c r="X40" s="54" t="s">
        <v>343</v>
      </c>
      <c r="Y40" s="58" t="s">
        <v>344</v>
      </c>
      <c r="Z40" s="58"/>
      <c r="AA40" s="45">
        <v>45642</v>
      </c>
      <c r="AB40" s="46"/>
      <c r="AC40" s="36"/>
      <c r="AD40" s="47" t="s">
        <v>49</v>
      </c>
      <c r="AE40" s="48" t="s">
        <v>41</v>
      </c>
      <c r="AF40" s="48" t="s">
        <v>41</v>
      </c>
      <c r="AG40" s="48" t="s">
        <v>41</v>
      </c>
      <c r="AH40" s="48" t="s">
        <v>49</v>
      </c>
      <c r="AI40" s="48" t="s">
        <v>49</v>
      </c>
      <c r="AJ40" s="49" t="s">
        <v>49</v>
      </c>
      <c r="AK40" s="48" t="s">
        <v>41</v>
      </c>
      <c r="AL40" s="62" t="s">
        <v>148</v>
      </c>
      <c r="AM40" s="59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1"/>
    </row>
    <row r="41" spans="1:51" x14ac:dyDescent="0.2">
      <c r="A41" s="33">
        <f t="shared" si="1"/>
        <v>36</v>
      </c>
      <c r="B41" s="34" t="s">
        <v>345</v>
      </c>
      <c r="C41" s="35" t="s">
        <v>346</v>
      </c>
      <c r="D41" s="36" t="s">
        <v>347</v>
      </c>
      <c r="E41" s="36" t="s">
        <v>54</v>
      </c>
      <c r="F41" s="106" t="s">
        <v>348</v>
      </c>
      <c r="G41" s="37" t="s">
        <v>349</v>
      </c>
      <c r="H41" s="37" t="s">
        <v>350</v>
      </c>
      <c r="I41" s="38" t="s">
        <v>351</v>
      </c>
      <c r="J41" s="34" t="s">
        <v>41</v>
      </c>
      <c r="K41" s="39" t="s">
        <v>42</v>
      </c>
      <c r="L41" s="53" t="s">
        <v>352</v>
      </c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42" t="s">
        <v>353</v>
      </c>
      <c r="Y41" s="85" t="s">
        <v>354</v>
      </c>
      <c r="Z41" s="44" t="s">
        <v>355</v>
      </c>
      <c r="AA41" s="45">
        <v>42935</v>
      </c>
      <c r="AB41" s="46" t="s">
        <v>129</v>
      </c>
      <c r="AC41" s="36" t="s">
        <v>26</v>
      </c>
      <c r="AD41" s="47" t="s">
        <v>49</v>
      </c>
      <c r="AE41" s="48" t="s">
        <v>49</v>
      </c>
      <c r="AF41" s="48" t="s">
        <v>49</v>
      </c>
      <c r="AG41" s="48" t="s">
        <v>49</v>
      </c>
      <c r="AH41" s="48" t="s">
        <v>49</v>
      </c>
      <c r="AI41" s="48" t="s">
        <v>49</v>
      </c>
      <c r="AJ41" s="49" t="s">
        <v>49</v>
      </c>
      <c r="AK41" s="48" t="s">
        <v>41</v>
      </c>
      <c r="AL41" s="62" t="s">
        <v>148</v>
      </c>
      <c r="AM41" s="59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1"/>
    </row>
    <row r="42" spans="1:51" x14ac:dyDescent="0.2">
      <c r="A42" s="33">
        <f t="shared" si="1"/>
        <v>37</v>
      </c>
      <c r="B42" s="34" t="s">
        <v>356</v>
      </c>
      <c r="C42" s="35" t="s">
        <v>357</v>
      </c>
      <c r="D42" s="36" t="s">
        <v>358</v>
      </c>
      <c r="E42" s="36" t="s">
        <v>54</v>
      </c>
      <c r="F42" s="87" t="s">
        <v>359</v>
      </c>
      <c r="G42" s="37" t="s">
        <v>360</v>
      </c>
      <c r="H42" s="37" t="s">
        <v>350</v>
      </c>
      <c r="I42" s="34" t="s">
        <v>361</v>
      </c>
      <c r="J42" s="34" t="s">
        <v>41</v>
      </c>
      <c r="K42" s="39" t="s">
        <v>42</v>
      </c>
      <c r="L42" s="53">
        <v>37718</v>
      </c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42" t="s">
        <v>362</v>
      </c>
      <c r="Y42" s="52" t="s">
        <v>363</v>
      </c>
      <c r="Z42" s="44" t="s">
        <v>61</v>
      </c>
      <c r="AA42" s="45">
        <v>37877</v>
      </c>
      <c r="AB42" s="46" t="s">
        <v>30</v>
      </c>
      <c r="AC42" s="36" t="s">
        <v>26</v>
      </c>
      <c r="AD42" s="47" t="s">
        <v>49</v>
      </c>
      <c r="AE42" s="48" t="s">
        <v>49</v>
      </c>
      <c r="AF42" s="48" t="s">
        <v>49</v>
      </c>
      <c r="AG42" s="48" t="s">
        <v>49</v>
      </c>
      <c r="AH42" s="48" t="s">
        <v>49</v>
      </c>
      <c r="AI42" s="48" t="s">
        <v>49</v>
      </c>
      <c r="AJ42" s="49" t="s">
        <v>49</v>
      </c>
      <c r="AK42" s="48" t="s">
        <v>41</v>
      </c>
      <c r="AL42" s="62" t="s">
        <v>148</v>
      </c>
      <c r="AM42" s="59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1"/>
    </row>
    <row r="43" spans="1:51" x14ac:dyDescent="0.2">
      <c r="A43" s="33">
        <f t="shared" si="1"/>
        <v>38</v>
      </c>
      <c r="B43" s="107" t="s">
        <v>364</v>
      </c>
      <c r="C43" s="35" t="s">
        <v>365</v>
      </c>
      <c r="D43" s="36" t="s">
        <v>366</v>
      </c>
      <c r="E43" s="36" t="s">
        <v>54</v>
      </c>
      <c r="F43" s="34" t="s">
        <v>367</v>
      </c>
      <c r="G43" s="37" t="s">
        <v>243</v>
      </c>
      <c r="H43" s="37" t="s">
        <v>205</v>
      </c>
      <c r="I43" s="34" t="s">
        <v>368</v>
      </c>
      <c r="J43" s="34" t="s">
        <v>41</v>
      </c>
      <c r="K43" s="39" t="s">
        <v>42</v>
      </c>
      <c r="L43" s="40" t="s">
        <v>369</v>
      </c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2" t="s">
        <v>370</v>
      </c>
      <c r="Y43" s="100" t="s">
        <v>371</v>
      </c>
      <c r="Z43" s="44" t="s">
        <v>372</v>
      </c>
      <c r="AA43" s="45">
        <v>42966</v>
      </c>
      <c r="AB43" s="46" t="s">
        <v>30</v>
      </c>
      <c r="AC43" s="36" t="s">
        <v>26</v>
      </c>
      <c r="AD43" s="47" t="s">
        <v>49</v>
      </c>
      <c r="AE43" s="48" t="s">
        <v>49</v>
      </c>
      <c r="AF43" s="48" t="s">
        <v>49</v>
      </c>
      <c r="AG43" s="48" t="s">
        <v>41</v>
      </c>
      <c r="AH43" s="48" t="s">
        <v>41</v>
      </c>
      <c r="AI43" s="48" t="s">
        <v>41</v>
      </c>
      <c r="AJ43" s="49" t="s">
        <v>41</v>
      </c>
      <c r="AK43" s="48" t="s">
        <v>41</v>
      </c>
      <c r="AL43" s="62" t="s">
        <v>110</v>
      </c>
      <c r="AM43" s="59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1"/>
    </row>
    <row r="44" spans="1:51" x14ac:dyDescent="0.2">
      <c r="A44" s="33">
        <f t="shared" si="1"/>
        <v>39</v>
      </c>
      <c r="B44" s="34" t="s">
        <v>373</v>
      </c>
      <c r="C44" s="35" t="s">
        <v>374</v>
      </c>
      <c r="D44" s="36" t="s">
        <v>375</v>
      </c>
      <c r="E44" s="36" t="s">
        <v>54</v>
      </c>
      <c r="F44" s="34" t="s">
        <v>376</v>
      </c>
      <c r="G44" s="37" t="s">
        <v>377</v>
      </c>
      <c r="H44" s="37" t="s">
        <v>378</v>
      </c>
      <c r="I44" s="38" t="s">
        <v>379</v>
      </c>
      <c r="J44" s="34" t="s">
        <v>380</v>
      </c>
      <c r="K44" s="39" t="s">
        <v>42</v>
      </c>
      <c r="L44" s="53" t="s">
        <v>381</v>
      </c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42" t="s">
        <v>382</v>
      </c>
      <c r="Y44" s="43" t="s">
        <v>383</v>
      </c>
      <c r="Z44" s="44" t="s">
        <v>384</v>
      </c>
      <c r="AA44" s="45">
        <v>42935</v>
      </c>
      <c r="AB44" s="46" t="s">
        <v>30</v>
      </c>
      <c r="AC44" s="36" t="s">
        <v>26</v>
      </c>
      <c r="AD44" s="47" t="s">
        <v>49</v>
      </c>
      <c r="AE44" s="48" t="s">
        <v>49</v>
      </c>
      <c r="AF44" s="48" t="s">
        <v>49</v>
      </c>
      <c r="AG44" s="48" t="s">
        <v>49</v>
      </c>
      <c r="AH44" s="48" t="s">
        <v>49</v>
      </c>
      <c r="AI44" s="48" t="s">
        <v>49</v>
      </c>
      <c r="AJ44" s="49" t="s">
        <v>49</v>
      </c>
      <c r="AK44" s="48" t="s">
        <v>41</v>
      </c>
      <c r="AL44" s="62" t="s">
        <v>148</v>
      </c>
      <c r="AM44" s="59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1"/>
    </row>
    <row r="45" spans="1:51" x14ac:dyDescent="0.2">
      <c r="A45" s="33">
        <f t="shared" si="1"/>
        <v>40</v>
      </c>
      <c r="B45" s="34" t="s">
        <v>385</v>
      </c>
      <c r="C45" s="35" t="s">
        <v>386</v>
      </c>
      <c r="D45" s="36" t="s">
        <v>387</v>
      </c>
      <c r="E45" s="36" t="s">
        <v>54</v>
      </c>
      <c r="F45" s="34" t="s">
        <v>388</v>
      </c>
      <c r="G45" s="37" t="s">
        <v>73</v>
      </c>
      <c r="H45" s="37" t="s">
        <v>73</v>
      </c>
      <c r="I45" s="34" t="s">
        <v>389</v>
      </c>
      <c r="J45" s="34" t="s">
        <v>380</v>
      </c>
      <c r="K45" s="39" t="s">
        <v>42</v>
      </c>
      <c r="L45" s="40" t="s">
        <v>390</v>
      </c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42" t="s">
        <v>391</v>
      </c>
      <c r="Y45" s="52" t="s">
        <v>392</v>
      </c>
      <c r="Z45" s="44" t="s">
        <v>393</v>
      </c>
      <c r="AA45" s="45">
        <v>43200</v>
      </c>
      <c r="AB45" s="46" t="s">
        <v>30</v>
      </c>
      <c r="AC45" s="36" t="s">
        <v>26</v>
      </c>
      <c r="AD45" s="47" t="s">
        <v>49</v>
      </c>
      <c r="AE45" s="48" t="s">
        <v>49</v>
      </c>
      <c r="AF45" s="48" t="s">
        <v>49</v>
      </c>
      <c r="AG45" s="48" t="s">
        <v>49</v>
      </c>
      <c r="AH45" s="48" t="s">
        <v>49</v>
      </c>
      <c r="AI45" s="48" t="s">
        <v>49</v>
      </c>
      <c r="AJ45" s="49" t="s">
        <v>49</v>
      </c>
      <c r="AK45" s="48" t="s">
        <v>49</v>
      </c>
      <c r="AL45" s="62" t="s">
        <v>32</v>
      </c>
      <c r="AM45" s="59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1"/>
    </row>
    <row r="46" spans="1:51" x14ac:dyDescent="0.2">
      <c r="A46" s="33">
        <f t="shared" si="1"/>
        <v>41</v>
      </c>
      <c r="B46" s="108" t="s">
        <v>394</v>
      </c>
      <c r="C46" s="35" t="s">
        <v>395</v>
      </c>
      <c r="D46" s="109" t="s">
        <v>396</v>
      </c>
      <c r="E46" s="36" t="s">
        <v>36</v>
      </c>
      <c r="F46" s="108" t="s">
        <v>397</v>
      </c>
      <c r="G46" s="37" t="s">
        <v>398</v>
      </c>
      <c r="H46" s="37" t="s">
        <v>205</v>
      </c>
      <c r="I46" s="108" t="s">
        <v>399</v>
      </c>
      <c r="J46" s="34" t="s">
        <v>41</v>
      </c>
      <c r="K46" s="39" t="s">
        <v>42</v>
      </c>
      <c r="L46" s="53">
        <v>40399</v>
      </c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2" t="s">
        <v>400</v>
      </c>
      <c r="Y46" s="69" t="s">
        <v>401</v>
      </c>
      <c r="Z46" s="44" t="s">
        <v>61</v>
      </c>
      <c r="AA46" s="45">
        <v>40815</v>
      </c>
      <c r="AB46" s="46" t="s">
        <v>30</v>
      </c>
      <c r="AC46" s="109" t="s">
        <v>26</v>
      </c>
      <c r="AD46" s="47" t="s">
        <v>49</v>
      </c>
      <c r="AE46" s="48" t="s">
        <v>49</v>
      </c>
      <c r="AF46" s="48" t="s">
        <v>49</v>
      </c>
      <c r="AG46" s="48" t="s">
        <v>49</v>
      </c>
      <c r="AH46" s="48" t="s">
        <v>49</v>
      </c>
      <c r="AI46" s="48" t="s">
        <v>49</v>
      </c>
      <c r="AJ46" s="49" t="s">
        <v>49</v>
      </c>
      <c r="AK46" s="48" t="s">
        <v>49</v>
      </c>
      <c r="AL46" s="62" t="s">
        <v>32</v>
      </c>
      <c r="AM46" s="59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1"/>
    </row>
    <row r="47" spans="1:51" x14ac:dyDescent="0.2">
      <c r="A47" s="33">
        <f t="shared" si="1"/>
        <v>42</v>
      </c>
      <c r="B47" s="107" t="s">
        <v>402</v>
      </c>
      <c r="C47" s="35" t="s">
        <v>403</v>
      </c>
      <c r="D47" s="36" t="s">
        <v>404</v>
      </c>
      <c r="E47" s="36" t="s">
        <v>54</v>
      </c>
      <c r="F47" s="87" t="s">
        <v>405</v>
      </c>
      <c r="G47" s="37" t="s">
        <v>73</v>
      </c>
      <c r="H47" s="37" t="s">
        <v>73</v>
      </c>
      <c r="I47" s="38" t="s">
        <v>406</v>
      </c>
      <c r="J47" s="34" t="s">
        <v>41</v>
      </c>
      <c r="K47" s="39" t="s">
        <v>42</v>
      </c>
      <c r="L47" s="53">
        <v>36895</v>
      </c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2" t="s">
        <v>407</v>
      </c>
      <c r="Y47" s="58" t="s">
        <v>408</v>
      </c>
      <c r="Z47" s="44" t="s">
        <v>61</v>
      </c>
      <c r="AA47" s="45">
        <v>40280</v>
      </c>
      <c r="AB47" s="46" t="s">
        <v>30</v>
      </c>
      <c r="AC47" s="36"/>
      <c r="AD47" s="47" t="s">
        <v>49</v>
      </c>
      <c r="AE47" s="48" t="s">
        <v>41</v>
      </c>
      <c r="AF47" s="48" t="s">
        <v>41</v>
      </c>
      <c r="AG47" s="48" t="s">
        <v>41</v>
      </c>
      <c r="AH47" s="48" t="s">
        <v>41</v>
      </c>
      <c r="AI47" s="48" t="s">
        <v>41</v>
      </c>
      <c r="AJ47" s="49" t="s">
        <v>41</v>
      </c>
      <c r="AK47" s="48" t="s">
        <v>41</v>
      </c>
      <c r="AL47" s="65" t="s">
        <v>4590</v>
      </c>
      <c r="AM47" s="59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1"/>
    </row>
    <row r="48" spans="1:51" x14ac:dyDescent="0.2">
      <c r="A48" s="33">
        <f t="shared" si="1"/>
        <v>43</v>
      </c>
      <c r="B48" s="108" t="s">
        <v>409</v>
      </c>
      <c r="C48" s="35" t="s">
        <v>410</v>
      </c>
      <c r="D48" s="36" t="s">
        <v>411</v>
      </c>
      <c r="E48" s="36" t="s">
        <v>36</v>
      </c>
      <c r="F48" s="34" t="s">
        <v>412</v>
      </c>
      <c r="G48" s="37" t="s">
        <v>413</v>
      </c>
      <c r="H48" s="37" t="s">
        <v>378</v>
      </c>
      <c r="I48" s="38" t="s">
        <v>414</v>
      </c>
      <c r="J48" s="38" t="s">
        <v>415</v>
      </c>
      <c r="K48" s="39" t="s">
        <v>42</v>
      </c>
      <c r="L48" s="53" t="s">
        <v>416</v>
      </c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42" t="s">
        <v>417</v>
      </c>
      <c r="Y48" s="58" t="s">
        <v>418</v>
      </c>
      <c r="Z48" s="44" t="s">
        <v>419</v>
      </c>
      <c r="AA48" s="45">
        <v>42935</v>
      </c>
      <c r="AB48" s="46" t="s">
        <v>129</v>
      </c>
      <c r="AC48" s="36">
        <v>1</v>
      </c>
      <c r="AD48" s="47" t="s">
        <v>49</v>
      </c>
      <c r="AE48" s="48" t="s">
        <v>41</v>
      </c>
      <c r="AF48" s="48" t="s">
        <v>41</v>
      </c>
      <c r="AG48" s="48" t="s">
        <v>41</v>
      </c>
      <c r="AH48" s="48" t="s">
        <v>41</v>
      </c>
      <c r="AI48" s="48" t="s">
        <v>41</v>
      </c>
      <c r="AJ48" s="49" t="s">
        <v>41</v>
      </c>
      <c r="AK48" s="48" t="s">
        <v>41</v>
      </c>
      <c r="AL48" s="110" t="s">
        <v>4591</v>
      </c>
      <c r="AM48" s="59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1"/>
    </row>
    <row r="49" spans="1:51" x14ac:dyDescent="0.2">
      <c r="A49" s="33">
        <f t="shared" si="1"/>
        <v>44</v>
      </c>
      <c r="B49" s="34" t="s">
        <v>420</v>
      </c>
      <c r="C49" s="35" t="s">
        <v>421</v>
      </c>
      <c r="D49" s="36" t="s">
        <v>422</v>
      </c>
      <c r="E49" s="36" t="s">
        <v>54</v>
      </c>
      <c r="F49" s="34" t="s">
        <v>423</v>
      </c>
      <c r="G49" s="37" t="s">
        <v>73</v>
      </c>
      <c r="H49" s="37" t="s">
        <v>73</v>
      </c>
      <c r="I49" s="107" t="s">
        <v>424</v>
      </c>
      <c r="J49" s="34" t="s">
        <v>425</v>
      </c>
      <c r="K49" s="39" t="s">
        <v>42</v>
      </c>
      <c r="L49" s="53">
        <v>40360</v>
      </c>
      <c r="M49" s="41"/>
      <c r="N49" s="111"/>
      <c r="O49" s="112"/>
      <c r="P49" s="111"/>
      <c r="Q49" s="112"/>
      <c r="R49" s="112"/>
      <c r="S49" s="112"/>
      <c r="T49" s="41"/>
      <c r="U49" s="41"/>
      <c r="V49" s="41"/>
      <c r="W49" s="41"/>
      <c r="X49" s="42" t="s">
        <v>426</v>
      </c>
      <c r="Y49" s="43" t="s">
        <v>427</v>
      </c>
      <c r="Z49" s="44" t="s">
        <v>61</v>
      </c>
      <c r="AA49" s="45">
        <v>40815</v>
      </c>
      <c r="AB49" s="46" t="s">
        <v>30</v>
      </c>
      <c r="AC49" s="36" t="s">
        <v>26</v>
      </c>
      <c r="AD49" s="64" t="s">
        <v>120</v>
      </c>
      <c r="AE49" s="48" t="s">
        <v>120</v>
      </c>
      <c r="AF49" s="48" t="s">
        <v>120</v>
      </c>
      <c r="AG49" s="48" t="s">
        <v>120</v>
      </c>
      <c r="AH49" s="48" t="s">
        <v>120</v>
      </c>
      <c r="AI49" s="48" t="s">
        <v>120</v>
      </c>
      <c r="AJ49" s="49" t="s">
        <v>120</v>
      </c>
      <c r="AK49" s="48" t="s">
        <v>120</v>
      </c>
      <c r="AL49" s="65" t="s">
        <v>32</v>
      </c>
      <c r="AM49" s="59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1"/>
    </row>
    <row r="50" spans="1:51" x14ac:dyDescent="0.2">
      <c r="A50" s="33">
        <f t="shared" si="1"/>
        <v>45</v>
      </c>
      <c r="B50" s="34" t="s">
        <v>428</v>
      </c>
      <c r="C50" s="35" t="s">
        <v>429</v>
      </c>
      <c r="D50" s="36" t="s">
        <v>430</v>
      </c>
      <c r="E50" s="36" t="s">
        <v>54</v>
      </c>
      <c r="F50" s="34" t="s">
        <v>431</v>
      </c>
      <c r="G50" s="37" t="s">
        <v>38</v>
      </c>
      <c r="H50" s="37" t="s">
        <v>39</v>
      </c>
      <c r="I50" s="113" t="s">
        <v>432</v>
      </c>
      <c r="J50" s="34" t="s">
        <v>41</v>
      </c>
      <c r="K50" s="39" t="s">
        <v>42</v>
      </c>
      <c r="L50" s="40" t="s">
        <v>433</v>
      </c>
      <c r="M50" s="56"/>
      <c r="N50" s="114"/>
      <c r="O50" s="115"/>
      <c r="P50" s="56"/>
      <c r="Q50" s="115"/>
      <c r="R50" s="115"/>
      <c r="S50" s="115"/>
      <c r="T50" s="56"/>
      <c r="U50" s="56"/>
      <c r="V50" s="56"/>
      <c r="W50" s="56"/>
      <c r="X50" s="42" t="s">
        <v>434</v>
      </c>
      <c r="Y50" s="69" t="s">
        <v>435</v>
      </c>
      <c r="Z50" s="44" t="s">
        <v>61</v>
      </c>
      <c r="AA50" s="45">
        <v>39286</v>
      </c>
      <c r="AB50" s="46" t="s">
        <v>30</v>
      </c>
      <c r="AC50" s="36" t="s">
        <v>26</v>
      </c>
      <c r="AD50" s="47" t="s">
        <v>49</v>
      </c>
      <c r="AE50" s="48" t="s">
        <v>49</v>
      </c>
      <c r="AF50" s="48" t="s">
        <v>49</v>
      </c>
      <c r="AG50" s="48" t="s">
        <v>49</v>
      </c>
      <c r="AH50" s="48" t="s">
        <v>49</v>
      </c>
      <c r="AI50" s="48" t="s">
        <v>49</v>
      </c>
      <c r="AJ50" s="49" t="s">
        <v>49</v>
      </c>
      <c r="AK50" s="48" t="s">
        <v>49</v>
      </c>
      <c r="AL50" s="62" t="s">
        <v>32</v>
      </c>
      <c r="AM50" s="59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1"/>
    </row>
    <row r="51" spans="1:51" x14ac:dyDescent="0.2">
      <c r="A51" s="33">
        <f t="shared" si="1"/>
        <v>46</v>
      </c>
      <c r="B51" s="34" t="s">
        <v>436</v>
      </c>
      <c r="C51" s="35" t="s">
        <v>437</v>
      </c>
      <c r="D51" s="36" t="s">
        <v>438</v>
      </c>
      <c r="E51" s="36" t="s">
        <v>54</v>
      </c>
      <c r="F51" s="34" t="s">
        <v>439</v>
      </c>
      <c r="G51" s="37" t="s">
        <v>377</v>
      </c>
      <c r="H51" s="37" t="s">
        <v>378</v>
      </c>
      <c r="I51" s="113" t="s">
        <v>440</v>
      </c>
      <c r="J51" s="34" t="s">
        <v>41</v>
      </c>
      <c r="K51" s="39" t="s">
        <v>42</v>
      </c>
      <c r="L51" s="53">
        <v>45244</v>
      </c>
      <c r="M51" s="56"/>
      <c r="N51" s="114"/>
      <c r="O51" s="115"/>
      <c r="P51" s="114"/>
      <c r="Q51" s="115"/>
      <c r="R51" s="115"/>
      <c r="S51" s="115"/>
      <c r="T51" s="56" t="s">
        <v>44</v>
      </c>
      <c r="U51" s="56"/>
      <c r="V51" s="56"/>
      <c r="W51" s="56"/>
      <c r="X51" s="42" t="s">
        <v>441</v>
      </c>
      <c r="Y51" s="83" t="s">
        <v>442</v>
      </c>
      <c r="Z51" s="44"/>
      <c r="AA51" s="45">
        <v>45642</v>
      </c>
      <c r="AB51" s="46"/>
      <c r="AC51" s="36"/>
      <c r="AD51" s="47" t="s">
        <v>49</v>
      </c>
      <c r="AE51" s="48" t="s">
        <v>41</v>
      </c>
      <c r="AF51" s="48" t="s">
        <v>41</v>
      </c>
      <c r="AG51" s="48" t="s">
        <v>41</v>
      </c>
      <c r="AH51" s="48" t="s">
        <v>49</v>
      </c>
      <c r="AI51" s="48" t="s">
        <v>49</v>
      </c>
      <c r="AJ51" s="49" t="s">
        <v>41</v>
      </c>
      <c r="AK51" s="48" t="s">
        <v>41</v>
      </c>
      <c r="AL51" s="62">
        <v>1</v>
      </c>
      <c r="AM51" s="59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1"/>
    </row>
    <row r="52" spans="1:51" x14ac:dyDescent="0.2">
      <c r="A52" s="33">
        <f t="shared" si="1"/>
        <v>47</v>
      </c>
      <c r="B52" s="34" t="s">
        <v>443</v>
      </c>
      <c r="C52" s="35" t="s">
        <v>444</v>
      </c>
      <c r="D52" s="36" t="s">
        <v>445</v>
      </c>
      <c r="E52" s="36" t="s">
        <v>36</v>
      </c>
      <c r="F52" s="34" t="s">
        <v>446</v>
      </c>
      <c r="G52" s="37" t="s">
        <v>360</v>
      </c>
      <c r="H52" s="37" t="s">
        <v>350</v>
      </c>
      <c r="I52" s="38" t="s">
        <v>447</v>
      </c>
      <c r="J52" s="34" t="s">
        <v>41</v>
      </c>
      <c r="K52" s="39" t="s">
        <v>42</v>
      </c>
      <c r="L52" s="53">
        <v>40670</v>
      </c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42" t="s">
        <v>448</v>
      </c>
      <c r="Y52" s="58" t="s">
        <v>449</v>
      </c>
      <c r="Z52" s="44" t="s">
        <v>450</v>
      </c>
      <c r="AA52" s="45">
        <v>42325</v>
      </c>
      <c r="AB52" s="46" t="s">
        <v>30</v>
      </c>
      <c r="AC52" s="36">
        <v>1</v>
      </c>
      <c r="AD52" s="47" t="s">
        <v>49</v>
      </c>
      <c r="AE52" s="48" t="s">
        <v>41</v>
      </c>
      <c r="AF52" s="48" t="s">
        <v>41</v>
      </c>
      <c r="AG52" s="48" t="s">
        <v>41</v>
      </c>
      <c r="AH52" s="48" t="s">
        <v>41</v>
      </c>
      <c r="AI52" s="48" t="s">
        <v>41</v>
      </c>
      <c r="AJ52" s="49" t="s">
        <v>41</v>
      </c>
      <c r="AK52" s="48" t="s">
        <v>41</v>
      </c>
      <c r="AL52" s="65">
        <v>9</v>
      </c>
      <c r="AM52" s="59" t="s">
        <v>451</v>
      </c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1"/>
    </row>
    <row r="53" spans="1:51" x14ac:dyDescent="0.2">
      <c r="A53" s="33">
        <f t="shared" si="1"/>
        <v>48</v>
      </c>
      <c r="B53" s="34" t="s">
        <v>452</v>
      </c>
      <c r="C53" s="35" t="s">
        <v>453</v>
      </c>
      <c r="D53" s="36" t="s">
        <v>454</v>
      </c>
      <c r="E53" s="36" t="s">
        <v>54</v>
      </c>
      <c r="F53" s="34" t="s">
        <v>455</v>
      </c>
      <c r="G53" s="37" t="s">
        <v>456</v>
      </c>
      <c r="H53" s="37" t="s">
        <v>187</v>
      </c>
      <c r="I53" s="34"/>
      <c r="J53" s="34" t="s">
        <v>41</v>
      </c>
      <c r="K53" s="39" t="s">
        <v>42</v>
      </c>
      <c r="L53" s="53">
        <v>36745</v>
      </c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42" t="s">
        <v>457</v>
      </c>
      <c r="Y53" s="69" t="s">
        <v>458</v>
      </c>
      <c r="Z53" s="44" t="s">
        <v>459</v>
      </c>
      <c r="AA53" s="45">
        <v>42325</v>
      </c>
      <c r="AB53" s="46" t="s">
        <v>30</v>
      </c>
      <c r="AC53" s="36">
        <v>1</v>
      </c>
      <c r="AD53" s="47" t="s">
        <v>49</v>
      </c>
      <c r="AE53" s="48" t="s">
        <v>41</v>
      </c>
      <c r="AF53" s="48" t="s">
        <v>41</v>
      </c>
      <c r="AG53" s="48" t="s">
        <v>41</v>
      </c>
      <c r="AH53" s="48" t="s">
        <v>41</v>
      </c>
      <c r="AI53" s="48" t="s">
        <v>41</v>
      </c>
      <c r="AJ53" s="49" t="s">
        <v>41</v>
      </c>
      <c r="AK53" s="48" t="s">
        <v>41</v>
      </c>
      <c r="AL53" s="65">
        <v>6</v>
      </c>
      <c r="AM53" s="59" t="s">
        <v>460</v>
      </c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1"/>
    </row>
    <row r="54" spans="1:51" x14ac:dyDescent="0.2">
      <c r="A54" s="33">
        <f t="shared" si="1"/>
        <v>49</v>
      </c>
      <c r="B54" s="34" t="s">
        <v>461</v>
      </c>
      <c r="C54" s="35" t="s">
        <v>462</v>
      </c>
      <c r="D54" s="36" t="s">
        <v>463</v>
      </c>
      <c r="E54" s="36" t="s">
        <v>36</v>
      </c>
      <c r="F54" s="34" t="s">
        <v>464</v>
      </c>
      <c r="G54" s="37" t="s">
        <v>73</v>
      </c>
      <c r="H54" s="37" t="s">
        <v>73</v>
      </c>
      <c r="I54" s="34" t="s">
        <v>465</v>
      </c>
      <c r="J54" s="34" t="s">
        <v>466</v>
      </c>
      <c r="K54" s="39" t="s">
        <v>42</v>
      </c>
      <c r="L54" s="40" t="s">
        <v>467</v>
      </c>
      <c r="M54" s="41"/>
      <c r="N54" s="41"/>
      <c r="O54" s="41"/>
      <c r="P54" s="41"/>
      <c r="Q54" s="41"/>
      <c r="R54" s="41"/>
      <c r="S54" s="41"/>
      <c r="T54" s="41" t="s">
        <v>468</v>
      </c>
      <c r="U54" s="41"/>
      <c r="V54" s="41"/>
      <c r="W54" s="41"/>
      <c r="X54" s="42" t="s">
        <v>469</v>
      </c>
      <c r="Y54" s="52" t="s">
        <v>470</v>
      </c>
      <c r="Z54" s="52"/>
      <c r="AA54" s="45">
        <v>45642</v>
      </c>
      <c r="AB54" s="46"/>
      <c r="AC54" s="36" t="s">
        <v>26</v>
      </c>
      <c r="AD54" s="47" t="s">
        <v>49</v>
      </c>
      <c r="AE54" s="48" t="s">
        <v>49</v>
      </c>
      <c r="AF54" s="48" t="s">
        <v>49</v>
      </c>
      <c r="AG54" s="48" t="s">
        <v>49</v>
      </c>
      <c r="AH54" s="48" t="s">
        <v>49</v>
      </c>
      <c r="AI54" s="48" t="s">
        <v>49</v>
      </c>
      <c r="AJ54" s="49" t="s">
        <v>49</v>
      </c>
      <c r="AK54" s="48" t="s">
        <v>41</v>
      </c>
      <c r="AL54" s="62" t="s">
        <v>148</v>
      </c>
      <c r="AM54" s="59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1"/>
    </row>
    <row r="55" spans="1:51" x14ac:dyDescent="0.2">
      <c r="A55" s="33">
        <f t="shared" si="1"/>
        <v>50</v>
      </c>
      <c r="B55" s="34" t="s">
        <v>471</v>
      </c>
      <c r="C55" s="35" t="s">
        <v>472</v>
      </c>
      <c r="D55" s="36" t="s">
        <v>473</v>
      </c>
      <c r="E55" s="36" t="s">
        <v>54</v>
      </c>
      <c r="F55" s="34" t="s">
        <v>4593</v>
      </c>
      <c r="G55" s="37" t="s">
        <v>73</v>
      </c>
      <c r="H55" s="37" t="s">
        <v>73</v>
      </c>
      <c r="I55" s="34" t="s">
        <v>474</v>
      </c>
      <c r="J55" s="34" t="s">
        <v>475</v>
      </c>
      <c r="K55" s="39" t="s">
        <v>42</v>
      </c>
      <c r="L55" s="53">
        <v>31057</v>
      </c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7" t="s">
        <v>476</v>
      </c>
      <c r="Y55" s="52" t="s">
        <v>477</v>
      </c>
      <c r="Z55" s="44" t="s">
        <v>478</v>
      </c>
      <c r="AA55" s="45">
        <v>44041</v>
      </c>
      <c r="AB55" s="46" t="s">
        <v>30</v>
      </c>
      <c r="AC55" s="36" t="s">
        <v>26</v>
      </c>
      <c r="AD55" s="61" t="s">
        <v>49</v>
      </c>
      <c r="AE55" s="48" t="s">
        <v>49</v>
      </c>
      <c r="AF55" s="48" t="s">
        <v>49</v>
      </c>
      <c r="AG55" s="48" t="s">
        <v>49</v>
      </c>
      <c r="AH55" s="48" t="s">
        <v>49</v>
      </c>
      <c r="AI55" s="48" t="s">
        <v>49</v>
      </c>
      <c r="AJ55" s="49" t="s">
        <v>49</v>
      </c>
      <c r="AK55" s="48" t="s">
        <v>41</v>
      </c>
      <c r="AL55" s="65" t="s">
        <v>148</v>
      </c>
      <c r="AM55" s="59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1"/>
    </row>
    <row r="56" spans="1:51" x14ac:dyDescent="0.2">
      <c r="A56" s="33">
        <f t="shared" si="1"/>
        <v>51</v>
      </c>
      <c r="B56" s="34" t="s">
        <v>479</v>
      </c>
      <c r="C56" s="35" t="s">
        <v>480</v>
      </c>
      <c r="D56" s="36" t="s">
        <v>481</v>
      </c>
      <c r="E56" s="36" t="s">
        <v>54</v>
      </c>
      <c r="F56" s="34" t="s">
        <v>482</v>
      </c>
      <c r="G56" s="37" t="s">
        <v>73</v>
      </c>
      <c r="H56" s="37" t="s">
        <v>73</v>
      </c>
      <c r="I56" s="34" t="s">
        <v>483</v>
      </c>
      <c r="J56" s="34" t="s">
        <v>41</v>
      </c>
      <c r="K56" s="39" t="s">
        <v>42</v>
      </c>
      <c r="L56" s="53">
        <v>34345</v>
      </c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42" t="s">
        <v>484</v>
      </c>
      <c r="Y56" s="52" t="s">
        <v>485</v>
      </c>
      <c r="Z56" s="44" t="s">
        <v>486</v>
      </c>
      <c r="AA56" s="45">
        <v>43200</v>
      </c>
      <c r="AB56" s="46" t="s">
        <v>30</v>
      </c>
      <c r="AC56" s="36" t="s">
        <v>26</v>
      </c>
      <c r="AD56" s="61" t="s">
        <v>49</v>
      </c>
      <c r="AE56" s="48" t="s">
        <v>49</v>
      </c>
      <c r="AF56" s="48" t="s">
        <v>49</v>
      </c>
      <c r="AG56" s="48" t="s">
        <v>49</v>
      </c>
      <c r="AH56" s="48" t="s">
        <v>49</v>
      </c>
      <c r="AI56" s="48" t="s">
        <v>49</v>
      </c>
      <c r="AJ56" s="49" t="s">
        <v>49</v>
      </c>
      <c r="AK56" s="48" t="s">
        <v>41</v>
      </c>
      <c r="AL56" s="62" t="s">
        <v>148</v>
      </c>
      <c r="AM56" s="59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1"/>
    </row>
    <row r="57" spans="1:51" x14ac:dyDescent="0.2">
      <c r="A57" s="33">
        <f t="shared" si="1"/>
        <v>52</v>
      </c>
      <c r="B57" s="34" t="s">
        <v>487</v>
      </c>
      <c r="C57" s="35" t="s">
        <v>488</v>
      </c>
      <c r="D57" s="36" t="s">
        <v>489</v>
      </c>
      <c r="E57" s="36" t="s">
        <v>54</v>
      </c>
      <c r="F57" s="34" t="s">
        <v>490</v>
      </c>
      <c r="G57" s="37" t="s">
        <v>73</v>
      </c>
      <c r="H57" s="37" t="s">
        <v>73</v>
      </c>
      <c r="I57" s="38" t="s">
        <v>491</v>
      </c>
      <c r="J57" s="34" t="s">
        <v>41</v>
      </c>
      <c r="K57" s="39" t="s">
        <v>42</v>
      </c>
      <c r="L57" s="53">
        <v>45310</v>
      </c>
      <c r="M57" s="56"/>
      <c r="N57" s="56"/>
      <c r="O57" s="56"/>
      <c r="P57" s="56"/>
      <c r="Q57" s="56"/>
      <c r="R57" s="56"/>
      <c r="S57" s="56"/>
      <c r="T57" s="56"/>
      <c r="U57" s="56" t="s">
        <v>44</v>
      </c>
      <c r="V57" s="56"/>
      <c r="W57" s="56"/>
      <c r="X57" s="42" t="s">
        <v>492</v>
      </c>
      <c r="Y57" s="43" t="s">
        <v>493</v>
      </c>
      <c r="Z57" s="44"/>
      <c r="AA57" s="45"/>
      <c r="AB57" s="46"/>
      <c r="AC57" s="36"/>
      <c r="AD57" s="61" t="s">
        <v>49</v>
      </c>
      <c r="AE57" s="48" t="s">
        <v>41</v>
      </c>
      <c r="AF57" s="48" t="s">
        <v>41</v>
      </c>
      <c r="AG57" s="48" t="s">
        <v>41</v>
      </c>
      <c r="AH57" s="48" t="s">
        <v>41</v>
      </c>
      <c r="AI57" s="48" t="s">
        <v>49</v>
      </c>
      <c r="AJ57" s="49" t="s">
        <v>41</v>
      </c>
      <c r="AK57" s="48" t="s">
        <v>41</v>
      </c>
      <c r="AL57" s="62" t="s">
        <v>276</v>
      </c>
      <c r="AM57" s="59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1"/>
    </row>
    <row r="58" spans="1:51" x14ac:dyDescent="0.2">
      <c r="A58" s="33">
        <f t="shared" si="1"/>
        <v>53</v>
      </c>
      <c r="B58" s="34" t="s">
        <v>494</v>
      </c>
      <c r="C58" s="35" t="s">
        <v>495</v>
      </c>
      <c r="D58" s="36" t="s">
        <v>496</v>
      </c>
      <c r="E58" s="36" t="s">
        <v>54</v>
      </c>
      <c r="F58" s="34" t="s">
        <v>497</v>
      </c>
      <c r="G58" s="37" t="s">
        <v>398</v>
      </c>
      <c r="H58" s="37" t="s">
        <v>205</v>
      </c>
      <c r="I58" s="34" t="s">
        <v>498</v>
      </c>
      <c r="J58" s="34" t="s">
        <v>41</v>
      </c>
      <c r="K58" s="39" t="s">
        <v>42</v>
      </c>
      <c r="L58" s="53">
        <v>36745</v>
      </c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2" t="s">
        <v>499</v>
      </c>
      <c r="Y58" s="116" t="s">
        <v>500</v>
      </c>
      <c r="Z58" s="44" t="s">
        <v>61</v>
      </c>
      <c r="AA58" s="45">
        <v>36803</v>
      </c>
      <c r="AB58" s="46" t="s">
        <v>129</v>
      </c>
      <c r="AC58" s="36" t="s">
        <v>26</v>
      </c>
      <c r="AD58" s="47" t="s">
        <v>49</v>
      </c>
      <c r="AE58" s="48" t="s">
        <v>49</v>
      </c>
      <c r="AF58" s="48" t="s">
        <v>49</v>
      </c>
      <c r="AG58" s="48" t="s">
        <v>49</v>
      </c>
      <c r="AH58" s="48" t="s">
        <v>49</v>
      </c>
      <c r="AI58" s="48" t="s">
        <v>41</v>
      </c>
      <c r="AJ58" s="49" t="s">
        <v>41</v>
      </c>
      <c r="AK58" s="48" t="s">
        <v>41</v>
      </c>
      <c r="AL58" s="62" t="s">
        <v>4589</v>
      </c>
      <c r="AM58" s="59"/>
      <c r="AN58" s="10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1"/>
    </row>
    <row r="59" spans="1:51" x14ac:dyDescent="0.2">
      <c r="A59" s="33">
        <f t="shared" si="1"/>
        <v>54</v>
      </c>
      <c r="B59" s="34" t="s">
        <v>501</v>
      </c>
      <c r="C59" s="35" t="s">
        <v>502</v>
      </c>
      <c r="D59" s="36" t="s">
        <v>503</v>
      </c>
      <c r="E59" s="36" t="s">
        <v>54</v>
      </c>
      <c r="F59" s="34" t="s">
        <v>504</v>
      </c>
      <c r="G59" s="37" t="s">
        <v>73</v>
      </c>
      <c r="H59" s="37" t="s">
        <v>73</v>
      </c>
      <c r="I59" s="38" t="s">
        <v>505</v>
      </c>
      <c r="J59" s="34" t="s">
        <v>41</v>
      </c>
      <c r="K59" s="39" t="s">
        <v>42</v>
      </c>
      <c r="L59" s="53">
        <v>45299</v>
      </c>
      <c r="M59" s="41"/>
      <c r="N59" s="41"/>
      <c r="O59" s="41"/>
      <c r="P59" s="41"/>
      <c r="Q59" s="41"/>
      <c r="R59" s="41"/>
      <c r="S59" s="41"/>
      <c r="T59" s="41"/>
      <c r="U59" s="41" t="s">
        <v>44</v>
      </c>
      <c r="V59" s="41"/>
      <c r="W59" s="41"/>
      <c r="X59" s="54" t="s">
        <v>506</v>
      </c>
      <c r="Y59" s="43" t="s">
        <v>507</v>
      </c>
      <c r="Z59" s="52"/>
      <c r="AA59" s="52"/>
      <c r="AB59" s="46"/>
      <c r="AC59" s="36"/>
      <c r="AD59" s="47" t="s">
        <v>49</v>
      </c>
      <c r="AE59" s="48" t="s">
        <v>41</v>
      </c>
      <c r="AF59" s="48" t="s">
        <v>41</v>
      </c>
      <c r="AG59" s="48" t="s">
        <v>41</v>
      </c>
      <c r="AH59" s="48" t="s">
        <v>41</v>
      </c>
      <c r="AI59" s="48" t="s">
        <v>49</v>
      </c>
      <c r="AJ59" s="49" t="s">
        <v>49</v>
      </c>
      <c r="AK59" s="48" t="s">
        <v>41</v>
      </c>
      <c r="AL59" s="65" t="s">
        <v>148</v>
      </c>
      <c r="AM59" s="59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1"/>
    </row>
    <row r="60" spans="1:51" x14ac:dyDescent="0.2">
      <c r="A60" s="33">
        <f t="shared" si="1"/>
        <v>55</v>
      </c>
      <c r="B60" s="34" t="s">
        <v>508</v>
      </c>
      <c r="C60" s="35" t="s">
        <v>509</v>
      </c>
      <c r="D60" s="36" t="s">
        <v>510</v>
      </c>
      <c r="E60" s="36" t="s">
        <v>54</v>
      </c>
      <c r="F60" s="34" t="s">
        <v>511</v>
      </c>
      <c r="G60" s="37" t="s">
        <v>176</v>
      </c>
      <c r="H60" s="37" t="s">
        <v>39</v>
      </c>
      <c r="I60" s="38" t="s">
        <v>512</v>
      </c>
      <c r="J60" s="34"/>
      <c r="K60" s="39" t="s">
        <v>42</v>
      </c>
      <c r="L60" s="40" t="s">
        <v>513</v>
      </c>
      <c r="M60" s="41" t="s">
        <v>179</v>
      </c>
      <c r="N60" s="41" t="s">
        <v>341</v>
      </c>
      <c r="O60" s="41" t="s">
        <v>514</v>
      </c>
      <c r="P60" s="41">
        <v>3</v>
      </c>
      <c r="Q60" s="41"/>
      <c r="R60" s="41" t="s">
        <v>44</v>
      </c>
      <c r="S60" s="41"/>
      <c r="T60" s="41"/>
      <c r="U60" s="41"/>
      <c r="V60" s="41"/>
      <c r="W60" s="41"/>
      <c r="X60" s="42" t="s">
        <v>515</v>
      </c>
      <c r="Y60" s="43" t="s">
        <v>516</v>
      </c>
      <c r="Z60" s="43"/>
      <c r="AA60" s="45">
        <v>45642</v>
      </c>
      <c r="AB60" s="46"/>
      <c r="AC60" s="36"/>
      <c r="AD60" s="47" t="s">
        <v>49</v>
      </c>
      <c r="AE60" s="48" t="s">
        <v>41</v>
      </c>
      <c r="AF60" s="48" t="s">
        <v>49</v>
      </c>
      <c r="AG60" s="48" t="s">
        <v>49</v>
      </c>
      <c r="AH60" s="48" t="s">
        <v>49</v>
      </c>
      <c r="AI60" s="48" t="s">
        <v>49</v>
      </c>
      <c r="AJ60" s="49" t="s">
        <v>49</v>
      </c>
      <c r="AK60" s="48" t="s">
        <v>49</v>
      </c>
      <c r="AL60" s="65" t="s">
        <v>32</v>
      </c>
      <c r="AM60" s="59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1"/>
    </row>
    <row r="61" spans="1:51" x14ac:dyDescent="0.2">
      <c r="A61" s="33">
        <f t="shared" si="1"/>
        <v>56</v>
      </c>
      <c r="B61" s="34" t="s">
        <v>517</v>
      </c>
      <c r="C61" s="35" t="s">
        <v>518</v>
      </c>
      <c r="D61" s="36" t="s">
        <v>519</v>
      </c>
      <c r="E61" s="36" t="s">
        <v>54</v>
      </c>
      <c r="F61" s="34" t="s">
        <v>520</v>
      </c>
      <c r="G61" s="37" t="s">
        <v>73</v>
      </c>
      <c r="H61" s="37" t="s">
        <v>73</v>
      </c>
      <c r="I61" s="34" t="s">
        <v>521</v>
      </c>
      <c r="J61" s="34"/>
      <c r="K61" s="39" t="s">
        <v>42</v>
      </c>
      <c r="L61" s="53">
        <v>37176</v>
      </c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2" t="s">
        <v>522</v>
      </c>
      <c r="Y61" s="55" t="s">
        <v>523</v>
      </c>
      <c r="Z61" s="44" t="s">
        <v>61</v>
      </c>
      <c r="AA61" s="45">
        <v>40280</v>
      </c>
      <c r="AB61" s="46" t="s">
        <v>30</v>
      </c>
      <c r="AC61" s="36" t="s">
        <v>26</v>
      </c>
      <c r="AD61" s="47" t="s">
        <v>49</v>
      </c>
      <c r="AE61" s="48" t="s">
        <v>49</v>
      </c>
      <c r="AF61" s="48" t="s">
        <v>49</v>
      </c>
      <c r="AG61" s="48" t="s">
        <v>49</v>
      </c>
      <c r="AH61" s="48" t="s">
        <v>49</v>
      </c>
      <c r="AI61" s="48" t="s">
        <v>49</v>
      </c>
      <c r="AJ61" s="49" t="s">
        <v>49</v>
      </c>
      <c r="AK61" s="48" t="s">
        <v>49</v>
      </c>
      <c r="AL61" s="65" t="s">
        <v>32</v>
      </c>
      <c r="AM61" s="59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1"/>
    </row>
    <row r="62" spans="1:51" x14ac:dyDescent="0.2">
      <c r="A62" s="33">
        <f t="shared" si="1"/>
        <v>57</v>
      </c>
      <c r="B62" s="34" t="s">
        <v>524</v>
      </c>
      <c r="C62" s="35" t="s">
        <v>525</v>
      </c>
      <c r="D62" s="36" t="s">
        <v>526</v>
      </c>
      <c r="E62" s="36" t="s">
        <v>54</v>
      </c>
      <c r="F62" s="34" t="s">
        <v>527</v>
      </c>
      <c r="G62" s="37" t="s">
        <v>528</v>
      </c>
      <c r="H62" s="37" t="s">
        <v>57</v>
      </c>
      <c r="I62" s="38" t="s">
        <v>529</v>
      </c>
      <c r="J62" s="34"/>
      <c r="K62" s="39" t="s">
        <v>42</v>
      </c>
      <c r="L62" s="53" t="s">
        <v>530</v>
      </c>
      <c r="M62" s="41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42" t="s">
        <v>531</v>
      </c>
      <c r="Y62" s="43" t="s">
        <v>532</v>
      </c>
      <c r="Z62" s="44" t="s">
        <v>533</v>
      </c>
      <c r="AA62" s="45">
        <v>44944</v>
      </c>
      <c r="AB62" s="46" t="s">
        <v>30</v>
      </c>
      <c r="AC62" s="36"/>
      <c r="AD62" s="47" t="s">
        <v>49</v>
      </c>
      <c r="AE62" s="48" t="s">
        <v>41</v>
      </c>
      <c r="AF62" s="48" t="s">
        <v>49</v>
      </c>
      <c r="AG62" s="48" t="s">
        <v>49</v>
      </c>
      <c r="AH62" s="48" t="s">
        <v>41</v>
      </c>
      <c r="AI62" s="48" t="s">
        <v>41</v>
      </c>
      <c r="AJ62" s="49" t="s">
        <v>41</v>
      </c>
      <c r="AK62" s="48" t="s">
        <v>41</v>
      </c>
      <c r="AL62" s="62" t="s">
        <v>139</v>
      </c>
      <c r="AM62" s="59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1"/>
    </row>
    <row r="63" spans="1:51" x14ac:dyDescent="0.2">
      <c r="A63" s="33">
        <f t="shared" si="1"/>
        <v>58</v>
      </c>
      <c r="B63" s="34" t="s">
        <v>534</v>
      </c>
      <c r="C63" s="35" t="s">
        <v>535</v>
      </c>
      <c r="D63" s="36" t="s">
        <v>536</v>
      </c>
      <c r="E63" s="36" t="s">
        <v>54</v>
      </c>
      <c r="F63" s="34" t="s">
        <v>537</v>
      </c>
      <c r="G63" s="37" t="s">
        <v>360</v>
      </c>
      <c r="H63" s="37" t="s">
        <v>350</v>
      </c>
      <c r="I63" s="34" t="s">
        <v>538</v>
      </c>
      <c r="J63" s="34" t="s">
        <v>41</v>
      </c>
      <c r="K63" s="39" t="s">
        <v>42</v>
      </c>
      <c r="L63" s="53">
        <v>37718</v>
      </c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2" t="s">
        <v>539</v>
      </c>
      <c r="Y63" s="58" t="s">
        <v>540</v>
      </c>
      <c r="Z63" s="44" t="s">
        <v>541</v>
      </c>
      <c r="AA63" s="45">
        <v>42935</v>
      </c>
      <c r="AB63" s="46" t="s">
        <v>30</v>
      </c>
      <c r="AC63" s="36" t="s">
        <v>26</v>
      </c>
      <c r="AD63" s="47" t="s">
        <v>49</v>
      </c>
      <c r="AE63" s="48" t="s">
        <v>49</v>
      </c>
      <c r="AF63" s="48" t="s">
        <v>49</v>
      </c>
      <c r="AG63" s="48" t="s">
        <v>49</v>
      </c>
      <c r="AH63" s="48" t="s">
        <v>49</v>
      </c>
      <c r="AI63" s="48" t="s">
        <v>49</v>
      </c>
      <c r="AJ63" s="49" t="s">
        <v>49</v>
      </c>
      <c r="AK63" s="48" t="s">
        <v>41</v>
      </c>
      <c r="AL63" s="65" t="s">
        <v>148</v>
      </c>
      <c r="AM63" s="59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1"/>
    </row>
    <row r="64" spans="1:51" x14ac:dyDescent="0.2">
      <c r="A64" s="33">
        <f t="shared" si="1"/>
        <v>59</v>
      </c>
      <c r="B64" s="34" t="s">
        <v>542</v>
      </c>
      <c r="C64" s="35" t="s">
        <v>543</v>
      </c>
      <c r="D64" s="36" t="s">
        <v>544</v>
      </c>
      <c r="E64" s="36" t="s">
        <v>54</v>
      </c>
      <c r="F64" s="34" t="s">
        <v>545</v>
      </c>
      <c r="G64" s="37" t="s">
        <v>350</v>
      </c>
      <c r="H64" s="37" t="s">
        <v>350</v>
      </c>
      <c r="I64" s="34">
        <v>85100503765</v>
      </c>
      <c r="J64" s="34" t="s">
        <v>546</v>
      </c>
      <c r="K64" s="39" t="s">
        <v>42</v>
      </c>
      <c r="L64" s="40" t="s">
        <v>547</v>
      </c>
      <c r="M64" s="41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42" t="s">
        <v>548</v>
      </c>
      <c r="Y64" s="100" t="s">
        <v>549</v>
      </c>
      <c r="Z64" s="44" t="s">
        <v>61</v>
      </c>
      <c r="AA64" s="45">
        <v>40815</v>
      </c>
      <c r="AB64" s="46" t="s">
        <v>30</v>
      </c>
      <c r="AC64" s="36" t="s">
        <v>26</v>
      </c>
      <c r="AD64" s="47" t="s">
        <v>49</v>
      </c>
      <c r="AE64" s="48" t="s">
        <v>49</v>
      </c>
      <c r="AF64" s="48" t="s">
        <v>49</v>
      </c>
      <c r="AG64" s="48" t="s">
        <v>49</v>
      </c>
      <c r="AH64" s="48" t="s">
        <v>49</v>
      </c>
      <c r="AI64" s="48" t="s">
        <v>49</v>
      </c>
      <c r="AJ64" s="49" t="s">
        <v>49</v>
      </c>
      <c r="AK64" s="48" t="s">
        <v>49</v>
      </c>
      <c r="AL64" s="62" t="s">
        <v>32</v>
      </c>
      <c r="AM64" s="59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1"/>
    </row>
    <row r="65" spans="1:51" x14ac:dyDescent="0.2">
      <c r="A65" s="33">
        <f t="shared" si="1"/>
        <v>60</v>
      </c>
      <c r="B65" s="34" t="s">
        <v>550</v>
      </c>
      <c r="C65" s="35" t="s">
        <v>551</v>
      </c>
      <c r="D65" s="36" t="s">
        <v>552</v>
      </c>
      <c r="E65" s="36" t="s">
        <v>54</v>
      </c>
      <c r="F65" s="34" t="s">
        <v>553</v>
      </c>
      <c r="G65" s="37" t="s">
        <v>73</v>
      </c>
      <c r="H65" s="37" t="s">
        <v>73</v>
      </c>
      <c r="I65" s="34" t="s">
        <v>554</v>
      </c>
      <c r="J65" s="34" t="s">
        <v>555</v>
      </c>
      <c r="K65" s="39" t="s">
        <v>42</v>
      </c>
      <c r="L65" s="40" t="s">
        <v>556</v>
      </c>
      <c r="M65" s="41"/>
      <c r="N65" s="41"/>
      <c r="O65" s="41"/>
      <c r="P65" s="41"/>
      <c r="Q65" s="112"/>
      <c r="R65" s="112"/>
      <c r="S65" s="112"/>
      <c r="T65" s="112"/>
      <c r="U65" s="41"/>
      <c r="V65" s="41"/>
      <c r="W65" s="41"/>
      <c r="X65" s="42" t="s">
        <v>557</v>
      </c>
      <c r="Y65" s="69" t="s">
        <v>558</v>
      </c>
      <c r="Z65" s="44" t="s">
        <v>61</v>
      </c>
      <c r="AA65" s="45">
        <v>36803</v>
      </c>
      <c r="AB65" s="46" t="s">
        <v>30</v>
      </c>
      <c r="AC65" s="36" t="s">
        <v>26</v>
      </c>
      <c r="AD65" s="47" t="s">
        <v>49</v>
      </c>
      <c r="AE65" s="48" t="s">
        <v>49</v>
      </c>
      <c r="AF65" s="48" t="s">
        <v>41</v>
      </c>
      <c r="AG65" s="48" t="s">
        <v>41</v>
      </c>
      <c r="AH65" s="48" t="s">
        <v>41</v>
      </c>
      <c r="AI65" s="48" t="s">
        <v>41</v>
      </c>
      <c r="AJ65" s="49" t="s">
        <v>41</v>
      </c>
      <c r="AK65" s="48" t="s">
        <v>41</v>
      </c>
      <c r="AL65" s="62" t="s">
        <v>4587</v>
      </c>
      <c r="AM65" s="59"/>
      <c r="AN65" s="10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1"/>
    </row>
    <row r="66" spans="1:51" x14ac:dyDescent="0.2">
      <c r="A66" s="33">
        <f t="shared" si="1"/>
        <v>61</v>
      </c>
      <c r="B66" s="34" t="s">
        <v>559</v>
      </c>
      <c r="C66" s="35" t="s">
        <v>560</v>
      </c>
      <c r="D66" s="36" t="s">
        <v>561</v>
      </c>
      <c r="E66" s="36" t="s">
        <v>54</v>
      </c>
      <c r="F66" s="34" t="s">
        <v>562</v>
      </c>
      <c r="G66" s="37" t="s">
        <v>39</v>
      </c>
      <c r="H66" s="37" t="s">
        <v>39</v>
      </c>
      <c r="I66" s="38" t="s">
        <v>563</v>
      </c>
      <c r="J66" s="72" t="s">
        <v>41</v>
      </c>
      <c r="K66" s="39" t="s">
        <v>42</v>
      </c>
      <c r="L66" s="53">
        <v>42071</v>
      </c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42" t="s">
        <v>564</v>
      </c>
      <c r="Y66" s="58" t="s">
        <v>565</v>
      </c>
      <c r="Z66" s="44" t="s">
        <v>566</v>
      </c>
      <c r="AA66" s="45">
        <v>42325</v>
      </c>
      <c r="AB66" s="46" t="s">
        <v>30</v>
      </c>
      <c r="AC66" s="36" t="s">
        <v>26</v>
      </c>
      <c r="AD66" s="47" t="s">
        <v>49</v>
      </c>
      <c r="AE66" s="48" t="s">
        <v>49</v>
      </c>
      <c r="AF66" s="48" t="s">
        <v>49</v>
      </c>
      <c r="AG66" s="48" t="s">
        <v>49</v>
      </c>
      <c r="AH66" s="48" t="s">
        <v>49</v>
      </c>
      <c r="AI66" s="48" t="s">
        <v>49</v>
      </c>
      <c r="AJ66" s="49" t="s">
        <v>49</v>
      </c>
      <c r="AK66" s="48" t="s">
        <v>41</v>
      </c>
      <c r="AL66" s="65" t="s">
        <v>148</v>
      </c>
      <c r="AM66" s="59"/>
      <c r="AN66" s="10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1"/>
    </row>
    <row r="67" spans="1:51" x14ac:dyDescent="0.2">
      <c r="A67" s="33">
        <f t="shared" si="1"/>
        <v>62</v>
      </c>
      <c r="B67" s="34" t="s">
        <v>567</v>
      </c>
      <c r="C67" s="35" t="s">
        <v>568</v>
      </c>
      <c r="D67" s="36" t="s">
        <v>569</v>
      </c>
      <c r="E67" s="36" t="s">
        <v>54</v>
      </c>
      <c r="F67" s="34" t="s">
        <v>570</v>
      </c>
      <c r="G67" s="37" t="s">
        <v>73</v>
      </c>
      <c r="H67" s="37" t="s">
        <v>73</v>
      </c>
      <c r="I67" s="38" t="s">
        <v>571</v>
      </c>
      <c r="J67" s="34" t="s">
        <v>41</v>
      </c>
      <c r="K67" s="39" t="s">
        <v>42</v>
      </c>
      <c r="L67" s="40" t="s">
        <v>572</v>
      </c>
      <c r="M67" s="41"/>
      <c r="N67" s="94"/>
      <c r="O67" s="94"/>
      <c r="P67" s="94"/>
      <c r="Q67" s="94"/>
      <c r="R67" s="94"/>
      <c r="S67" s="94"/>
      <c r="T67" s="94" t="s">
        <v>44</v>
      </c>
      <c r="U67" s="94"/>
      <c r="V67" s="94"/>
      <c r="W67" s="94"/>
      <c r="X67" s="42" t="s">
        <v>573</v>
      </c>
      <c r="Y67" s="58" t="s">
        <v>574</v>
      </c>
      <c r="Z67" s="58"/>
      <c r="AA67" s="45">
        <v>45642</v>
      </c>
      <c r="AB67" s="46"/>
      <c r="AC67" s="36"/>
      <c r="AD67" s="47" t="s">
        <v>49</v>
      </c>
      <c r="AE67" s="48" t="s">
        <v>41</v>
      </c>
      <c r="AF67" s="48" t="s">
        <v>41</v>
      </c>
      <c r="AG67" s="48" t="s">
        <v>41</v>
      </c>
      <c r="AH67" s="48" t="s">
        <v>49</v>
      </c>
      <c r="AI67" s="48" t="s">
        <v>49</v>
      </c>
      <c r="AJ67" s="49" t="s">
        <v>41</v>
      </c>
      <c r="AK67" s="48" t="s">
        <v>41</v>
      </c>
      <c r="AL67" s="62" t="s">
        <v>276</v>
      </c>
      <c r="AM67" s="59"/>
      <c r="AN67" s="117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1"/>
    </row>
    <row r="68" spans="1:51" x14ac:dyDescent="0.2">
      <c r="A68" s="33">
        <f t="shared" si="1"/>
        <v>63</v>
      </c>
      <c r="B68" s="34" t="s">
        <v>575</v>
      </c>
      <c r="C68" s="35" t="s">
        <v>576</v>
      </c>
      <c r="D68" s="36" t="s">
        <v>577</v>
      </c>
      <c r="E68" s="36" t="s">
        <v>54</v>
      </c>
      <c r="F68" s="34" t="s">
        <v>578</v>
      </c>
      <c r="G68" s="37" t="s">
        <v>205</v>
      </c>
      <c r="H68" s="37" t="s">
        <v>205</v>
      </c>
      <c r="I68" s="34" t="s">
        <v>579</v>
      </c>
      <c r="J68" s="34"/>
      <c r="K68" s="39" t="s">
        <v>42</v>
      </c>
      <c r="L68" s="53">
        <v>40217</v>
      </c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2" t="s">
        <v>580</v>
      </c>
      <c r="Y68" s="52" t="s">
        <v>581</v>
      </c>
      <c r="Z68" s="44" t="s">
        <v>61</v>
      </c>
      <c r="AA68" s="45">
        <v>40815</v>
      </c>
      <c r="AB68" s="46" t="s">
        <v>30</v>
      </c>
      <c r="AC68" s="36" t="s">
        <v>26</v>
      </c>
      <c r="AD68" s="47" t="s">
        <v>49</v>
      </c>
      <c r="AE68" s="48" t="s">
        <v>49</v>
      </c>
      <c r="AF68" s="48" t="s">
        <v>49</v>
      </c>
      <c r="AG68" s="48" t="s">
        <v>49</v>
      </c>
      <c r="AH68" s="48" t="s">
        <v>49</v>
      </c>
      <c r="AI68" s="48" t="s">
        <v>49</v>
      </c>
      <c r="AJ68" s="49" t="s">
        <v>49</v>
      </c>
      <c r="AK68" s="48" t="s">
        <v>49</v>
      </c>
      <c r="AL68" s="62" t="s">
        <v>32</v>
      </c>
      <c r="AM68" s="59"/>
      <c r="AN68" s="117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1"/>
    </row>
    <row r="69" spans="1:51" x14ac:dyDescent="0.2">
      <c r="A69" s="33">
        <f t="shared" si="1"/>
        <v>64</v>
      </c>
      <c r="B69" s="34" t="s">
        <v>582</v>
      </c>
      <c r="C69" s="35" t="s">
        <v>583</v>
      </c>
      <c r="D69" s="36" t="s">
        <v>584</v>
      </c>
      <c r="E69" s="36" t="s">
        <v>54</v>
      </c>
      <c r="F69" s="34" t="s">
        <v>585</v>
      </c>
      <c r="G69" s="37" t="s">
        <v>205</v>
      </c>
      <c r="H69" s="37" t="s">
        <v>205</v>
      </c>
      <c r="I69" s="34" t="s">
        <v>586</v>
      </c>
      <c r="J69" s="34" t="s">
        <v>587</v>
      </c>
      <c r="K69" s="39" t="s">
        <v>42</v>
      </c>
      <c r="L69" s="53">
        <v>31054</v>
      </c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2" t="s">
        <v>588</v>
      </c>
      <c r="Y69" s="52" t="s">
        <v>589</v>
      </c>
      <c r="Z69" s="44" t="s">
        <v>61</v>
      </c>
      <c r="AA69" s="45">
        <v>39286</v>
      </c>
      <c r="AB69" s="46" t="s">
        <v>30</v>
      </c>
      <c r="AC69" s="36" t="s">
        <v>26</v>
      </c>
      <c r="AD69" s="47" t="s">
        <v>49</v>
      </c>
      <c r="AE69" s="48" t="s">
        <v>49</v>
      </c>
      <c r="AF69" s="48" t="s">
        <v>49</v>
      </c>
      <c r="AG69" s="48" t="s">
        <v>49</v>
      </c>
      <c r="AH69" s="48" t="s">
        <v>49</v>
      </c>
      <c r="AI69" s="48" t="s">
        <v>49</v>
      </c>
      <c r="AJ69" s="49" t="s">
        <v>41</v>
      </c>
      <c r="AK69" s="48" t="s">
        <v>41</v>
      </c>
      <c r="AL69" s="62" t="s">
        <v>276</v>
      </c>
      <c r="AM69" s="59"/>
      <c r="AN69" s="117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1"/>
    </row>
    <row r="70" spans="1:51" x14ac:dyDescent="0.2">
      <c r="A70" s="33">
        <f t="shared" si="1"/>
        <v>65</v>
      </c>
      <c r="B70" s="34" t="s">
        <v>590</v>
      </c>
      <c r="C70" s="35" t="s">
        <v>591</v>
      </c>
      <c r="D70" s="36" t="s">
        <v>592</v>
      </c>
      <c r="E70" s="36" t="s">
        <v>54</v>
      </c>
      <c r="F70" s="34" t="s">
        <v>593</v>
      </c>
      <c r="G70" s="37" t="s">
        <v>323</v>
      </c>
      <c r="H70" s="37" t="s">
        <v>39</v>
      </c>
      <c r="I70" s="34" t="s">
        <v>594</v>
      </c>
      <c r="J70" s="72" t="s">
        <v>41</v>
      </c>
      <c r="K70" s="39" t="s">
        <v>42</v>
      </c>
      <c r="L70" s="53" t="s">
        <v>595</v>
      </c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2" t="s">
        <v>596</v>
      </c>
      <c r="Y70" s="52" t="s">
        <v>597</v>
      </c>
      <c r="Z70" s="52"/>
      <c r="AA70" s="45">
        <v>45642</v>
      </c>
      <c r="AB70" s="46"/>
      <c r="AC70" s="36" t="s">
        <v>26</v>
      </c>
      <c r="AD70" s="47" t="s">
        <v>49</v>
      </c>
      <c r="AE70" s="48" t="s">
        <v>49</v>
      </c>
      <c r="AF70" s="48" t="s">
        <v>49</v>
      </c>
      <c r="AG70" s="48" t="s">
        <v>49</v>
      </c>
      <c r="AH70" s="48" t="s">
        <v>49</v>
      </c>
      <c r="AI70" s="48" t="s">
        <v>49</v>
      </c>
      <c r="AJ70" s="49" t="s">
        <v>49</v>
      </c>
      <c r="AK70" s="48" t="s">
        <v>49</v>
      </c>
      <c r="AL70" s="65" t="s">
        <v>32</v>
      </c>
      <c r="AM70" s="59"/>
      <c r="AN70" s="117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1"/>
    </row>
    <row r="71" spans="1:51" x14ac:dyDescent="0.2">
      <c r="A71" s="33">
        <f t="shared" ref="A71:A134" si="2">+A70+1</f>
        <v>66</v>
      </c>
      <c r="B71" s="34" t="s">
        <v>598</v>
      </c>
      <c r="C71" s="35" t="s">
        <v>599</v>
      </c>
      <c r="D71" s="36" t="s">
        <v>600</v>
      </c>
      <c r="E71" s="36" t="s">
        <v>54</v>
      </c>
      <c r="F71" s="34" t="s">
        <v>601</v>
      </c>
      <c r="G71" s="37" t="s">
        <v>38</v>
      </c>
      <c r="H71" s="37" t="s">
        <v>39</v>
      </c>
      <c r="I71" s="38" t="s">
        <v>602</v>
      </c>
      <c r="J71" s="72" t="s">
        <v>41</v>
      </c>
      <c r="K71" s="39" t="s">
        <v>42</v>
      </c>
      <c r="L71" s="53" t="s">
        <v>603</v>
      </c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42" t="s">
        <v>604</v>
      </c>
      <c r="Y71" s="58" t="s">
        <v>605</v>
      </c>
      <c r="Z71" s="44" t="s">
        <v>606</v>
      </c>
      <c r="AA71" s="45">
        <v>42935</v>
      </c>
      <c r="AB71" s="46" t="s">
        <v>30</v>
      </c>
      <c r="AC71" s="36" t="s">
        <v>26</v>
      </c>
      <c r="AD71" s="47" t="s">
        <v>49</v>
      </c>
      <c r="AE71" s="48" t="s">
        <v>49</v>
      </c>
      <c r="AF71" s="48" t="s">
        <v>49</v>
      </c>
      <c r="AG71" s="48" t="s">
        <v>49</v>
      </c>
      <c r="AH71" s="48" t="s">
        <v>49</v>
      </c>
      <c r="AI71" s="48" t="s">
        <v>49</v>
      </c>
      <c r="AJ71" s="49" t="s">
        <v>49</v>
      </c>
      <c r="AK71" s="48" t="s">
        <v>41</v>
      </c>
      <c r="AL71" s="62" t="s">
        <v>148</v>
      </c>
      <c r="AM71" s="59"/>
      <c r="AN71" s="10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1"/>
    </row>
    <row r="72" spans="1:51" x14ac:dyDescent="0.2">
      <c r="A72" s="33">
        <f t="shared" si="2"/>
        <v>67</v>
      </c>
      <c r="B72" s="34" t="s">
        <v>607</v>
      </c>
      <c r="C72" s="35" t="s">
        <v>608</v>
      </c>
      <c r="D72" s="36" t="s">
        <v>609</v>
      </c>
      <c r="E72" s="36" t="s">
        <v>54</v>
      </c>
      <c r="F72" s="34" t="s">
        <v>610</v>
      </c>
      <c r="G72" s="37" t="s">
        <v>73</v>
      </c>
      <c r="H72" s="37" t="s">
        <v>73</v>
      </c>
      <c r="I72" s="38" t="s">
        <v>611</v>
      </c>
      <c r="J72" s="72" t="s">
        <v>41</v>
      </c>
      <c r="K72" s="39" t="s">
        <v>42</v>
      </c>
      <c r="L72" s="53" t="s">
        <v>352</v>
      </c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42" t="s">
        <v>612</v>
      </c>
      <c r="Y72" s="58" t="s">
        <v>613</v>
      </c>
      <c r="Z72" s="44" t="s">
        <v>614</v>
      </c>
      <c r="AA72" s="45">
        <v>42325</v>
      </c>
      <c r="AB72" s="46" t="s">
        <v>30</v>
      </c>
      <c r="AC72" s="36" t="s">
        <v>26</v>
      </c>
      <c r="AD72" s="47" t="s">
        <v>49</v>
      </c>
      <c r="AE72" s="48" t="s">
        <v>49</v>
      </c>
      <c r="AF72" s="48" t="s">
        <v>49</v>
      </c>
      <c r="AG72" s="48" t="s">
        <v>49</v>
      </c>
      <c r="AH72" s="48" t="s">
        <v>49</v>
      </c>
      <c r="AI72" s="48" t="s">
        <v>49</v>
      </c>
      <c r="AJ72" s="49" t="s">
        <v>41</v>
      </c>
      <c r="AK72" s="48" t="s">
        <v>41</v>
      </c>
      <c r="AL72" s="62" t="s">
        <v>276</v>
      </c>
      <c r="AM72" s="59"/>
      <c r="AN72" s="118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1"/>
    </row>
    <row r="73" spans="1:51" x14ac:dyDescent="0.2">
      <c r="A73" s="33">
        <f t="shared" si="2"/>
        <v>68</v>
      </c>
      <c r="B73" s="34" t="s">
        <v>615</v>
      </c>
      <c r="C73" s="35" t="s">
        <v>616</v>
      </c>
      <c r="D73" s="36" t="s">
        <v>617</v>
      </c>
      <c r="E73" s="36" t="s">
        <v>54</v>
      </c>
      <c r="F73" s="34" t="s">
        <v>618</v>
      </c>
      <c r="G73" s="37" t="s">
        <v>73</v>
      </c>
      <c r="H73" s="37" t="s">
        <v>73</v>
      </c>
      <c r="I73" s="38" t="s">
        <v>619</v>
      </c>
      <c r="J73" s="72" t="s">
        <v>41</v>
      </c>
      <c r="K73" s="39" t="s">
        <v>42</v>
      </c>
      <c r="L73" s="53">
        <v>42134</v>
      </c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42" t="s">
        <v>620</v>
      </c>
      <c r="Y73" s="58" t="s">
        <v>621</v>
      </c>
      <c r="Z73" s="119" t="s">
        <v>622</v>
      </c>
      <c r="AA73" s="45">
        <v>42325</v>
      </c>
      <c r="AB73" s="46" t="s">
        <v>30</v>
      </c>
      <c r="AC73" s="36" t="s">
        <v>26</v>
      </c>
      <c r="AD73" s="47" t="s">
        <v>49</v>
      </c>
      <c r="AE73" s="48" t="s">
        <v>49</v>
      </c>
      <c r="AF73" s="48" t="s">
        <v>49</v>
      </c>
      <c r="AG73" s="48" t="s">
        <v>49</v>
      </c>
      <c r="AH73" s="48" t="s">
        <v>49</v>
      </c>
      <c r="AI73" s="48" t="s">
        <v>41</v>
      </c>
      <c r="AJ73" s="49" t="s">
        <v>41</v>
      </c>
      <c r="AK73" s="48" t="s">
        <v>41</v>
      </c>
      <c r="AL73" s="62" t="s">
        <v>4589</v>
      </c>
      <c r="AM73" s="59"/>
      <c r="AN73" s="118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1"/>
    </row>
    <row r="74" spans="1:51" x14ac:dyDescent="0.2">
      <c r="A74" s="33">
        <f t="shared" si="2"/>
        <v>69</v>
      </c>
      <c r="B74" s="34" t="s">
        <v>623</v>
      </c>
      <c r="C74" s="35" t="s">
        <v>624</v>
      </c>
      <c r="D74" s="36" t="s">
        <v>625</v>
      </c>
      <c r="E74" s="36" t="s">
        <v>54</v>
      </c>
      <c r="F74" s="34" t="s">
        <v>626</v>
      </c>
      <c r="G74" s="37" t="s">
        <v>176</v>
      </c>
      <c r="H74" s="37" t="s">
        <v>39</v>
      </c>
      <c r="I74" s="38" t="s">
        <v>627</v>
      </c>
      <c r="J74" s="72" t="s">
        <v>41</v>
      </c>
      <c r="K74" s="39" t="s">
        <v>42</v>
      </c>
      <c r="L74" s="53" t="s">
        <v>628</v>
      </c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42" t="s">
        <v>629</v>
      </c>
      <c r="Y74" s="58" t="s">
        <v>630</v>
      </c>
      <c r="Z74" s="84" t="s">
        <v>631</v>
      </c>
      <c r="AA74" s="45">
        <v>44650</v>
      </c>
      <c r="AB74" s="46" t="s">
        <v>30</v>
      </c>
      <c r="AC74" s="36" t="s">
        <v>26</v>
      </c>
      <c r="AD74" s="47" t="s">
        <v>49</v>
      </c>
      <c r="AE74" s="48" t="s">
        <v>49</v>
      </c>
      <c r="AF74" s="48" t="s">
        <v>49</v>
      </c>
      <c r="AG74" s="48" t="s">
        <v>49</v>
      </c>
      <c r="AH74" s="48" t="s">
        <v>49</v>
      </c>
      <c r="AI74" s="48" t="s">
        <v>41</v>
      </c>
      <c r="AJ74" s="49" t="s">
        <v>41</v>
      </c>
      <c r="AK74" s="48" t="s">
        <v>41</v>
      </c>
      <c r="AL74" s="62" t="s">
        <v>4589</v>
      </c>
      <c r="AM74" s="59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1"/>
    </row>
    <row r="75" spans="1:51" x14ac:dyDescent="0.2">
      <c r="A75" s="33">
        <f t="shared" si="2"/>
        <v>70</v>
      </c>
      <c r="B75" s="34" t="s">
        <v>632</v>
      </c>
      <c r="C75" s="35" t="s">
        <v>633</v>
      </c>
      <c r="D75" s="36" t="s">
        <v>634</v>
      </c>
      <c r="E75" s="36" t="s">
        <v>54</v>
      </c>
      <c r="F75" s="34" t="s">
        <v>635</v>
      </c>
      <c r="G75" s="37" t="s">
        <v>73</v>
      </c>
      <c r="H75" s="37" t="s">
        <v>73</v>
      </c>
      <c r="I75" s="38" t="s">
        <v>636</v>
      </c>
      <c r="J75" s="72" t="s">
        <v>41</v>
      </c>
      <c r="K75" s="39" t="s">
        <v>42</v>
      </c>
      <c r="L75" s="120">
        <v>45245</v>
      </c>
      <c r="M75" s="115"/>
      <c r="N75" s="115"/>
      <c r="O75" s="115"/>
      <c r="P75" s="115"/>
      <c r="Q75" s="115"/>
      <c r="R75" s="115"/>
      <c r="S75" s="115"/>
      <c r="T75" s="56" t="s">
        <v>44</v>
      </c>
      <c r="U75" s="56"/>
      <c r="V75" s="56"/>
      <c r="W75" s="56"/>
      <c r="X75" s="42" t="s">
        <v>637</v>
      </c>
      <c r="Y75" s="83" t="s">
        <v>638</v>
      </c>
      <c r="Z75" s="121"/>
      <c r="AA75" s="45">
        <v>45642</v>
      </c>
      <c r="AB75" s="101"/>
      <c r="AC75" s="36"/>
      <c r="AD75" s="47" t="s">
        <v>49</v>
      </c>
      <c r="AE75" s="48" t="s">
        <v>41</v>
      </c>
      <c r="AF75" s="48" t="s">
        <v>41</v>
      </c>
      <c r="AG75" s="48" t="s">
        <v>41</v>
      </c>
      <c r="AH75" s="48" t="s">
        <v>49</v>
      </c>
      <c r="AI75" s="48" t="s">
        <v>49</v>
      </c>
      <c r="AJ75" s="49" t="s">
        <v>49</v>
      </c>
      <c r="AK75" s="48" t="s">
        <v>41</v>
      </c>
      <c r="AL75" s="62" t="s">
        <v>148</v>
      </c>
      <c r="AM75" s="59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1"/>
    </row>
    <row r="76" spans="1:51" x14ac:dyDescent="0.2">
      <c r="A76" s="33">
        <f t="shared" si="2"/>
        <v>71</v>
      </c>
      <c r="B76" s="122" t="s">
        <v>639</v>
      </c>
      <c r="C76" s="123" t="s">
        <v>640</v>
      </c>
      <c r="D76" s="124" t="s">
        <v>641</v>
      </c>
      <c r="E76" s="36" t="s">
        <v>54</v>
      </c>
      <c r="F76" s="125" t="s">
        <v>642</v>
      </c>
      <c r="G76" s="126" t="s">
        <v>456</v>
      </c>
      <c r="H76" s="126" t="s">
        <v>187</v>
      </c>
      <c r="I76" s="127" t="s">
        <v>643</v>
      </c>
      <c r="J76" s="122" t="s">
        <v>41</v>
      </c>
      <c r="K76" s="128" t="s">
        <v>42</v>
      </c>
      <c r="L76" s="129" t="s">
        <v>644</v>
      </c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42" t="s">
        <v>645</v>
      </c>
      <c r="Y76" s="58" t="s">
        <v>646</v>
      </c>
      <c r="Z76" s="44" t="s">
        <v>647</v>
      </c>
      <c r="AA76" s="131">
        <v>43200</v>
      </c>
      <c r="AB76" s="132" t="s">
        <v>30</v>
      </c>
      <c r="AC76" s="73" t="s">
        <v>26</v>
      </c>
      <c r="AD76" s="133" t="s">
        <v>49</v>
      </c>
      <c r="AE76" s="48" t="s">
        <v>49</v>
      </c>
      <c r="AF76" s="48" t="s">
        <v>49</v>
      </c>
      <c r="AG76" s="48" t="s">
        <v>49</v>
      </c>
      <c r="AH76" s="48" t="s">
        <v>49</v>
      </c>
      <c r="AI76" s="48" t="s">
        <v>49</v>
      </c>
      <c r="AJ76" s="49" t="s">
        <v>49</v>
      </c>
      <c r="AK76" s="48" t="s">
        <v>49</v>
      </c>
      <c r="AL76" s="62" t="s">
        <v>32</v>
      </c>
      <c r="AM76" s="134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1"/>
    </row>
    <row r="77" spans="1:51" x14ac:dyDescent="0.2">
      <c r="A77" s="33">
        <f t="shared" si="2"/>
        <v>72</v>
      </c>
      <c r="B77" s="122" t="s">
        <v>648</v>
      </c>
      <c r="C77" s="123" t="s">
        <v>649</v>
      </c>
      <c r="D77" s="124" t="s">
        <v>650</v>
      </c>
      <c r="E77" s="36" t="s">
        <v>241</v>
      </c>
      <c r="F77" s="125" t="s">
        <v>651</v>
      </c>
      <c r="G77" s="126" t="s">
        <v>205</v>
      </c>
      <c r="H77" s="126" t="s">
        <v>205</v>
      </c>
      <c r="I77" s="122" t="s">
        <v>652</v>
      </c>
      <c r="J77" s="122" t="s">
        <v>41</v>
      </c>
      <c r="K77" s="128" t="s">
        <v>42</v>
      </c>
      <c r="L77" s="129">
        <v>30353</v>
      </c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5" t="s">
        <v>653</v>
      </c>
      <c r="Y77" s="69" t="s">
        <v>654</v>
      </c>
      <c r="Z77" s="44" t="s">
        <v>61</v>
      </c>
      <c r="AA77" s="131">
        <v>37208</v>
      </c>
      <c r="AB77" s="132" t="s">
        <v>30</v>
      </c>
      <c r="AC77" s="73" t="s">
        <v>26</v>
      </c>
      <c r="AD77" s="133" t="s">
        <v>49</v>
      </c>
      <c r="AE77" s="48" t="s">
        <v>49</v>
      </c>
      <c r="AF77" s="48" t="s">
        <v>41</v>
      </c>
      <c r="AG77" s="48" t="s">
        <v>41</v>
      </c>
      <c r="AH77" s="48" t="s">
        <v>41</v>
      </c>
      <c r="AI77" s="48" t="s">
        <v>41</v>
      </c>
      <c r="AJ77" s="49" t="s">
        <v>41</v>
      </c>
      <c r="AK77" s="48" t="s">
        <v>41</v>
      </c>
      <c r="AL77" s="62" t="s">
        <v>4587</v>
      </c>
      <c r="AM77" s="134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1"/>
    </row>
    <row r="78" spans="1:51" x14ac:dyDescent="0.2">
      <c r="A78" s="33">
        <f t="shared" si="2"/>
        <v>73</v>
      </c>
      <c r="B78" s="34" t="s">
        <v>655</v>
      </c>
      <c r="C78" s="35" t="s">
        <v>656</v>
      </c>
      <c r="D78" s="73" t="s">
        <v>657</v>
      </c>
      <c r="E78" s="36" t="s">
        <v>54</v>
      </c>
      <c r="F78" s="98" t="s">
        <v>658</v>
      </c>
      <c r="G78" s="37" t="s">
        <v>252</v>
      </c>
      <c r="H78" s="37" t="s">
        <v>57</v>
      </c>
      <c r="I78" s="38" t="s">
        <v>659</v>
      </c>
      <c r="J78" s="34"/>
      <c r="K78" s="39" t="s">
        <v>42</v>
      </c>
      <c r="L78" s="53">
        <v>45398</v>
      </c>
      <c r="M78" s="56"/>
      <c r="N78" s="56"/>
      <c r="O78" s="56"/>
      <c r="P78" s="56"/>
      <c r="Q78" s="56"/>
      <c r="R78" s="56"/>
      <c r="S78" s="56"/>
      <c r="T78" s="56"/>
      <c r="U78" s="56" t="s">
        <v>44</v>
      </c>
      <c r="V78" s="56"/>
      <c r="W78" s="56"/>
      <c r="X78" s="54" t="s">
        <v>660</v>
      </c>
      <c r="Y78" s="58" t="s">
        <v>661</v>
      </c>
      <c r="Z78" s="44"/>
      <c r="AA78" s="45"/>
      <c r="AB78" s="46"/>
      <c r="AC78" s="73"/>
      <c r="AD78" s="47" t="s">
        <v>49</v>
      </c>
      <c r="AE78" s="48" t="s">
        <v>41</v>
      </c>
      <c r="AF78" s="48" t="s">
        <v>41</v>
      </c>
      <c r="AG78" s="48" t="s">
        <v>41</v>
      </c>
      <c r="AH78" s="48" t="s">
        <v>41</v>
      </c>
      <c r="AI78" s="48" t="s">
        <v>49</v>
      </c>
      <c r="AJ78" s="49" t="s">
        <v>41</v>
      </c>
      <c r="AK78" s="48" t="s">
        <v>41</v>
      </c>
      <c r="AL78" s="62" t="s">
        <v>276</v>
      </c>
      <c r="AM78" s="59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1"/>
    </row>
    <row r="79" spans="1:51" x14ac:dyDescent="0.2">
      <c r="A79" s="33">
        <f t="shared" si="2"/>
        <v>74</v>
      </c>
      <c r="B79" s="34" t="s">
        <v>662</v>
      </c>
      <c r="C79" s="35" t="s">
        <v>663</v>
      </c>
      <c r="D79" s="73" t="s">
        <v>664</v>
      </c>
      <c r="E79" s="36" t="s">
        <v>36</v>
      </c>
      <c r="F79" s="34" t="s">
        <v>665</v>
      </c>
      <c r="G79" s="37" t="s">
        <v>360</v>
      </c>
      <c r="H79" s="37" t="s">
        <v>350</v>
      </c>
      <c r="I79" s="38" t="s">
        <v>666</v>
      </c>
      <c r="J79" s="34" t="s">
        <v>41</v>
      </c>
      <c r="K79" s="39" t="s">
        <v>42</v>
      </c>
      <c r="L79" s="40" t="s">
        <v>667</v>
      </c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42" t="s">
        <v>668</v>
      </c>
      <c r="Y79" s="58" t="s">
        <v>669</v>
      </c>
      <c r="Z79" s="44" t="s">
        <v>61</v>
      </c>
      <c r="AA79" s="45">
        <v>36803</v>
      </c>
      <c r="AB79" s="46" t="s">
        <v>30</v>
      </c>
      <c r="AC79" s="73"/>
      <c r="AD79" s="47" t="s">
        <v>49</v>
      </c>
      <c r="AE79" s="48" t="s">
        <v>41</v>
      </c>
      <c r="AF79" s="48" t="s">
        <v>41</v>
      </c>
      <c r="AG79" s="48" t="s">
        <v>41</v>
      </c>
      <c r="AH79" s="48" t="s">
        <v>41</v>
      </c>
      <c r="AI79" s="48" t="s">
        <v>41</v>
      </c>
      <c r="AJ79" s="49" t="s">
        <v>41</v>
      </c>
      <c r="AK79" s="48" t="s">
        <v>41</v>
      </c>
      <c r="AL79" s="82" t="s">
        <v>4591</v>
      </c>
      <c r="AM79" s="59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1"/>
    </row>
    <row r="80" spans="1:51" x14ac:dyDescent="0.2">
      <c r="A80" s="33">
        <f t="shared" si="2"/>
        <v>75</v>
      </c>
      <c r="B80" s="34" t="s">
        <v>670</v>
      </c>
      <c r="C80" s="35" t="s">
        <v>671</v>
      </c>
      <c r="D80" s="73" t="s">
        <v>672</v>
      </c>
      <c r="E80" s="36" t="s">
        <v>54</v>
      </c>
      <c r="F80" s="34" t="s">
        <v>673</v>
      </c>
      <c r="G80" s="37" t="s">
        <v>323</v>
      </c>
      <c r="H80" s="37" t="s">
        <v>39</v>
      </c>
      <c r="I80" s="38" t="s">
        <v>674</v>
      </c>
      <c r="J80" s="34" t="s">
        <v>41</v>
      </c>
      <c r="K80" s="39" t="s">
        <v>42</v>
      </c>
      <c r="L80" s="53">
        <v>44318</v>
      </c>
      <c r="M80" s="56"/>
      <c r="N80" s="56"/>
      <c r="O80" s="56"/>
      <c r="P80" s="56"/>
      <c r="Q80" s="56"/>
      <c r="R80" s="56" t="s">
        <v>44</v>
      </c>
      <c r="S80" s="56"/>
      <c r="T80" s="56"/>
      <c r="U80" s="56"/>
      <c r="V80" s="56"/>
      <c r="W80" s="56"/>
      <c r="X80" s="57" t="s">
        <v>675</v>
      </c>
      <c r="Y80" s="58" t="s">
        <v>676</v>
      </c>
      <c r="Z80" s="44"/>
      <c r="AA80" s="45" t="s">
        <v>47</v>
      </c>
      <c r="AB80" s="46"/>
      <c r="AC80" s="73"/>
      <c r="AD80" s="47" t="s">
        <v>49</v>
      </c>
      <c r="AE80" s="48" t="s">
        <v>41</v>
      </c>
      <c r="AF80" s="48" t="s">
        <v>49</v>
      </c>
      <c r="AG80" s="48" t="s">
        <v>49</v>
      </c>
      <c r="AH80" s="48" t="s">
        <v>49</v>
      </c>
      <c r="AI80" s="48" t="s">
        <v>49</v>
      </c>
      <c r="AJ80" s="49" t="s">
        <v>41</v>
      </c>
      <c r="AK80" s="48" t="s">
        <v>41</v>
      </c>
      <c r="AL80" s="62" t="s">
        <v>276</v>
      </c>
      <c r="AM80" s="59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1"/>
    </row>
    <row r="81" spans="1:51" x14ac:dyDescent="0.2">
      <c r="A81" s="33">
        <f t="shared" si="2"/>
        <v>76</v>
      </c>
      <c r="B81" s="34" t="s">
        <v>677</v>
      </c>
      <c r="C81" s="35" t="s">
        <v>678</v>
      </c>
      <c r="D81" s="73" t="s">
        <v>679</v>
      </c>
      <c r="E81" s="36" t="s">
        <v>54</v>
      </c>
      <c r="F81" s="87" t="s">
        <v>680</v>
      </c>
      <c r="G81" s="37" t="s">
        <v>681</v>
      </c>
      <c r="H81" s="37" t="s">
        <v>378</v>
      </c>
      <c r="I81" s="38" t="s">
        <v>682</v>
      </c>
      <c r="J81" s="34" t="s">
        <v>41</v>
      </c>
      <c r="K81" s="39" t="s">
        <v>42</v>
      </c>
      <c r="L81" s="53">
        <v>45264</v>
      </c>
      <c r="M81" s="56"/>
      <c r="N81" s="56"/>
      <c r="O81" s="56"/>
      <c r="P81" s="56"/>
      <c r="Q81" s="56"/>
      <c r="R81" s="56"/>
      <c r="S81" s="56"/>
      <c r="T81" s="56" t="s">
        <v>44</v>
      </c>
      <c r="U81" s="56"/>
      <c r="V81" s="56"/>
      <c r="W81" s="56"/>
      <c r="X81" s="54" t="s">
        <v>683</v>
      </c>
      <c r="Y81" s="58" t="s">
        <v>684</v>
      </c>
      <c r="Z81" s="44"/>
      <c r="AA81" s="45">
        <v>45642</v>
      </c>
      <c r="AB81" s="46"/>
      <c r="AC81" s="73"/>
      <c r="AD81" s="47" t="s">
        <v>49</v>
      </c>
      <c r="AE81" s="48" t="s">
        <v>41</v>
      </c>
      <c r="AF81" s="48" t="s">
        <v>41</v>
      </c>
      <c r="AG81" s="48" t="s">
        <v>41</v>
      </c>
      <c r="AH81" s="48" t="s">
        <v>49</v>
      </c>
      <c r="AI81" s="48" t="s">
        <v>49</v>
      </c>
      <c r="AJ81" s="49" t="s">
        <v>49</v>
      </c>
      <c r="AK81" s="48" t="s">
        <v>49</v>
      </c>
      <c r="AL81" s="62" t="s">
        <v>32</v>
      </c>
      <c r="AM81" s="59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1"/>
    </row>
    <row r="82" spans="1:51" x14ac:dyDescent="0.2">
      <c r="A82" s="33">
        <f t="shared" si="2"/>
        <v>77</v>
      </c>
      <c r="B82" s="34" t="s">
        <v>685</v>
      </c>
      <c r="C82" s="35" t="s">
        <v>686</v>
      </c>
      <c r="D82" s="36" t="s">
        <v>687</v>
      </c>
      <c r="E82" s="36" t="s">
        <v>54</v>
      </c>
      <c r="F82" s="108" t="s">
        <v>688</v>
      </c>
      <c r="G82" s="37" t="s">
        <v>252</v>
      </c>
      <c r="H82" s="37" t="s">
        <v>57</v>
      </c>
      <c r="I82" s="136" t="s">
        <v>689</v>
      </c>
      <c r="J82" s="34" t="s">
        <v>41</v>
      </c>
      <c r="K82" s="39" t="s">
        <v>42</v>
      </c>
      <c r="L82" s="53">
        <v>36895</v>
      </c>
      <c r="M82" s="56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42" t="s">
        <v>690</v>
      </c>
      <c r="Y82" s="43" t="s">
        <v>691</v>
      </c>
      <c r="Z82" s="44" t="s">
        <v>692</v>
      </c>
      <c r="AA82" s="45">
        <v>44041</v>
      </c>
      <c r="AB82" s="46" t="s">
        <v>30</v>
      </c>
      <c r="AC82" s="36" t="s">
        <v>26</v>
      </c>
      <c r="AD82" s="47" t="s">
        <v>49</v>
      </c>
      <c r="AE82" s="48" t="s">
        <v>49</v>
      </c>
      <c r="AF82" s="48" t="s">
        <v>49</v>
      </c>
      <c r="AG82" s="48" t="s">
        <v>49</v>
      </c>
      <c r="AH82" s="48" t="s">
        <v>49</v>
      </c>
      <c r="AI82" s="48" t="s">
        <v>49</v>
      </c>
      <c r="AJ82" s="49" t="s">
        <v>49</v>
      </c>
      <c r="AK82" s="48" t="s">
        <v>49</v>
      </c>
      <c r="AL82" s="65" t="s">
        <v>32</v>
      </c>
      <c r="AM82" s="138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1"/>
    </row>
    <row r="83" spans="1:51" x14ac:dyDescent="0.2">
      <c r="A83" s="33">
        <f t="shared" si="2"/>
        <v>78</v>
      </c>
      <c r="B83" s="139" t="s">
        <v>693</v>
      </c>
      <c r="C83" s="35" t="s">
        <v>694</v>
      </c>
      <c r="D83" s="36" t="s">
        <v>695</v>
      </c>
      <c r="E83" s="36" t="s">
        <v>36</v>
      </c>
      <c r="F83" s="34" t="s">
        <v>696</v>
      </c>
      <c r="G83" s="37" t="s">
        <v>528</v>
      </c>
      <c r="H83" s="37" t="s">
        <v>57</v>
      </c>
      <c r="I83" s="140" t="s">
        <v>697</v>
      </c>
      <c r="J83" s="34" t="s">
        <v>41</v>
      </c>
      <c r="K83" s="39" t="s">
        <v>42</v>
      </c>
      <c r="L83" s="53">
        <v>40497</v>
      </c>
      <c r="M83" s="41"/>
      <c r="N83" s="41"/>
      <c r="O83" s="41"/>
      <c r="P83" s="41"/>
      <c r="Q83" s="112"/>
      <c r="R83" s="112"/>
      <c r="S83" s="112"/>
      <c r="T83" s="41"/>
      <c r="U83" s="41"/>
      <c r="V83" s="41"/>
      <c r="W83" s="41"/>
      <c r="X83" s="42" t="s">
        <v>698</v>
      </c>
      <c r="Y83" s="58" t="s">
        <v>699</v>
      </c>
      <c r="Z83" s="44" t="s">
        <v>700</v>
      </c>
      <c r="AA83" s="45">
        <v>42325</v>
      </c>
      <c r="AB83" s="46" t="s">
        <v>30</v>
      </c>
      <c r="AC83" s="36" t="s">
        <v>26</v>
      </c>
      <c r="AD83" s="47" t="s">
        <v>49</v>
      </c>
      <c r="AE83" s="48" t="s">
        <v>49</v>
      </c>
      <c r="AF83" s="48" t="s">
        <v>49</v>
      </c>
      <c r="AG83" s="48" t="s">
        <v>49</v>
      </c>
      <c r="AH83" s="48" t="s">
        <v>49</v>
      </c>
      <c r="AI83" s="48" t="s">
        <v>49</v>
      </c>
      <c r="AJ83" s="49" t="s">
        <v>49</v>
      </c>
      <c r="AK83" s="48" t="s">
        <v>49</v>
      </c>
      <c r="AL83" s="62" t="s">
        <v>32</v>
      </c>
      <c r="AM83" s="103" t="s">
        <v>41</v>
      </c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1"/>
    </row>
    <row r="84" spans="1:51" x14ac:dyDescent="0.2">
      <c r="A84" s="33">
        <f t="shared" si="2"/>
        <v>79</v>
      </c>
      <c r="B84" s="108" t="s">
        <v>701</v>
      </c>
      <c r="C84" s="35" t="s">
        <v>702</v>
      </c>
      <c r="D84" s="36" t="s">
        <v>703</v>
      </c>
      <c r="E84" s="36" t="s">
        <v>54</v>
      </c>
      <c r="F84" s="34" t="s">
        <v>704</v>
      </c>
      <c r="G84" s="37" t="s">
        <v>73</v>
      </c>
      <c r="H84" s="37" t="s">
        <v>73</v>
      </c>
      <c r="I84" s="140" t="s">
        <v>705</v>
      </c>
      <c r="J84" s="34" t="s">
        <v>41</v>
      </c>
      <c r="K84" s="39" t="s">
        <v>42</v>
      </c>
      <c r="L84" s="53">
        <v>44323</v>
      </c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2" t="s">
        <v>706</v>
      </c>
      <c r="Y84" s="58" t="s">
        <v>707</v>
      </c>
      <c r="Z84" s="44" t="s">
        <v>708</v>
      </c>
      <c r="AA84" s="45">
        <v>44944</v>
      </c>
      <c r="AB84" s="46" t="s">
        <v>30</v>
      </c>
      <c r="AC84" s="36"/>
      <c r="AD84" s="47" t="s">
        <v>49</v>
      </c>
      <c r="AE84" s="48" t="s">
        <v>41</v>
      </c>
      <c r="AF84" s="48" t="s">
        <v>49</v>
      </c>
      <c r="AG84" s="48" t="s">
        <v>49</v>
      </c>
      <c r="AH84" s="48" t="s">
        <v>49</v>
      </c>
      <c r="AI84" s="48" t="s">
        <v>49</v>
      </c>
      <c r="AJ84" s="49" t="s">
        <v>41</v>
      </c>
      <c r="AK84" s="48" t="s">
        <v>41</v>
      </c>
      <c r="AL84" s="62" t="s">
        <v>276</v>
      </c>
      <c r="AM84" s="138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1"/>
    </row>
    <row r="85" spans="1:51" x14ac:dyDescent="0.2">
      <c r="A85" s="33">
        <f t="shared" si="2"/>
        <v>80</v>
      </c>
      <c r="B85" s="139" t="s">
        <v>709</v>
      </c>
      <c r="C85" s="35" t="s">
        <v>710</v>
      </c>
      <c r="D85" s="36" t="s">
        <v>711</v>
      </c>
      <c r="E85" s="36" t="s">
        <v>54</v>
      </c>
      <c r="F85" s="34" t="s">
        <v>712</v>
      </c>
      <c r="G85" s="37" t="s">
        <v>360</v>
      </c>
      <c r="H85" s="37" t="s">
        <v>350</v>
      </c>
      <c r="I85" s="141" t="s">
        <v>713</v>
      </c>
      <c r="J85" s="34" t="s">
        <v>41</v>
      </c>
      <c r="K85" s="39" t="s">
        <v>42</v>
      </c>
      <c r="L85" s="142" t="s">
        <v>714</v>
      </c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42" t="s">
        <v>715</v>
      </c>
      <c r="Y85" s="58" t="s">
        <v>716</v>
      </c>
      <c r="Z85" s="44" t="s">
        <v>717</v>
      </c>
      <c r="AA85" s="45">
        <v>42935</v>
      </c>
      <c r="AB85" s="46" t="s">
        <v>30</v>
      </c>
      <c r="AC85" s="36" t="s">
        <v>26</v>
      </c>
      <c r="AD85" s="47" t="s">
        <v>49</v>
      </c>
      <c r="AE85" s="48" t="s">
        <v>49</v>
      </c>
      <c r="AF85" s="48" t="s">
        <v>49</v>
      </c>
      <c r="AG85" s="48" t="s">
        <v>49</v>
      </c>
      <c r="AH85" s="48" t="s">
        <v>49</v>
      </c>
      <c r="AI85" s="48" t="s">
        <v>49</v>
      </c>
      <c r="AJ85" s="49" t="s">
        <v>41</v>
      </c>
      <c r="AK85" s="48" t="s">
        <v>41</v>
      </c>
      <c r="AL85" s="62" t="s">
        <v>276</v>
      </c>
      <c r="AM85" s="138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1"/>
    </row>
    <row r="86" spans="1:51" x14ac:dyDescent="0.2">
      <c r="A86" s="33">
        <f t="shared" si="2"/>
        <v>81</v>
      </c>
      <c r="B86" s="108" t="s">
        <v>718</v>
      </c>
      <c r="C86" s="35" t="s">
        <v>719</v>
      </c>
      <c r="D86" s="36" t="s">
        <v>720</v>
      </c>
      <c r="E86" s="36" t="s">
        <v>54</v>
      </c>
      <c r="F86" s="34" t="s">
        <v>721</v>
      </c>
      <c r="G86" s="37" t="s">
        <v>360</v>
      </c>
      <c r="H86" s="37" t="s">
        <v>350</v>
      </c>
      <c r="I86" s="143" t="s">
        <v>722</v>
      </c>
      <c r="J86" s="34" t="s">
        <v>41</v>
      </c>
      <c r="K86" s="39" t="s">
        <v>42</v>
      </c>
      <c r="L86" s="142" t="s">
        <v>91</v>
      </c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42" t="s">
        <v>723</v>
      </c>
      <c r="Y86" s="58" t="s">
        <v>724</v>
      </c>
      <c r="Z86" s="119" t="s">
        <v>725</v>
      </c>
      <c r="AA86" s="45">
        <v>43200</v>
      </c>
      <c r="AB86" s="46" t="s">
        <v>30</v>
      </c>
      <c r="AC86" s="36" t="s">
        <v>26</v>
      </c>
      <c r="AD86" s="47" t="s">
        <v>49</v>
      </c>
      <c r="AE86" s="48" t="s">
        <v>49</v>
      </c>
      <c r="AF86" s="48" t="s">
        <v>49</v>
      </c>
      <c r="AG86" s="48" t="s">
        <v>49</v>
      </c>
      <c r="AH86" s="48" t="s">
        <v>49</v>
      </c>
      <c r="AI86" s="48" t="s">
        <v>49</v>
      </c>
      <c r="AJ86" s="49" t="s">
        <v>49</v>
      </c>
      <c r="AK86" s="48" t="s">
        <v>49</v>
      </c>
      <c r="AL86" s="62" t="s">
        <v>32</v>
      </c>
      <c r="AM86" s="59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1"/>
    </row>
    <row r="87" spans="1:51" x14ac:dyDescent="0.2">
      <c r="A87" s="33">
        <f t="shared" si="2"/>
        <v>82</v>
      </c>
      <c r="B87" s="108" t="s">
        <v>726</v>
      </c>
      <c r="C87" s="35" t="s">
        <v>727</v>
      </c>
      <c r="D87" s="36" t="s">
        <v>728</v>
      </c>
      <c r="E87" s="36" t="s">
        <v>54</v>
      </c>
      <c r="F87" s="34" t="s">
        <v>729</v>
      </c>
      <c r="G87" s="37" t="s">
        <v>205</v>
      </c>
      <c r="H87" s="37" t="s">
        <v>205</v>
      </c>
      <c r="I87" s="140" t="s">
        <v>730</v>
      </c>
      <c r="J87" s="34" t="s">
        <v>41</v>
      </c>
      <c r="K87" s="39" t="s">
        <v>42</v>
      </c>
      <c r="L87" s="142" t="s">
        <v>731</v>
      </c>
      <c r="M87" s="56" t="s">
        <v>179</v>
      </c>
      <c r="N87" s="56" t="s">
        <v>179</v>
      </c>
      <c r="O87" s="56"/>
      <c r="P87" s="56">
        <v>2</v>
      </c>
      <c r="Q87" s="56"/>
      <c r="R87" s="56"/>
      <c r="S87" s="56" t="s">
        <v>44</v>
      </c>
      <c r="T87" s="56"/>
      <c r="U87" s="56"/>
      <c r="V87" s="56" t="s">
        <v>732</v>
      </c>
      <c r="W87" s="56"/>
      <c r="X87" s="57" t="s">
        <v>733</v>
      </c>
      <c r="Y87" s="58" t="s">
        <v>734</v>
      </c>
      <c r="Z87" s="144" t="s">
        <v>735</v>
      </c>
      <c r="AA87" s="45">
        <v>44650</v>
      </c>
      <c r="AB87" s="46" t="s">
        <v>129</v>
      </c>
      <c r="AC87" s="36"/>
      <c r="AD87" s="47" t="s">
        <v>49</v>
      </c>
      <c r="AE87" s="48" t="s">
        <v>41</v>
      </c>
      <c r="AF87" s="48" t="s">
        <v>41</v>
      </c>
      <c r="AG87" s="48" t="s">
        <v>49</v>
      </c>
      <c r="AH87" s="48" t="s">
        <v>49</v>
      </c>
      <c r="AI87" s="48" t="s">
        <v>49</v>
      </c>
      <c r="AJ87" s="49" t="s">
        <v>49</v>
      </c>
      <c r="AK87" s="48" t="s">
        <v>41</v>
      </c>
      <c r="AL87" s="62" t="s">
        <v>148</v>
      </c>
      <c r="AM87" s="59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1"/>
    </row>
    <row r="88" spans="1:51" x14ac:dyDescent="0.2">
      <c r="A88" s="33">
        <f t="shared" si="2"/>
        <v>83</v>
      </c>
      <c r="B88" s="108" t="s">
        <v>736</v>
      </c>
      <c r="C88" s="35" t="s">
        <v>737</v>
      </c>
      <c r="D88" s="36" t="s">
        <v>738</v>
      </c>
      <c r="E88" s="36" t="s">
        <v>36</v>
      </c>
      <c r="F88" s="34" t="s">
        <v>739</v>
      </c>
      <c r="G88" s="37" t="s">
        <v>73</v>
      </c>
      <c r="H88" s="37" t="s">
        <v>73</v>
      </c>
      <c r="I88" s="140" t="s">
        <v>740</v>
      </c>
      <c r="J88" s="34" t="s">
        <v>41</v>
      </c>
      <c r="K88" s="39" t="s">
        <v>42</v>
      </c>
      <c r="L88" s="142">
        <v>45310</v>
      </c>
      <c r="M88" s="56" t="s">
        <v>179</v>
      </c>
      <c r="N88" s="56" t="s">
        <v>179</v>
      </c>
      <c r="O88" s="56"/>
      <c r="P88" s="56">
        <v>1</v>
      </c>
      <c r="Q88" s="56" t="s">
        <v>179</v>
      </c>
      <c r="R88" s="56"/>
      <c r="S88" s="56"/>
      <c r="T88" s="56"/>
      <c r="U88" s="56" t="s">
        <v>44</v>
      </c>
      <c r="V88" s="56"/>
      <c r="W88" s="56"/>
      <c r="X88" s="145" t="s">
        <v>741</v>
      </c>
      <c r="Y88" s="58" t="s">
        <v>742</v>
      </c>
      <c r="Z88" s="121"/>
      <c r="AA88" s="45"/>
      <c r="AB88" s="46"/>
      <c r="AC88" s="36"/>
      <c r="AD88" s="47" t="s">
        <v>49</v>
      </c>
      <c r="AE88" s="48" t="s">
        <v>41</v>
      </c>
      <c r="AF88" s="48" t="s">
        <v>41</v>
      </c>
      <c r="AG88" s="48" t="s">
        <v>41</v>
      </c>
      <c r="AH88" s="48" t="s">
        <v>41</v>
      </c>
      <c r="AI88" s="48" t="s">
        <v>49</v>
      </c>
      <c r="AJ88" s="49" t="s">
        <v>41</v>
      </c>
      <c r="AK88" s="48" t="s">
        <v>41</v>
      </c>
      <c r="AL88" s="62" t="s">
        <v>276</v>
      </c>
      <c r="AM88" s="59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1"/>
    </row>
    <row r="89" spans="1:51" x14ac:dyDescent="0.2">
      <c r="A89" s="33">
        <f t="shared" si="2"/>
        <v>84</v>
      </c>
      <c r="B89" s="108" t="s">
        <v>743</v>
      </c>
      <c r="C89" s="35" t="s">
        <v>744</v>
      </c>
      <c r="D89" s="36" t="s">
        <v>745</v>
      </c>
      <c r="E89" s="36" t="s">
        <v>54</v>
      </c>
      <c r="F89" s="34" t="s">
        <v>746</v>
      </c>
      <c r="G89" s="37" t="s">
        <v>747</v>
      </c>
      <c r="H89" s="37" t="s">
        <v>378</v>
      </c>
      <c r="I89" s="140" t="s">
        <v>748</v>
      </c>
      <c r="J89" s="34" t="s">
        <v>41</v>
      </c>
      <c r="K89" s="39" t="s">
        <v>42</v>
      </c>
      <c r="L89" s="142" t="s">
        <v>749</v>
      </c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42" t="s">
        <v>750</v>
      </c>
      <c r="Y89" s="58" t="s">
        <v>751</v>
      </c>
      <c r="Z89" s="44" t="s">
        <v>752</v>
      </c>
      <c r="AA89" s="45">
        <v>44041</v>
      </c>
      <c r="AB89" s="46" t="s">
        <v>30</v>
      </c>
      <c r="AC89" s="36" t="s">
        <v>26</v>
      </c>
      <c r="AD89" s="47" t="s">
        <v>49</v>
      </c>
      <c r="AE89" s="48" t="s">
        <v>49</v>
      </c>
      <c r="AF89" s="48" t="s">
        <v>49</v>
      </c>
      <c r="AG89" s="48" t="s">
        <v>49</v>
      </c>
      <c r="AH89" s="48" t="s">
        <v>49</v>
      </c>
      <c r="AI89" s="48" t="s">
        <v>49</v>
      </c>
      <c r="AJ89" s="49" t="s">
        <v>49</v>
      </c>
      <c r="AK89" s="48" t="s">
        <v>49</v>
      </c>
      <c r="AL89" s="65" t="s">
        <v>32</v>
      </c>
      <c r="AM89" s="59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1"/>
    </row>
    <row r="90" spans="1:51" x14ac:dyDescent="0.2">
      <c r="A90" s="33">
        <f t="shared" si="2"/>
        <v>85</v>
      </c>
      <c r="B90" s="108" t="s">
        <v>753</v>
      </c>
      <c r="C90" s="35" t="s">
        <v>754</v>
      </c>
      <c r="D90" s="36" t="s">
        <v>755</v>
      </c>
      <c r="E90" s="36" t="s">
        <v>54</v>
      </c>
      <c r="F90" s="34" t="s">
        <v>756</v>
      </c>
      <c r="G90" s="37" t="s">
        <v>398</v>
      </c>
      <c r="H90" s="37" t="s">
        <v>205</v>
      </c>
      <c r="I90" s="140" t="s">
        <v>757</v>
      </c>
      <c r="J90" s="34" t="s">
        <v>41</v>
      </c>
      <c r="K90" s="39" t="s">
        <v>42</v>
      </c>
      <c r="L90" s="142" t="s">
        <v>758</v>
      </c>
      <c r="M90" s="56"/>
      <c r="N90" s="56"/>
      <c r="O90" s="56"/>
      <c r="P90" s="56"/>
      <c r="Q90" s="56"/>
      <c r="R90" s="56"/>
      <c r="S90" s="56"/>
      <c r="T90" s="56" t="s">
        <v>44</v>
      </c>
      <c r="U90" s="56"/>
      <c r="V90" s="56"/>
      <c r="W90" s="56"/>
      <c r="X90" s="42" t="s">
        <v>759</v>
      </c>
      <c r="Y90" s="58" t="s">
        <v>760</v>
      </c>
      <c r="Z90" s="44"/>
      <c r="AA90" s="45">
        <v>45642</v>
      </c>
      <c r="AB90" s="46"/>
      <c r="AC90" s="36"/>
      <c r="AD90" s="47" t="s">
        <v>49</v>
      </c>
      <c r="AE90" s="48" t="s">
        <v>41</v>
      </c>
      <c r="AF90" s="48" t="s">
        <v>41</v>
      </c>
      <c r="AG90" s="48" t="s">
        <v>41</v>
      </c>
      <c r="AH90" s="48" t="s">
        <v>49</v>
      </c>
      <c r="AI90" s="48" t="s">
        <v>49</v>
      </c>
      <c r="AJ90" s="49" t="s">
        <v>41</v>
      </c>
      <c r="AK90" s="48" t="s">
        <v>41</v>
      </c>
      <c r="AL90" s="65" t="s">
        <v>276</v>
      </c>
      <c r="AM90" s="59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1"/>
    </row>
    <row r="91" spans="1:51" x14ac:dyDescent="0.2">
      <c r="A91" s="33">
        <f t="shared" si="2"/>
        <v>86</v>
      </c>
      <c r="B91" s="34" t="s">
        <v>761</v>
      </c>
      <c r="C91" s="35" t="s">
        <v>762</v>
      </c>
      <c r="D91" s="36" t="s">
        <v>763</v>
      </c>
      <c r="E91" s="36" t="s">
        <v>54</v>
      </c>
      <c r="F91" s="34" t="s">
        <v>764</v>
      </c>
      <c r="G91" s="37" t="s">
        <v>176</v>
      </c>
      <c r="H91" s="37" t="s">
        <v>39</v>
      </c>
      <c r="I91" s="38" t="s">
        <v>765</v>
      </c>
      <c r="J91" s="34" t="s">
        <v>41</v>
      </c>
      <c r="K91" s="39" t="s">
        <v>42</v>
      </c>
      <c r="L91" s="40" t="s">
        <v>766</v>
      </c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42" t="s">
        <v>767</v>
      </c>
      <c r="Y91" s="58" t="s">
        <v>768</v>
      </c>
      <c r="Z91" s="44" t="s">
        <v>769</v>
      </c>
      <c r="AA91" s="45">
        <v>44944</v>
      </c>
      <c r="AB91" s="46" t="s">
        <v>30</v>
      </c>
      <c r="AC91" s="36" t="s">
        <v>26</v>
      </c>
      <c r="AD91" s="47" t="s">
        <v>49</v>
      </c>
      <c r="AE91" s="48" t="s">
        <v>49</v>
      </c>
      <c r="AF91" s="48" t="s">
        <v>49</v>
      </c>
      <c r="AG91" s="48" t="s">
        <v>49</v>
      </c>
      <c r="AH91" s="48" t="s">
        <v>49</v>
      </c>
      <c r="AI91" s="48" t="s">
        <v>49</v>
      </c>
      <c r="AJ91" s="49" t="s">
        <v>49</v>
      </c>
      <c r="AK91" s="48" t="s">
        <v>49</v>
      </c>
      <c r="AL91" s="62" t="s">
        <v>32</v>
      </c>
      <c r="AM91" s="59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1"/>
    </row>
    <row r="92" spans="1:51" x14ac:dyDescent="0.2">
      <c r="A92" s="33">
        <f t="shared" si="2"/>
        <v>87</v>
      </c>
      <c r="B92" s="34" t="s">
        <v>770</v>
      </c>
      <c r="C92" s="35" t="s">
        <v>771</v>
      </c>
      <c r="D92" s="36" t="s">
        <v>772</v>
      </c>
      <c r="E92" s="36" t="s">
        <v>54</v>
      </c>
      <c r="F92" s="34" t="s">
        <v>773</v>
      </c>
      <c r="G92" s="37" t="s">
        <v>252</v>
      </c>
      <c r="H92" s="37" t="s">
        <v>57</v>
      </c>
      <c r="I92" s="38" t="s">
        <v>774</v>
      </c>
      <c r="J92" s="34" t="s">
        <v>41</v>
      </c>
      <c r="K92" s="39" t="s">
        <v>42</v>
      </c>
      <c r="L92" s="53">
        <v>44938</v>
      </c>
      <c r="M92" s="56"/>
      <c r="N92" s="56"/>
      <c r="O92" s="56"/>
      <c r="P92" s="56"/>
      <c r="Q92" s="56"/>
      <c r="R92" s="56"/>
      <c r="S92" s="56"/>
      <c r="T92" s="56" t="s">
        <v>44</v>
      </c>
      <c r="U92" s="56"/>
      <c r="V92" s="56"/>
      <c r="W92" s="56"/>
      <c r="X92" s="38" t="s">
        <v>775</v>
      </c>
      <c r="Y92" s="58" t="s">
        <v>776</v>
      </c>
      <c r="Z92" s="44" t="s">
        <v>777</v>
      </c>
      <c r="AA92" s="45">
        <v>42325</v>
      </c>
      <c r="AB92" s="46" t="s">
        <v>30</v>
      </c>
      <c r="AC92" s="36"/>
      <c r="AD92" s="47" t="s">
        <v>49</v>
      </c>
      <c r="AE92" s="48" t="s">
        <v>41</v>
      </c>
      <c r="AF92" s="48" t="s">
        <v>41</v>
      </c>
      <c r="AG92" s="48" t="s">
        <v>41</v>
      </c>
      <c r="AH92" s="48" t="s">
        <v>49</v>
      </c>
      <c r="AI92" s="48" t="s">
        <v>49</v>
      </c>
      <c r="AJ92" s="49" t="s">
        <v>49</v>
      </c>
      <c r="AK92" s="48" t="s">
        <v>49</v>
      </c>
      <c r="AL92" s="62" t="s">
        <v>32</v>
      </c>
      <c r="AM92" s="59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1"/>
    </row>
    <row r="93" spans="1:51" x14ac:dyDescent="0.2">
      <c r="A93" s="33">
        <f t="shared" si="2"/>
        <v>88</v>
      </c>
      <c r="B93" s="34" t="s">
        <v>778</v>
      </c>
      <c r="C93" s="35" t="s">
        <v>779</v>
      </c>
      <c r="D93" s="36" t="s">
        <v>780</v>
      </c>
      <c r="E93" s="36" t="s">
        <v>54</v>
      </c>
      <c r="F93" s="34" t="s">
        <v>781</v>
      </c>
      <c r="G93" s="37" t="s">
        <v>176</v>
      </c>
      <c r="H93" s="37" t="s">
        <v>39</v>
      </c>
      <c r="I93" s="38" t="s">
        <v>782</v>
      </c>
      <c r="J93" s="34" t="s">
        <v>41</v>
      </c>
      <c r="K93" s="39" t="s">
        <v>42</v>
      </c>
      <c r="L93" s="40" t="s">
        <v>783</v>
      </c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42" t="s">
        <v>784</v>
      </c>
      <c r="Y93" s="58" t="s">
        <v>785</v>
      </c>
      <c r="Z93" s="44" t="s">
        <v>786</v>
      </c>
      <c r="AA93" s="45">
        <v>44944</v>
      </c>
      <c r="AB93" s="46" t="s">
        <v>30</v>
      </c>
      <c r="AC93" s="36" t="s">
        <v>26</v>
      </c>
      <c r="AD93" s="47" t="s">
        <v>49</v>
      </c>
      <c r="AE93" s="48" t="s">
        <v>49</v>
      </c>
      <c r="AF93" s="48" t="s">
        <v>41</v>
      </c>
      <c r="AG93" s="48" t="s">
        <v>41</v>
      </c>
      <c r="AH93" s="48" t="s">
        <v>41</v>
      </c>
      <c r="AI93" s="48" t="s">
        <v>41</v>
      </c>
      <c r="AJ93" s="49" t="s">
        <v>41</v>
      </c>
      <c r="AK93" s="48" t="s">
        <v>41</v>
      </c>
      <c r="AL93" s="62" t="s">
        <v>4587</v>
      </c>
      <c r="AM93" s="59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1"/>
    </row>
    <row r="94" spans="1:51" x14ac:dyDescent="0.2">
      <c r="A94" s="33">
        <f t="shared" si="2"/>
        <v>89</v>
      </c>
      <c r="B94" s="34" t="s">
        <v>787</v>
      </c>
      <c r="C94" s="35" t="s">
        <v>788</v>
      </c>
      <c r="D94" s="36" t="s">
        <v>789</v>
      </c>
      <c r="E94" s="36" t="s">
        <v>54</v>
      </c>
      <c r="F94" s="34" t="s">
        <v>790</v>
      </c>
      <c r="G94" s="37" t="s">
        <v>38</v>
      </c>
      <c r="H94" s="37" t="s">
        <v>39</v>
      </c>
      <c r="I94" s="34" t="s">
        <v>791</v>
      </c>
      <c r="J94" s="34" t="s">
        <v>41</v>
      </c>
      <c r="K94" s="39" t="s">
        <v>42</v>
      </c>
      <c r="L94" s="40" t="s">
        <v>792</v>
      </c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42" t="s">
        <v>793</v>
      </c>
      <c r="Y94" s="52" t="s">
        <v>794</v>
      </c>
      <c r="Z94" s="44" t="s">
        <v>795</v>
      </c>
      <c r="AA94" s="45">
        <v>44041</v>
      </c>
      <c r="AB94" s="46" t="s">
        <v>30</v>
      </c>
      <c r="AC94" s="36" t="s">
        <v>26</v>
      </c>
      <c r="AD94" s="47" t="s">
        <v>49</v>
      </c>
      <c r="AE94" s="48" t="s">
        <v>49</v>
      </c>
      <c r="AF94" s="48" t="s">
        <v>49</v>
      </c>
      <c r="AG94" s="48" t="s">
        <v>49</v>
      </c>
      <c r="AH94" s="48" t="s">
        <v>49</v>
      </c>
      <c r="AI94" s="48" t="s">
        <v>49</v>
      </c>
      <c r="AJ94" s="49" t="s">
        <v>49</v>
      </c>
      <c r="AK94" s="48" t="s">
        <v>49</v>
      </c>
      <c r="AL94" s="65" t="s">
        <v>32</v>
      </c>
      <c r="AM94" s="59"/>
      <c r="AN94" s="10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1"/>
    </row>
    <row r="95" spans="1:51" x14ac:dyDescent="0.2">
      <c r="A95" s="33">
        <f t="shared" si="2"/>
        <v>90</v>
      </c>
      <c r="B95" s="34" t="s">
        <v>796</v>
      </c>
      <c r="C95" s="35" t="s">
        <v>797</v>
      </c>
      <c r="D95" s="36" t="s">
        <v>4606</v>
      </c>
      <c r="E95" s="36" t="s">
        <v>36</v>
      </c>
      <c r="F95" s="34" t="s">
        <v>798</v>
      </c>
      <c r="G95" s="37" t="s">
        <v>39</v>
      </c>
      <c r="H95" s="37" t="s">
        <v>39</v>
      </c>
      <c r="I95" s="38" t="s">
        <v>799</v>
      </c>
      <c r="J95" s="34" t="s">
        <v>41</v>
      </c>
      <c r="K95" s="39" t="s">
        <v>42</v>
      </c>
      <c r="L95" s="40" t="s">
        <v>800</v>
      </c>
      <c r="M95" s="56" t="s">
        <v>179</v>
      </c>
      <c r="N95" s="56"/>
      <c r="O95" s="56"/>
      <c r="P95" s="56"/>
      <c r="Q95" s="56"/>
      <c r="R95" s="56"/>
      <c r="S95" s="56"/>
      <c r="T95" s="56"/>
      <c r="U95" s="56"/>
      <c r="V95" s="56"/>
      <c r="W95" s="56" t="s">
        <v>732</v>
      </c>
      <c r="X95" s="42" t="s">
        <v>801</v>
      </c>
      <c r="Y95" s="55" t="s">
        <v>802</v>
      </c>
      <c r="Z95" s="44" t="s">
        <v>61</v>
      </c>
      <c r="AA95" s="45">
        <v>43200</v>
      </c>
      <c r="AB95" s="46" t="s">
        <v>30</v>
      </c>
      <c r="AC95" s="36" t="s">
        <v>26</v>
      </c>
      <c r="AD95" s="47" t="s">
        <v>49</v>
      </c>
      <c r="AE95" s="48" t="s">
        <v>49</v>
      </c>
      <c r="AF95" s="48" t="s">
        <v>49</v>
      </c>
      <c r="AG95" s="48" t="s">
        <v>49</v>
      </c>
      <c r="AH95" s="48" t="s">
        <v>49</v>
      </c>
      <c r="AI95" s="48" t="s">
        <v>49</v>
      </c>
      <c r="AJ95" s="49" t="s">
        <v>49</v>
      </c>
      <c r="AK95" s="48" t="s">
        <v>49</v>
      </c>
      <c r="AL95" s="62" t="s">
        <v>32</v>
      </c>
      <c r="AM95" s="59"/>
      <c r="AN95" s="10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1"/>
    </row>
    <row r="96" spans="1:51" x14ac:dyDescent="0.2">
      <c r="A96" s="33">
        <f t="shared" si="2"/>
        <v>91</v>
      </c>
      <c r="B96" s="34" t="s">
        <v>803</v>
      </c>
      <c r="C96" s="35" t="s">
        <v>804</v>
      </c>
      <c r="D96" s="36" t="s">
        <v>805</v>
      </c>
      <c r="E96" s="36" t="s">
        <v>54</v>
      </c>
      <c r="F96" s="34" t="s">
        <v>806</v>
      </c>
      <c r="G96" s="37" t="s">
        <v>73</v>
      </c>
      <c r="H96" s="37" t="s">
        <v>73</v>
      </c>
      <c r="I96" s="34" t="s">
        <v>807</v>
      </c>
      <c r="J96" s="34" t="s">
        <v>41</v>
      </c>
      <c r="K96" s="39" t="s">
        <v>42</v>
      </c>
      <c r="L96" s="40" t="s">
        <v>808</v>
      </c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2" t="s">
        <v>809</v>
      </c>
      <c r="Y96" s="52" t="s">
        <v>810</v>
      </c>
      <c r="Z96" s="44" t="s">
        <v>61</v>
      </c>
      <c r="AA96" s="45">
        <v>40815</v>
      </c>
      <c r="AB96" s="46" t="s">
        <v>30</v>
      </c>
      <c r="AC96" s="36" t="s">
        <v>26</v>
      </c>
      <c r="AD96" s="47" t="s">
        <v>49</v>
      </c>
      <c r="AE96" s="48" t="s">
        <v>49</v>
      </c>
      <c r="AF96" s="48" t="s">
        <v>49</v>
      </c>
      <c r="AG96" s="48" t="s">
        <v>41</v>
      </c>
      <c r="AH96" s="48" t="s">
        <v>41</v>
      </c>
      <c r="AI96" s="48" t="s">
        <v>41</v>
      </c>
      <c r="AJ96" s="49" t="s">
        <v>41</v>
      </c>
      <c r="AK96" s="48" t="s">
        <v>41</v>
      </c>
      <c r="AL96" s="62" t="s">
        <v>110</v>
      </c>
      <c r="AM96" s="59"/>
      <c r="AN96" s="10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1"/>
    </row>
    <row r="97" spans="1:51" x14ac:dyDescent="0.2">
      <c r="A97" s="33">
        <f t="shared" si="2"/>
        <v>92</v>
      </c>
      <c r="B97" s="34" t="s">
        <v>811</v>
      </c>
      <c r="C97" s="35" t="s">
        <v>812</v>
      </c>
      <c r="D97" s="73" t="s">
        <v>813</v>
      </c>
      <c r="E97" s="36" t="s">
        <v>54</v>
      </c>
      <c r="F97" s="98" t="s">
        <v>814</v>
      </c>
      <c r="G97" s="37" t="s">
        <v>360</v>
      </c>
      <c r="H97" s="37" t="s">
        <v>350</v>
      </c>
      <c r="I97" s="34" t="s">
        <v>815</v>
      </c>
      <c r="J97" s="34" t="s">
        <v>41</v>
      </c>
      <c r="K97" s="39" t="s">
        <v>42</v>
      </c>
      <c r="L97" s="53" t="s">
        <v>816</v>
      </c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42" t="s">
        <v>817</v>
      </c>
      <c r="Y97" s="69" t="s">
        <v>818</v>
      </c>
      <c r="Z97" s="44" t="s">
        <v>819</v>
      </c>
      <c r="AA97" s="45">
        <v>43200</v>
      </c>
      <c r="AB97" s="46" t="s">
        <v>30</v>
      </c>
      <c r="AC97" s="73" t="s">
        <v>26</v>
      </c>
      <c r="AD97" s="47" t="s">
        <v>49</v>
      </c>
      <c r="AE97" s="48" t="s">
        <v>49</v>
      </c>
      <c r="AF97" s="48" t="s">
        <v>49</v>
      </c>
      <c r="AG97" s="48" t="s">
        <v>49</v>
      </c>
      <c r="AH97" s="48" t="s">
        <v>49</v>
      </c>
      <c r="AI97" s="49" t="s">
        <v>41</v>
      </c>
      <c r="AJ97" s="49" t="s">
        <v>41</v>
      </c>
      <c r="AK97" s="48" t="s">
        <v>41</v>
      </c>
      <c r="AL97" s="62" t="s">
        <v>4589</v>
      </c>
      <c r="AM97" s="59"/>
      <c r="AN97" s="10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1"/>
    </row>
    <row r="98" spans="1:51" x14ac:dyDescent="0.2">
      <c r="A98" s="33">
        <f t="shared" si="2"/>
        <v>93</v>
      </c>
      <c r="B98" s="34" t="s">
        <v>820</v>
      </c>
      <c r="C98" s="35" t="s">
        <v>821</v>
      </c>
      <c r="D98" s="36" t="s">
        <v>822</v>
      </c>
      <c r="E98" s="36" t="s">
        <v>54</v>
      </c>
      <c r="F98" s="34" t="s">
        <v>823</v>
      </c>
      <c r="G98" s="37" t="s">
        <v>528</v>
      </c>
      <c r="H98" s="37" t="s">
        <v>57</v>
      </c>
      <c r="I98" s="38" t="s">
        <v>824</v>
      </c>
      <c r="J98" s="34" t="s">
        <v>41</v>
      </c>
      <c r="K98" s="39" t="s">
        <v>42</v>
      </c>
      <c r="L98" s="40" t="s">
        <v>825</v>
      </c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2" t="s">
        <v>826</v>
      </c>
      <c r="Y98" s="52" t="s">
        <v>827</v>
      </c>
      <c r="Z98" s="44" t="s">
        <v>828</v>
      </c>
      <c r="AA98" s="45">
        <v>44041</v>
      </c>
      <c r="AB98" s="46" t="s">
        <v>30</v>
      </c>
      <c r="AC98" s="36" t="s">
        <v>26</v>
      </c>
      <c r="AD98" s="47" t="s">
        <v>49</v>
      </c>
      <c r="AE98" s="48" t="s">
        <v>49</v>
      </c>
      <c r="AF98" s="48" t="s">
        <v>49</v>
      </c>
      <c r="AG98" s="48" t="s">
        <v>49</v>
      </c>
      <c r="AH98" s="48" t="s">
        <v>49</v>
      </c>
      <c r="AI98" s="48" t="s">
        <v>49</v>
      </c>
      <c r="AJ98" s="49" t="s">
        <v>49</v>
      </c>
      <c r="AK98" s="48" t="s">
        <v>41</v>
      </c>
      <c r="AL98" s="62" t="s">
        <v>148</v>
      </c>
      <c r="AM98" s="59"/>
      <c r="AN98" s="10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1"/>
    </row>
    <row r="99" spans="1:51" x14ac:dyDescent="0.2">
      <c r="A99" s="33">
        <f t="shared" si="2"/>
        <v>94</v>
      </c>
      <c r="B99" s="34" t="s">
        <v>829</v>
      </c>
      <c r="C99" s="35" t="s">
        <v>4577</v>
      </c>
      <c r="D99" s="36" t="s">
        <v>830</v>
      </c>
      <c r="E99" s="36" t="s">
        <v>54</v>
      </c>
      <c r="F99" s="34" t="s">
        <v>831</v>
      </c>
      <c r="G99" s="37" t="s">
        <v>747</v>
      </c>
      <c r="H99" s="37" t="s">
        <v>378</v>
      </c>
      <c r="I99" s="38" t="s">
        <v>832</v>
      </c>
      <c r="J99" s="34" t="s">
        <v>41</v>
      </c>
      <c r="K99" s="39" t="s">
        <v>42</v>
      </c>
      <c r="L99" s="40" t="s">
        <v>833</v>
      </c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42" t="s">
        <v>834</v>
      </c>
      <c r="Y99" s="58" t="s">
        <v>835</v>
      </c>
      <c r="Z99" s="44" t="s">
        <v>836</v>
      </c>
      <c r="AA99" s="45">
        <v>41793</v>
      </c>
      <c r="AB99" s="46" t="s">
        <v>30</v>
      </c>
      <c r="AC99" s="36" t="s">
        <v>26</v>
      </c>
      <c r="AD99" s="47" t="s">
        <v>49</v>
      </c>
      <c r="AE99" s="48" t="s">
        <v>49</v>
      </c>
      <c r="AF99" s="48" t="s">
        <v>49</v>
      </c>
      <c r="AG99" s="48" t="s">
        <v>49</v>
      </c>
      <c r="AH99" s="48" t="s">
        <v>49</v>
      </c>
      <c r="AI99" s="48" t="s">
        <v>49</v>
      </c>
      <c r="AJ99" s="49" t="s">
        <v>49</v>
      </c>
      <c r="AK99" s="48" t="s">
        <v>41</v>
      </c>
      <c r="AL99" s="62" t="s">
        <v>148</v>
      </c>
      <c r="AM99" s="59"/>
      <c r="AN99" s="10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1"/>
    </row>
    <row r="100" spans="1:51" x14ac:dyDescent="0.2">
      <c r="A100" s="33">
        <f t="shared" si="2"/>
        <v>95</v>
      </c>
      <c r="B100" s="34" t="s">
        <v>837</v>
      </c>
      <c r="C100" s="35" t="s">
        <v>838</v>
      </c>
      <c r="D100" s="36" t="s">
        <v>839</v>
      </c>
      <c r="E100" s="36" t="s">
        <v>54</v>
      </c>
      <c r="F100" s="34" t="s">
        <v>840</v>
      </c>
      <c r="G100" s="37" t="s">
        <v>38</v>
      </c>
      <c r="H100" s="37" t="s">
        <v>39</v>
      </c>
      <c r="I100" s="34" t="s">
        <v>841</v>
      </c>
      <c r="J100" s="38" t="s">
        <v>842</v>
      </c>
      <c r="K100" s="39" t="s">
        <v>42</v>
      </c>
      <c r="L100" s="40" t="s">
        <v>843</v>
      </c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2" t="s">
        <v>844</v>
      </c>
      <c r="Y100" s="100" t="s">
        <v>845</v>
      </c>
      <c r="Z100" s="44" t="s">
        <v>61</v>
      </c>
      <c r="AA100" s="45">
        <v>40280</v>
      </c>
      <c r="AB100" s="46" t="s">
        <v>30</v>
      </c>
      <c r="AC100" s="36" t="s">
        <v>26</v>
      </c>
      <c r="AD100" s="47" t="s">
        <v>49</v>
      </c>
      <c r="AE100" s="48" t="s">
        <v>49</v>
      </c>
      <c r="AF100" s="48" t="s">
        <v>49</v>
      </c>
      <c r="AG100" s="48" t="s">
        <v>49</v>
      </c>
      <c r="AH100" s="48" t="s">
        <v>49</v>
      </c>
      <c r="AI100" s="48" t="s">
        <v>49</v>
      </c>
      <c r="AJ100" s="49" t="s">
        <v>41</v>
      </c>
      <c r="AK100" s="48" t="s">
        <v>41</v>
      </c>
      <c r="AL100" s="62" t="s">
        <v>276</v>
      </c>
      <c r="AM100" s="59"/>
      <c r="AN100" s="10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1"/>
    </row>
    <row r="101" spans="1:51" x14ac:dyDescent="0.2">
      <c r="A101" s="33">
        <f t="shared" si="2"/>
        <v>96</v>
      </c>
      <c r="B101" s="34" t="s">
        <v>846</v>
      </c>
      <c r="C101" s="35" t="s">
        <v>847</v>
      </c>
      <c r="D101" s="36" t="s">
        <v>848</v>
      </c>
      <c r="E101" s="36" t="s">
        <v>54</v>
      </c>
      <c r="F101" s="34" t="s">
        <v>849</v>
      </c>
      <c r="G101" s="37" t="s">
        <v>73</v>
      </c>
      <c r="H101" s="37" t="s">
        <v>73</v>
      </c>
      <c r="I101" s="38" t="s">
        <v>850</v>
      </c>
      <c r="J101" s="38" t="s">
        <v>41</v>
      </c>
      <c r="K101" s="39" t="s">
        <v>42</v>
      </c>
      <c r="L101" s="40" t="s">
        <v>851</v>
      </c>
      <c r="M101" s="41"/>
      <c r="N101" s="41"/>
      <c r="O101" s="41"/>
      <c r="P101" s="41"/>
      <c r="Q101" s="41"/>
      <c r="R101" s="41"/>
      <c r="S101" s="41"/>
      <c r="T101" s="41" t="s">
        <v>44</v>
      </c>
      <c r="U101" s="41"/>
      <c r="V101" s="41"/>
      <c r="W101" s="41"/>
      <c r="X101" s="42" t="s">
        <v>852</v>
      </c>
      <c r="Y101" s="146" t="s">
        <v>853</v>
      </c>
      <c r="Z101" s="44"/>
      <c r="AA101" s="45">
        <v>45642</v>
      </c>
      <c r="AB101" s="46"/>
      <c r="AC101" s="36"/>
      <c r="AD101" s="47" t="s">
        <v>49</v>
      </c>
      <c r="AE101" s="48" t="s">
        <v>41</v>
      </c>
      <c r="AF101" s="48" t="s">
        <v>41</v>
      </c>
      <c r="AG101" s="48" t="s">
        <v>41</v>
      </c>
      <c r="AH101" s="48" t="s">
        <v>49</v>
      </c>
      <c r="AI101" s="48" t="s">
        <v>49</v>
      </c>
      <c r="AJ101" s="49" t="s">
        <v>49</v>
      </c>
      <c r="AK101" s="48" t="s">
        <v>49</v>
      </c>
      <c r="AL101" s="62" t="s">
        <v>32</v>
      </c>
      <c r="AM101" s="59"/>
      <c r="AN101" s="102" t="s">
        <v>2569</v>
      </c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1"/>
    </row>
    <row r="102" spans="1:51" x14ac:dyDescent="0.2">
      <c r="A102" s="33">
        <f t="shared" si="2"/>
        <v>97</v>
      </c>
      <c r="B102" s="34" t="s">
        <v>854</v>
      </c>
      <c r="C102" s="35" t="s">
        <v>855</v>
      </c>
      <c r="D102" s="104" t="s">
        <v>856</v>
      </c>
      <c r="E102" s="36" t="s">
        <v>36</v>
      </c>
      <c r="F102" s="34" t="s">
        <v>857</v>
      </c>
      <c r="G102" s="37" t="s">
        <v>858</v>
      </c>
      <c r="H102" s="37" t="s">
        <v>57</v>
      </c>
      <c r="I102" s="38" t="s">
        <v>859</v>
      </c>
      <c r="J102" s="38" t="s">
        <v>41</v>
      </c>
      <c r="K102" s="39" t="s">
        <v>42</v>
      </c>
      <c r="L102" s="53">
        <v>45078</v>
      </c>
      <c r="M102" s="41"/>
      <c r="N102" s="41"/>
      <c r="O102" s="41"/>
      <c r="P102" s="41"/>
      <c r="Q102" s="41"/>
      <c r="R102" s="41"/>
      <c r="S102" s="41"/>
      <c r="T102" s="41" t="s">
        <v>44</v>
      </c>
      <c r="U102" s="41"/>
      <c r="V102" s="41"/>
      <c r="W102" s="41"/>
      <c r="X102" s="42" t="s">
        <v>860</v>
      </c>
      <c r="Y102" s="100" t="s">
        <v>861</v>
      </c>
      <c r="Z102" s="44" t="s">
        <v>862</v>
      </c>
      <c r="AA102" s="45">
        <v>44944</v>
      </c>
      <c r="AB102" s="101" t="s">
        <v>30</v>
      </c>
      <c r="AC102" s="36"/>
      <c r="AD102" s="47" t="s">
        <v>49</v>
      </c>
      <c r="AE102" s="48" t="s">
        <v>41</v>
      </c>
      <c r="AF102" s="48" t="s">
        <v>41</v>
      </c>
      <c r="AG102" s="48" t="s">
        <v>41</v>
      </c>
      <c r="AH102" s="48" t="s">
        <v>49</v>
      </c>
      <c r="AI102" s="48" t="s">
        <v>41</v>
      </c>
      <c r="AJ102" s="49" t="s">
        <v>41</v>
      </c>
      <c r="AK102" s="48" t="s">
        <v>41</v>
      </c>
      <c r="AL102" s="62" t="s">
        <v>4589</v>
      </c>
      <c r="AM102" s="59"/>
      <c r="AN102" s="10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1"/>
    </row>
    <row r="103" spans="1:51" x14ac:dyDescent="0.2">
      <c r="A103" s="33">
        <f t="shared" si="2"/>
        <v>98</v>
      </c>
      <c r="B103" s="34" t="s">
        <v>863</v>
      </c>
      <c r="C103" s="35" t="s">
        <v>864</v>
      </c>
      <c r="D103" s="109" t="s">
        <v>865</v>
      </c>
      <c r="E103" s="36" t="s">
        <v>54</v>
      </c>
      <c r="F103" s="108" t="s">
        <v>866</v>
      </c>
      <c r="G103" s="37" t="s">
        <v>73</v>
      </c>
      <c r="H103" s="37" t="s">
        <v>73</v>
      </c>
      <c r="I103" s="108" t="s">
        <v>867</v>
      </c>
      <c r="J103" s="108" t="s">
        <v>868</v>
      </c>
      <c r="K103" s="39" t="s">
        <v>42</v>
      </c>
      <c r="L103" s="40" t="s">
        <v>869</v>
      </c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42" t="s">
        <v>870</v>
      </c>
      <c r="Y103" s="58" t="s">
        <v>871</v>
      </c>
      <c r="Z103" s="44" t="s">
        <v>872</v>
      </c>
      <c r="AA103" s="45">
        <v>44041</v>
      </c>
      <c r="AB103" s="46" t="s">
        <v>30</v>
      </c>
      <c r="AC103" s="109" t="s">
        <v>26</v>
      </c>
      <c r="AD103" s="47" t="s">
        <v>49</v>
      </c>
      <c r="AE103" s="48" t="s">
        <v>49</v>
      </c>
      <c r="AF103" s="48" t="s">
        <v>49</v>
      </c>
      <c r="AG103" s="48" t="s">
        <v>49</v>
      </c>
      <c r="AH103" s="48" t="s">
        <v>49</v>
      </c>
      <c r="AI103" s="48" t="s">
        <v>49</v>
      </c>
      <c r="AJ103" s="49" t="s">
        <v>41</v>
      </c>
      <c r="AK103" s="48" t="s">
        <v>41</v>
      </c>
      <c r="AL103" s="62" t="s">
        <v>276</v>
      </c>
      <c r="AM103" s="59"/>
      <c r="AN103" s="10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1"/>
    </row>
    <row r="104" spans="1:51" x14ac:dyDescent="0.2">
      <c r="A104" s="33">
        <f t="shared" si="2"/>
        <v>99</v>
      </c>
      <c r="B104" s="34" t="s">
        <v>873</v>
      </c>
      <c r="C104" s="35" t="s">
        <v>874</v>
      </c>
      <c r="D104" s="73" t="s">
        <v>875</v>
      </c>
      <c r="E104" s="36" t="s">
        <v>54</v>
      </c>
      <c r="F104" s="98" t="s">
        <v>876</v>
      </c>
      <c r="G104" s="37" t="s">
        <v>398</v>
      </c>
      <c r="H104" s="37" t="s">
        <v>205</v>
      </c>
      <c r="I104" s="34" t="s">
        <v>877</v>
      </c>
      <c r="J104" s="34" t="s">
        <v>41</v>
      </c>
      <c r="K104" s="39" t="s">
        <v>42</v>
      </c>
      <c r="L104" s="40" t="s">
        <v>878</v>
      </c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42" t="s">
        <v>879</v>
      </c>
      <c r="Y104" s="55" t="s">
        <v>880</v>
      </c>
      <c r="Z104" s="44" t="s">
        <v>881</v>
      </c>
      <c r="AA104" s="45">
        <v>42935</v>
      </c>
      <c r="AB104" s="46" t="s">
        <v>30</v>
      </c>
      <c r="AC104" s="73" t="s">
        <v>26</v>
      </c>
      <c r="AD104" s="47" t="s">
        <v>49</v>
      </c>
      <c r="AE104" s="48" t="s">
        <v>49</v>
      </c>
      <c r="AF104" s="48" t="s">
        <v>49</v>
      </c>
      <c r="AG104" s="48" t="s">
        <v>49</v>
      </c>
      <c r="AH104" s="48" t="s">
        <v>49</v>
      </c>
      <c r="AI104" s="48" t="s">
        <v>49</v>
      </c>
      <c r="AJ104" s="49" t="s">
        <v>49</v>
      </c>
      <c r="AK104" s="48" t="s">
        <v>41</v>
      </c>
      <c r="AL104" s="65" t="s">
        <v>148</v>
      </c>
      <c r="AM104" s="59"/>
      <c r="AN104" s="10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1"/>
    </row>
    <row r="105" spans="1:51" x14ac:dyDescent="0.2">
      <c r="A105" s="33">
        <f t="shared" si="2"/>
        <v>100</v>
      </c>
      <c r="B105" s="34" t="s">
        <v>882</v>
      </c>
      <c r="C105" s="35" t="s">
        <v>883</v>
      </c>
      <c r="D105" s="36" t="s">
        <v>884</v>
      </c>
      <c r="E105" s="36" t="s">
        <v>54</v>
      </c>
      <c r="F105" s="34" t="s">
        <v>885</v>
      </c>
      <c r="G105" s="37" t="s">
        <v>176</v>
      </c>
      <c r="H105" s="37" t="s">
        <v>39</v>
      </c>
      <c r="I105" s="34" t="s">
        <v>886</v>
      </c>
      <c r="J105" s="34" t="s">
        <v>41</v>
      </c>
      <c r="K105" s="39" t="s">
        <v>42</v>
      </c>
      <c r="L105" s="40" t="s">
        <v>887</v>
      </c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2" t="s">
        <v>888</v>
      </c>
      <c r="Y105" s="58" t="s">
        <v>889</v>
      </c>
      <c r="Z105" s="44" t="s">
        <v>61</v>
      </c>
      <c r="AA105" s="45">
        <v>38593</v>
      </c>
      <c r="AB105" s="46" t="s">
        <v>30</v>
      </c>
      <c r="AC105" s="36"/>
      <c r="AD105" s="47" t="s">
        <v>49</v>
      </c>
      <c r="AE105" s="48" t="s">
        <v>41</v>
      </c>
      <c r="AF105" s="48" t="s">
        <v>41</v>
      </c>
      <c r="AG105" s="48" t="s">
        <v>41</v>
      </c>
      <c r="AH105" s="48" t="s">
        <v>41</v>
      </c>
      <c r="AI105" s="48" t="s">
        <v>41</v>
      </c>
      <c r="AJ105" s="49" t="s">
        <v>41</v>
      </c>
      <c r="AK105" s="48" t="s">
        <v>41</v>
      </c>
      <c r="AL105" s="82" t="s">
        <v>4592</v>
      </c>
      <c r="AM105" s="59" t="s">
        <v>890</v>
      </c>
      <c r="AN105" s="10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1"/>
    </row>
    <row r="106" spans="1:51" x14ac:dyDescent="0.2">
      <c r="A106" s="33">
        <f t="shared" si="2"/>
        <v>101</v>
      </c>
      <c r="B106" s="34" t="s">
        <v>891</v>
      </c>
      <c r="C106" s="35" t="s">
        <v>892</v>
      </c>
      <c r="D106" s="36" t="s">
        <v>893</v>
      </c>
      <c r="E106" s="36" t="s">
        <v>36</v>
      </c>
      <c r="F106" s="87" t="s">
        <v>894</v>
      </c>
      <c r="G106" s="37" t="s">
        <v>176</v>
      </c>
      <c r="H106" s="37" t="s">
        <v>39</v>
      </c>
      <c r="I106" s="34" t="s">
        <v>895</v>
      </c>
      <c r="J106" s="34" t="s">
        <v>41</v>
      </c>
      <c r="K106" s="39" t="s">
        <v>42</v>
      </c>
      <c r="L106" s="40" t="s">
        <v>896</v>
      </c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42" t="s">
        <v>897</v>
      </c>
      <c r="Y106" s="58" t="s">
        <v>898</v>
      </c>
      <c r="Z106" s="44" t="s">
        <v>899</v>
      </c>
      <c r="AA106" s="45">
        <v>42325</v>
      </c>
      <c r="AB106" s="46" t="s">
        <v>30</v>
      </c>
      <c r="AC106" s="36"/>
      <c r="AD106" s="47" t="s">
        <v>49</v>
      </c>
      <c r="AE106" s="48" t="s">
        <v>41</v>
      </c>
      <c r="AF106" s="48" t="s">
        <v>41</v>
      </c>
      <c r="AG106" s="48" t="s">
        <v>41</v>
      </c>
      <c r="AH106" s="48" t="s">
        <v>41</v>
      </c>
      <c r="AI106" s="48" t="s">
        <v>41</v>
      </c>
      <c r="AJ106" s="49" t="s">
        <v>41</v>
      </c>
      <c r="AK106" s="48" t="s">
        <v>41</v>
      </c>
      <c r="AL106" s="65" t="s">
        <v>4588</v>
      </c>
      <c r="AM106" s="59"/>
      <c r="AN106" s="117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1"/>
    </row>
    <row r="107" spans="1:51" x14ac:dyDescent="0.2">
      <c r="A107" s="33">
        <f t="shared" si="2"/>
        <v>102</v>
      </c>
      <c r="B107" s="34" t="s">
        <v>900</v>
      </c>
      <c r="C107" s="35" t="s">
        <v>901</v>
      </c>
      <c r="D107" s="36" t="s">
        <v>902</v>
      </c>
      <c r="E107" s="36" t="s">
        <v>54</v>
      </c>
      <c r="F107" s="34" t="s">
        <v>903</v>
      </c>
      <c r="G107" s="37" t="s">
        <v>73</v>
      </c>
      <c r="H107" s="37" t="s">
        <v>73</v>
      </c>
      <c r="I107" s="34" t="s">
        <v>904</v>
      </c>
      <c r="J107" s="34" t="s">
        <v>905</v>
      </c>
      <c r="K107" s="39" t="s">
        <v>42</v>
      </c>
      <c r="L107" s="53">
        <v>37051</v>
      </c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2" t="s">
        <v>906</v>
      </c>
      <c r="Y107" s="52" t="s">
        <v>907</v>
      </c>
      <c r="Z107" s="44" t="s">
        <v>908</v>
      </c>
      <c r="AA107" s="45">
        <v>42325</v>
      </c>
      <c r="AB107" s="46" t="s">
        <v>30</v>
      </c>
      <c r="AC107" s="36" t="s">
        <v>26</v>
      </c>
      <c r="AD107" s="47" t="s">
        <v>49</v>
      </c>
      <c r="AE107" s="48" t="s">
        <v>49</v>
      </c>
      <c r="AF107" s="48" t="s">
        <v>49</v>
      </c>
      <c r="AG107" s="48" t="s">
        <v>49</v>
      </c>
      <c r="AH107" s="48" t="s">
        <v>49</v>
      </c>
      <c r="AI107" s="48" t="s">
        <v>41</v>
      </c>
      <c r="AJ107" s="49" t="s">
        <v>41</v>
      </c>
      <c r="AK107" s="48" t="s">
        <v>41</v>
      </c>
      <c r="AL107" s="62" t="s">
        <v>4589</v>
      </c>
      <c r="AM107" s="59"/>
      <c r="AN107" s="10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1"/>
    </row>
    <row r="108" spans="1:51" x14ac:dyDescent="0.2">
      <c r="A108" s="33">
        <f t="shared" si="2"/>
        <v>103</v>
      </c>
      <c r="B108" s="34" t="s">
        <v>909</v>
      </c>
      <c r="C108" s="35" t="s">
        <v>910</v>
      </c>
      <c r="D108" s="36" t="s">
        <v>911</v>
      </c>
      <c r="E108" s="36" t="s">
        <v>54</v>
      </c>
      <c r="F108" s="108" t="s">
        <v>912</v>
      </c>
      <c r="G108" s="37" t="s">
        <v>73</v>
      </c>
      <c r="H108" s="37" t="s">
        <v>73</v>
      </c>
      <c r="I108" s="34" t="s">
        <v>913</v>
      </c>
      <c r="J108" s="34" t="s">
        <v>914</v>
      </c>
      <c r="K108" s="39" t="s">
        <v>42</v>
      </c>
      <c r="L108" s="40" t="s">
        <v>915</v>
      </c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42" t="s">
        <v>916</v>
      </c>
      <c r="Y108" s="58" t="s">
        <v>917</v>
      </c>
      <c r="Z108" s="44"/>
      <c r="AA108" s="45" t="s">
        <v>47</v>
      </c>
      <c r="AB108" s="46"/>
      <c r="AC108" s="36">
        <v>1</v>
      </c>
      <c r="AD108" s="47" t="s">
        <v>49</v>
      </c>
      <c r="AE108" s="48" t="s">
        <v>41</v>
      </c>
      <c r="AF108" s="48" t="s">
        <v>41</v>
      </c>
      <c r="AG108" s="48" t="s">
        <v>41</v>
      </c>
      <c r="AH108" s="48" t="s">
        <v>41</v>
      </c>
      <c r="AI108" s="48" t="s">
        <v>41</v>
      </c>
      <c r="AJ108" s="49" t="s">
        <v>41</v>
      </c>
      <c r="AK108" s="48" t="s">
        <v>41</v>
      </c>
      <c r="AL108" s="65" t="s">
        <v>4591</v>
      </c>
      <c r="AM108" s="59"/>
      <c r="AN108" s="10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1"/>
    </row>
    <row r="109" spans="1:51" x14ac:dyDescent="0.2">
      <c r="A109" s="33">
        <f t="shared" si="2"/>
        <v>104</v>
      </c>
      <c r="B109" s="34" t="s">
        <v>918</v>
      </c>
      <c r="C109" s="35" t="s">
        <v>919</v>
      </c>
      <c r="D109" s="36" t="s">
        <v>920</v>
      </c>
      <c r="E109" s="36" t="s">
        <v>54</v>
      </c>
      <c r="F109" s="34" t="s">
        <v>921</v>
      </c>
      <c r="G109" s="37" t="s">
        <v>73</v>
      </c>
      <c r="H109" s="37" t="s">
        <v>73</v>
      </c>
      <c r="I109" s="38" t="s">
        <v>922</v>
      </c>
      <c r="J109" s="34" t="s">
        <v>41</v>
      </c>
      <c r="K109" s="39" t="s">
        <v>42</v>
      </c>
      <c r="L109" s="120">
        <v>44478</v>
      </c>
      <c r="M109" s="112"/>
      <c r="N109" s="112"/>
      <c r="O109" s="112"/>
      <c r="P109" s="112"/>
      <c r="Q109" s="112"/>
      <c r="R109" s="112"/>
      <c r="S109" s="112"/>
      <c r="T109" s="41"/>
      <c r="U109" s="41"/>
      <c r="V109" s="41"/>
      <c r="W109" s="41"/>
      <c r="X109" s="42" t="s">
        <v>923</v>
      </c>
      <c r="Y109" s="43" t="s">
        <v>924</v>
      </c>
      <c r="Z109" s="44" t="s">
        <v>925</v>
      </c>
      <c r="AA109" s="45">
        <v>44944</v>
      </c>
      <c r="AB109" s="101" t="s">
        <v>30</v>
      </c>
      <c r="AC109" s="36"/>
      <c r="AD109" s="47" t="s">
        <v>49</v>
      </c>
      <c r="AE109" s="48" t="s">
        <v>41</v>
      </c>
      <c r="AF109" s="48" t="s">
        <v>49</v>
      </c>
      <c r="AG109" s="48" t="s">
        <v>49</v>
      </c>
      <c r="AH109" s="48" t="s">
        <v>49</v>
      </c>
      <c r="AI109" s="48" t="s">
        <v>49</v>
      </c>
      <c r="AJ109" s="49" t="s">
        <v>49</v>
      </c>
      <c r="AK109" s="48" t="s">
        <v>49</v>
      </c>
      <c r="AL109" s="62" t="s">
        <v>32</v>
      </c>
      <c r="AM109" s="59"/>
      <c r="AN109" s="10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1"/>
    </row>
    <row r="110" spans="1:51" x14ac:dyDescent="0.2">
      <c r="A110" s="33">
        <f t="shared" si="2"/>
        <v>105</v>
      </c>
      <c r="B110" s="107" t="s">
        <v>926</v>
      </c>
      <c r="C110" s="35" t="s">
        <v>927</v>
      </c>
      <c r="D110" s="36" t="s">
        <v>928</v>
      </c>
      <c r="E110" s="36" t="s">
        <v>54</v>
      </c>
      <c r="F110" s="34" t="s">
        <v>929</v>
      </c>
      <c r="G110" s="37" t="s">
        <v>73</v>
      </c>
      <c r="H110" s="37" t="s">
        <v>73</v>
      </c>
      <c r="I110" s="107" t="s">
        <v>930</v>
      </c>
      <c r="J110" s="34" t="s">
        <v>931</v>
      </c>
      <c r="K110" s="39" t="s">
        <v>42</v>
      </c>
      <c r="L110" s="99" t="s">
        <v>932</v>
      </c>
      <c r="M110" s="115"/>
      <c r="N110" s="147"/>
      <c r="O110" s="147"/>
      <c r="P110" s="147"/>
      <c r="Q110" s="147"/>
      <c r="R110" s="147"/>
      <c r="S110" s="147"/>
      <c r="T110" s="115"/>
      <c r="U110" s="56"/>
      <c r="V110" s="56"/>
      <c r="W110" s="56"/>
      <c r="X110" s="42" t="s">
        <v>933</v>
      </c>
      <c r="Y110" s="58" t="s">
        <v>934</v>
      </c>
      <c r="Z110" s="44" t="s">
        <v>61</v>
      </c>
      <c r="AA110" s="45">
        <v>40815</v>
      </c>
      <c r="AB110" s="148" t="s">
        <v>30</v>
      </c>
      <c r="AC110" s="36" t="s">
        <v>26</v>
      </c>
      <c r="AD110" s="47" t="s">
        <v>49</v>
      </c>
      <c r="AE110" s="48" t="s">
        <v>49</v>
      </c>
      <c r="AF110" s="48" t="s">
        <v>49</v>
      </c>
      <c r="AG110" s="48" t="s">
        <v>49</v>
      </c>
      <c r="AH110" s="48" t="s">
        <v>49</v>
      </c>
      <c r="AI110" s="48" t="s">
        <v>49</v>
      </c>
      <c r="AJ110" s="49" t="s">
        <v>49</v>
      </c>
      <c r="AK110" s="48" t="s">
        <v>41</v>
      </c>
      <c r="AL110" s="62" t="s">
        <v>148</v>
      </c>
      <c r="AM110" s="59"/>
      <c r="AN110" s="10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1"/>
    </row>
    <row r="111" spans="1:51" x14ac:dyDescent="0.2">
      <c r="A111" s="33">
        <f t="shared" si="2"/>
        <v>106</v>
      </c>
      <c r="B111" s="149" t="s">
        <v>935</v>
      </c>
      <c r="C111" s="150" t="s">
        <v>936</v>
      </c>
      <c r="D111" s="73" t="s">
        <v>937</v>
      </c>
      <c r="E111" s="36" t="s">
        <v>54</v>
      </c>
      <c r="F111" s="52" t="s">
        <v>938</v>
      </c>
      <c r="G111" s="151" t="s">
        <v>939</v>
      </c>
      <c r="H111" s="151" t="s">
        <v>205</v>
      </c>
      <c r="I111" s="113" t="s">
        <v>940</v>
      </c>
      <c r="J111" s="34"/>
      <c r="K111" s="39" t="s">
        <v>42</v>
      </c>
      <c r="L111" s="152" t="s">
        <v>941</v>
      </c>
      <c r="M111" s="115" t="s">
        <v>179</v>
      </c>
      <c r="N111" s="147" t="s">
        <v>179</v>
      </c>
      <c r="O111" s="147"/>
      <c r="P111" s="147">
        <v>6</v>
      </c>
      <c r="Q111" s="147" t="s">
        <v>942</v>
      </c>
      <c r="R111" s="147"/>
      <c r="S111" s="147"/>
      <c r="T111" s="115"/>
      <c r="U111" s="56"/>
      <c r="V111" s="56"/>
      <c r="W111" s="56"/>
      <c r="X111" s="42" t="s">
        <v>943</v>
      </c>
      <c r="Y111" s="58" t="s">
        <v>944</v>
      </c>
      <c r="Z111" s="44" t="s">
        <v>945</v>
      </c>
      <c r="AA111" s="153">
        <v>43200</v>
      </c>
      <c r="AB111" s="101" t="s">
        <v>30</v>
      </c>
      <c r="AC111" s="73">
        <v>1</v>
      </c>
      <c r="AD111" s="47" t="s">
        <v>49</v>
      </c>
      <c r="AE111" s="48" t="s">
        <v>41</v>
      </c>
      <c r="AF111" s="48" t="s">
        <v>41</v>
      </c>
      <c r="AG111" s="48" t="s">
        <v>41</v>
      </c>
      <c r="AH111" s="48" t="s">
        <v>41</v>
      </c>
      <c r="AI111" s="48" t="s">
        <v>41</v>
      </c>
      <c r="AJ111" s="49" t="s">
        <v>41</v>
      </c>
      <c r="AK111" s="48" t="s">
        <v>41</v>
      </c>
      <c r="AL111" s="82" t="s">
        <v>4592</v>
      </c>
      <c r="AM111" s="59"/>
      <c r="AN111" s="10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1"/>
    </row>
    <row r="112" spans="1:51" x14ac:dyDescent="0.2">
      <c r="A112" s="33">
        <f t="shared" si="2"/>
        <v>107</v>
      </c>
      <c r="B112" s="34" t="s">
        <v>946</v>
      </c>
      <c r="C112" s="35" t="s">
        <v>947</v>
      </c>
      <c r="D112" s="36" t="s">
        <v>948</v>
      </c>
      <c r="E112" s="36" t="s">
        <v>54</v>
      </c>
      <c r="F112" s="34" t="s">
        <v>949</v>
      </c>
      <c r="G112" s="37" t="s">
        <v>73</v>
      </c>
      <c r="H112" s="37" t="s">
        <v>73</v>
      </c>
      <c r="I112" s="34" t="s">
        <v>950</v>
      </c>
      <c r="J112" s="34" t="s">
        <v>951</v>
      </c>
      <c r="K112" s="39" t="s">
        <v>42</v>
      </c>
      <c r="L112" s="120">
        <v>35919</v>
      </c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42" t="s">
        <v>952</v>
      </c>
      <c r="Y112" s="58" t="s">
        <v>953</v>
      </c>
      <c r="Z112" s="44" t="s">
        <v>61</v>
      </c>
      <c r="AA112" s="45">
        <v>36641</v>
      </c>
      <c r="AB112" s="101" t="s">
        <v>30</v>
      </c>
      <c r="AC112" s="36" t="s">
        <v>26</v>
      </c>
      <c r="AD112" s="47" t="s">
        <v>49</v>
      </c>
      <c r="AE112" s="48" t="s">
        <v>49</v>
      </c>
      <c r="AF112" s="48" t="s">
        <v>49</v>
      </c>
      <c r="AG112" s="48" t="s">
        <v>49</v>
      </c>
      <c r="AH112" s="48" t="s">
        <v>49</v>
      </c>
      <c r="AI112" s="48" t="s">
        <v>49</v>
      </c>
      <c r="AJ112" s="49" t="s">
        <v>41</v>
      </c>
      <c r="AK112" s="48" t="s">
        <v>41</v>
      </c>
      <c r="AL112" s="62" t="s">
        <v>276</v>
      </c>
      <c r="AM112" s="59"/>
      <c r="AN112" s="117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1"/>
    </row>
    <row r="113" spans="1:51" x14ac:dyDescent="0.2">
      <c r="A113" s="33">
        <f t="shared" si="2"/>
        <v>108</v>
      </c>
      <c r="B113" s="108" t="s">
        <v>954</v>
      </c>
      <c r="C113" s="35" t="s">
        <v>955</v>
      </c>
      <c r="D113" s="36" t="s">
        <v>956</v>
      </c>
      <c r="E113" s="36" t="s">
        <v>54</v>
      </c>
      <c r="F113" s="34" t="s">
        <v>957</v>
      </c>
      <c r="G113" s="37" t="s">
        <v>958</v>
      </c>
      <c r="H113" s="37" t="s">
        <v>187</v>
      </c>
      <c r="I113" s="38" t="s">
        <v>959</v>
      </c>
      <c r="J113" s="34" t="s">
        <v>41</v>
      </c>
      <c r="K113" s="39" t="s">
        <v>42</v>
      </c>
      <c r="L113" s="120">
        <v>41947</v>
      </c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2" t="s">
        <v>960</v>
      </c>
      <c r="Y113" s="69" t="s">
        <v>961</v>
      </c>
      <c r="Z113" s="119" t="s">
        <v>61</v>
      </c>
      <c r="AA113" s="45">
        <v>36641</v>
      </c>
      <c r="AB113" s="101" t="s">
        <v>30</v>
      </c>
      <c r="AC113" s="36" t="s">
        <v>26</v>
      </c>
      <c r="AD113" s="47" t="s">
        <v>49</v>
      </c>
      <c r="AE113" s="48" t="s">
        <v>49</v>
      </c>
      <c r="AF113" s="48" t="s">
        <v>49</v>
      </c>
      <c r="AG113" s="48" t="s">
        <v>49</v>
      </c>
      <c r="AH113" s="48" t="s">
        <v>49</v>
      </c>
      <c r="AI113" s="48" t="s">
        <v>49</v>
      </c>
      <c r="AJ113" s="49" t="s">
        <v>49</v>
      </c>
      <c r="AK113" s="48" t="s">
        <v>49</v>
      </c>
      <c r="AL113" s="65" t="s">
        <v>32</v>
      </c>
      <c r="AM113" s="59"/>
      <c r="AN113" s="117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1"/>
    </row>
    <row r="114" spans="1:51" x14ac:dyDescent="0.2">
      <c r="A114" s="33">
        <f t="shared" si="2"/>
        <v>109</v>
      </c>
      <c r="B114" s="52" t="s">
        <v>962</v>
      </c>
      <c r="C114" s="150" t="s">
        <v>963</v>
      </c>
      <c r="D114" s="73" t="s">
        <v>964</v>
      </c>
      <c r="E114" s="36" t="s">
        <v>36</v>
      </c>
      <c r="F114" s="52" t="s">
        <v>965</v>
      </c>
      <c r="G114" s="151" t="s">
        <v>243</v>
      </c>
      <c r="H114" s="151" t="s">
        <v>205</v>
      </c>
      <c r="I114" s="113" t="s">
        <v>966</v>
      </c>
      <c r="J114" s="34"/>
      <c r="K114" s="39" t="s">
        <v>42</v>
      </c>
      <c r="L114" s="152" t="s">
        <v>216</v>
      </c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42" t="s">
        <v>967</v>
      </c>
      <c r="Y114" s="58" t="s">
        <v>968</v>
      </c>
      <c r="Z114" s="44" t="s">
        <v>969</v>
      </c>
      <c r="AA114" s="45">
        <v>44041</v>
      </c>
      <c r="AB114" s="101" t="s">
        <v>30</v>
      </c>
      <c r="AC114" s="73"/>
      <c r="AD114" s="47" t="s">
        <v>49</v>
      </c>
      <c r="AE114" s="48" t="s">
        <v>41</v>
      </c>
      <c r="AF114" s="48" t="s">
        <v>49</v>
      </c>
      <c r="AG114" s="48" t="s">
        <v>49</v>
      </c>
      <c r="AH114" s="48" t="s">
        <v>49</v>
      </c>
      <c r="AI114" s="48" t="s">
        <v>49</v>
      </c>
      <c r="AJ114" s="49" t="s">
        <v>49</v>
      </c>
      <c r="AK114" s="48" t="s">
        <v>49</v>
      </c>
      <c r="AL114" s="65" t="s">
        <v>32</v>
      </c>
      <c r="AM114" s="59"/>
      <c r="AN114" s="10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1"/>
    </row>
    <row r="115" spans="1:51" x14ac:dyDescent="0.2">
      <c r="A115" s="33">
        <f t="shared" si="2"/>
        <v>110</v>
      </c>
      <c r="B115" s="107" t="s">
        <v>970</v>
      </c>
      <c r="C115" s="35" t="s">
        <v>971</v>
      </c>
      <c r="D115" s="36" t="s">
        <v>972</v>
      </c>
      <c r="E115" s="36" t="s">
        <v>241</v>
      </c>
      <c r="F115" s="34" t="s">
        <v>973</v>
      </c>
      <c r="G115" s="37" t="s">
        <v>205</v>
      </c>
      <c r="H115" s="37" t="s">
        <v>205</v>
      </c>
      <c r="I115" s="34" t="s">
        <v>974</v>
      </c>
      <c r="J115" s="34" t="s">
        <v>975</v>
      </c>
      <c r="K115" s="39" t="s">
        <v>42</v>
      </c>
      <c r="L115" s="120" t="s">
        <v>976</v>
      </c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2" t="s">
        <v>977</v>
      </c>
      <c r="Y115" s="58" t="s">
        <v>978</v>
      </c>
      <c r="Z115" s="121" t="s">
        <v>979</v>
      </c>
      <c r="AA115" s="153">
        <v>44650</v>
      </c>
      <c r="AB115" s="101" t="s">
        <v>30</v>
      </c>
      <c r="AC115" s="36" t="s">
        <v>26</v>
      </c>
      <c r="AD115" s="47" t="s">
        <v>49</v>
      </c>
      <c r="AE115" s="48" t="s">
        <v>49</v>
      </c>
      <c r="AF115" s="48" t="s">
        <v>49</v>
      </c>
      <c r="AG115" s="48" t="s">
        <v>49</v>
      </c>
      <c r="AH115" s="48" t="s">
        <v>49</v>
      </c>
      <c r="AI115" s="48" t="s">
        <v>49</v>
      </c>
      <c r="AJ115" s="49" t="s">
        <v>49</v>
      </c>
      <c r="AK115" s="48" t="s">
        <v>49</v>
      </c>
      <c r="AL115" s="62" t="s">
        <v>32</v>
      </c>
      <c r="AM115" s="59"/>
      <c r="AN115" s="117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1"/>
    </row>
    <row r="116" spans="1:51" x14ac:dyDescent="0.2">
      <c r="A116" s="33">
        <f t="shared" si="2"/>
        <v>111</v>
      </c>
      <c r="B116" s="72" t="s">
        <v>980</v>
      </c>
      <c r="C116" s="35" t="s">
        <v>981</v>
      </c>
      <c r="D116" s="154" t="s">
        <v>982</v>
      </c>
      <c r="E116" s="36" t="s">
        <v>54</v>
      </c>
      <c r="F116" s="69" t="s">
        <v>983</v>
      </c>
      <c r="G116" s="75" t="s">
        <v>205</v>
      </c>
      <c r="H116" s="75" t="s">
        <v>205</v>
      </c>
      <c r="I116" s="72" t="s">
        <v>984</v>
      </c>
      <c r="J116" s="72" t="s">
        <v>985</v>
      </c>
      <c r="K116" s="77" t="s">
        <v>986</v>
      </c>
      <c r="L116" s="155">
        <v>32911</v>
      </c>
      <c r="M116" s="156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42" t="s">
        <v>987</v>
      </c>
      <c r="Y116" s="58" t="s">
        <v>988</v>
      </c>
      <c r="Z116" s="119" t="s">
        <v>989</v>
      </c>
      <c r="AA116" s="45">
        <v>41793</v>
      </c>
      <c r="AB116" s="101" t="s">
        <v>30</v>
      </c>
      <c r="AC116" s="154"/>
      <c r="AD116" s="81" t="s">
        <v>49</v>
      </c>
      <c r="AE116" s="48" t="s">
        <v>41</v>
      </c>
      <c r="AF116" s="48" t="s">
        <v>41</v>
      </c>
      <c r="AG116" s="48" t="s">
        <v>41</v>
      </c>
      <c r="AH116" s="48" t="s">
        <v>41</v>
      </c>
      <c r="AI116" s="48" t="s">
        <v>41</v>
      </c>
      <c r="AJ116" s="49" t="s">
        <v>41</v>
      </c>
      <c r="AK116" s="48" t="s">
        <v>41</v>
      </c>
      <c r="AL116" s="65" t="s">
        <v>4592</v>
      </c>
      <c r="AM116" s="59" t="s">
        <v>990</v>
      </c>
      <c r="AN116" s="10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1"/>
    </row>
    <row r="117" spans="1:51" x14ac:dyDescent="0.2">
      <c r="A117" s="33">
        <f t="shared" si="2"/>
        <v>112</v>
      </c>
      <c r="B117" s="108" t="s">
        <v>991</v>
      </c>
      <c r="C117" s="35" t="s">
        <v>992</v>
      </c>
      <c r="D117" s="36" t="s">
        <v>993</v>
      </c>
      <c r="E117" s="36" t="s">
        <v>54</v>
      </c>
      <c r="F117" s="34" t="s">
        <v>994</v>
      </c>
      <c r="G117" s="37" t="s">
        <v>73</v>
      </c>
      <c r="H117" s="37" t="s">
        <v>73</v>
      </c>
      <c r="I117" s="38" t="s">
        <v>995</v>
      </c>
      <c r="J117" s="34" t="s">
        <v>41</v>
      </c>
      <c r="K117" s="39" t="s">
        <v>42</v>
      </c>
      <c r="L117" s="120" t="s">
        <v>996</v>
      </c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2" t="s">
        <v>997</v>
      </c>
      <c r="Y117" s="58" t="s">
        <v>998</v>
      </c>
      <c r="Z117" s="121" t="s">
        <v>999</v>
      </c>
      <c r="AA117" s="153">
        <v>44650</v>
      </c>
      <c r="AB117" s="101" t="s">
        <v>30</v>
      </c>
      <c r="AC117" s="36" t="s">
        <v>26</v>
      </c>
      <c r="AD117" s="47" t="s">
        <v>49</v>
      </c>
      <c r="AE117" s="48" t="s">
        <v>49</v>
      </c>
      <c r="AF117" s="48" t="s">
        <v>49</v>
      </c>
      <c r="AG117" s="48" t="s">
        <v>49</v>
      </c>
      <c r="AH117" s="48" t="s">
        <v>49</v>
      </c>
      <c r="AI117" s="48" t="s">
        <v>49</v>
      </c>
      <c r="AJ117" s="49" t="s">
        <v>41</v>
      </c>
      <c r="AK117" s="48" t="s">
        <v>41</v>
      </c>
      <c r="AL117" s="62" t="s">
        <v>276</v>
      </c>
      <c r="AM117" s="59"/>
      <c r="AN117" s="117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1"/>
    </row>
    <row r="118" spans="1:51" x14ac:dyDescent="0.2">
      <c r="A118" s="33">
        <f t="shared" si="2"/>
        <v>113</v>
      </c>
      <c r="B118" s="34" t="s">
        <v>1000</v>
      </c>
      <c r="C118" s="35" t="s">
        <v>1001</v>
      </c>
      <c r="D118" s="36" t="s">
        <v>1002</v>
      </c>
      <c r="E118" s="36" t="s">
        <v>54</v>
      </c>
      <c r="F118" s="34" t="s">
        <v>1003</v>
      </c>
      <c r="G118" s="37" t="s">
        <v>73</v>
      </c>
      <c r="H118" s="37" t="s">
        <v>73</v>
      </c>
      <c r="I118" s="38" t="s">
        <v>1004</v>
      </c>
      <c r="J118" s="38" t="s">
        <v>1005</v>
      </c>
      <c r="K118" s="39" t="s">
        <v>42</v>
      </c>
      <c r="L118" s="99" t="s">
        <v>1006</v>
      </c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2" t="s">
        <v>1007</v>
      </c>
      <c r="Y118" s="52" t="s">
        <v>1008</v>
      </c>
      <c r="Z118" s="44" t="s">
        <v>61</v>
      </c>
      <c r="AA118" s="45">
        <v>37877</v>
      </c>
      <c r="AB118" s="101" t="s">
        <v>30</v>
      </c>
      <c r="AC118" s="36" t="s">
        <v>26</v>
      </c>
      <c r="AD118" s="47" t="s">
        <v>49</v>
      </c>
      <c r="AE118" s="48" t="s">
        <v>49</v>
      </c>
      <c r="AF118" s="48" t="s">
        <v>49</v>
      </c>
      <c r="AG118" s="48" t="s">
        <v>49</v>
      </c>
      <c r="AH118" s="48" t="s">
        <v>49</v>
      </c>
      <c r="AI118" s="48" t="s">
        <v>49</v>
      </c>
      <c r="AJ118" s="49" t="s">
        <v>49</v>
      </c>
      <c r="AK118" s="48" t="s">
        <v>49</v>
      </c>
      <c r="AL118" s="62" t="s">
        <v>32</v>
      </c>
      <c r="AM118" s="59"/>
      <c r="AN118" s="10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1"/>
    </row>
    <row r="119" spans="1:51" x14ac:dyDescent="0.2">
      <c r="A119" s="33">
        <f t="shared" si="2"/>
        <v>114</v>
      </c>
      <c r="B119" s="34" t="s">
        <v>1009</v>
      </c>
      <c r="C119" s="35" t="s">
        <v>1010</v>
      </c>
      <c r="D119" s="36" t="s">
        <v>1011</v>
      </c>
      <c r="E119" s="36" t="s">
        <v>54</v>
      </c>
      <c r="F119" s="34" t="s">
        <v>1012</v>
      </c>
      <c r="G119" s="37" t="s">
        <v>73</v>
      </c>
      <c r="H119" s="37" t="s">
        <v>73</v>
      </c>
      <c r="I119" s="38" t="s">
        <v>1013</v>
      </c>
      <c r="J119" s="38"/>
      <c r="K119" s="39" t="s">
        <v>42</v>
      </c>
      <c r="L119" s="99" t="s">
        <v>1014</v>
      </c>
      <c r="M119" s="41"/>
      <c r="N119" s="41"/>
      <c r="O119" s="41"/>
      <c r="P119" s="41"/>
      <c r="Q119" s="41"/>
      <c r="R119" s="41"/>
      <c r="S119" s="41"/>
      <c r="T119" s="41" t="s">
        <v>44</v>
      </c>
      <c r="U119" s="41"/>
      <c r="V119" s="41"/>
      <c r="W119" s="41"/>
      <c r="X119" s="42" t="s">
        <v>1015</v>
      </c>
      <c r="Y119" s="43" t="s">
        <v>1016</v>
      </c>
      <c r="Z119" s="44"/>
      <c r="AA119" s="45">
        <v>45642</v>
      </c>
      <c r="AB119" s="101"/>
      <c r="AC119" s="36"/>
      <c r="AD119" s="47" t="s">
        <v>49</v>
      </c>
      <c r="AE119" s="48" t="s">
        <v>41</v>
      </c>
      <c r="AF119" s="48" t="s">
        <v>41</v>
      </c>
      <c r="AG119" s="48" t="s">
        <v>41</v>
      </c>
      <c r="AH119" s="48" t="s">
        <v>49</v>
      </c>
      <c r="AI119" s="48" t="s">
        <v>49</v>
      </c>
      <c r="AJ119" s="49" t="s">
        <v>49</v>
      </c>
      <c r="AK119" s="48" t="s">
        <v>49</v>
      </c>
      <c r="AL119" s="65" t="s">
        <v>32</v>
      </c>
      <c r="AM119" s="103" t="s">
        <v>41</v>
      </c>
      <c r="AN119" s="10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1"/>
    </row>
    <row r="120" spans="1:51" x14ac:dyDescent="0.2">
      <c r="A120" s="33">
        <f t="shared" si="2"/>
        <v>115</v>
      </c>
      <c r="B120" s="34" t="s">
        <v>1017</v>
      </c>
      <c r="C120" s="35" t="s">
        <v>1018</v>
      </c>
      <c r="D120" s="36" t="s">
        <v>1019</v>
      </c>
      <c r="E120" s="36" t="s">
        <v>54</v>
      </c>
      <c r="F120" s="34" t="s">
        <v>1020</v>
      </c>
      <c r="G120" s="37" t="s">
        <v>73</v>
      </c>
      <c r="H120" s="37" t="s">
        <v>73</v>
      </c>
      <c r="I120" s="38" t="s">
        <v>1021</v>
      </c>
      <c r="J120" s="38" t="s">
        <v>41</v>
      </c>
      <c r="K120" s="39" t="s">
        <v>42</v>
      </c>
      <c r="L120" s="99" t="s">
        <v>1022</v>
      </c>
      <c r="M120" s="41"/>
      <c r="N120" s="41"/>
      <c r="O120" s="41"/>
      <c r="P120" s="41"/>
      <c r="Q120" s="41"/>
      <c r="R120" s="41"/>
      <c r="S120" s="41" t="s">
        <v>44</v>
      </c>
      <c r="T120" s="41"/>
      <c r="U120" s="41"/>
      <c r="V120" s="41"/>
      <c r="W120" s="41"/>
      <c r="X120" s="42" t="s">
        <v>1023</v>
      </c>
      <c r="Y120" s="55" t="s">
        <v>1024</v>
      </c>
      <c r="Z120" s="44" t="s">
        <v>1025</v>
      </c>
      <c r="AA120" s="45">
        <v>44944</v>
      </c>
      <c r="AB120" s="101" t="s">
        <v>30</v>
      </c>
      <c r="AC120" s="36"/>
      <c r="AD120" s="47" t="s">
        <v>49</v>
      </c>
      <c r="AE120" s="48" t="s">
        <v>41</v>
      </c>
      <c r="AF120" s="48" t="s">
        <v>41</v>
      </c>
      <c r="AG120" s="48" t="s">
        <v>49</v>
      </c>
      <c r="AH120" s="48" t="s">
        <v>49</v>
      </c>
      <c r="AI120" s="48" t="s">
        <v>49</v>
      </c>
      <c r="AJ120" s="49" t="s">
        <v>49</v>
      </c>
      <c r="AK120" s="48" t="s">
        <v>49</v>
      </c>
      <c r="AL120" s="62" t="s">
        <v>32</v>
      </c>
      <c r="AM120" s="59"/>
      <c r="AN120" s="10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1"/>
    </row>
    <row r="121" spans="1:51" x14ac:dyDescent="0.2">
      <c r="A121" s="33">
        <f t="shared" si="2"/>
        <v>116</v>
      </c>
      <c r="B121" s="34" t="s">
        <v>1026</v>
      </c>
      <c r="C121" s="35" t="s">
        <v>1027</v>
      </c>
      <c r="D121" s="36" t="s">
        <v>1028</v>
      </c>
      <c r="E121" s="36" t="s">
        <v>54</v>
      </c>
      <c r="F121" s="34" t="s">
        <v>1029</v>
      </c>
      <c r="G121" s="37" t="s">
        <v>858</v>
      </c>
      <c r="H121" s="37" t="s">
        <v>57</v>
      </c>
      <c r="I121" s="38" t="s">
        <v>1030</v>
      </c>
      <c r="J121" s="34"/>
      <c r="K121" s="39" t="s">
        <v>42</v>
      </c>
      <c r="L121" s="120">
        <v>43416</v>
      </c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42" t="s">
        <v>1031</v>
      </c>
      <c r="Y121" s="58" t="s">
        <v>1032</v>
      </c>
      <c r="Z121" s="44" t="s">
        <v>1033</v>
      </c>
      <c r="AA121" s="45">
        <v>44041</v>
      </c>
      <c r="AB121" s="101" t="s">
        <v>30</v>
      </c>
      <c r="AC121" s="36" t="s">
        <v>26</v>
      </c>
      <c r="AD121" s="47" t="s">
        <v>49</v>
      </c>
      <c r="AE121" s="48" t="s">
        <v>49</v>
      </c>
      <c r="AF121" s="48" t="s">
        <v>49</v>
      </c>
      <c r="AG121" s="48" t="s">
        <v>41</v>
      </c>
      <c r="AH121" s="48" t="s">
        <v>41</v>
      </c>
      <c r="AI121" s="48" t="s">
        <v>41</v>
      </c>
      <c r="AJ121" s="49" t="s">
        <v>41</v>
      </c>
      <c r="AK121" s="48" t="s">
        <v>41</v>
      </c>
      <c r="AL121" s="62" t="s">
        <v>110</v>
      </c>
      <c r="AM121" s="59"/>
      <c r="AN121" s="10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1"/>
    </row>
    <row r="122" spans="1:51" x14ac:dyDescent="0.2">
      <c r="A122" s="33">
        <f t="shared" si="2"/>
        <v>117</v>
      </c>
      <c r="B122" s="34" t="s">
        <v>1034</v>
      </c>
      <c r="C122" s="35" t="s">
        <v>1035</v>
      </c>
      <c r="D122" s="36" t="s">
        <v>1036</v>
      </c>
      <c r="E122" s="36" t="s">
        <v>54</v>
      </c>
      <c r="F122" s="34" t="s">
        <v>1037</v>
      </c>
      <c r="G122" s="37" t="s">
        <v>73</v>
      </c>
      <c r="H122" s="37" t="s">
        <v>73</v>
      </c>
      <c r="I122" s="107" t="s">
        <v>1038</v>
      </c>
      <c r="J122" s="34" t="s">
        <v>1039</v>
      </c>
      <c r="K122" s="39" t="s">
        <v>42</v>
      </c>
      <c r="L122" s="99" t="s">
        <v>1040</v>
      </c>
      <c r="M122" s="56" t="s">
        <v>179</v>
      </c>
      <c r="N122" s="137" t="s">
        <v>179</v>
      </c>
      <c r="O122" s="137"/>
      <c r="P122" s="137">
        <v>4</v>
      </c>
      <c r="Q122" s="137" t="s">
        <v>1041</v>
      </c>
      <c r="R122" s="137"/>
      <c r="S122" s="137"/>
      <c r="T122" s="137"/>
      <c r="U122" s="137"/>
      <c r="V122" s="137"/>
      <c r="W122" s="137"/>
      <c r="X122" s="42" t="s">
        <v>1042</v>
      </c>
      <c r="Y122" s="58" t="s">
        <v>1043</v>
      </c>
      <c r="Z122" s="44"/>
      <c r="AA122" s="45" t="s">
        <v>47</v>
      </c>
      <c r="AB122" s="101"/>
      <c r="AC122" s="36" t="s">
        <v>26</v>
      </c>
      <c r="AD122" s="47" t="s">
        <v>49</v>
      </c>
      <c r="AE122" s="48" t="s">
        <v>49</v>
      </c>
      <c r="AF122" s="48" t="s">
        <v>41</v>
      </c>
      <c r="AG122" s="48" t="s">
        <v>41</v>
      </c>
      <c r="AH122" s="48" t="s">
        <v>41</v>
      </c>
      <c r="AI122" s="48" t="s">
        <v>41</v>
      </c>
      <c r="AJ122" s="49" t="s">
        <v>41</v>
      </c>
      <c r="AK122" s="48" t="s">
        <v>41</v>
      </c>
      <c r="AL122" s="62" t="s">
        <v>4587</v>
      </c>
      <c r="AM122" s="59"/>
      <c r="AN122" s="10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1"/>
    </row>
    <row r="123" spans="1:51" x14ac:dyDescent="0.2">
      <c r="A123" s="33">
        <f t="shared" si="2"/>
        <v>118</v>
      </c>
      <c r="B123" s="34" t="s">
        <v>1044</v>
      </c>
      <c r="C123" s="35" t="s">
        <v>1045</v>
      </c>
      <c r="D123" s="36" t="s">
        <v>1046</v>
      </c>
      <c r="E123" s="36" t="s">
        <v>54</v>
      </c>
      <c r="F123" s="34" t="s">
        <v>1047</v>
      </c>
      <c r="G123" s="37" t="s">
        <v>73</v>
      </c>
      <c r="H123" s="37" t="s">
        <v>73</v>
      </c>
      <c r="I123" s="57" t="s">
        <v>1048</v>
      </c>
      <c r="J123" s="157" t="s">
        <v>1049</v>
      </c>
      <c r="K123" s="39" t="s">
        <v>42</v>
      </c>
      <c r="L123" s="120">
        <v>40287</v>
      </c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2" t="s">
        <v>1050</v>
      </c>
      <c r="Y123" s="55" t="s">
        <v>1051</v>
      </c>
      <c r="Z123" s="55"/>
      <c r="AA123" s="45" t="s">
        <v>47</v>
      </c>
      <c r="AB123" s="101"/>
      <c r="AC123" s="36" t="s">
        <v>26</v>
      </c>
      <c r="AD123" s="47" t="s">
        <v>49</v>
      </c>
      <c r="AE123" s="48" t="s">
        <v>49</v>
      </c>
      <c r="AF123" s="48" t="s">
        <v>49</v>
      </c>
      <c r="AG123" s="48" t="s">
        <v>49</v>
      </c>
      <c r="AH123" s="48" t="s">
        <v>49</v>
      </c>
      <c r="AI123" s="48" t="s">
        <v>49</v>
      </c>
      <c r="AJ123" s="49" t="s">
        <v>49</v>
      </c>
      <c r="AK123" s="48" t="s">
        <v>49</v>
      </c>
      <c r="AL123" s="62" t="s">
        <v>32</v>
      </c>
      <c r="AM123" s="59"/>
      <c r="AN123" s="10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1"/>
    </row>
    <row r="124" spans="1:51" x14ac:dyDescent="0.2">
      <c r="A124" s="33">
        <f t="shared" si="2"/>
        <v>119</v>
      </c>
      <c r="B124" s="34" t="s">
        <v>1052</v>
      </c>
      <c r="C124" s="35" t="s">
        <v>1053</v>
      </c>
      <c r="D124" s="36" t="s">
        <v>1054</v>
      </c>
      <c r="E124" s="36" t="s">
        <v>54</v>
      </c>
      <c r="F124" s="34" t="s">
        <v>1055</v>
      </c>
      <c r="G124" s="37" t="s">
        <v>456</v>
      </c>
      <c r="H124" s="37" t="s">
        <v>187</v>
      </c>
      <c r="I124" s="38" t="s">
        <v>1056</v>
      </c>
      <c r="J124" s="38" t="s">
        <v>1057</v>
      </c>
      <c r="K124" s="39" t="s">
        <v>42</v>
      </c>
      <c r="L124" s="99" t="s">
        <v>1058</v>
      </c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2" t="s">
        <v>1059</v>
      </c>
      <c r="Y124" s="58" t="s">
        <v>1060</v>
      </c>
      <c r="Z124" s="44" t="s">
        <v>61</v>
      </c>
      <c r="AA124" s="45">
        <v>40280</v>
      </c>
      <c r="AB124" s="101" t="s">
        <v>30</v>
      </c>
      <c r="AC124" s="36" t="s">
        <v>26</v>
      </c>
      <c r="AD124" s="47" t="s">
        <v>49</v>
      </c>
      <c r="AE124" s="48" t="s">
        <v>49</v>
      </c>
      <c r="AF124" s="48" t="s">
        <v>41</v>
      </c>
      <c r="AG124" s="48" t="s">
        <v>41</v>
      </c>
      <c r="AH124" s="48" t="s">
        <v>41</v>
      </c>
      <c r="AI124" s="48" t="s">
        <v>41</v>
      </c>
      <c r="AJ124" s="49" t="s">
        <v>41</v>
      </c>
      <c r="AK124" s="48" t="s">
        <v>41</v>
      </c>
      <c r="AL124" s="62" t="s">
        <v>4587</v>
      </c>
      <c r="AM124" s="59"/>
      <c r="AN124" s="10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1"/>
    </row>
    <row r="125" spans="1:51" x14ac:dyDescent="0.2">
      <c r="A125" s="33">
        <f t="shared" si="2"/>
        <v>120</v>
      </c>
      <c r="B125" s="34" t="s">
        <v>1061</v>
      </c>
      <c r="C125" s="35" t="s">
        <v>1062</v>
      </c>
      <c r="D125" s="36" t="s">
        <v>1063</v>
      </c>
      <c r="E125" s="36" t="s">
        <v>36</v>
      </c>
      <c r="F125" s="34" t="s">
        <v>1064</v>
      </c>
      <c r="G125" s="37" t="s">
        <v>73</v>
      </c>
      <c r="H125" s="37" t="s">
        <v>73</v>
      </c>
      <c r="I125" s="34" t="s">
        <v>1065</v>
      </c>
      <c r="J125" s="34" t="s">
        <v>41</v>
      </c>
      <c r="K125" s="39" t="s">
        <v>42</v>
      </c>
      <c r="L125" s="120">
        <v>37718</v>
      </c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2" t="s">
        <v>1066</v>
      </c>
      <c r="Y125" s="52" t="s">
        <v>1067</v>
      </c>
      <c r="Z125" s="44" t="s">
        <v>61</v>
      </c>
      <c r="AA125" s="45">
        <v>37877</v>
      </c>
      <c r="AB125" s="101" t="s">
        <v>30</v>
      </c>
      <c r="AC125" s="36"/>
      <c r="AD125" s="47" t="s">
        <v>49</v>
      </c>
      <c r="AE125" s="48" t="s">
        <v>41</v>
      </c>
      <c r="AF125" s="48" t="s">
        <v>41</v>
      </c>
      <c r="AG125" s="48" t="s">
        <v>41</v>
      </c>
      <c r="AH125" s="48" t="s">
        <v>41</v>
      </c>
      <c r="AI125" s="48" t="s">
        <v>41</v>
      </c>
      <c r="AJ125" s="49" t="s">
        <v>41</v>
      </c>
      <c r="AK125" s="48" t="s">
        <v>41</v>
      </c>
      <c r="AL125" s="65" t="s">
        <v>4590</v>
      </c>
      <c r="AM125" s="59" t="s">
        <v>1068</v>
      </c>
      <c r="AN125" s="10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1"/>
    </row>
    <row r="126" spans="1:51" x14ac:dyDescent="0.2">
      <c r="A126" s="33">
        <f t="shared" si="2"/>
        <v>121</v>
      </c>
      <c r="B126" s="34" t="s">
        <v>1069</v>
      </c>
      <c r="C126" s="35" t="s">
        <v>1070</v>
      </c>
      <c r="D126" s="36" t="s">
        <v>1071</v>
      </c>
      <c r="E126" s="36" t="s">
        <v>54</v>
      </c>
      <c r="F126" s="34" t="s">
        <v>1072</v>
      </c>
      <c r="G126" s="37" t="s">
        <v>39</v>
      </c>
      <c r="H126" s="37" t="s">
        <v>39</v>
      </c>
      <c r="I126" s="34" t="s">
        <v>1073</v>
      </c>
      <c r="J126" s="34" t="s">
        <v>41</v>
      </c>
      <c r="K126" s="39" t="s">
        <v>42</v>
      </c>
      <c r="L126" s="99" t="s">
        <v>1074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2" t="s">
        <v>1075</v>
      </c>
      <c r="Y126" s="100" t="s">
        <v>1076</v>
      </c>
      <c r="Z126" s="44" t="s">
        <v>61</v>
      </c>
      <c r="AA126" s="45">
        <v>37877</v>
      </c>
      <c r="AB126" s="101" t="s">
        <v>30</v>
      </c>
      <c r="AC126" s="36" t="s">
        <v>26</v>
      </c>
      <c r="AD126" s="47" t="s">
        <v>49</v>
      </c>
      <c r="AE126" s="48" t="s">
        <v>49</v>
      </c>
      <c r="AF126" s="48" t="s">
        <v>49</v>
      </c>
      <c r="AG126" s="48" t="s">
        <v>49</v>
      </c>
      <c r="AH126" s="48" t="s">
        <v>49</v>
      </c>
      <c r="AI126" s="48" t="s">
        <v>49</v>
      </c>
      <c r="AJ126" s="49" t="s">
        <v>49</v>
      </c>
      <c r="AK126" s="48" t="s">
        <v>41</v>
      </c>
      <c r="AL126" s="62" t="s">
        <v>148</v>
      </c>
      <c r="AM126" s="59"/>
      <c r="AN126" s="10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1"/>
    </row>
    <row r="127" spans="1:51" x14ac:dyDescent="0.2">
      <c r="A127" s="33">
        <f t="shared" si="2"/>
        <v>122</v>
      </c>
      <c r="B127" s="34" t="s">
        <v>1077</v>
      </c>
      <c r="C127" s="35" t="s">
        <v>1078</v>
      </c>
      <c r="D127" s="73" t="s">
        <v>1079</v>
      </c>
      <c r="E127" s="36" t="s">
        <v>54</v>
      </c>
      <c r="F127" s="98" t="s">
        <v>1080</v>
      </c>
      <c r="G127" s="37" t="s">
        <v>252</v>
      </c>
      <c r="H127" s="37" t="s">
        <v>57</v>
      </c>
      <c r="I127" s="38" t="s">
        <v>1081</v>
      </c>
      <c r="J127" s="38" t="s">
        <v>41</v>
      </c>
      <c r="K127" s="39" t="s">
        <v>42</v>
      </c>
      <c r="L127" s="99" t="s">
        <v>1082</v>
      </c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42" t="s">
        <v>1083</v>
      </c>
      <c r="Y127" s="69" t="s">
        <v>1084</v>
      </c>
      <c r="Z127" s="44" t="s">
        <v>1085</v>
      </c>
      <c r="AA127" s="45">
        <v>44041</v>
      </c>
      <c r="AB127" s="101" t="s">
        <v>30</v>
      </c>
      <c r="AC127" s="73" t="s">
        <v>26</v>
      </c>
      <c r="AD127" s="47" t="s">
        <v>49</v>
      </c>
      <c r="AE127" s="48" t="s">
        <v>49</v>
      </c>
      <c r="AF127" s="48" t="s">
        <v>49</v>
      </c>
      <c r="AG127" s="48" t="s">
        <v>49</v>
      </c>
      <c r="AH127" s="48" t="s">
        <v>49</v>
      </c>
      <c r="AI127" s="48" t="s">
        <v>49</v>
      </c>
      <c r="AJ127" s="49" t="s">
        <v>49</v>
      </c>
      <c r="AK127" s="48" t="s">
        <v>41</v>
      </c>
      <c r="AL127" s="65" t="s">
        <v>148</v>
      </c>
      <c r="AM127" s="59"/>
      <c r="AN127" s="10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1"/>
    </row>
    <row r="128" spans="1:51" x14ac:dyDescent="0.2">
      <c r="A128" s="33">
        <f t="shared" si="2"/>
        <v>123</v>
      </c>
      <c r="B128" s="34" t="s">
        <v>1086</v>
      </c>
      <c r="C128" s="35" t="s">
        <v>1087</v>
      </c>
      <c r="D128" s="36" t="s">
        <v>1088</v>
      </c>
      <c r="E128" s="36" t="s">
        <v>54</v>
      </c>
      <c r="F128" s="34" t="s">
        <v>1089</v>
      </c>
      <c r="G128" s="37" t="s">
        <v>73</v>
      </c>
      <c r="H128" s="37" t="s">
        <v>73</v>
      </c>
      <c r="I128" s="34" t="s">
        <v>1090</v>
      </c>
      <c r="J128" s="34" t="s">
        <v>41</v>
      </c>
      <c r="K128" s="39" t="s">
        <v>42</v>
      </c>
      <c r="L128" s="99" t="s">
        <v>1091</v>
      </c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2" t="s">
        <v>1092</v>
      </c>
      <c r="Y128" s="69" t="s">
        <v>1093</v>
      </c>
      <c r="Z128" s="44" t="s">
        <v>1094</v>
      </c>
      <c r="AA128" s="45">
        <v>43200</v>
      </c>
      <c r="AB128" s="101" t="s">
        <v>30</v>
      </c>
      <c r="AC128" s="36" t="s">
        <v>26</v>
      </c>
      <c r="AD128" s="47" t="s">
        <v>49</v>
      </c>
      <c r="AE128" s="48" t="s">
        <v>49</v>
      </c>
      <c r="AF128" s="48" t="s">
        <v>49</v>
      </c>
      <c r="AG128" s="48" t="s">
        <v>49</v>
      </c>
      <c r="AH128" s="48" t="s">
        <v>49</v>
      </c>
      <c r="AI128" s="48" t="s">
        <v>41</v>
      </c>
      <c r="AJ128" s="49" t="s">
        <v>41</v>
      </c>
      <c r="AK128" s="48" t="s">
        <v>41</v>
      </c>
      <c r="AL128" s="62" t="s">
        <v>4589</v>
      </c>
      <c r="AM128" s="59"/>
      <c r="AN128" s="10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1"/>
    </row>
    <row r="129" spans="1:51" x14ac:dyDescent="0.2">
      <c r="A129" s="33">
        <f t="shared" si="2"/>
        <v>124</v>
      </c>
      <c r="B129" s="34" t="s">
        <v>1095</v>
      </c>
      <c r="C129" s="35" t="s">
        <v>1096</v>
      </c>
      <c r="D129" s="73" t="s">
        <v>1097</v>
      </c>
      <c r="E129" s="36" t="s">
        <v>36</v>
      </c>
      <c r="F129" s="98" t="s">
        <v>1098</v>
      </c>
      <c r="G129" s="37" t="s">
        <v>73</v>
      </c>
      <c r="H129" s="37" t="s">
        <v>73</v>
      </c>
      <c r="I129" s="38" t="s">
        <v>1099</v>
      </c>
      <c r="J129" s="38" t="s">
        <v>41</v>
      </c>
      <c r="K129" s="39" t="s">
        <v>42</v>
      </c>
      <c r="L129" s="99" t="s">
        <v>1100</v>
      </c>
      <c r="M129" s="56"/>
      <c r="N129" s="56"/>
      <c r="O129" s="56"/>
      <c r="P129" s="56"/>
      <c r="Q129" s="56"/>
      <c r="R129" s="56"/>
      <c r="S129" s="56" t="s">
        <v>44</v>
      </c>
      <c r="T129" s="56"/>
      <c r="U129" s="56"/>
      <c r="V129" s="56"/>
      <c r="W129" s="56"/>
      <c r="X129" s="42" t="s">
        <v>1101</v>
      </c>
      <c r="Y129" s="58" t="s">
        <v>1102</v>
      </c>
      <c r="Z129" s="44" t="s">
        <v>1103</v>
      </c>
      <c r="AA129" s="45">
        <v>44944</v>
      </c>
      <c r="AB129" s="101" t="s">
        <v>30</v>
      </c>
      <c r="AC129" s="73"/>
      <c r="AD129" s="47" t="s">
        <v>49</v>
      </c>
      <c r="AE129" s="48" t="s">
        <v>41</v>
      </c>
      <c r="AF129" s="48" t="s">
        <v>41</v>
      </c>
      <c r="AG129" s="48" t="s">
        <v>49</v>
      </c>
      <c r="AH129" s="48" t="s">
        <v>49</v>
      </c>
      <c r="AI129" s="48" t="s">
        <v>41</v>
      </c>
      <c r="AJ129" s="49" t="s">
        <v>41</v>
      </c>
      <c r="AK129" s="48" t="s">
        <v>41</v>
      </c>
      <c r="AL129" s="62" t="s">
        <v>4589</v>
      </c>
      <c r="AM129" s="59"/>
      <c r="AN129" s="117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1"/>
    </row>
    <row r="130" spans="1:51" x14ac:dyDescent="0.2">
      <c r="A130" s="33">
        <f t="shared" si="2"/>
        <v>125</v>
      </c>
      <c r="B130" s="34" t="s">
        <v>1104</v>
      </c>
      <c r="C130" s="35" t="s">
        <v>1105</v>
      </c>
      <c r="D130" s="36" t="s">
        <v>1106</v>
      </c>
      <c r="E130" s="36" t="s">
        <v>54</v>
      </c>
      <c r="F130" s="34" t="s">
        <v>1107</v>
      </c>
      <c r="G130" s="37" t="s">
        <v>252</v>
      </c>
      <c r="H130" s="37" t="s">
        <v>57</v>
      </c>
      <c r="I130" s="38" t="s">
        <v>1108</v>
      </c>
      <c r="J130" s="34" t="s">
        <v>41</v>
      </c>
      <c r="K130" s="39" t="s">
        <v>42</v>
      </c>
      <c r="L130" s="158" t="s">
        <v>1109</v>
      </c>
      <c r="M130" s="41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42" t="s">
        <v>1110</v>
      </c>
      <c r="Y130" s="58" t="s">
        <v>1111</v>
      </c>
      <c r="Z130" s="44" t="s">
        <v>1112</v>
      </c>
      <c r="AA130" s="45">
        <v>44041</v>
      </c>
      <c r="AB130" s="101" t="s">
        <v>30</v>
      </c>
      <c r="AC130" s="36" t="s">
        <v>26</v>
      </c>
      <c r="AD130" s="47" t="s">
        <v>49</v>
      </c>
      <c r="AE130" s="48" t="s">
        <v>49</v>
      </c>
      <c r="AF130" s="48" t="s">
        <v>49</v>
      </c>
      <c r="AG130" s="48" t="s">
        <v>49</v>
      </c>
      <c r="AH130" s="48" t="s">
        <v>49</v>
      </c>
      <c r="AI130" s="48" t="s">
        <v>49</v>
      </c>
      <c r="AJ130" s="49" t="s">
        <v>49</v>
      </c>
      <c r="AK130" s="48" t="s">
        <v>49</v>
      </c>
      <c r="AL130" s="62" t="s">
        <v>32</v>
      </c>
      <c r="AM130" s="59"/>
      <c r="AN130" s="10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1"/>
    </row>
    <row r="131" spans="1:51" x14ac:dyDescent="0.2">
      <c r="A131" s="33">
        <f t="shared" si="2"/>
        <v>126</v>
      </c>
      <c r="B131" s="34" t="s">
        <v>1113</v>
      </c>
      <c r="C131" s="35" t="s">
        <v>1114</v>
      </c>
      <c r="D131" s="36" t="s">
        <v>1115</v>
      </c>
      <c r="E131" s="36" t="s">
        <v>54</v>
      </c>
      <c r="F131" s="98" t="s">
        <v>1116</v>
      </c>
      <c r="G131" s="37" t="s">
        <v>73</v>
      </c>
      <c r="H131" s="37" t="s">
        <v>73</v>
      </c>
      <c r="I131" s="34" t="s">
        <v>1117</v>
      </c>
      <c r="J131" s="34" t="s">
        <v>1118</v>
      </c>
      <c r="K131" s="39" t="s">
        <v>42</v>
      </c>
      <c r="L131" s="99" t="s">
        <v>1119</v>
      </c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42" t="s">
        <v>1120</v>
      </c>
      <c r="Y131" s="58" t="s">
        <v>1121</v>
      </c>
      <c r="Z131" s="44" t="s">
        <v>61</v>
      </c>
      <c r="AA131" s="45">
        <v>38593</v>
      </c>
      <c r="AB131" s="101" t="s">
        <v>30</v>
      </c>
      <c r="AC131" s="36" t="s">
        <v>26</v>
      </c>
      <c r="AD131" s="47" t="s">
        <v>49</v>
      </c>
      <c r="AE131" s="48" t="s">
        <v>49</v>
      </c>
      <c r="AF131" s="48" t="s">
        <v>49</v>
      </c>
      <c r="AG131" s="48" t="s">
        <v>49</v>
      </c>
      <c r="AH131" s="48" t="s">
        <v>49</v>
      </c>
      <c r="AI131" s="48" t="s">
        <v>49</v>
      </c>
      <c r="AJ131" s="49" t="s">
        <v>49</v>
      </c>
      <c r="AK131" s="48" t="s">
        <v>41</v>
      </c>
      <c r="AL131" s="62" t="s">
        <v>148</v>
      </c>
      <c r="AM131" s="59"/>
      <c r="AN131" s="10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1"/>
    </row>
    <row r="132" spans="1:51" x14ac:dyDescent="0.2">
      <c r="A132" s="33">
        <f t="shared" si="2"/>
        <v>127</v>
      </c>
      <c r="B132" s="34" t="s">
        <v>1122</v>
      </c>
      <c r="C132" s="35" t="s">
        <v>1123</v>
      </c>
      <c r="D132" s="36" t="s">
        <v>1124</v>
      </c>
      <c r="E132" s="36" t="s">
        <v>36</v>
      </c>
      <c r="F132" s="34" t="s">
        <v>1125</v>
      </c>
      <c r="G132" s="37" t="s">
        <v>73</v>
      </c>
      <c r="H132" s="37" t="s">
        <v>73</v>
      </c>
      <c r="I132" s="34" t="s">
        <v>1126</v>
      </c>
      <c r="J132" s="34" t="s">
        <v>41</v>
      </c>
      <c r="K132" s="39" t="s">
        <v>42</v>
      </c>
      <c r="L132" s="120">
        <v>34156</v>
      </c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42" t="s">
        <v>1127</v>
      </c>
      <c r="Y132" s="58" t="s">
        <v>1128</v>
      </c>
      <c r="Z132" s="44" t="s">
        <v>1129</v>
      </c>
      <c r="AA132" s="45" t="s">
        <v>1130</v>
      </c>
      <c r="AB132" s="101" t="s">
        <v>30</v>
      </c>
      <c r="AC132" s="36"/>
      <c r="AD132" s="47" t="s">
        <v>49</v>
      </c>
      <c r="AE132" s="48" t="s">
        <v>41</v>
      </c>
      <c r="AF132" s="48" t="s">
        <v>41</v>
      </c>
      <c r="AG132" s="48" t="s">
        <v>41</v>
      </c>
      <c r="AH132" s="48" t="s">
        <v>41</v>
      </c>
      <c r="AI132" s="48" t="s">
        <v>41</v>
      </c>
      <c r="AJ132" s="49" t="s">
        <v>41</v>
      </c>
      <c r="AK132" s="48" t="s">
        <v>41</v>
      </c>
      <c r="AL132" s="65" t="s">
        <v>4592</v>
      </c>
      <c r="AM132" s="59" t="s">
        <v>1068</v>
      </c>
      <c r="AN132" s="10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1"/>
    </row>
    <row r="133" spans="1:51" x14ac:dyDescent="0.2">
      <c r="A133" s="33">
        <f t="shared" si="2"/>
        <v>128</v>
      </c>
      <c r="B133" s="34" t="s">
        <v>1131</v>
      </c>
      <c r="C133" s="35" t="s">
        <v>1132</v>
      </c>
      <c r="D133" s="36" t="s">
        <v>1133</v>
      </c>
      <c r="E133" s="36" t="s">
        <v>54</v>
      </c>
      <c r="F133" s="87" t="s">
        <v>1134</v>
      </c>
      <c r="G133" s="37" t="s">
        <v>73</v>
      </c>
      <c r="H133" s="37" t="s">
        <v>73</v>
      </c>
      <c r="I133" s="107" t="s">
        <v>1135</v>
      </c>
      <c r="J133" s="34" t="s">
        <v>1136</v>
      </c>
      <c r="K133" s="39" t="s">
        <v>42</v>
      </c>
      <c r="L133" s="120">
        <v>31057</v>
      </c>
      <c r="M133" s="41" t="s">
        <v>179</v>
      </c>
      <c r="N133" s="41" t="s">
        <v>179</v>
      </c>
      <c r="O133" s="41"/>
      <c r="P133" s="41">
        <v>1</v>
      </c>
      <c r="Q133" s="41" t="s">
        <v>732</v>
      </c>
      <c r="R133" s="41"/>
      <c r="S133" s="41"/>
      <c r="T133" s="41"/>
      <c r="U133" s="41"/>
      <c r="V133" s="41"/>
      <c r="W133" s="41"/>
      <c r="X133" s="42" t="s">
        <v>1137</v>
      </c>
      <c r="Y133" s="69" t="s">
        <v>1138</v>
      </c>
      <c r="Z133" s="44" t="s">
        <v>61</v>
      </c>
      <c r="AA133" s="45">
        <v>34597</v>
      </c>
      <c r="AB133" s="101" t="s">
        <v>30</v>
      </c>
      <c r="AC133" s="36" t="s">
        <v>26</v>
      </c>
      <c r="AD133" s="64" t="s">
        <v>120</v>
      </c>
      <c r="AE133" s="48" t="s">
        <v>120</v>
      </c>
      <c r="AF133" s="48" t="s">
        <v>120</v>
      </c>
      <c r="AG133" s="48" t="s">
        <v>120</v>
      </c>
      <c r="AH133" s="48" t="s">
        <v>120</v>
      </c>
      <c r="AI133" s="48" t="s">
        <v>120</v>
      </c>
      <c r="AJ133" s="49" t="s">
        <v>41</v>
      </c>
      <c r="AK133" s="48" t="s">
        <v>41</v>
      </c>
      <c r="AL133" s="62" t="s">
        <v>276</v>
      </c>
      <c r="AM133" s="59"/>
      <c r="AN133" s="10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1"/>
    </row>
    <row r="134" spans="1:51" x14ac:dyDescent="0.2">
      <c r="A134" s="33">
        <f t="shared" si="2"/>
        <v>129</v>
      </c>
      <c r="B134" s="34" t="s">
        <v>1139</v>
      </c>
      <c r="C134" s="35" t="s">
        <v>1140</v>
      </c>
      <c r="D134" s="36" t="s">
        <v>1141</v>
      </c>
      <c r="E134" s="36" t="s">
        <v>54</v>
      </c>
      <c r="F134" s="34" t="s">
        <v>1142</v>
      </c>
      <c r="G134" s="37" t="s">
        <v>252</v>
      </c>
      <c r="H134" s="37" t="s">
        <v>57</v>
      </c>
      <c r="I134" s="34" t="s">
        <v>1143</v>
      </c>
      <c r="J134" s="34" t="s">
        <v>1144</v>
      </c>
      <c r="K134" s="39" t="s">
        <v>42</v>
      </c>
      <c r="L134" s="120">
        <v>30355</v>
      </c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2" t="s">
        <v>1145</v>
      </c>
      <c r="Y134" s="58" t="s">
        <v>1146</v>
      </c>
      <c r="Z134" s="44" t="s">
        <v>61</v>
      </c>
      <c r="AA134" s="45">
        <v>34597</v>
      </c>
      <c r="AB134" s="101" t="s">
        <v>30</v>
      </c>
      <c r="AC134" s="36"/>
      <c r="AD134" s="47" t="s">
        <v>49</v>
      </c>
      <c r="AE134" s="48" t="s">
        <v>41</v>
      </c>
      <c r="AF134" s="48" t="s">
        <v>41</v>
      </c>
      <c r="AG134" s="48" t="s">
        <v>41</v>
      </c>
      <c r="AH134" s="48" t="s">
        <v>41</v>
      </c>
      <c r="AI134" s="48" t="s">
        <v>41</v>
      </c>
      <c r="AJ134" s="49" t="s">
        <v>41</v>
      </c>
      <c r="AK134" s="48" t="s">
        <v>41</v>
      </c>
      <c r="AL134" s="65" t="s">
        <v>4592</v>
      </c>
      <c r="AM134" s="59" t="s">
        <v>50</v>
      </c>
      <c r="AN134" s="117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1"/>
    </row>
    <row r="135" spans="1:51" x14ac:dyDescent="0.2">
      <c r="A135" s="33">
        <f t="shared" ref="A135:A198" si="3">+A134+1</f>
        <v>130</v>
      </c>
      <c r="B135" s="34" t="s">
        <v>1147</v>
      </c>
      <c r="C135" s="35" t="s">
        <v>1148</v>
      </c>
      <c r="D135" s="36" t="s">
        <v>1149</v>
      </c>
      <c r="E135" s="36" t="s">
        <v>36</v>
      </c>
      <c r="F135" s="98" t="s">
        <v>1150</v>
      </c>
      <c r="G135" s="37" t="s">
        <v>205</v>
      </c>
      <c r="H135" s="37" t="s">
        <v>205</v>
      </c>
      <c r="I135" s="38" t="s">
        <v>1151</v>
      </c>
      <c r="J135" s="38" t="s">
        <v>41</v>
      </c>
      <c r="K135" s="39" t="s">
        <v>42</v>
      </c>
      <c r="L135" s="120">
        <v>44290</v>
      </c>
      <c r="M135" s="56"/>
      <c r="N135" s="56"/>
      <c r="O135" s="56"/>
      <c r="P135" s="56"/>
      <c r="Q135" s="56"/>
      <c r="R135" s="56" t="s">
        <v>44</v>
      </c>
      <c r="S135" s="56"/>
      <c r="T135" s="56"/>
      <c r="U135" s="56"/>
      <c r="V135" s="56"/>
      <c r="W135" s="56"/>
      <c r="X135" s="42" t="s">
        <v>1152</v>
      </c>
      <c r="Y135" s="58" t="s">
        <v>1153</v>
      </c>
      <c r="Z135" s="44" t="s">
        <v>1154</v>
      </c>
      <c r="AA135" s="45">
        <v>44944</v>
      </c>
      <c r="AB135" s="101" t="s">
        <v>30</v>
      </c>
      <c r="AC135" s="36"/>
      <c r="AD135" s="47" t="s">
        <v>49</v>
      </c>
      <c r="AE135" s="48" t="s">
        <v>41</v>
      </c>
      <c r="AF135" s="48" t="s">
        <v>49</v>
      </c>
      <c r="AG135" s="48" t="s">
        <v>49</v>
      </c>
      <c r="AH135" s="48" t="s">
        <v>49</v>
      </c>
      <c r="AI135" s="48" t="s">
        <v>49</v>
      </c>
      <c r="AJ135" s="49" t="s">
        <v>41</v>
      </c>
      <c r="AK135" s="48" t="s">
        <v>41</v>
      </c>
      <c r="AL135" s="62" t="s">
        <v>276</v>
      </c>
      <c r="AM135" s="59"/>
      <c r="AN135" s="10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1"/>
    </row>
    <row r="136" spans="1:51" x14ac:dyDescent="0.2">
      <c r="A136" s="33">
        <f t="shared" si="3"/>
        <v>131</v>
      </c>
      <c r="B136" s="34" t="s">
        <v>1155</v>
      </c>
      <c r="C136" s="35" t="s">
        <v>1156</v>
      </c>
      <c r="D136" s="36" t="s">
        <v>1157</v>
      </c>
      <c r="E136" s="36" t="s">
        <v>54</v>
      </c>
      <c r="F136" s="108" t="s">
        <v>1158</v>
      </c>
      <c r="G136" s="37" t="s">
        <v>73</v>
      </c>
      <c r="H136" s="37" t="s">
        <v>73</v>
      </c>
      <c r="I136" s="108" t="s">
        <v>1159</v>
      </c>
      <c r="J136" s="34" t="s">
        <v>41</v>
      </c>
      <c r="K136" s="39" t="s">
        <v>42</v>
      </c>
      <c r="L136" s="99" t="s">
        <v>1160</v>
      </c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7" t="s">
        <v>1161</v>
      </c>
      <c r="Y136" s="58" t="s">
        <v>1162</v>
      </c>
      <c r="Z136" s="44" t="s">
        <v>61</v>
      </c>
      <c r="AA136" s="45">
        <v>42935</v>
      </c>
      <c r="AB136" s="101" t="s">
        <v>30</v>
      </c>
      <c r="AC136" s="36" t="s">
        <v>26</v>
      </c>
      <c r="AD136" s="47" t="s">
        <v>49</v>
      </c>
      <c r="AE136" s="48" t="s">
        <v>49</v>
      </c>
      <c r="AF136" s="48" t="s">
        <v>49</v>
      </c>
      <c r="AG136" s="48" t="s">
        <v>49</v>
      </c>
      <c r="AH136" s="48" t="s">
        <v>49</v>
      </c>
      <c r="AI136" s="48" t="s">
        <v>49</v>
      </c>
      <c r="AJ136" s="49" t="s">
        <v>49</v>
      </c>
      <c r="AK136" s="48" t="s">
        <v>49</v>
      </c>
      <c r="AL136" s="62" t="s">
        <v>32</v>
      </c>
      <c r="AM136" s="59"/>
      <c r="AN136" s="10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1"/>
    </row>
    <row r="137" spans="1:51" x14ac:dyDescent="0.2">
      <c r="A137" s="33">
        <f t="shared" si="3"/>
        <v>132</v>
      </c>
      <c r="B137" s="34" t="s">
        <v>1163</v>
      </c>
      <c r="C137" s="35" t="s">
        <v>1164</v>
      </c>
      <c r="D137" s="73" t="s">
        <v>1165</v>
      </c>
      <c r="E137" s="36" t="s">
        <v>54</v>
      </c>
      <c r="F137" s="98" t="s">
        <v>1166</v>
      </c>
      <c r="G137" s="37" t="s">
        <v>56</v>
      </c>
      <c r="H137" s="37" t="s">
        <v>57</v>
      </c>
      <c r="I137" s="140" t="s">
        <v>1167</v>
      </c>
      <c r="J137" s="34" t="s">
        <v>41</v>
      </c>
      <c r="K137" s="39" t="s">
        <v>42</v>
      </c>
      <c r="L137" s="120">
        <v>41951</v>
      </c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42" t="s">
        <v>1168</v>
      </c>
      <c r="Y137" s="58" t="s">
        <v>1169</v>
      </c>
      <c r="Z137" s="44" t="s">
        <v>61</v>
      </c>
      <c r="AA137" s="45">
        <v>41793</v>
      </c>
      <c r="AB137" s="101" t="s">
        <v>30</v>
      </c>
      <c r="AC137" s="73" t="s">
        <v>26</v>
      </c>
      <c r="AD137" s="47" t="s">
        <v>49</v>
      </c>
      <c r="AE137" s="48" t="s">
        <v>49</v>
      </c>
      <c r="AF137" s="48" t="s">
        <v>49</v>
      </c>
      <c r="AG137" s="48" t="s">
        <v>49</v>
      </c>
      <c r="AH137" s="48" t="s">
        <v>49</v>
      </c>
      <c r="AI137" s="48" t="s">
        <v>49</v>
      </c>
      <c r="AJ137" s="49" t="s">
        <v>49</v>
      </c>
      <c r="AK137" s="48" t="s">
        <v>49</v>
      </c>
      <c r="AL137" s="65" t="s">
        <v>32</v>
      </c>
      <c r="AM137" s="59"/>
      <c r="AN137" s="10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1"/>
    </row>
    <row r="138" spans="1:51" x14ac:dyDescent="0.2">
      <c r="A138" s="33">
        <f t="shared" si="3"/>
        <v>133</v>
      </c>
      <c r="B138" s="34" t="s">
        <v>1170</v>
      </c>
      <c r="C138" s="35" t="s">
        <v>1171</v>
      </c>
      <c r="D138" s="36" t="s">
        <v>1172</v>
      </c>
      <c r="E138" s="36" t="s">
        <v>54</v>
      </c>
      <c r="F138" s="34" t="s">
        <v>1173</v>
      </c>
      <c r="G138" s="37" t="s">
        <v>349</v>
      </c>
      <c r="H138" s="37" t="s">
        <v>350</v>
      </c>
      <c r="I138" s="34" t="s">
        <v>1174</v>
      </c>
      <c r="J138" s="38" t="s">
        <v>1175</v>
      </c>
      <c r="K138" s="39" t="s">
        <v>42</v>
      </c>
      <c r="L138" s="99" t="s">
        <v>59</v>
      </c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2" t="s">
        <v>1176</v>
      </c>
      <c r="Y138" s="43" t="s">
        <v>1177</v>
      </c>
      <c r="Z138" s="44" t="s">
        <v>1178</v>
      </c>
      <c r="AA138" s="45">
        <v>44041</v>
      </c>
      <c r="AB138" s="101" t="s">
        <v>30</v>
      </c>
      <c r="AC138" s="36" t="s">
        <v>26</v>
      </c>
      <c r="AD138" s="47" t="s">
        <v>49</v>
      </c>
      <c r="AE138" s="48" t="s">
        <v>49</v>
      </c>
      <c r="AF138" s="48" t="s">
        <v>49</v>
      </c>
      <c r="AG138" s="48" t="s">
        <v>49</v>
      </c>
      <c r="AH138" s="48" t="s">
        <v>49</v>
      </c>
      <c r="AI138" s="48" t="s">
        <v>41</v>
      </c>
      <c r="AJ138" s="49" t="s">
        <v>41</v>
      </c>
      <c r="AK138" s="48" t="s">
        <v>41</v>
      </c>
      <c r="AL138" s="62" t="s">
        <v>4589</v>
      </c>
      <c r="AM138" s="59"/>
      <c r="AN138" s="10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1"/>
    </row>
    <row r="139" spans="1:51" x14ac:dyDescent="0.2">
      <c r="A139" s="33">
        <f t="shared" si="3"/>
        <v>134</v>
      </c>
      <c r="B139" s="34" t="s">
        <v>1179</v>
      </c>
      <c r="C139" s="35" t="s">
        <v>1180</v>
      </c>
      <c r="D139" s="36" t="s">
        <v>1181</v>
      </c>
      <c r="E139" s="36" t="s">
        <v>36</v>
      </c>
      <c r="F139" s="34" t="s">
        <v>1182</v>
      </c>
      <c r="G139" s="37" t="s">
        <v>456</v>
      </c>
      <c r="H139" s="37" t="s">
        <v>187</v>
      </c>
      <c r="I139" s="38" t="s">
        <v>1183</v>
      </c>
      <c r="J139" s="38" t="s">
        <v>41</v>
      </c>
      <c r="K139" s="39" t="s">
        <v>42</v>
      </c>
      <c r="L139" s="159" t="s">
        <v>1184</v>
      </c>
      <c r="M139" s="70"/>
      <c r="N139" s="70"/>
      <c r="O139" s="70"/>
      <c r="P139" s="70"/>
      <c r="Q139" s="70"/>
      <c r="R139" s="70"/>
      <c r="S139" s="70" t="s">
        <v>44</v>
      </c>
      <c r="T139" s="70"/>
      <c r="U139" s="70"/>
      <c r="V139" s="70"/>
      <c r="W139" s="70"/>
      <c r="X139" s="54" t="s">
        <v>1185</v>
      </c>
      <c r="Y139" s="43" t="s">
        <v>1186</v>
      </c>
      <c r="Z139" s="44" t="s">
        <v>1154</v>
      </c>
      <c r="AA139" s="45">
        <v>44944</v>
      </c>
      <c r="AB139" s="160" t="s">
        <v>30</v>
      </c>
      <c r="AC139" s="36"/>
      <c r="AD139" s="47" t="s">
        <v>49</v>
      </c>
      <c r="AE139" s="48" t="s">
        <v>41</v>
      </c>
      <c r="AF139" s="48" t="s">
        <v>41</v>
      </c>
      <c r="AG139" s="48" t="s">
        <v>49</v>
      </c>
      <c r="AH139" s="48" t="s">
        <v>49</v>
      </c>
      <c r="AI139" s="48" t="s">
        <v>41</v>
      </c>
      <c r="AJ139" s="49" t="s">
        <v>41</v>
      </c>
      <c r="AK139" s="48" t="s">
        <v>41</v>
      </c>
      <c r="AL139" s="62" t="s">
        <v>4589</v>
      </c>
      <c r="AM139" s="138"/>
      <c r="AN139" s="10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1"/>
    </row>
    <row r="140" spans="1:51" x14ac:dyDescent="0.2">
      <c r="A140" s="33">
        <f t="shared" si="3"/>
        <v>135</v>
      </c>
      <c r="B140" s="34" t="s">
        <v>1187</v>
      </c>
      <c r="C140" s="35" t="s">
        <v>1188</v>
      </c>
      <c r="D140" s="73" t="s">
        <v>1189</v>
      </c>
      <c r="E140" s="36" t="s">
        <v>54</v>
      </c>
      <c r="F140" s="98" t="s">
        <v>1190</v>
      </c>
      <c r="G140" s="37" t="s">
        <v>858</v>
      </c>
      <c r="H140" s="37" t="s">
        <v>57</v>
      </c>
      <c r="I140" s="140" t="s">
        <v>1191</v>
      </c>
      <c r="J140" s="38" t="s">
        <v>1192</v>
      </c>
      <c r="K140" s="39" t="s">
        <v>42</v>
      </c>
      <c r="L140" s="161" t="s">
        <v>1193</v>
      </c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42" t="s">
        <v>1194</v>
      </c>
      <c r="Y140" s="58" t="s">
        <v>1195</v>
      </c>
      <c r="Z140" s="119" t="s">
        <v>1196</v>
      </c>
      <c r="AA140" s="45">
        <v>44041</v>
      </c>
      <c r="AB140" s="160" t="s">
        <v>30</v>
      </c>
      <c r="AC140" s="73" t="s">
        <v>26</v>
      </c>
      <c r="AD140" s="47" t="s">
        <v>49</v>
      </c>
      <c r="AE140" s="48" t="s">
        <v>49</v>
      </c>
      <c r="AF140" s="48" t="s">
        <v>49</v>
      </c>
      <c r="AG140" s="48" t="s">
        <v>49</v>
      </c>
      <c r="AH140" s="48" t="s">
        <v>49</v>
      </c>
      <c r="AI140" s="48" t="s">
        <v>41</v>
      </c>
      <c r="AJ140" s="49" t="s">
        <v>41</v>
      </c>
      <c r="AK140" s="48" t="s">
        <v>41</v>
      </c>
      <c r="AL140" s="62" t="s">
        <v>4589</v>
      </c>
      <c r="AM140" s="138"/>
      <c r="AN140" s="10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1"/>
    </row>
    <row r="141" spans="1:51" x14ac:dyDescent="0.2">
      <c r="A141" s="33">
        <f t="shared" si="3"/>
        <v>136</v>
      </c>
      <c r="B141" s="34" t="s">
        <v>1197</v>
      </c>
      <c r="C141" s="35" t="s">
        <v>1198</v>
      </c>
      <c r="D141" s="36" t="s">
        <v>1199</v>
      </c>
      <c r="E141" s="36" t="s">
        <v>36</v>
      </c>
      <c r="F141" s="34" t="s">
        <v>1200</v>
      </c>
      <c r="G141" s="37" t="s">
        <v>73</v>
      </c>
      <c r="H141" s="37" t="s">
        <v>73</v>
      </c>
      <c r="I141" s="34" t="s">
        <v>1201</v>
      </c>
      <c r="J141" s="34" t="s">
        <v>1202</v>
      </c>
      <c r="K141" s="39" t="s">
        <v>42</v>
      </c>
      <c r="L141" s="159" t="s">
        <v>1203</v>
      </c>
      <c r="M141" s="68" t="s">
        <v>179</v>
      </c>
      <c r="N141" s="68" t="s">
        <v>179</v>
      </c>
      <c r="O141" s="68"/>
      <c r="P141" s="68">
        <v>2</v>
      </c>
      <c r="Q141" s="68"/>
      <c r="R141" s="68"/>
      <c r="S141" s="68"/>
      <c r="T141" s="68" t="s">
        <v>732</v>
      </c>
      <c r="U141" s="68"/>
      <c r="V141" s="68"/>
      <c r="W141" s="68"/>
      <c r="X141" s="42" t="s">
        <v>1204</v>
      </c>
      <c r="Y141" s="58" t="s">
        <v>1205</v>
      </c>
      <c r="Z141" s="162"/>
      <c r="AA141" s="45" t="s">
        <v>47</v>
      </c>
      <c r="AB141" s="160"/>
      <c r="AC141" s="36" t="s">
        <v>26</v>
      </c>
      <c r="AD141" s="47" t="s">
        <v>49</v>
      </c>
      <c r="AE141" s="48" t="s">
        <v>49</v>
      </c>
      <c r="AF141" s="48" t="s">
        <v>49</v>
      </c>
      <c r="AG141" s="48" t="s">
        <v>49</v>
      </c>
      <c r="AH141" s="48" t="s">
        <v>49</v>
      </c>
      <c r="AI141" s="48" t="s">
        <v>49</v>
      </c>
      <c r="AJ141" s="49" t="s">
        <v>49</v>
      </c>
      <c r="AK141" s="48" t="s">
        <v>41</v>
      </c>
      <c r="AL141" s="62" t="s">
        <v>148</v>
      </c>
      <c r="AM141" s="138"/>
      <c r="AN141" s="10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1"/>
    </row>
    <row r="142" spans="1:51" x14ac:dyDescent="0.2">
      <c r="A142" s="33">
        <f t="shared" si="3"/>
        <v>137</v>
      </c>
      <c r="B142" s="107" t="s">
        <v>1206</v>
      </c>
      <c r="C142" s="35" t="s">
        <v>1207</v>
      </c>
      <c r="D142" s="36" t="s">
        <v>1208</v>
      </c>
      <c r="E142" s="36" t="s">
        <v>54</v>
      </c>
      <c r="F142" s="34" t="s">
        <v>1209</v>
      </c>
      <c r="G142" s="37" t="s">
        <v>176</v>
      </c>
      <c r="H142" s="37" t="s">
        <v>39</v>
      </c>
      <c r="I142" s="34" t="s">
        <v>1210</v>
      </c>
      <c r="J142" s="38" t="s">
        <v>1211</v>
      </c>
      <c r="K142" s="39" t="s">
        <v>42</v>
      </c>
      <c r="L142" s="99" t="s">
        <v>825</v>
      </c>
      <c r="M142" s="115"/>
      <c r="N142" s="147"/>
      <c r="O142" s="147"/>
      <c r="P142" s="147"/>
      <c r="Q142" s="147"/>
      <c r="R142" s="147"/>
      <c r="S142" s="115"/>
      <c r="T142" s="114"/>
      <c r="U142" s="115"/>
      <c r="V142" s="56"/>
      <c r="W142" s="56"/>
      <c r="X142" s="42" t="s">
        <v>1212</v>
      </c>
      <c r="Y142" s="58" t="s">
        <v>1213</v>
      </c>
      <c r="Z142" s="44" t="s">
        <v>61</v>
      </c>
      <c r="AA142" s="45">
        <v>39286</v>
      </c>
      <c r="AB142" s="101" t="s">
        <v>30</v>
      </c>
      <c r="AC142" s="36" t="s">
        <v>26</v>
      </c>
      <c r="AD142" s="47" t="s">
        <v>49</v>
      </c>
      <c r="AE142" s="48" t="s">
        <v>49</v>
      </c>
      <c r="AF142" s="48" t="s">
        <v>49</v>
      </c>
      <c r="AG142" s="48" t="s">
        <v>49</v>
      </c>
      <c r="AH142" s="48" t="s">
        <v>49</v>
      </c>
      <c r="AI142" s="48" t="s">
        <v>49</v>
      </c>
      <c r="AJ142" s="49" t="s">
        <v>49</v>
      </c>
      <c r="AK142" s="48" t="s">
        <v>41</v>
      </c>
      <c r="AL142" s="62" t="s">
        <v>148</v>
      </c>
      <c r="AM142" s="138"/>
      <c r="AN142" s="10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1"/>
    </row>
    <row r="143" spans="1:51" x14ac:dyDescent="0.2">
      <c r="A143" s="33">
        <f t="shared" si="3"/>
        <v>138</v>
      </c>
      <c r="B143" s="34" t="s">
        <v>1214</v>
      </c>
      <c r="C143" s="35" t="s">
        <v>1215</v>
      </c>
      <c r="D143" s="36" t="s">
        <v>1216</v>
      </c>
      <c r="E143" s="36" t="s">
        <v>36</v>
      </c>
      <c r="F143" s="34" t="s">
        <v>1217</v>
      </c>
      <c r="G143" s="37" t="s">
        <v>73</v>
      </c>
      <c r="H143" s="37" t="s">
        <v>73</v>
      </c>
      <c r="I143" s="34">
        <v>85781123929</v>
      </c>
      <c r="J143" s="34" t="s">
        <v>41</v>
      </c>
      <c r="K143" s="39" t="s">
        <v>42</v>
      </c>
      <c r="L143" s="163" t="s">
        <v>1218</v>
      </c>
      <c r="M143" s="115"/>
      <c r="N143" s="147"/>
      <c r="O143" s="147"/>
      <c r="P143" s="147"/>
      <c r="Q143" s="147"/>
      <c r="R143" s="147"/>
      <c r="S143" s="115"/>
      <c r="T143" s="114"/>
      <c r="U143" s="115"/>
      <c r="V143" s="56"/>
      <c r="W143" s="56"/>
      <c r="X143" s="42" t="s">
        <v>1219</v>
      </c>
      <c r="Y143" s="58" t="s">
        <v>1220</v>
      </c>
      <c r="Z143" s="121" t="s">
        <v>1221</v>
      </c>
      <c r="AA143" s="45">
        <v>44650</v>
      </c>
      <c r="AB143" s="164" t="s">
        <v>30</v>
      </c>
      <c r="AC143" s="36" t="s">
        <v>26</v>
      </c>
      <c r="AD143" s="47" t="s">
        <v>49</v>
      </c>
      <c r="AE143" s="48" t="s">
        <v>49</v>
      </c>
      <c r="AF143" s="48" t="s">
        <v>49</v>
      </c>
      <c r="AG143" s="48" t="s">
        <v>49</v>
      </c>
      <c r="AH143" s="48" t="s">
        <v>49</v>
      </c>
      <c r="AI143" s="48" t="s">
        <v>49</v>
      </c>
      <c r="AJ143" s="49" t="s">
        <v>49</v>
      </c>
      <c r="AK143" s="48" t="s">
        <v>41</v>
      </c>
      <c r="AL143" s="65" t="s">
        <v>148</v>
      </c>
      <c r="AM143" s="103"/>
      <c r="AN143" s="10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1"/>
    </row>
    <row r="144" spans="1:51" x14ac:dyDescent="0.2">
      <c r="A144" s="33">
        <f t="shared" si="3"/>
        <v>139</v>
      </c>
      <c r="B144" s="34" t="s">
        <v>1222</v>
      </c>
      <c r="C144" s="35" t="s">
        <v>1223</v>
      </c>
      <c r="D144" s="73" t="s">
        <v>1224</v>
      </c>
      <c r="E144" s="36" t="s">
        <v>54</v>
      </c>
      <c r="F144" s="98" t="s">
        <v>1225</v>
      </c>
      <c r="G144" s="37" t="s">
        <v>73</v>
      </c>
      <c r="H144" s="37" t="s">
        <v>73</v>
      </c>
      <c r="I144" s="140" t="s">
        <v>1226</v>
      </c>
      <c r="J144" s="34" t="s">
        <v>41</v>
      </c>
      <c r="K144" s="39" t="s">
        <v>42</v>
      </c>
      <c r="L144" s="165" t="s">
        <v>1227</v>
      </c>
      <c r="M144" s="115" t="s">
        <v>179</v>
      </c>
      <c r="N144" s="147" t="s">
        <v>179</v>
      </c>
      <c r="O144" s="147"/>
      <c r="P144" s="147">
        <v>6</v>
      </c>
      <c r="Q144" s="147" t="s">
        <v>1041</v>
      </c>
      <c r="R144" s="147"/>
      <c r="S144" s="115"/>
      <c r="T144" s="114"/>
      <c r="U144" s="115"/>
      <c r="V144" s="56"/>
      <c r="W144" s="56"/>
      <c r="X144" s="42" t="s">
        <v>1228</v>
      </c>
      <c r="Y144" s="58" t="s">
        <v>1229</v>
      </c>
      <c r="Z144" s="44"/>
      <c r="AA144" s="45" t="s">
        <v>47</v>
      </c>
      <c r="AB144" s="164"/>
      <c r="AC144" s="73"/>
      <c r="AD144" s="47" t="s">
        <v>49</v>
      </c>
      <c r="AE144" s="48" t="s">
        <v>41</v>
      </c>
      <c r="AF144" s="48" t="s">
        <v>41</v>
      </c>
      <c r="AG144" s="48" t="s">
        <v>41</v>
      </c>
      <c r="AH144" s="48" t="s">
        <v>41</v>
      </c>
      <c r="AI144" s="48" t="s">
        <v>41</v>
      </c>
      <c r="AJ144" s="49" t="s">
        <v>41</v>
      </c>
      <c r="AK144" s="48" t="s">
        <v>41</v>
      </c>
      <c r="AL144" s="65" t="s">
        <v>4588</v>
      </c>
      <c r="AM144" s="59" t="s">
        <v>1230</v>
      </c>
      <c r="AN144" s="10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1"/>
    </row>
    <row r="145" spans="1:51" x14ac:dyDescent="0.2">
      <c r="A145" s="33">
        <f t="shared" si="3"/>
        <v>140</v>
      </c>
      <c r="B145" s="38" t="s">
        <v>1231</v>
      </c>
      <c r="C145" s="35" t="s">
        <v>1232</v>
      </c>
      <c r="D145" s="36" t="s">
        <v>1233</v>
      </c>
      <c r="E145" s="36" t="s">
        <v>54</v>
      </c>
      <c r="F145" s="34" t="s">
        <v>1234</v>
      </c>
      <c r="G145" s="37" t="s">
        <v>39</v>
      </c>
      <c r="H145" s="37" t="s">
        <v>39</v>
      </c>
      <c r="I145" s="38" t="s">
        <v>1235</v>
      </c>
      <c r="J145" s="34" t="s">
        <v>41</v>
      </c>
      <c r="K145" s="39" t="s">
        <v>42</v>
      </c>
      <c r="L145" s="163" t="s">
        <v>1236</v>
      </c>
      <c r="M145" s="115"/>
      <c r="N145" s="147"/>
      <c r="O145" s="147"/>
      <c r="P145" s="147"/>
      <c r="Q145" s="147"/>
      <c r="R145" s="147"/>
      <c r="S145" s="115" t="s">
        <v>44</v>
      </c>
      <c r="T145" s="114" t="s">
        <v>732</v>
      </c>
      <c r="U145" s="115"/>
      <c r="V145" s="56"/>
      <c r="W145" s="56"/>
      <c r="X145" s="42" t="s">
        <v>1237</v>
      </c>
      <c r="Y145" s="58" t="s">
        <v>1238</v>
      </c>
      <c r="Z145" s="84" t="s">
        <v>1239</v>
      </c>
      <c r="AA145" s="45">
        <v>44650</v>
      </c>
      <c r="AB145" s="164" t="s">
        <v>30</v>
      </c>
      <c r="AC145" s="36"/>
      <c r="AD145" s="47" t="s">
        <v>49</v>
      </c>
      <c r="AE145" s="48" t="s">
        <v>41</v>
      </c>
      <c r="AF145" s="48" t="s">
        <v>41</v>
      </c>
      <c r="AG145" s="48" t="s">
        <v>49</v>
      </c>
      <c r="AH145" s="48" t="s">
        <v>49</v>
      </c>
      <c r="AI145" s="48" t="s">
        <v>49</v>
      </c>
      <c r="AJ145" s="49" t="s">
        <v>49</v>
      </c>
      <c r="AK145" s="48" t="s">
        <v>49</v>
      </c>
      <c r="AL145" s="65" t="s">
        <v>32</v>
      </c>
      <c r="AM145" s="59"/>
      <c r="AN145" s="10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1"/>
    </row>
    <row r="146" spans="1:51" x14ac:dyDescent="0.2">
      <c r="A146" s="33">
        <f t="shared" si="3"/>
        <v>141</v>
      </c>
      <c r="B146" s="34" t="s">
        <v>1240</v>
      </c>
      <c r="C146" s="35" t="s">
        <v>1241</v>
      </c>
      <c r="D146" s="36" t="s">
        <v>1242</v>
      </c>
      <c r="E146" s="36" t="s">
        <v>54</v>
      </c>
      <c r="F146" s="34" t="s">
        <v>1243</v>
      </c>
      <c r="G146" s="37" t="s">
        <v>360</v>
      </c>
      <c r="H146" s="37" t="s">
        <v>350</v>
      </c>
      <c r="I146" s="38" t="s">
        <v>1244</v>
      </c>
      <c r="J146" s="34"/>
      <c r="K146" s="39" t="s">
        <v>42</v>
      </c>
      <c r="L146" s="165" t="s">
        <v>1245</v>
      </c>
      <c r="M146" s="56"/>
      <c r="N146" s="115"/>
      <c r="O146" s="114"/>
      <c r="P146" s="115"/>
      <c r="Q146" s="114"/>
      <c r="R146" s="115"/>
      <c r="S146" s="115"/>
      <c r="T146" s="114"/>
      <c r="U146" s="115"/>
      <c r="V146" s="56"/>
      <c r="W146" s="56"/>
      <c r="X146" s="42" t="s">
        <v>1246</v>
      </c>
      <c r="Y146" s="58" t="s">
        <v>1247</v>
      </c>
      <c r="Z146" s="144" t="s">
        <v>1248</v>
      </c>
      <c r="AA146" s="45">
        <v>44650</v>
      </c>
      <c r="AB146" s="164" t="s">
        <v>30</v>
      </c>
      <c r="AC146" s="36" t="s">
        <v>26</v>
      </c>
      <c r="AD146" s="47" t="s">
        <v>49</v>
      </c>
      <c r="AE146" s="48" t="s">
        <v>49</v>
      </c>
      <c r="AF146" s="48" t="s">
        <v>49</v>
      </c>
      <c r="AG146" s="48" t="s">
        <v>49</v>
      </c>
      <c r="AH146" s="48" t="s">
        <v>49</v>
      </c>
      <c r="AI146" s="48" t="s">
        <v>49</v>
      </c>
      <c r="AJ146" s="49" t="s">
        <v>49</v>
      </c>
      <c r="AK146" s="48" t="s">
        <v>41</v>
      </c>
      <c r="AL146" s="65" t="s">
        <v>148</v>
      </c>
      <c r="AM146" s="59"/>
      <c r="AN146" s="10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1"/>
    </row>
    <row r="147" spans="1:51" x14ac:dyDescent="0.2">
      <c r="A147" s="33">
        <f t="shared" si="3"/>
        <v>142</v>
      </c>
      <c r="B147" s="34" t="s">
        <v>1249</v>
      </c>
      <c r="C147" s="35" t="s">
        <v>1250</v>
      </c>
      <c r="D147" s="36" t="s">
        <v>1251</v>
      </c>
      <c r="E147" s="36" t="s">
        <v>54</v>
      </c>
      <c r="F147" s="34" t="s">
        <v>1252</v>
      </c>
      <c r="G147" s="37" t="s">
        <v>176</v>
      </c>
      <c r="H147" s="37" t="s">
        <v>39</v>
      </c>
      <c r="I147" s="34" t="s">
        <v>1253</v>
      </c>
      <c r="J147" s="34" t="s">
        <v>41</v>
      </c>
      <c r="K147" s="39" t="s">
        <v>42</v>
      </c>
      <c r="L147" s="166" t="s">
        <v>1254</v>
      </c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2" t="s">
        <v>1255</v>
      </c>
      <c r="Y147" s="52" t="s">
        <v>1256</v>
      </c>
      <c r="Z147" s="44" t="s">
        <v>1257</v>
      </c>
      <c r="AA147" s="45">
        <v>42935</v>
      </c>
      <c r="AB147" s="101" t="s">
        <v>30</v>
      </c>
      <c r="AC147" s="36" t="s">
        <v>26</v>
      </c>
      <c r="AD147" s="47" t="s">
        <v>49</v>
      </c>
      <c r="AE147" s="48" t="s">
        <v>49</v>
      </c>
      <c r="AF147" s="48" t="s">
        <v>49</v>
      </c>
      <c r="AG147" s="48" t="s">
        <v>49</v>
      </c>
      <c r="AH147" s="48" t="s">
        <v>49</v>
      </c>
      <c r="AI147" s="48" t="s">
        <v>49</v>
      </c>
      <c r="AJ147" s="49" t="s">
        <v>49</v>
      </c>
      <c r="AK147" s="48" t="s">
        <v>49</v>
      </c>
      <c r="AL147" s="62" t="s">
        <v>32</v>
      </c>
      <c r="AM147" s="59"/>
      <c r="AN147" s="10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1"/>
    </row>
    <row r="148" spans="1:51" x14ac:dyDescent="0.2">
      <c r="A148" s="33">
        <f t="shared" si="3"/>
        <v>143</v>
      </c>
      <c r="B148" s="34" t="s">
        <v>1258</v>
      </c>
      <c r="C148" s="35" t="s">
        <v>1259</v>
      </c>
      <c r="D148" s="36" t="s">
        <v>1260</v>
      </c>
      <c r="E148" s="36" t="s">
        <v>54</v>
      </c>
      <c r="F148" s="34" t="s">
        <v>1261</v>
      </c>
      <c r="G148" s="37" t="s">
        <v>73</v>
      </c>
      <c r="H148" s="37" t="s">
        <v>73</v>
      </c>
      <c r="I148" s="38" t="s">
        <v>1262</v>
      </c>
      <c r="J148" s="34"/>
      <c r="K148" s="39" t="s">
        <v>42</v>
      </c>
      <c r="L148" s="120">
        <v>45376</v>
      </c>
      <c r="M148" s="56"/>
      <c r="N148" s="56"/>
      <c r="O148" s="56"/>
      <c r="P148" s="56"/>
      <c r="Q148" s="56"/>
      <c r="R148" s="56"/>
      <c r="S148" s="56"/>
      <c r="T148" s="56"/>
      <c r="U148" s="56" t="s">
        <v>44</v>
      </c>
      <c r="V148" s="56"/>
      <c r="W148" s="56"/>
      <c r="X148" s="42" t="s">
        <v>1263</v>
      </c>
      <c r="Y148" s="58" t="s">
        <v>1264</v>
      </c>
      <c r="Z148" s="121"/>
      <c r="AA148" s="45"/>
      <c r="AB148" s="101"/>
      <c r="AC148" s="36"/>
      <c r="AD148" s="47" t="s">
        <v>49</v>
      </c>
      <c r="AE148" s="48" t="s">
        <v>41</v>
      </c>
      <c r="AF148" s="48" t="s">
        <v>41</v>
      </c>
      <c r="AG148" s="48" t="s">
        <v>41</v>
      </c>
      <c r="AH148" s="48" t="s">
        <v>41</v>
      </c>
      <c r="AI148" s="48" t="s">
        <v>49</v>
      </c>
      <c r="AJ148" s="49" t="s">
        <v>49</v>
      </c>
      <c r="AK148" s="48" t="s">
        <v>49</v>
      </c>
      <c r="AL148" s="62" t="s">
        <v>32</v>
      </c>
      <c r="AM148" s="59"/>
      <c r="AN148" s="10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1"/>
    </row>
    <row r="149" spans="1:51" x14ac:dyDescent="0.2">
      <c r="A149" s="33">
        <f t="shared" si="3"/>
        <v>144</v>
      </c>
      <c r="B149" s="34" t="s">
        <v>1265</v>
      </c>
      <c r="C149" s="35" t="s">
        <v>1266</v>
      </c>
      <c r="D149" s="36" t="s">
        <v>1267</v>
      </c>
      <c r="E149" s="36" t="s">
        <v>36</v>
      </c>
      <c r="F149" s="34" t="s">
        <v>1268</v>
      </c>
      <c r="G149" s="37" t="s">
        <v>73</v>
      </c>
      <c r="H149" s="37" t="s">
        <v>73</v>
      </c>
      <c r="I149" s="42" t="s">
        <v>1269</v>
      </c>
      <c r="J149" s="34"/>
      <c r="K149" s="39" t="s">
        <v>42</v>
      </c>
      <c r="L149" s="120">
        <v>45607</v>
      </c>
      <c r="M149" s="56" t="s">
        <v>179</v>
      </c>
      <c r="N149" s="56" t="s">
        <v>179</v>
      </c>
      <c r="O149" s="56"/>
      <c r="P149" s="56">
        <v>1</v>
      </c>
      <c r="Q149" s="56"/>
      <c r="R149" s="56"/>
      <c r="S149" s="56"/>
      <c r="T149" s="56"/>
      <c r="U149" s="56" t="s">
        <v>44</v>
      </c>
      <c r="V149" s="56"/>
      <c r="W149" s="56"/>
      <c r="X149" s="42" t="s">
        <v>1270</v>
      </c>
      <c r="Y149" s="58" t="s">
        <v>1271</v>
      </c>
      <c r="Z149" s="121"/>
      <c r="AA149" s="45"/>
      <c r="AB149" s="101"/>
      <c r="AC149" s="36"/>
      <c r="AD149" s="47" t="s">
        <v>49</v>
      </c>
      <c r="AE149" s="48" t="s">
        <v>41</v>
      </c>
      <c r="AF149" s="48" t="s">
        <v>41</v>
      </c>
      <c r="AG149" s="48" t="s">
        <v>41</v>
      </c>
      <c r="AH149" s="48" t="s">
        <v>41</v>
      </c>
      <c r="AI149" s="48" t="s">
        <v>49</v>
      </c>
      <c r="AJ149" s="49" t="s">
        <v>41</v>
      </c>
      <c r="AK149" s="48" t="s">
        <v>41</v>
      </c>
      <c r="AL149" s="62" t="s">
        <v>276</v>
      </c>
      <c r="AM149" s="59"/>
      <c r="AN149" s="10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1"/>
    </row>
    <row r="150" spans="1:51" x14ac:dyDescent="0.2">
      <c r="A150" s="33">
        <f t="shared" si="3"/>
        <v>145</v>
      </c>
      <c r="B150" s="34" t="s">
        <v>1272</v>
      </c>
      <c r="C150" s="35" t="s">
        <v>1273</v>
      </c>
      <c r="D150" s="36" t="s">
        <v>1274</v>
      </c>
      <c r="E150" s="36" t="s">
        <v>36</v>
      </c>
      <c r="F150" s="34" t="s">
        <v>1275</v>
      </c>
      <c r="G150" s="37" t="s">
        <v>73</v>
      </c>
      <c r="H150" s="37" t="s">
        <v>73</v>
      </c>
      <c r="I150" s="38" t="s">
        <v>1276</v>
      </c>
      <c r="J150" s="34" t="s">
        <v>41</v>
      </c>
      <c r="K150" s="39" t="s">
        <v>42</v>
      </c>
      <c r="L150" s="166" t="s">
        <v>1277</v>
      </c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2" t="s">
        <v>1278</v>
      </c>
      <c r="Y150" s="52" t="s">
        <v>1279</v>
      </c>
      <c r="Z150" s="44" t="s">
        <v>1280</v>
      </c>
      <c r="AA150" s="45">
        <v>41793</v>
      </c>
      <c r="AB150" s="101" t="s">
        <v>30</v>
      </c>
      <c r="AC150" s="36" t="s">
        <v>26</v>
      </c>
      <c r="AD150" s="47" t="s">
        <v>49</v>
      </c>
      <c r="AE150" s="48" t="s">
        <v>49</v>
      </c>
      <c r="AF150" s="48" t="s">
        <v>49</v>
      </c>
      <c r="AG150" s="48" t="s">
        <v>49</v>
      </c>
      <c r="AH150" s="48" t="s">
        <v>49</v>
      </c>
      <c r="AI150" s="48" t="s">
        <v>41</v>
      </c>
      <c r="AJ150" s="49" t="s">
        <v>41</v>
      </c>
      <c r="AK150" s="48" t="s">
        <v>41</v>
      </c>
      <c r="AL150" s="62" t="s">
        <v>4589</v>
      </c>
      <c r="AM150" s="59"/>
      <c r="AN150" s="10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1"/>
    </row>
    <row r="151" spans="1:51" x14ac:dyDescent="0.2">
      <c r="A151" s="33">
        <f t="shared" si="3"/>
        <v>146</v>
      </c>
      <c r="B151" s="34" t="s">
        <v>1281</v>
      </c>
      <c r="C151" s="35" t="s">
        <v>1282</v>
      </c>
      <c r="D151" s="36" t="s">
        <v>1283</v>
      </c>
      <c r="E151" s="36" t="s">
        <v>54</v>
      </c>
      <c r="F151" s="34" t="s">
        <v>1284</v>
      </c>
      <c r="G151" s="37" t="s">
        <v>1285</v>
      </c>
      <c r="H151" s="37" t="s">
        <v>350</v>
      </c>
      <c r="I151" s="34" t="s">
        <v>1286</v>
      </c>
      <c r="J151" s="34" t="s">
        <v>41</v>
      </c>
      <c r="K151" s="39" t="s">
        <v>42</v>
      </c>
      <c r="L151" s="158" t="s">
        <v>1287</v>
      </c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42" t="s">
        <v>1288</v>
      </c>
      <c r="Y151" s="58" t="s">
        <v>1289</v>
      </c>
      <c r="Z151" s="44" t="s">
        <v>1290</v>
      </c>
      <c r="AA151" s="45">
        <v>42935</v>
      </c>
      <c r="AB151" s="101" t="s">
        <v>30</v>
      </c>
      <c r="AC151" s="36" t="s">
        <v>26</v>
      </c>
      <c r="AD151" s="47" t="s">
        <v>49</v>
      </c>
      <c r="AE151" s="48" t="s">
        <v>49</v>
      </c>
      <c r="AF151" s="48" t="s">
        <v>49</v>
      </c>
      <c r="AG151" s="48" t="s">
        <v>49</v>
      </c>
      <c r="AH151" s="48" t="s">
        <v>49</v>
      </c>
      <c r="AI151" s="48" t="s">
        <v>49</v>
      </c>
      <c r="AJ151" s="49" t="s">
        <v>41</v>
      </c>
      <c r="AK151" s="48" t="s">
        <v>41</v>
      </c>
      <c r="AL151" s="62" t="s">
        <v>276</v>
      </c>
      <c r="AM151" s="59"/>
      <c r="AN151" s="10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1"/>
    </row>
    <row r="152" spans="1:51" x14ac:dyDescent="0.2">
      <c r="A152" s="33">
        <f t="shared" si="3"/>
        <v>147</v>
      </c>
      <c r="B152" s="34" t="s">
        <v>1291</v>
      </c>
      <c r="C152" s="35" t="s">
        <v>1292</v>
      </c>
      <c r="D152" s="36" t="s">
        <v>1293</v>
      </c>
      <c r="E152" s="36" t="s">
        <v>54</v>
      </c>
      <c r="F152" s="34" t="s">
        <v>1294</v>
      </c>
      <c r="G152" s="37" t="s">
        <v>73</v>
      </c>
      <c r="H152" s="37" t="s">
        <v>73</v>
      </c>
      <c r="I152" s="167" t="s">
        <v>1295</v>
      </c>
      <c r="J152" s="57" t="s">
        <v>1296</v>
      </c>
      <c r="K152" s="39" t="s">
        <v>42</v>
      </c>
      <c r="L152" s="99" t="s">
        <v>307</v>
      </c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42" t="s">
        <v>1297</v>
      </c>
      <c r="Y152" s="100" t="s">
        <v>1298</v>
      </c>
      <c r="Z152" s="44" t="s">
        <v>61</v>
      </c>
      <c r="AA152" s="45">
        <v>39286</v>
      </c>
      <c r="AB152" s="101" t="s">
        <v>30</v>
      </c>
      <c r="AC152" s="36"/>
      <c r="AD152" s="47" t="s">
        <v>49</v>
      </c>
      <c r="AE152" s="48" t="s">
        <v>41</v>
      </c>
      <c r="AF152" s="48" t="s">
        <v>41</v>
      </c>
      <c r="AG152" s="48" t="s">
        <v>41</v>
      </c>
      <c r="AH152" s="48" t="s">
        <v>41</v>
      </c>
      <c r="AI152" s="48" t="s">
        <v>41</v>
      </c>
      <c r="AJ152" s="49" t="s">
        <v>41</v>
      </c>
      <c r="AK152" s="48" t="s">
        <v>41</v>
      </c>
      <c r="AL152" s="65" t="s">
        <v>4590</v>
      </c>
      <c r="AM152" s="59" t="s">
        <v>192</v>
      </c>
      <c r="AN152" s="10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1"/>
    </row>
    <row r="153" spans="1:51" x14ac:dyDescent="0.2">
      <c r="A153" s="33">
        <f t="shared" si="3"/>
        <v>148</v>
      </c>
      <c r="B153" s="34" t="s">
        <v>1299</v>
      </c>
      <c r="C153" s="35" t="s">
        <v>1300</v>
      </c>
      <c r="D153" s="36" t="s">
        <v>1301</v>
      </c>
      <c r="E153" s="36" t="s">
        <v>54</v>
      </c>
      <c r="F153" s="34" t="s">
        <v>1302</v>
      </c>
      <c r="G153" s="37" t="s">
        <v>186</v>
      </c>
      <c r="H153" s="37" t="s">
        <v>187</v>
      </c>
      <c r="I153" s="167" t="s">
        <v>1303</v>
      </c>
      <c r="J153" s="57" t="s">
        <v>41</v>
      </c>
      <c r="K153" s="39" t="s">
        <v>42</v>
      </c>
      <c r="L153" s="120">
        <v>45694</v>
      </c>
      <c r="M153" s="56"/>
      <c r="N153" s="56"/>
      <c r="O153" s="56"/>
      <c r="P153" s="56"/>
      <c r="Q153" s="56"/>
      <c r="R153" s="56"/>
      <c r="S153" s="56"/>
      <c r="T153" s="56"/>
      <c r="U153" s="56"/>
      <c r="V153" s="56" t="s">
        <v>44</v>
      </c>
      <c r="W153" s="56"/>
      <c r="X153" s="167" t="s">
        <v>1304</v>
      </c>
      <c r="Y153" s="146" t="s">
        <v>1305</v>
      </c>
      <c r="Z153" s="44"/>
      <c r="AA153" s="45"/>
      <c r="AB153" s="101"/>
      <c r="AC153" s="36"/>
      <c r="AD153" s="47" t="s">
        <v>49</v>
      </c>
      <c r="AE153" s="48" t="s">
        <v>41</v>
      </c>
      <c r="AF153" s="48" t="s">
        <v>41</v>
      </c>
      <c r="AG153" s="48" t="s">
        <v>41</v>
      </c>
      <c r="AH153" s="48" t="s">
        <v>41</v>
      </c>
      <c r="AI153" s="48" t="s">
        <v>41</v>
      </c>
      <c r="AJ153" s="49" t="s">
        <v>49</v>
      </c>
      <c r="AK153" s="48" t="s">
        <v>49</v>
      </c>
      <c r="AL153" s="65" t="s">
        <v>32</v>
      </c>
      <c r="AM153" s="59"/>
      <c r="AN153" s="10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1"/>
    </row>
    <row r="154" spans="1:51" x14ac:dyDescent="0.2">
      <c r="A154" s="33">
        <f t="shared" si="3"/>
        <v>149</v>
      </c>
      <c r="B154" s="34" t="s">
        <v>1306</v>
      </c>
      <c r="C154" s="35" t="s">
        <v>1307</v>
      </c>
      <c r="D154" s="36" t="s">
        <v>1308</v>
      </c>
      <c r="E154" s="36" t="s">
        <v>54</v>
      </c>
      <c r="F154" s="34" t="s">
        <v>1309</v>
      </c>
      <c r="G154" s="37" t="s">
        <v>186</v>
      </c>
      <c r="H154" s="37" t="s">
        <v>187</v>
      </c>
      <c r="I154" s="34" t="s">
        <v>1310</v>
      </c>
      <c r="J154" s="34" t="s">
        <v>41</v>
      </c>
      <c r="K154" s="39" t="s">
        <v>42</v>
      </c>
      <c r="L154" s="158" t="s">
        <v>1311</v>
      </c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2" t="s">
        <v>1312</v>
      </c>
      <c r="Y154" s="58" t="s">
        <v>1313</v>
      </c>
      <c r="Z154" s="44" t="s">
        <v>61</v>
      </c>
      <c r="AA154" s="45">
        <v>37208</v>
      </c>
      <c r="AB154" s="101" t="s">
        <v>30</v>
      </c>
      <c r="AC154" s="36" t="s">
        <v>26</v>
      </c>
      <c r="AD154" s="47" t="s">
        <v>49</v>
      </c>
      <c r="AE154" s="48" t="s">
        <v>49</v>
      </c>
      <c r="AF154" s="48" t="s">
        <v>49</v>
      </c>
      <c r="AG154" s="48" t="s">
        <v>49</v>
      </c>
      <c r="AH154" s="48" t="s">
        <v>49</v>
      </c>
      <c r="AI154" s="48" t="s">
        <v>49</v>
      </c>
      <c r="AJ154" s="49" t="s">
        <v>49</v>
      </c>
      <c r="AK154" s="48" t="s">
        <v>41</v>
      </c>
      <c r="AL154" s="65" t="s">
        <v>148</v>
      </c>
      <c r="AM154" s="59"/>
      <c r="AN154" s="10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1"/>
    </row>
    <row r="155" spans="1:51" x14ac:dyDescent="0.2">
      <c r="A155" s="33">
        <f t="shared" si="3"/>
        <v>150</v>
      </c>
      <c r="B155" s="34" t="s">
        <v>1314</v>
      </c>
      <c r="C155" s="35" t="s">
        <v>1315</v>
      </c>
      <c r="D155" s="36" t="s">
        <v>1316</v>
      </c>
      <c r="E155" s="36" t="s">
        <v>54</v>
      </c>
      <c r="F155" s="34" t="s">
        <v>1317</v>
      </c>
      <c r="G155" s="37" t="s">
        <v>858</v>
      </c>
      <c r="H155" s="37" t="s">
        <v>57</v>
      </c>
      <c r="I155" s="38" t="s">
        <v>1318</v>
      </c>
      <c r="J155" s="34" t="s">
        <v>41</v>
      </c>
      <c r="K155" s="39" t="s">
        <v>42</v>
      </c>
      <c r="L155" s="158" t="s">
        <v>1319</v>
      </c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2" t="s">
        <v>1320</v>
      </c>
      <c r="Y155" s="58" t="s">
        <v>1321</v>
      </c>
      <c r="Z155" s="119" t="s">
        <v>1322</v>
      </c>
      <c r="AA155" s="45">
        <v>44944</v>
      </c>
      <c r="AB155" s="101" t="s">
        <v>30</v>
      </c>
      <c r="AC155" s="36" t="s">
        <v>26</v>
      </c>
      <c r="AD155" s="47" t="s">
        <v>49</v>
      </c>
      <c r="AE155" s="48" t="s">
        <v>49</v>
      </c>
      <c r="AF155" s="48" t="s">
        <v>49</v>
      </c>
      <c r="AG155" s="48" t="s">
        <v>49</v>
      </c>
      <c r="AH155" s="48" t="s">
        <v>49</v>
      </c>
      <c r="AI155" s="48" t="s">
        <v>41</v>
      </c>
      <c r="AJ155" s="49" t="s">
        <v>41</v>
      </c>
      <c r="AK155" s="48" t="s">
        <v>41</v>
      </c>
      <c r="AL155" s="62" t="s">
        <v>4589</v>
      </c>
      <c r="AM155" s="59"/>
      <c r="AN155" s="10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1"/>
    </row>
    <row r="156" spans="1:51" x14ac:dyDescent="0.2">
      <c r="A156" s="33">
        <f t="shared" si="3"/>
        <v>151</v>
      </c>
      <c r="B156" s="34" t="s">
        <v>1323</v>
      </c>
      <c r="C156" s="35" t="s">
        <v>1324</v>
      </c>
      <c r="D156" s="36" t="s">
        <v>1325</v>
      </c>
      <c r="E156" s="36" t="s">
        <v>36</v>
      </c>
      <c r="F156" s="34" t="s">
        <v>1326</v>
      </c>
      <c r="G156" s="37" t="s">
        <v>377</v>
      </c>
      <c r="H156" s="37" t="s">
        <v>378</v>
      </c>
      <c r="I156" s="38" t="s">
        <v>1327</v>
      </c>
      <c r="J156" s="34" t="s">
        <v>41</v>
      </c>
      <c r="K156" s="39" t="s">
        <v>42</v>
      </c>
      <c r="L156" s="158" t="s">
        <v>1328</v>
      </c>
      <c r="M156" s="41"/>
      <c r="N156" s="41"/>
      <c r="O156" s="41"/>
      <c r="P156" s="41"/>
      <c r="Q156" s="41"/>
      <c r="R156" s="41"/>
      <c r="S156" s="168" t="s">
        <v>44</v>
      </c>
      <c r="T156" s="41"/>
      <c r="U156" s="41"/>
      <c r="V156" s="41"/>
      <c r="W156" s="41"/>
      <c r="X156" s="42" t="s">
        <v>1329</v>
      </c>
      <c r="Y156" s="58" t="s">
        <v>1330</v>
      </c>
      <c r="Z156" s="121" t="s">
        <v>1331</v>
      </c>
      <c r="AA156" s="45">
        <v>44650</v>
      </c>
      <c r="AB156" s="101" t="s">
        <v>30</v>
      </c>
      <c r="AC156" s="36"/>
      <c r="AD156" s="47" t="s">
        <v>49</v>
      </c>
      <c r="AE156" s="48"/>
      <c r="AF156" s="48" t="s">
        <v>41</v>
      </c>
      <c r="AG156" s="48" t="s">
        <v>49</v>
      </c>
      <c r="AH156" s="48" t="s">
        <v>41</v>
      </c>
      <c r="AI156" s="48" t="s">
        <v>41</v>
      </c>
      <c r="AJ156" s="49" t="s">
        <v>41</v>
      </c>
      <c r="AK156" s="48" t="s">
        <v>41</v>
      </c>
      <c r="AL156" s="62" t="s">
        <v>139</v>
      </c>
      <c r="AM156" s="59"/>
      <c r="AN156" s="10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1"/>
    </row>
    <row r="157" spans="1:51" x14ac:dyDescent="0.2">
      <c r="A157" s="33">
        <f t="shared" si="3"/>
        <v>152</v>
      </c>
      <c r="B157" s="34" t="s">
        <v>1332</v>
      </c>
      <c r="C157" s="35" t="s">
        <v>1333</v>
      </c>
      <c r="D157" s="36" t="s">
        <v>1334</v>
      </c>
      <c r="E157" s="36" t="s">
        <v>54</v>
      </c>
      <c r="F157" s="34" t="s">
        <v>1335</v>
      </c>
      <c r="G157" s="37" t="s">
        <v>73</v>
      </c>
      <c r="H157" s="37" t="s">
        <v>73</v>
      </c>
      <c r="I157" s="34" t="s">
        <v>1336</v>
      </c>
      <c r="J157" s="34" t="s">
        <v>1337</v>
      </c>
      <c r="K157" s="39" t="s">
        <v>42</v>
      </c>
      <c r="L157" s="158" t="s">
        <v>1338</v>
      </c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42" t="s">
        <v>1339</v>
      </c>
      <c r="Y157" s="58" t="s">
        <v>1340</v>
      </c>
      <c r="Z157" s="44" t="s">
        <v>1341</v>
      </c>
      <c r="AA157" s="45">
        <v>44944</v>
      </c>
      <c r="AB157" s="101" t="s">
        <v>30</v>
      </c>
      <c r="AC157" s="36" t="s">
        <v>26</v>
      </c>
      <c r="AD157" s="64" t="s">
        <v>120</v>
      </c>
      <c r="AE157" s="48" t="s">
        <v>120</v>
      </c>
      <c r="AF157" s="48" t="s">
        <v>120</v>
      </c>
      <c r="AG157" s="48" t="s">
        <v>120</v>
      </c>
      <c r="AH157" s="48" t="s">
        <v>120</v>
      </c>
      <c r="AI157" s="48" t="s">
        <v>120</v>
      </c>
      <c r="AJ157" s="49" t="s">
        <v>120</v>
      </c>
      <c r="AK157" s="48" t="s">
        <v>41</v>
      </c>
      <c r="AL157" s="62" t="s">
        <v>148</v>
      </c>
      <c r="AM157" s="59"/>
      <c r="AN157" s="10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1"/>
    </row>
    <row r="158" spans="1:51" x14ac:dyDescent="0.2">
      <c r="A158" s="33">
        <f t="shared" si="3"/>
        <v>153</v>
      </c>
      <c r="B158" s="34" t="s">
        <v>1342</v>
      </c>
      <c r="C158" s="35" t="s">
        <v>1343</v>
      </c>
      <c r="D158" s="36" t="s">
        <v>1344</v>
      </c>
      <c r="E158" s="36" t="s">
        <v>54</v>
      </c>
      <c r="F158" s="34" t="s">
        <v>1345</v>
      </c>
      <c r="G158" s="37" t="s">
        <v>176</v>
      </c>
      <c r="H158" s="37" t="s">
        <v>39</v>
      </c>
      <c r="I158" s="34" t="s">
        <v>1346</v>
      </c>
      <c r="J158" s="34" t="s">
        <v>41</v>
      </c>
      <c r="K158" s="39" t="s">
        <v>42</v>
      </c>
      <c r="L158" s="158" t="s">
        <v>1347</v>
      </c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42" t="s">
        <v>1348</v>
      </c>
      <c r="Y158" s="69" t="s">
        <v>1349</v>
      </c>
      <c r="Z158" s="69"/>
      <c r="AA158" s="45" t="s">
        <v>47</v>
      </c>
      <c r="AB158" s="101"/>
      <c r="AC158" s="36" t="s">
        <v>26</v>
      </c>
      <c r="AD158" s="47" t="s">
        <v>49</v>
      </c>
      <c r="AE158" s="48" t="s">
        <v>49</v>
      </c>
      <c r="AF158" s="48" t="s">
        <v>49</v>
      </c>
      <c r="AG158" s="48" t="s">
        <v>49</v>
      </c>
      <c r="AH158" s="48" t="s">
        <v>49</v>
      </c>
      <c r="AI158" s="48" t="s">
        <v>49</v>
      </c>
      <c r="AJ158" s="49" t="s">
        <v>49</v>
      </c>
      <c r="AK158" s="48" t="s">
        <v>49</v>
      </c>
      <c r="AL158" s="62" t="s">
        <v>32</v>
      </c>
      <c r="AM158" s="59"/>
      <c r="AN158" s="10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1"/>
    </row>
    <row r="159" spans="1:51" x14ac:dyDescent="0.2">
      <c r="A159" s="33">
        <f t="shared" si="3"/>
        <v>154</v>
      </c>
      <c r="B159" s="34" t="s">
        <v>1350</v>
      </c>
      <c r="C159" s="35" t="s">
        <v>1351</v>
      </c>
      <c r="D159" s="36" t="s">
        <v>1352</v>
      </c>
      <c r="E159" s="36" t="s">
        <v>36</v>
      </c>
      <c r="F159" s="98" t="s">
        <v>1353</v>
      </c>
      <c r="G159" s="37" t="s">
        <v>1354</v>
      </c>
      <c r="H159" s="37" t="s">
        <v>57</v>
      </c>
      <c r="I159" s="38" t="s">
        <v>1355</v>
      </c>
      <c r="J159" s="34" t="s">
        <v>41</v>
      </c>
      <c r="K159" s="39" t="s">
        <v>42</v>
      </c>
      <c r="L159" s="169" t="s">
        <v>59</v>
      </c>
      <c r="M159" s="56" t="s">
        <v>179</v>
      </c>
      <c r="N159" s="56" t="s">
        <v>179</v>
      </c>
      <c r="O159" s="56"/>
      <c r="P159" s="56">
        <v>6</v>
      </c>
      <c r="Q159" s="56" t="s">
        <v>942</v>
      </c>
      <c r="R159" s="56"/>
      <c r="S159" s="56"/>
      <c r="T159" s="56"/>
      <c r="U159" s="56"/>
      <c r="V159" s="56"/>
      <c r="W159" s="56"/>
      <c r="X159" s="42" t="s">
        <v>1356</v>
      </c>
      <c r="Y159" s="58" t="s">
        <v>1357</v>
      </c>
      <c r="Z159" s="58"/>
      <c r="AA159" s="45" t="s">
        <v>47</v>
      </c>
      <c r="AB159" s="46"/>
      <c r="AC159" s="73"/>
      <c r="AD159" s="47" t="s">
        <v>49</v>
      </c>
      <c r="AE159" s="48" t="s">
        <v>41</v>
      </c>
      <c r="AF159" s="48" t="s">
        <v>41</v>
      </c>
      <c r="AG159" s="48" t="s">
        <v>41</v>
      </c>
      <c r="AH159" s="48" t="s">
        <v>41</v>
      </c>
      <c r="AI159" s="48" t="s">
        <v>41</v>
      </c>
      <c r="AJ159" s="49" t="s">
        <v>41</v>
      </c>
      <c r="AK159" s="48" t="s">
        <v>41</v>
      </c>
      <c r="AL159" s="65" t="s">
        <v>4591</v>
      </c>
      <c r="AM159" s="59"/>
      <c r="AN159" s="10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1"/>
    </row>
    <row r="160" spans="1:51" x14ac:dyDescent="0.2">
      <c r="A160" s="33">
        <f t="shared" si="3"/>
        <v>155</v>
      </c>
      <c r="B160" s="34" t="s">
        <v>1358</v>
      </c>
      <c r="C160" s="35" t="s">
        <v>1359</v>
      </c>
      <c r="D160" s="36" t="s">
        <v>1360</v>
      </c>
      <c r="E160" s="36" t="s">
        <v>36</v>
      </c>
      <c r="F160" s="34" t="s">
        <v>1361</v>
      </c>
      <c r="G160" s="37" t="s">
        <v>252</v>
      </c>
      <c r="H160" s="37" t="s">
        <v>57</v>
      </c>
      <c r="I160" s="34" t="s">
        <v>1362</v>
      </c>
      <c r="J160" s="34" t="s">
        <v>41</v>
      </c>
      <c r="K160" s="39" t="s">
        <v>42</v>
      </c>
      <c r="L160" s="142" t="s">
        <v>1363</v>
      </c>
      <c r="M160" s="41" t="s">
        <v>179</v>
      </c>
      <c r="N160" s="41" t="s">
        <v>179</v>
      </c>
      <c r="O160" s="41"/>
      <c r="P160" s="41">
        <v>6</v>
      </c>
      <c r="Q160" s="41" t="s">
        <v>942</v>
      </c>
      <c r="R160" s="41"/>
      <c r="S160" s="41"/>
      <c r="T160" s="41"/>
      <c r="U160" s="41"/>
      <c r="V160" s="41"/>
      <c r="W160" s="41"/>
      <c r="X160" s="42" t="s">
        <v>1145</v>
      </c>
      <c r="Y160" s="58" t="s">
        <v>1364</v>
      </c>
      <c r="Z160" s="58"/>
      <c r="AA160" s="45" t="s">
        <v>47</v>
      </c>
      <c r="AB160" s="46"/>
      <c r="AC160" s="36"/>
      <c r="AD160" s="47" t="s">
        <v>49</v>
      </c>
      <c r="AE160" s="48" t="s">
        <v>41</v>
      </c>
      <c r="AF160" s="48" t="s">
        <v>41</v>
      </c>
      <c r="AG160" s="48" t="s">
        <v>41</v>
      </c>
      <c r="AH160" s="48" t="s">
        <v>41</v>
      </c>
      <c r="AI160" s="48" t="s">
        <v>41</v>
      </c>
      <c r="AJ160" s="49" t="s">
        <v>41</v>
      </c>
      <c r="AK160" s="48" t="s">
        <v>41</v>
      </c>
      <c r="AL160" s="65" t="s">
        <v>4591</v>
      </c>
      <c r="AM160" s="59" t="s">
        <v>460</v>
      </c>
      <c r="AN160" s="10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1"/>
    </row>
    <row r="161" spans="1:51" x14ac:dyDescent="0.2">
      <c r="A161" s="33">
        <f t="shared" si="3"/>
        <v>156</v>
      </c>
      <c r="B161" s="34" t="s">
        <v>1365</v>
      </c>
      <c r="C161" s="35" t="s">
        <v>1366</v>
      </c>
      <c r="D161" s="36" t="s">
        <v>1367</v>
      </c>
      <c r="E161" s="36" t="s">
        <v>54</v>
      </c>
      <c r="F161" s="34" t="s">
        <v>1368</v>
      </c>
      <c r="G161" s="37" t="s">
        <v>350</v>
      </c>
      <c r="H161" s="37" t="s">
        <v>350</v>
      </c>
      <c r="I161" s="34">
        <v>81226003225</v>
      </c>
      <c r="J161" s="34" t="s">
        <v>41</v>
      </c>
      <c r="K161" s="39" t="s">
        <v>42</v>
      </c>
      <c r="L161" s="158" t="s">
        <v>1369</v>
      </c>
      <c r="M161" s="56"/>
      <c r="N161" s="56"/>
      <c r="O161" s="56"/>
      <c r="P161" s="56"/>
      <c r="Q161" s="56"/>
      <c r="R161" s="56"/>
      <c r="S161" s="56"/>
      <c r="T161" s="56"/>
      <c r="U161" s="56" t="s">
        <v>44</v>
      </c>
      <c r="V161" s="56"/>
      <c r="W161" s="56"/>
      <c r="X161" s="42" t="s">
        <v>1370</v>
      </c>
      <c r="Y161" s="58" t="s">
        <v>1371</v>
      </c>
      <c r="Z161" s="69"/>
      <c r="AA161" s="45"/>
      <c r="AB161" s="101"/>
      <c r="AC161" s="36"/>
      <c r="AD161" s="47" t="s">
        <v>49</v>
      </c>
      <c r="AE161" s="48" t="s">
        <v>41</v>
      </c>
      <c r="AF161" s="48" t="s">
        <v>41</v>
      </c>
      <c r="AG161" s="48" t="s">
        <v>41</v>
      </c>
      <c r="AH161" s="48" t="s">
        <v>41</v>
      </c>
      <c r="AI161" s="48" t="s">
        <v>49</v>
      </c>
      <c r="AJ161" s="49" t="s">
        <v>49</v>
      </c>
      <c r="AK161" s="48" t="s">
        <v>49</v>
      </c>
      <c r="AL161" s="62" t="s">
        <v>32</v>
      </c>
      <c r="AM161" s="59"/>
      <c r="AN161" s="10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1"/>
    </row>
    <row r="162" spans="1:51" x14ac:dyDescent="0.2">
      <c r="A162" s="33">
        <f t="shared" si="3"/>
        <v>157</v>
      </c>
      <c r="B162" s="34" t="s">
        <v>1372</v>
      </c>
      <c r="C162" s="35" t="s">
        <v>1373</v>
      </c>
      <c r="D162" s="36" t="s">
        <v>1374</v>
      </c>
      <c r="E162" s="36" t="s">
        <v>54</v>
      </c>
      <c r="F162" s="34" t="s">
        <v>1375</v>
      </c>
      <c r="G162" s="37" t="s">
        <v>73</v>
      </c>
      <c r="H162" s="37" t="s">
        <v>73</v>
      </c>
      <c r="I162" s="108" t="s">
        <v>1376</v>
      </c>
      <c r="J162" s="108" t="s">
        <v>1377</v>
      </c>
      <c r="K162" s="39" t="s">
        <v>42</v>
      </c>
      <c r="L162" s="99" t="s">
        <v>1378</v>
      </c>
      <c r="M162" s="56" t="s">
        <v>179</v>
      </c>
      <c r="N162" s="56" t="s">
        <v>179</v>
      </c>
      <c r="O162" s="56"/>
      <c r="P162" s="56">
        <v>4</v>
      </c>
      <c r="Q162" s="56" t="s">
        <v>1041</v>
      </c>
      <c r="R162" s="56"/>
      <c r="S162" s="56"/>
      <c r="T162" s="56"/>
      <c r="U162" s="56"/>
      <c r="V162" s="56"/>
      <c r="W162" s="56"/>
      <c r="X162" s="42" t="s">
        <v>1379</v>
      </c>
      <c r="Y162" s="58" t="s">
        <v>1380</v>
      </c>
      <c r="Z162" s="44"/>
      <c r="AA162" s="45" t="s">
        <v>47</v>
      </c>
      <c r="AB162" s="101"/>
      <c r="AC162" s="36" t="s">
        <v>26</v>
      </c>
      <c r="AD162" s="47" t="s">
        <v>49</v>
      </c>
      <c r="AE162" s="48" t="s">
        <v>49</v>
      </c>
      <c r="AF162" s="48" t="s">
        <v>41</v>
      </c>
      <c r="AG162" s="48" t="s">
        <v>41</v>
      </c>
      <c r="AH162" s="48" t="s">
        <v>41</v>
      </c>
      <c r="AI162" s="48" t="s">
        <v>41</v>
      </c>
      <c r="AJ162" s="49" t="s">
        <v>41</v>
      </c>
      <c r="AK162" s="48" t="s">
        <v>41</v>
      </c>
      <c r="AL162" s="62" t="s">
        <v>4587</v>
      </c>
      <c r="AM162" s="59"/>
      <c r="AN162" s="10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1"/>
    </row>
    <row r="163" spans="1:51" x14ac:dyDescent="0.2">
      <c r="A163" s="33">
        <f t="shared" si="3"/>
        <v>158</v>
      </c>
      <c r="B163" s="34" t="s">
        <v>1381</v>
      </c>
      <c r="C163" s="35" t="s">
        <v>1382</v>
      </c>
      <c r="D163" s="170" t="s">
        <v>1383</v>
      </c>
      <c r="E163" s="36" t="s">
        <v>54</v>
      </c>
      <c r="F163" s="34" t="s">
        <v>1384</v>
      </c>
      <c r="G163" s="37" t="s">
        <v>73</v>
      </c>
      <c r="H163" s="37" t="s">
        <v>73</v>
      </c>
      <c r="I163" s="107" t="s">
        <v>1385</v>
      </c>
      <c r="J163" s="171" t="s">
        <v>41</v>
      </c>
      <c r="K163" s="172" t="s">
        <v>42</v>
      </c>
      <c r="L163" s="173" t="s">
        <v>1363</v>
      </c>
      <c r="M163" s="70"/>
      <c r="N163" s="111"/>
      <c r="O163" s="111"/>
      <c r="P163" s="111"/>
      <c r="Q163" s="112"/>
      <c r="R163" s="112"/>
      <c r="S163" s="112"/>
      <c r="T163" s="41"/>
      <c r="U163" s="41"/>
      <c r="V163" s="41"/>
      <c r="W163" s="41"/>
      <c r="X163" s="42" t="s">
        <v>1386</v>
      </c>
      <c r="Y163" s="58" t="s">
        <v>1387</v>
      </c>
      <c r="Z163" s="44" t="s">
        <v>61</v>
      </c>
      <c r="AA163" s="45">
        <v>41793</v>
      </c>
      <c r="AB163" s="160" t="s">
        <v>30</v>
      </c>
      <c r="AC163" s="36" t="s">
        <v>26</v>
      </c>
      <c r="AD163" s="47" t="s">
        <v>49</v>
      </c>
      <c r="AE163" s="48" t="s">
        <v>49</v>
      </c>
      <c r="AF163" s="48" t="s">
        <v>41</v>
      </c>
      <c r="AG163" s="48" t="s">
        <v>41</v>
      </c>
      <c r="AH163" s="48" t="s">
        <v>41</v>
      </c>
      <c r="AI163" s="48" t="s">
        <v>41</v>
      </c>
      <c r="AJ163" s="49" t="s">
        <v>41</v>
      </c>
      <c r="AK163" s="48" t="s">
        <v>41</v>
      </c>
      <c r="AL163" s="62" t="s">
        <v>4587</v>
      </c>
      <c r="AM163" s="59"/>
      <c r="AN163" s="10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1"/>
    </row>
    <row r="164" spans="1:51" x14ac:dyDescent="0.2">
      <c r="A164" s="33">
        <f t="shared" si="3"/>
        <v>159</v>
      </c>
      <c r="B164" s="34" t="s">
        <v>1388</v>
      </c>
      <c r="C164" s="35" t="s">
        <v>1389</v>
      </c>
      <c r="D164" s="170" t="s">
        <v>1390</v>
      </c>
      <c r="E164" s="36" t="s">
        <v>36</v>
      </c>
      <c r="F164" s="34" t="s">
        <v>1391</v>
      </c>
      <c r="G164" s="37" t="s">
        <v>73</v>
      </c>
      <c r="H164" s="37" t="s">
        <v>73</v>
      </c>
      <c r="I164" s="108" t="s">
        <v>1392</v>
      </c>
      <c r="J164" s="108" t="s">
        <v>41</v>
      </c>
      <c r="K164" s="39" t="s">
        <v>42</v>
      </c>
      <c r="L164" s="99" t="s">
        <v>1393</v>
      </c>
      <c r="M164" s="115" t="s">
        <v>179</v>
      </c>
      <c r="N164" s="115" t="s">
        <v>179</v>
      </c>
      <c r="O164" s="115"/>
      <c r="P164" s="115">
        <v>3</v>
      </c>
      <c r="Q164" s="115"/>
      <c r="R164" s="115" t="s">
        <v>44</v>
      </c>
      <c r="S164" s="115"/>
      <c r="T164" s="56"/>
      <c r="U164" s="56"/>
      <c r="V164" s="56"/>
      <c r="W164" s="56"/>
      <c r="X164" s="42" t="s">
        <v>1394</v>
      </c>
      <c r="Y164" s="58" t="s">
        <v>1395</v>
      </c>
      <c r="Z164" s="58"/>
      <c r="AA164" s="45" t="s">
        <v>47</v>
      </c>
      <c r="AB164" s="101"/>
      <c r="AC164" s="36"/>
      <c r="AD164" s="47" t="s">
        <v>49</v>
      </c>
      <c r="AE164" s="48" t="s">
        <v>41</v>
      </c>
      <c r="AF164" s="48" t="s">
        <v>49</v>
      </c>
      <c r="AG164" s="48" t="s">
        <v>49</v>
      </c>
      <c r="AH164" s="48" t="s">
        <v>49</v>
      </c>
      <c r="AI164" s="48" t="s">
        <v>49</v>
      </c>
      <c r="AJ164" s="49" t="s">
        <v>41</v>
      </c>
      <c r="AK164" s="48" t="s">
        <v>41</v>
      </c>
      <c r="AL164" s="62" t="s">
        <v>276</v>
      </c>
      <c r="AM164" s="59"/>
      <c r="AN164" s="10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1"/>
    </row>
    <row r="165" spans="1:51" x14ac:dyDescent="0.2">
      <c r="A165" s="33">
        <f t="shared" si="3"/>
        <v>160</v>
      </c>
      <c r="B165" s="34" t="s">
        <v>1396</v>
      </c>
      <c r="C165" s="35" t="s">
        <v>1397</v>
      </c>
      <c r="D165" s="170" t="s">
        <v>1398</v>
      </c>
      <c r="E165" s="36" t="s">
        <v>54</v>
      </c>
      <c r="F165" s="34" t="s">
        <v>1399</v>
      </c>
      <c r="G165" s="37" t="s">
        <v>205</v>
      </c>
      <c r="H165" s="37" t="s">
        <v>205</v>
      </c>
      <c r="I165" s="34" t="s">
        <v>1400</v>
      </c>
      <c r="J165" s="34" t="s">
        <v>41</v>
      </c>
      <c r="K165" s="39" t="s">
        <v>42</v>
      </c>
      <c r="L165" s="99" t="s">
        <v>1401</v>
      </c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2" t="s">
        <v>1402</v>
      </c>
      <c r="Y165" s="58" t="s">
        <v>1403</v>
      </c>
      <c r="Z165" s="44" t="s">
        <v>61</v>
      </c>
      <c r="AA165" s="45">
        <v>36641</v>
      </c>
      <c r="AB165" s="101" t="s">
        <v>30</v>
      </c>
      <c r="AC165" s="36" t="s">
        <v>26</v>
      </c>
      <c r="AD165" s="47" t="s">
        <v>49</v>
      </c>
      <c r="AE165" s="48" t="s">
        <v>49</v>
      </c>
      <c r="AF165" s="48" t="s">
        <v>49</v>
      </c>
      <c r="AG165" s="48" t="s">
        <v>49</v>
      </c>
      <c r="AH165" s="48" t="s">
        <v>49</v>
      </c>
      <c r="AI165" s="48" t="s">
        <v>49</v>
      </c>
      <c r="AJ165" s="49" t="s">
        <v>49</v>
      </c>
      <c r="AK165" s="48" t="s">
        <v>41</v>
      </c>
      <c r="AL165" s="65" t="s">
        <v>148</v>
      </c>
      <c r="AM165" s="59"/>
      <c r="AN165" s="10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1"/>
    </row>
    <row r="166" spans="1:51" x14ac:dyDescent="0.2">
      <c r="A166" s="33">
        <f t="shared" si="3"/>
        <v>161</v>
      </c>
      <c r="B166" s="34" t="s">
        <v>1404</v>
      </c>
      <c r="C166" s="35" t="s">
        <v>1405</v>
      </c>
      <c r="D166" s="174" t="s">
        <v>1406</v>
      </c>
      <c r="E166" s="36" t="s">
        <v>54</v>
      </c>
      <c r="F166" s="34" t="s">
        <v>1407</v>
      </c>
      <c r="G166" s="37" t="s">
        <v>858</v>
      </c>
      <c r="H166" s="37" t="s">
        <v>57</v>
      </c>
      <c r="I166" s="34" t="s">
        <v>1408</v>
      </c>
      <c r="J166" s="34" t="s">
        <v>41</v>
      </c>
      <c r="K166" s="39" t="s">
        <v>42</v>
      </c>
      <c r="L166" s="99" t="s">
        <v>1409</v>
      </c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42" t="s">
        <v>1410</v>
      </c>
      <c r="Y166" s="58" t="s">
        <v>1411</v>
      </c>
      <c r="Z166" s="44" t="s">
        <v>1412</v>
      </c>
      <c r="AA166" s="45">
        <v>42935</v>
      </c>
      <c r="AB166" s="101" t="s">
        <v>30</v>
      </c>
      <c r="AC166" s="109" t="s">
        <v>26</v>
      </c>
      <c r="AD166" s="47" t="s">
        <v>49</v>
      </c>
      <c r="AE166" s="48" t="s">
        <v>49</v>
      </c>
      <c r="AF166" s="48" t="s">
        <v>49</v>
      </c>
      <c r="AG166" s="48" t="s">
        <v>49</v>
      </c>
      <c r="AH166" s="48" t="s">
        <v>49</v>
      </c>
      <c r="AI166" s="48" t="s">
        <v>49</v>
      </c>
      <c r="AJ166" s="49" t="s">
        <v>41</v>
      </c>
      <c r="AK166" s="48" t="s">
        <v>41</v>
      </c>
      <c r="AL166" s="62" t="s">
        <v>276</v>
      </c>
      <c r="AM166" s="59"/>
      <c r="AN166" s="10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1"/>
    </row>
    <row r="167" spans="1:51" x14ac:dyDescent="0.2">
      <c r="A167" s="33">
        <f t="shared" si="3"/>
        <v>162</v>
      </c>
      <c r="B167" s="34" t="s">
        <v>1413</v>
      </c>
      <c r="C167" s="35" t="s">
        <v>1414</v>
      </c>
      <c r="D167" s="36" t="s">
        <v>1415</v>
      </c>
      <c r="E167" s="36" t="s">
        <v>54</v>
      </c>
      <c r="F167" s="34" t="s">
        <v>1416</v>
      </c>
      <c r="G167" s="37" t="s">
        <v>1417</v>
      </c>
      <c r="H167" s="37" t="s">
        <v>187</v>
      </c>
      <c r="I167" s="34" t="s">
        <v>1418</v>
      </c>
      <c r="J167" s="34" t="s">
        <v>1419</v>
      </c>
      <c r="K167" s="39" t="s">
        <v>42</v>
      </c>
      <c r="L167" s="158" t="s">
        <v>1420</v>
      </c>
      <c r="M167" s="56" t="s">
        <v>179</v>
      </c>
      <c r="N167" s="56" t="s">
        <v>179</v>
      </c>
      <c r="O167" s="56"/>
      <c r="P167" s="56">
        <v>6</v>
      </c>
      <c r="Q167" s="56" t="s">
        <v>942</v>
      </c>
      <c r="R167" s="56"/>
      <c r="S167" s="56"/>
      <c r="T167" s="56"/>
      <c r="U167" s="56"/>
      <c r="V167" s="56"/>
      <c r="W167" s="56"/>
      <c r="X167" s="42" t="s">
        <v>1421</v>
      </c>
      <c r="Y167" s="58" t="s">
        <v>1422</v>
      </c>
      <c r="Z167" s="58"/>
      <c r="AA167" s="45" t="s">
        <v>47</v>
      </c>
      <c r="AB167" s="101"/>
      <c r="AC167" s="36"/>
      <c r="AD167" s="47" t="s">
        <v>49</v>
      </c>
      <c r="AE167" s="48" t="s">
        <v>41</v>
      </c>
      <c r="AF167" s="48" t="s">
        <v>41</v>
      </c>
      <c r="AG167" s="48" t="s">
        <v>41</v>
      </c>
      <c r="AH167" s="48" t="s">
        <v>41</v>
      </c>
      <c r="AI167" s="48" t="s">
        <v>41</v>
      </c>
      <c r="AJ167" s="49" t="s">
        <v>41</v>
      </c>
      <c r="AK167" s="48" t="s">
        <v>41</v>
      </c>
      <c r="AL167" s="65" t="s">
        <v>4588</v>
      </c>
      <c r="AM167" s="59"/>
      <c r="AN167" s="117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1"/>
    </row>
    <row r="168" spans="1:51" x14ac:dyDescent="0.2">
      <c r="A168" s="33">
        <f t="shared" si="3"/>
        <v>163</v>
      </c>
      <c r="B168" s="34" t="s">
        <v>1423</v>
      </c>
      <c r="C168" s="35" t="s">
        <v>1424</v>
      </c>
      <c r="D168" s="36" t="s">
        <v>1425</v>
      </c>
      <c r="E168" s="36" t="s">
        <v>36</v>
      </c>
      <c r="F168" s="87" t="s">
        <v>1426</v>
      </c>
      <c r="G168" s="37" t="s">
        <v>360</v>
      </c>
      <c r="H168" s="37" t="s">
        <v>350</v>
      </c>
      <c r="I168" s="34" t="s">
        <v>1427</v>
      </c>
      <c r="J168" s="34" t="s">
        <v>41</v>
      </c>
      <c r="K168" s="39" t="s">
        <v>42</v>
      </c>
      <c r="L168" s="158" t="s">
        <v>1428</v>
      </c>
      <c r="M168" s="56" t="s">
        <v>179</v>
      </c>
      <c r="N168" s="56" t="s">
        <v>179</v>
      </c>
      <c r="O168" s="56"/>
      <c r="P168" s="56">
        <v>6</v>
      </c>
      <c r="Q168" s="56" t="s">
        <v>942</v>
      </c>
      <c r="R168" s="56"/>
      <c r="S168" s="56"/>
      <c r="T168" s="56"/>
      <c r="U168" s="56"/>
      <c r="V168" s="56"/>
      <c r="W168" s="56"/>
      <c r="X168" s="42" t="s">
        <v>1429</v>
      </c>
      <c r="Y168" s="52" t="s">
        <v>1430</v>
      </c>
      <c r="Z168" s="52"/>
      <c r="AA168" s="45" t="s">
        <v>47</v>
      </c>
      <c r="AB168" s="101"/>
      <c r="AC168" s="36">
        <v>1</v>
      </c>
      <c r="AD168" s="47" t="s">
        <v>49</v>
      </c>
      <c r="AE168" s="48" t="s">
        <v>41</v>
      </c>
      <c r="AF168" s="48" t="s">
        <v>41</v>
      </c>
      <c r="AG168" s="48" t="s">
        <v>41</v>
      </c>
      <c r="AH168" s="48" t="s">
        <v>41</v>
      </c>
      <c r="AI168" s="48" t="s">
        <v>41</v>
      </c>
      <c r="AJ168" s="49" t="s">
        <v>41</v>
      </c>
      <c r="AK168" s="48" t="s">
        <v>41</v>
      </c>
      <c r="AL168" s="65" t="s">
        <v>4588</v>
      </c>
      <c r="AM168" s="59" t="s">
        <v>1431</v>
      </c>
      <c r="AN168" s="117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1"/>
    </row>
    <row r="169" spans="1:51" x14ac:dyDescent="0.2">
      <c r="A169" s="33">
        <f t="shared" si="3"/>
        <v>164</v>
      </c>
      <c r="B169" s="34" t="s">
        <v>1432</v>
      </c>
      <c r="C169" s="35" t="s">
        <v>1433</v>
      </c>
      <c r="D169" s="36" t="s">
        <v>1434</v>
      </c>
      <c r="E169" s="36" t="s">
        <v>54</v>
      </c>
      <c r="F169" s="34" t="s">
        <v>1435</v>
      </c>
      <c r="G169" s="37" t="s">
        <v>38</v>
      </c>
      <c r="H169" s="37" t="s">
        <v>39</v>
      </c>
      <c r="I169" s="38" t="s">
        <v>1436</v>
      </c>
      <c r="J169" s="34" t="s">
        <v>41</v>
      </c>
      <c r="K169" s="39" t="s">
        <v>42</v>
      </c>
      <c r="L169" s="166" t="s">
        <v>1437</v>
      </c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42" t="s">
        <v>1438</v>
      </c>
      <c r="Y169" s="58" t="s">
        <v>1439</v>
      </c>
      <c r="Z169" s="44" t="s">
        <v>1440</v>
      </c>
      <c r="AA169" s="45">
        <v>44041</v>
      </c>
      <c r="AB169" s="101" t="s">
        <v>30</v>
      </c>
      <c r="AC169" s="36" t="s">
        <v>26</v>
      </c>
      <c r="AD169" s="175" t="s">
        <v>49</v>
      </c>
      <c r="AE169" s="48" t="s">
        <v>49</v>
      </c>
      <c r="AF169" s="48" t="s">
        <v>49</v>
      </c>
      <c r="AG169" s="48" t="s">
        <v>49</v>
      </c>
      <c r="AH169" s="48" t="s">
        <v>49</v>
      </c>
      <c r="AI169" s="48" t="s">
        <v>49</v>
      </c>
      <c r="AJ169" s="49" t="s">
        <v>41</v>
      </c>
      <c r="AK169" s="48" t="s">
        <v>41</v>
      </c>
      <c r="AL169" s="62" t="s">
        <v>276</v>
      </c>
      <c r="AM169" s="59"/>
      <c r="AN169" s="10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1"/>
    </row>
    <row r="170" spans="1:51" x14ac:dyDescent="0.2">
      <c r="A170" s="33">
        <f t="shared" si="3"/>
        <v>165</v>
      </c>
      <c r="B170" s="34" t="s">
        <v>1441</v>
      </c>
      <c r="C170" s="35" t="s">
        <v>1442</v>
      </c>
      <c r="D170" s="36" t="s">
        <v>1443</v>
      </c>
      <c r="E170" s="36" t="s">
        <v>54</v>
      </c>
      <c r="F170" s="34" t="s">
        <v>1444</v>
      </c>
      <c r="G170" s="37" t="s">
        <v>73</v>
      </c>
      <c r="H170" s="37" t="s">
        <v>73</v>
      </c>
      <c r="I170" s="34" t="s">
        <v>1445</v>
      </c>
      <c r="J170" s="34" t="s">
        <v>1445</v>
      </c>
      <c r="K170" s="39" t="s">
        <v>42</v>
      </c>
      <c r="L170" s="166" t="s">
        <v>1446</v>
      </c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42" t="s">
        <v>1447</v>
      </c>
      <c r="Y170" s="58" t="s">
        <v>1448</v>
      </c>
      <c r="Z170" s="44" t="s">
        <v>61</v>
      </c>
      <c r="AA170" s="45">
        <v>34597</v>
      </c>
      <c r="AB170" s="101" t="s">
        <v>30</v>
      </c>
      <c r="AC170" s="36" t="s">
        <v>26</v>
      </c>
      <c r="AD170" s="47" t="s">
        <v>49</v>
      </c>
      <c r="AE170" s="48" t="s">
        <v>49</v>
      </c>
      <c r="AF170" s="48" t="s">
        <v>49</v>
      </c>
      <c r="AG170" s="48" t="s">
        <v>49</v>
      </c>
      <c r="AH170" s="48" t="s">
        <v>49</v>
      </c>
      <c r="AI170" s="48" t="s">
        <v>49</v>
      </c>
      <c r="AJ170" s="49" t="s">
        <v>49</v>
      </c>
      <c r="AK170" s="48" t="s">
        <v>49</v>
      </c>
      <c r="AL170" s="65" t="s">
        <v>32</v>
      </c>
      <c r="AM170" s="59"/>
      <c r="AN170" s="10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1"/>
    </row>
    <row r="171" spans="1:51" x14ac:dyDescent="0.2">
      <c r="A171" s="33">
        <f t="shared" si="3"/>
        <v>166</v>
      </c>
      <c r="B171" s="34" t="s">
        <v>1449</v>
      </c>
      <c r="C171" s="35" t="s">
        <v>1450</v>
      </c>
      <c r="D171" s="36" t="s">
        <v>1451</v>
      </c>
      <c r="E171" s="36" t="s">
        <v>54</v>
      </c>
      <c r="F171" s="34" t="s">
        <v>1452</v>
      </c>
      <c r="G171" s="37" t="s">
        <v>73</v>
      </c>
      <c r="H171" s="37" t="s">
        <v>73</v>
      </c>
      <c r="I171" s="34" t="s">
        <v>1453</v>
      </c>
      <c r="J171" s="34" t="s">
        <v>41</v>
      </c>
      <c r="K171" s="39" t="s">
        <v>42</v>
      </c>
      <c r="L171" s="166" t="s">
        <v>1454</v>
      </c>
      <c r="M171" s="56"/>
      <c r="N171" s="56"/>
      <c r="O171" s="56"/>
      <c r="P171" s="56"/>
      <c r="Q171" s="56"/>
      <c r="R171" s="56" t="s">
        <v>44</v>
      </c>
      <c r="S171" s="56"/>
      <c r="T171" s="56"/>
      <c r="U171" s="56"/>
      <c r="V171" s="56"/>
      <c r="W171" s="56"/>
      <c r="X171" s="42" t="s">
        <v>1455</v>
      </c>
      <c r="Y171" s="58" t="s">
        <v>1456</v>
      </c>
      <c r="Z171" s="84" t="s">
        <v>1457</v>
      </c>
      <c r="AA171" s="45">
        <v>44650</v>
      </c>
      <c r="AB171" s="101" t="s">
        <v>129</v>
      </c>
      <c r="AC171" s="36"/>
      <c r="AD171" s="47" t="s">
        <v>49</v>
      </c>
      <c r="AE171" s="48" t="s">
        <v>41</v>
      </c>
      <c r="AF171" s="48" t="s">
        <v>49</v>
      </c>
      <c r="AG171" s="48" t="s">
        <v>41</v>
      </c>
      <c r="AH171" s="48" t="s">
        <v>41</v>
      </c>
      <c r="AI171" s="48" t="s">
        <v>41</v>
      </c>
      <c r="AJ171" s="49" t="s">
        <v>41</v>
      </c>
      <c r="AK171" s="48" t="s">
        <v>41</v>
      </c>
      <c r="AL171" s="62" t="s">
        <v>110</v>
      </c>
      <c r="AM171" s="59"/>
      <c r="AN171" s="10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1"/>
    </row>
    <row r="172" spans="1:51" x14ac:dyDescent="0.2">
      <c r="A172" s="33">
        <f t="shared" si="3"/>
        <v>167</v>
      </c>
      <c r="B172" s="34" t="s">
        <v>1458</v>
      </c>
      <c r="C172" s="35" t="s">
        <v>1459</v>
      </c>
      <c r="D172" s="36" t="s">
        <v>1460</v>
      </c>
      <c r="E172" s="36" t="s">
        <v>54</v>
      </c>
      <c r="F172" s="34" t="s">
        <v>1461</v>
      </c>
      <c r="G172" s="176" t="s">
        <v>39</v>
      </c>
      <c r="H172" s="176" t="s">
        <v>39</v>
      </c>
      <c r="I172" s="34" t="s">
        <v>1462</v>
      </c>
      <c r="J172" s="34" t="s">
        <v>1463</v>
      </c>
      <c r="K172" s="39" t="s">
        <v>42</v>
      </c>
      <c r="L172" s="99" t="s">
        <v>1464</v>
      </c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42" t="s">
        <v>1465</v>
      </c>
      <c r="Y172" s="58" t="s">
        <v>1466</v>
      </c>
      <c r="Z172" s="44" t="s">
        <v>1467</v>
      </c>
      <c r="AA172" s="45">
        <v>44041</v>
      </c>
      <c r="AB172" s="101" t="s">
        <v>129</v>
      </c>
      <c r="AC172" s="36" t="s">
        <v>26</v>
      </c>
      <c r="AD172" s="47" t="s">
        <v>49</v>
      </c>
      <c r="AE172" s="48" t="s">
        <v>49</v>
      </c>
      <c r="AF172" s="48" t="s">
        <v>49</v>
      </c>
      <c r="AG172" s="48" t="s">
        <v>49</v>
      </c>
      <c r="AH172" s="48" t="s">
        <v>49</v>
      </c>
      <c r="AI172" s="48" t="s">
        <v>49</v>
      </c>
      <c r="AJ172" s="49" t="s">
        <v>49</v>
      </c>
      <c r="AK172" s="48" t="s">
        <v>49</v>
      </c>
      <c r="AL172" s="62" t="s">
        <v>32</v>
      </c>
      <c r="AM172" s="59"/>
      <c r="AN172" s="10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1"/>
    </row>
    <row r="173" spans="1:51" x14ac:dyDescent="0.2">
      <c r="A173" s="33">
        <f t="shared" si="3"/>
        <v>168</v>
      </c>
      <c r="B173" s="34" t="s">
        <v>1468</v>
      </c>
      <c r="C173" s="35" t="s">
        <v>1469</v>
      </c>
      <c r="D173" s="36" t="s">
        <v>1470</v>
      </c>
      <c r="E173" s="36" t="s">
        <v>36</v>
      </c>
      <c r="F173" s="34" t="s">
        <v>1471</v>
      </c>
      <c r="G173" s="176" t="s">
        <v>38</v>
      </c>
      <c r="H173" s="176" t="s">
        <v>39</v>
      </c>
      <c r="I173" s="38" t="s">
        <v>1472</v>
      </c>
      <c r="J173" s="34" t="s">
        <v>41</v>
      </c>
      <c r="K173" s="39" t="s">
        <v>42</v>
      </c>
      <c r="L173" s="120">
        <v>45320</v>
      </c>
      <c r="M173" s="56"/>
      <c r="N173" s="56"/>
      <c r="O173" s="56"/>
      <c r="P173" s="56"/>
      <c r="Q173" s="56"/>
      <c r="R173" s="115"/>
      <c r="S173" s="56"/>
      <c r="T173" s="56"/>
      <c r="U173" s="56" t="s">
        <v>44</v>
      </c>
      <c r="V173" s="56"/>
      <c r="W173" s="56"/>
      <c r="X173" s="42" t="s">
        <v>1473</v>
      </c>
      <c r="Y173" s="83" t="s">
        <v>1474</v>
      </c>
      <c r="Z173" s="44"/>
      <c r="AA173" s="45"/>
      <c r="AB173" s="101"/>
      <c r="AC173" s="36"/>
      <c r="AD173" s="47" t="s">
        <v>49</v>
      </c>
      <c r="AE173" s="48" t="s">
        <v>41</v>
      </c>
      <c r="AF173" s="48" t="s">
        <v>41</v>
      </c>
      <c r="AG173" s="48" t="s">
        <v>41</v>
      </c>
      <c r="AH173" s="48" t="s">
        <v>41</v>
      </c>
      <c r="AI173" s="48" t="s">
        <v>49</v>
      </c>
      <c r="AJ173" s="49" t="s">
        <v>49</v>
      </c>
      <c r="AK173" s="48" t="s">
        <v>41</v>
      </c>
      <c r="AL173" s="65" t="s">
        <v>148</v>
      </c>
      <c r="AM173" s="59"/>
      <c r="AN173" s="10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1"/>
    </row>
    <row r="174" spans="1:51" x14ac:dyDescent="0.2">
      <c r="A174" s="33">
        <f t="shared" si="3"/>
        <v>169</v>
      </c>
      <c r="B174" s="34" t="s">
        <v>1475</v>
      </c>
      <c r="C174" s="35" t="s">
        <v>1476</v>
      </c>
      <c r="D174" s="36" t="s">
        <v>1477</v>
      </c>
      <c r="E174" s="36" t="s">
        <v>36</v>
      </c>
      <c r="F174" s="34" t="s">
        <v>1478</v>
      </c>
      <c r="G174" s="37" t="s">
        <v>205</v>
      </c>
      <c r="H174" s="37" t="s">
        <v>205</v>
      </c>
      <c r="I174" s="34" t="s">
        <v>1479</v>
      </c>
      <c r="J174" s="34" t="s">
        <v>1480</v>
      </c>
      <c r="K174" s="39" t="s">
        <v>42</v>
      </c>
      <c r="L174" s="120">
        <v>37112</v>
      </c>
      <c r="M174" s="41"/>
      <c r="N174" s="41"/>
      <c r="O174" s="41"/>
      <c r="P174" s="41"/>
      <c r="Q174" s="41"/>
      <c r="R174" s="177"/>
      <c r="S174" s="112"/>
      <c r="T174" s="41" t="s">
        <v>732</v>
      </c>
      <c r="U174" s="41"/>
      <c r="V174" s="41"/>
      <c r="W174" s="41"/>
      <c r="X174" s="42" t="s">
        <v>1481</v>
      </c>
      <c r="Y174" s="58" t="s">
        <v>1482</v>
      </c>
      <c r="Z174" s="58"/>
      <c r="AA174" s="45">
        <v>45642</v>
      </c>
      <c r="AB174" s="101"/>
      <c r="AC174" s="36" t="s">
        <v>26</v>
      </c>
      <c r="AD174" s="47" t="s">
        <v>49</v>
      </c>
      <c r="AE174" s="48" t="s">
        <v>49</v>
      </c>
      <c r="AF174" s="48" t="s">
        <v>49</v>
      </c>
      <c r="AG174" s="48" t="s">
        <v>49</v>
      </c>
      <c r="AH174" s="48" t="s">
        <v>49</v>
      </c>
      <c r="AI174" s="48" t="s">
        <v>49</v>
      </c>
      <c r="AJ174" s="49" t="s">
        <v>49</v>
      </c>
      <c r="AK174" s="48" t="s">
        <v>41</v>
      </c>
      <c r="AL174" s="65" t="s">
        <v>148</v>
      </c>
      <c r="AM174" s="59"/>
      <c r="AN174" s="10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1"/>
    </row>
    <row r="175" spans="1:51" x14ac:dyDescent="0.2">
      <c r="A175" s="33">
        <f t="shared" si="3"/>
        <v>170</v>
      </c>
      <c r="B175" s="34" t="s">
        <v>1483</v>
      </c>
      <c r="C175" s="35" t="s">
        <v>1484</v>
      </c>
      <c r="D175" s="36" t="s">
        <v>1485</v>
      </c>
      <c r="E175" s="36" t="s">
        <v>54</v>
      </c>
      <c r="F175" s="34" t="s">
        <v>1486</v>
      </c>
      <c r="G175" s="37" t="s">
        <v>73</v>
      </c>
      <c r="H175" s="37" t="s">
        <v>73</v>
      </c>
      <c r="I175" s="34" t="s">
        <v>1445</v>
      </c>
      <c r="J175" s="34" t="s">
        <v>1445</v>
      </c>
      <c r="K175" s="39" t="s">
        <v>42</v>
      </c>
      <c r="L175" s="166" t="s">
        <v>1487</v>
      </c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2" t="s">
        <v>1488</v>
      </c>
      <c r="Y175" s="43" t="s">
        <v>1489</v>
      </c>
      <c r="Z175" s="44" t="s">
        <v>61</v>
      </c>
      <c r="AA175" s="45">
        <v>39286</v>
      </c>
      <c r="AB175" s="101" t="s">
        <v>30</v>
      </c>
      <c r="AC175" s="36" t="s">
        <v>26</v>
      </c>
      <c r="AD175" s="47" t="s">
        <v>49</v>
      </c>
      <c r="AE175" s="48" t="s">
        <v>49</v>
      </c>
      <c r="AF175" s="48" t="s">
        <v>49</v>
      </c>
      <c r="AG175" s="48" t="s">
        <v>49</v>
      </c>
      <c r="AH175" s="48" t="s">
        <v>49</v>
      </c>
      <c r="AI175" s="48" t="s">
        <v>49</v>
      </c>
      <c r="AJ175" s="49" t="s">
        <v>49</v>
      </c>
      <c r="AK175" s="48" t="s">
        <v>49</v>
      </c>
      <c r="AL175" s="65" t="s">
        <v>32</v>
      </c>
      <c r="AM175" s="59"/>
      <c r="AN175" s="10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1"/>
    </row>
    <row r="176" spans="1:51" x14ac:dyDescent="0.2">
      <c r="A176" s="33">
        <f t="shared" si="3"/>
        <v>171</v>
      </c>
      <c r="B176" s="34" t="s">
        <v>1490</v>
      </c>
      <c r="C176" s="35" t="s">
        <v>1491</v>
      </c>
      <c r="D176" s="36" t="s">
        <v>1492</v>
      </c>
      <c r="E176" s="36" t="s">
        <v>54</v>
      </c>
      <c r="F176" s="98" t="s">
        <v>1493</v>
      </c>
      <c r="G176" s="37" t="s">
        <v>528</v>
      </c>
      <c r="H176" s="37" t="s">
        <v>57</v>
      </c>
      <c r="I176" s="34" t="s">
        <v>1494</v>
      </c>
      <c r="J176" s="34" t="s">
        <v>1495</v>
      </c>
      <c r="K176" s="39" t="s">
        <v>42</v>
      </c>
      <c r="L176" s="99" t="s">
        <v>1496</v>
      </c>
      <c r="M176" s="115"/>
      <c r="N176" s="115"/>
      <c r="O176" s="115"/>
      <c r="P176" s="115"/>
      <c r="Q176" s="115"/>
      <c r="R176" s="115"/>
      <c r="S176" s="115"/>
      <c r="T176" s="56"/>
      <c r="U176" s="56"/>
      <c r="V176" s="56"/>
      <c r="W176" s="56"/>
      <c r="X176" s="42" t="s">
        <v>1497</v>
      </c>
      <c r="Y176" s="58" t="s">
        <v>1498</v>
      </c>
      <c r="Z176" s="44" t="s">
        <v>61</v>
      </c>
      <c r="AA176" s="45">
        <v>36641</v>
      </c>
      <c r="AB176" s="101" t="s">
        <v>30</v>
      </c>
      <c r="AC176" s="36" t="s">
        <v>26</v>
      </c>
      <c r="AD176" s="47" t="s">
        <v>49</v>
      </c>
      <c r="AE176" s="48" t="s">
        <v>49</v>
      </c>
      <c r="AF176" s="48" t="s">
        <v>41</v>
      </c>
      <c r="AG176" s="48" t="s">
        <v>41</v>
      </c>
      <c r="AH176" s="48" t="s">
        <v>41</v>
      </c>
      <c r="AI176" s="48" t="s">
        <v>41</v>
      </c>
      <c r="AJ176" s="49" t="s">
        <v>41</v>
      </c>
      <c r="AK176" s="48" t="s">
        <v>41</v>
      </c>
      <c r="AL176" s="62" t="s">
        <v>4587</v>
      </c>
      <c r="AM176" s="59"/>
      <c r="AN176" s="10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1"/>
    </row>
    <row r="177" spans="1:51" x14ac:dyDescent="0.2">
      <c r="A177" s="33">
        <f t="shared" si="3"/>
        <v>172</v>
      </c>
      <c r="B177" s="34" t="s">
        <v>1499</v>
      </c>
      <c r="C177" s="35" t="s">
        <v>1500</v>
      </c>
      <c r="D177" s="36" t="s">
        <v>4611</v>
      </c>
      <c r="E177" s="36" t="s">
        <v>54</v>
      </c>
      <c r="F177" s="34" t="s">
        <v>1501</v>
      </c>
      <c r="G177" s="37" t="s">
        <v>73</v>
      </c>
      <c r="H177" s="37" t="s">
        <v>73</v>
      </c>
      <c r="I177" s="34" t="s">
        <v>1502</v>
      </c>
      <c r="J177" s="34" t="s">
        <v>41</v>
      </c>
      <c r="K177" s="39" t="s">
        <v>42</v>
      </c>
      <c r="L177" s="99" t="s">
        <v>1503</v>
      </c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42" t="s">
        <v>4612</v>
      </c>
      <c r="Y177" s="58" t="s">
        <v>1504</v>
      </c>
      <c r="Z177" s="44" t="s">
        <v>61</v>
      </c>
      <c r="AA177" s="45">
        <v>36641</v>
      </c>
      <c r="AB177" s="101" t="s">
        <v>30</v>
      </c>
      <c r="AC177" s="36" t="s">
        <v>26</v>
      </c>
      <c r="AD177" s="47" t="s">
        <v>49</v>
      </c>
      <c r="AE177" s="48" t="s">
        <v>49</v>
      </c>
      <c r="AF177" s="48" t="s">
        <v>49</v>
      </c>
      <c r="AG177" s="48" t="s">
        <v>49</v>
      </c>
      <c r="AH177" s="48" t="s">
        <v>49</v>
      </c>
      <c r="AI177" s="48" t="s">
        <v>49</v>
      </c>
      <c r="AJ177" s="49" t="s">
        <v>49</v>
      </c>
      <c r="AK177" s="48" t="s">
        <v>49</v>
      </c>
      <c r="AL177" s="65" t="s">
        <v>32</v>
      </c>
      <c r="AM177" s="59"/>
      <c r="AN177" s="10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1"/>
    </row>
    <row r="178" spans="1:51" x14ac:dyDescent="0.2">
      <c r="A178" s="33">
        <f t="shared" si="3"/>
        <v>173</v>
      </c>
      <c r="B178" s="34" t="s">
        <v>1505</v>
      </c>
      <c r="C178" s="35" t="s">
        <v>1506</v>
      </c>
      <c r="D178" s="36" t="s">
        <v>1507</v>
      </c>
      <c r="E178" s="36" t="s">
        <v>54</v>
      </c>
      <c r="F178" s="34" t="s">
        <v>1508</v>
      </c>
      <c r="G178" s="37" t="s">
        <v>176</v>
      </c>
      <c r="H178" s="37" t="s">
        <v>39</v>
      </c>
      <c r="I178" s="34" t="s">
        <v>1509</v>
      </c>
      <c r="J178" s="34" t="s">
        <v>1509</v>
      </c>
      <c r="K178" s="39" t="s">
        <v>42</v>
      </c>
      <c r="L178" s="158" t="s">
        <v>1510</v>
      </c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2" t="s">
        <v>1511</v>
      </c>
      <c r="Y178" s="69" t="s">
        <v>1512</v>
      </c>
      <c r="Z178" s="44" t="s">
        <v>61</v>
      </c>
      <c r="AA178" s="45">
        <v>36803</v>
      </c>
      <c r="AB178" s="101" t="s">
        <v>30</v>
      </c>
      <c r="AC178" s="36"/>
      <c r="AD178" s="47" t="s">
        <v>49</v>
      </c>
      <c r="AE178" s="48" t="s">
        <v>49</v>
      </c>
      <c r="AF178" s="48" t="s">
        <v>49</v>
      </c>
      <c r="AG178" s="48" t="s">
        <v>49</v>
      </c>
      <c r="AH178" s="48" t="s">
        <v>49</v>
      </c>
      <c r="AI178" s="48" t="s">
        <v>49</v>
      </c>
      <c r="AJ178" s="49" t="s">
        <v>49</v>
      </c>
      <c r="AK178" s="48" t="s">
        <v>41</v>
      </c>
      <c r="AL178" s="65" t="s">
        <v>148</v>
      </c>
      <c r="AM178" s="59"/>
      <c r="AN178" s="10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1"/>
    </row>
    <row r="179" spans="1:51" x14ac:dyDescent="0.2">
      <c r="A179" s="33">
        <f t="shared" si="3"/>
        <v>174</v>
      </c>
      <c r="B179" s="34" t="s">
        <v>1513</v>
      </c>
      <c r="C179" s="35" t="s">
        <v>1514</v>
      </c>
      <c r="D179" s="89" t="s">
        <v>1515</v>
      </c>
      <c r="E179" s="36" t="s">
        <v>36</v>
      </c>
      <c r="F179" s="34" t="s">
        <v>1516</v>
      </c>
      <c r="G179" s="37" t="s">
        <v>205</v>
      </c>
      <c r="H179" s="37" t="s">
        <v>205</v>
      </c>
      <c r="I179" s="38" t="s">
        <v>1517</v>
      </c>
      <c r="J179" s="107" t="s">
        <v>41</v>
      </c>
      <c r="K179" s="39" t="s">
        <v>42</v>
      </c>
      <c r="L179" s="158" t="s">
        <v>1518</v>
      </c>
      <c r="M179" s="41"/>
      <c r="N179" s="41"/>
      <c r="O179" s="41"/>
      <c r="P179" s="41"/>
      <c r="Q179" s="41"/>
      <c r="R179" s="41"/>
      <c r="S179" s="41"/>
      <c r="T179" s="41" t="s">
        <v>44</v>
      </c>
      <c r="U179" s="41"/>
      <c r="V179" s="41"/>
      <c r="W179" s="41"/>
      <c r="X179" s="42" t="s">
        <v>1519</v>
      </c>
      <c r="Y179" s="58" t="s">
        <v>1520</v>
      </c>
      <c r="Z179" s="44"/>
      <c r="AA179" s="45">
        <v>45642</v>
      </c>
      <c r="AB179" s="101"/>
      <c r="AC179" s="36"/>
      <c r="AD179" s="47" t="s">
        <v>49</v>
      </c>
      <c r="AE179" s="48" t="s">
        <v>41</v>
      </c>
      <c r="AF179" s="48" t="s">
        <v>41</v>
      </c>
      <c r="AG179" s="48" t="s">
        <v>41</v>
      </c>
      <c r="AH179" s="48" t="s">
        <v>49</v>
      </c>
      <c r="AI179" s="48" t="s">
        <v>49</v>
      </c>
      <c r="AJ179" s="49" t="s">
        <v>49</v>
      </c>
      <c r="AK179" s="48" t="s">
        <v>49</v>
      </c>
      <c r="AL179" s="65" t="s">
        <v>32</v>
      </c>
      <c r="AM179" s="59"/>
      <c r="AN179" s="10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1"/>
    </row>
    <row r="180" spans="1:51" x14ac:dyDescent="0.2">
      <c r="A180" s="33">
        <f t="shared" si="3"/>
        <v>175</v>
      </c>
      <c r="B180" s="34" t="s">
        <v>1521</v>
      </c>
      <c r="C180" s="35" t="s">
        <v>1522</v>
      </c>
      <c r="D180" s="36" t="s">
        <v>1523</v>
      </c>
      <c r="E180" s="36" t="s">
        <v>54</v>
      </c>
      <c r="F180" s="34" t="s">
        <v>1524</v>
      </c>
      <c r="G180" s="37" t="s">
        <v>73</v>
      </c>
      <c r="H180" s="37" t="s">
        <v>73</v>
      </c>
      <c r="I180" s="38" t="s">
        <v>1525</v>
      </c>
      <c r="J180" s="38" t="s">
        <v>1525</v>
      </c>
      <c r="K180" s="178" t="s">
        <v>42</v>
      </c>
      <c r="L180" s="158" t="s">
        <v>1526</v>
      </c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42" t="s">
        <v>1527</v>
      </c>
      <c r="Y180" s="58" t="s">
        <v>1528</v>
      </c>
      <c r="Z180" s="44" t="s">
        <v>1529</v>
      </c>
      <c r="AA180" s="45">
        <v>42935</v>
      </c>
      <c r="AB180" s="180" t="s">
        <v>30</v>
      </c>
      <c r="AC180" s="36" t="s">
        <v>26</v>
      </c>
      <c r="AD180" s="181" t="s">
        <v>49</v>
      </c>
      <c r="AE180" s="48" t="s">
        <v>49</v>
      </c>
      <c r="AF180" s="48" t="s">
        <v>49</v>
      </c>
      <c r="AG180" s="48" t="s">
        <v>41</v>
      </c>
      <c r="AH180" s="48" t="s">
        <v>41</v>
      </c>
      <c r="AI180" s="48" t="s">
        <v>41</v>
      </c>
      <c r="AJ180" s="49" t="s">
        <v>41</v>
      </c>
      <c r="AK180" s="48" t="s">
        <v>41</v>
      </c>
      <c r="AL180" s="62" t="s">
        <v>110</v>
      </c>
      <c r="AM180" s="59"/>
      <c r="AN180" s="10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1"/>
    </row>
    <row r="181" spans="1:51" x14ac:dyDescent="0.2">
      <c r="A181" s="33">
        <f t="shared" si="3"/>
        <v>176</v>
      </c>
      <c r="B181" s="34" t="s">
        <v>1530</v>
      </c>
      <c r="C181" s="35" t="s">
        <v>1531</v>
      </c>
      <c r="D181" s="36" t="s">
        <v>1532</v>
      </c>
      <c r="E181" s="36" t="s">
        <v>36</v>
      </c>
      <c r="F181" s="87" t="s">
        <v>1533</v>
      </c>
      <c r="G181" s="182" t="s">
        <v>73</v>
      </c>
      <c r="H181" s="182" t="s">
        <v>73</v>
      </c>
      <c r="I181" s="183" t="s">
        <v>1534</v>
      </c>
      <c r="J181" s="38" t="s">
        <v>1534</v>
      </c>
      <c r="K181" s="178" t="s">
        <v>42</v>
      </c>
      <c r="L181" s="158" t="s">
        <v>1535</v>
      </c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42" t="s">
        <v>1536</v>
      </c>
      <c r="Y181" s="58" t="s">
        <v>1537</v>
      </c>
      <c r="Z181" s="119" t="s">
        <v>1538</v>
      </c>
      <c r="AA181" s="45">
        <v>42935</v>
      </c>
      <c r="AB181" s="180" t="s">
        <v>30</v>
      </c>
      <c r="AC181" s="36" t="s">
        <v>26</v>
      </c>
      <c r="AD181" s="181" t="s">
        <v>49</v>
      </c>
      <c r="AE181" s="48" t="s">
        <v>49</v>
      </c>
      <c r="AF181" s="48" t="s">
        <v>49</v>
      </c>
      <c r="AG181" s="48" t="s">
        <v>49</v>
      </c>
      <c r="AH181" s="48" t="s">
        <v>49</v>
      </c>
      <c r="AI181" s="48" t="s">
        <v>49</v>
      </c>
      <c r="AJ181" s="49" t="s">
        <v>49</v>
      </c>
      <c r="AK181" s="48" t="s">
        <v>49</v>
      </c>
      <c r="AL181" s="65" t="s">
        <v>32</v>
      </c>
      <c r="AM181" s="184"/>
      <c r="AN181" s="10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1"/>
    </row>
    <row r="182" spans="1:51" x14ac:dyDescent="0.2">
      <c r="A182" s="33">
        <f t="shared" si="3"/>
        <v>177</v>
      </c>
      <c r="B182" s="34" t="s">
        <v>1539</v>
      </c>
      <c r="C182" s="35" t="s">
        <v>1540</v>
      </c>
      <c r="D182" s="174" t="s">
        <v>1541</v>
      </c>
      <c r="E182" s="36" t="s">
        <v>36</v>
      </c>
      <c r="F182" s="108" t="s">
        <v>1542</v>
      </c>
      <c r="G182" s="37" t="s">
        <v>1285</v>
      </c>
      <c r="H182" s="37" t="s">
        <v>350</v>
      </c>
      <c r="I182" s="140" t="s">
        <v>1543</v>
      </c>
      <c r="J182" s="108" t="s">
        <v>41</v>
      </c>
      <c r="K182" s="39" t="s">
        <v>42</v>
      </c>
      <c r="L182" s="158" t="s">
        <v>1544</v>
      </c>
      <c r="M182" s="56"/>
      <c r="N182" s="56"/>
      <c r="O182" s="56"/>
      <c r="P182" s="56"/>
      <c r="Q182" s="56"/>
      <c r="R182" s="56"/>
      <c r="S182" s="56"/>
      <c r="T182" s="56" t="s">
        <v>44</v>
      </c>
      <c r="U182" s="56"/>
      <c r="V182" s="56"/>
      <c r="W182" s="56"/>
      <c r="X182" s="42" t="s">
        <v>1545</v>
      </c>
      <c r="Y182" s="58" t="s">
        <v>1546</v>
      </c>
      <c r="Z182" s="58"/>
      <c r="AA182" s="45">
        <v>45642</v>
      </c>
      <c r="AB182" s="101"/>
      <c r="AC182" s="109"/>
      <c r="AD182" s="47" t="s">
        <v>49</v>
      </c>
      <c r="AE182" s="48" t="s">
        <v>41</v>
      </c>
      <c r="AF182" s="48" t="s">
        <v>41</v>
      </c>
      <c r="AG182" s="48" t="s">
        <v>41</v>
      </c>
      <c r="AH182" s="48" t="s">
        <v>49</v>
      </c>
      <c r="AI182" s="48" t="s">
        <v>49</v>
      </c>
      <c r="AJ182" s="49" t="s">
        <v>49</v>
      </c>
      <c r="AK182" s="48" t="s">
        <v>41</v>
      </c>
      <c r="AL182" s="65" t="s">
        <v>148</v>
      </c>
      <c r="AM182" s="59"/>
      <c r="AN182" s="10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1"/>
    </row>
    <row r="183" spans="1:51" x14ac:dyDescent="0.2">
      <c r="A183" s="33">
        <f t="shared" si="3"/>
        <v>178</v>
      </c>
      <c r="B183" s="34" t="s">
        <v>1547</v>
      </c>
      <c r="C183" s="35" t="s">
        <v>1548</v>
      </c>
      <c r="D183" s="174" t="s">
        <v>1549</v>
      </c>
      <c r="E183" s="36" t="s">
        <v>54</v>
      </c>
      <c r="F183" s="185" t="s">
        <v>1550</v>
      </c>
      <c r="G183" s="126" t="s">
        <v>73</v>
      </c>
      <c r="H183" s="126" t="s">
        <v>73</v>
      </c>
      <c r="I183" s="139" t="s">
        <v>1551</v>
      </c>
      <c r="J183" s="108" t="s">
        <v>1552</v>
      </c>
      <c r="K183" s="39" t="s">
        <v>42</v>
      </c>
      <c r="L183" s="158" t="s">
        <v>1553</v>
      </c>
      <c r="M183" s="56"/>
      <c r="N183" s="137"/>
      <c r="O183" s="137"/>
      <c r="P183" s="137"/>
      <c r="Q183" s="137"/>
      <c r="R183" s="186"/>
      <c r="S183" s="115"/>
      <c r="T183" s="56"/>
      <c r="U183" s="56"/>
      <c r="V183" s="56"/>
      <c r="W183" s="56"/>
      <c r="X183" s="42" t="s">
        <v>1554</v>
      </c>
      <c r="Y183" s="58" t="s">
        <v>1555</v>
      </c>
      <c r="Z183" s="121" t="s">
        <v>1556</v>
      </c>
      <c r="AA183" s="45">
        <v>44650</v>
      </c>
      <c r="AB183" s="101" t="s">
        <v>30</v>
      </c>
      <c r="AC183" s="109" t="s">
        <v>26</v>
      </c>
      <c r="AD183" s="47" t="s">
        <v>49</v>
      </c>
      <c r="AE183" s="48" t="s">
        <v>49</v>
      </c>
      <c r="AF183" s="48" t="s">
        <v>49</v>
      </c>
      <c r="AG183" s="48" t="s">
        <v>49</v>
      </c>
      <c r="AH183" s="48" t="s">
        <v>49</v>
      </c>
      <c r="AI183" s="48" t="s">
        <v>49</v>
      </c>
      <c r="AJ183" s="49" t="s">
        <v>49</v>
      </c>
      <c r="AK183" s="48" t="s">
        <v>49</v>
      </c>
      <c r="AL183" s="62" t="s">
        <v>32</v>
      </c>
      <c r="AM183" s="59"/>
      <c r="AN183" s="10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1"/>
    </row>
    <row r="184" spans="1:51" x14ac:dyDescent="0.2">
      <c r="A184" s="33">
        <f t="shared" si="3"/>
        <v>179</v>
      </c>
      <c r="B184" s="34" t="s">
        <v>1557</v>
      </c>
      <c r="C184" s="35" t="s">
        <v>1558</v>
      </c>
      <c r="D184" s="174" t="s">
        <v>1559</v>
      </c>
      <c r="E184" s="36" t="s">
        <v>54</v>
      </c>
      <c r="F184" s="108" t="s">
        <v>1560</v>
      </c>
      <c r="G184" s="37" t="s">
        <v>73</v>
      </c>
      <c r="H184" s="37" t="s">
        <v>73</v>
      </c>
      <c r="I184" s="140" t="s">
        <v>1561</v>
      </c>
      <c r="J184" s="108"/>
      <c r="K184" s="39" t="s">
        <v>42</v>
      </c>
      <c r="L184" s="158" t="s">
        <v>1562</v>
      </c>
      <c r="M184" s="56"/>
      <c r="N184" s="56"/>
      <c r="O184" s="56"/>
      <c r="P184" s="56"/>
      <c r="Q184" s="115"/>
      <c r="R184" s="115" t="s">
        <v>44</v>
      </c>
      <c r="S184" s="115"/>
      <c r="T184" s="56"/>
      <c r="U184" s="56"/>
      <c r="V184" s="56"/>
      <c r="W184" s="56"/>
      <c r="X184" s="42" t="s">
        <v>1563</v>
      </c>
      <c r="Y184" s="58" t="s">
        <v>1564</v>
      </c>
      <c r="Z184" s="44" t="s">
        <v>1565</v>
      </c>
      <c r="AA184" s="45">
        <v>44944</v>
      </c>
      <c r="AB184" s="101" t="s">
        <v>30</v>
      </c>
      <c r="AC184" s="109"/>
      <c r="AD184" s="47" t="s">
        <v>49</v>
      </c>
      <c r="AE184" s="48" t="s">
        <v>41</v>
      </c>
      <c r="AF184" s="48" t="s">
        <v>49</v>
      </c>
      <c r="AG184" s="48" t="s">
        <v>49</v>
      </c>
      <c r="AH184" s="48" t="s">
        <v>49</v>
      </c>
      <c r="AI184" s="48" t="s">
        <v>49</v>
      </c>
      <c r="AJ184" s="49" t="s">
        <v>49</v>
      </c>
      <c r="AK184" s="48" t="s">
        <v>49</v>
      </c>
      <c r="AL184" s="62" t="s">
        <v>32</v>
      </c>
      <c r="AM184" s="59"/>
      <c r="AN184" s="10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1"/>
    </row>
    <row r="185" spans="1:51" x14ac:dyDescent="0.2">
      <c r="A185" s="33">
        <f t="shared" si="3"/>
        <v>180</v>
      </c>
      <c r="B185" s="34" t="s">
        <v>1566</v>
      </c>
      <c r="C185" s="35" t="s">
        <v>1567</v>
      </c>
      <c r="D185" s="36" t="s">
        <v>1568</v>
      </c>
      <c r="E185" s="36" t="s">
        <v>54</v>
      </c>
      <c r="F185" s="98" t="s">
        <v>1569</v>
      </c>
      <c r="G185" s="37" t="s">
        <v>73</v>
      </c>
      <c r="H185" s="37" t="s">
        <v>73</v>
      </c>
      <c r="I185" s="34" t="s">
        <v>1570</v>
      </c>
      <c r="J185" s="34" t="s">
        <v>1571</v>
      </c>
      <c r="K185" s="39" t="s">
        <v>42</v>
      </c>
      <c r="L185" s="158" t="s">
        <v>1572</v>
      </c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2" t="s">
        <v>1573</v>
      </c>
      <c r="Y185" s="52" t="s">
        <v>1574</v>
      </c>
      <c r="Z185" s="44" t="s">
        <v>61</v>
      </c>
      <c r="AA185" s="45">
        <v>36641</v>
      </c>
      <c r="AB185" s="101" t="s">
        <v>30</v>
      </c>
      <c r="AC185" s="36"/>
      <c r="AD185" s="47" t="s">
        <v>49</v>
      </c>
      <c r="AE185" s="48" t="s">
        <v>41</v>
      </c>
      <c r="AF185" s="48" t="s">
        <v>41</v>
      </c>
      <c r="AG185" s="48" t="s">
        <v>41</v>
      </c>
      <c r="AH185" s="48" t="s">
        <v>41</v>
      </c>
      <c r="AI185" s="48" t="s">
        <v>41</v>
      </c>
      <c r="AJ185" s="49" t="s">
        <v>41</v>
      </c>
      <c r="AK185" s="48" t="s">
        <v>41</v>
      </c>
      <c r="AL185" s="65" t="s">
        <v>4592</v>
      </c>
      <c r="AM185" s="59"/>
      <c r="AN185" s="10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1"/>
    </row>
    <row r="186" spans="1:51" x14ac:dyDescent="0.2">
      <c r="A186" s="33">
        <f t="shared" si="3"/>
        <v>181</v>
      </c>
      <c r="B186" s="34" t="s">
        <v>1575</v>
      </c>
      <c r="C186" s="35" t="s">
        <v>1576</v>
      </c>
      <c r="D186" s="36" t="s">
        <v>1577</v>
      </c>
      <c r="E186" s="36" t="s">
        <v>54</v>
      </c>
      <c r="F186" s="34" t="s">
        <v>1578</v>
      </c>
      <c r="G186" s="37" t="s">
        <v>73</v>
      </c>
      <c r="H186" s="37" t="s">
        <v>73</v>
      </c>
      <c r="I186" s="34" t="s">
        <v>1579</v>
      </c>
      <c r="J186" s="34" t="s">
        <v>1579</v>
      </c>
      <c r="K186" s="39" t="s">
        <v>42</v>
      </c>
      <c r="L186" s="99" t="s">
        <v>1580</v>
      </c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42" t="s">
        <v>1581</v>
      </c>
      <c r="Y186" s="52" t="s">
        <v>1582</v>
      </c>
      <c r="Z186" s="44" t="s">
        <v>61</v>
      </c>
      <c r="AA186" s="45">
        <v>40815</v>
      </c>
      <c r="AB186" s="101" t="s">
        <v>129</v>
      </c>
      <c r="AC186" s="73" t="s">
        <v>26</v>
      </c>
      <c r="AD186" s="61" t="s">
        <v>49</v>
      </c>
      <c r="AE186" s="48" t="s">
        <v>49</v>
      </c>
      <c r="AF186" s="48" t="s">
        <v>49</v>
      </c>
      <c r="AG186" s="48" t="s">
        <v>49</v>
      </c>
      <c r="AH186" s="48" t="s">
        <v>49</v>
      </c>
      <c r="AI186" s="48" t="s">
        <v>49</v>
      </c>
      <c r="AJ186" s="49" t="s">
        <v>49</v>
      </c>
      <c r="AK186" s="48" t="s">
        <v>41</v>
      </c>
      <c r="AL186" s="65" t="s">
        <v>148</v>
      </c>
      <c r="AM186" s="59"/>
      <c r="AN186" s="10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1"/>
    </row>
    <row r="187" spans="1:51" x14ac:dyDescent="0.2">
      <c r="A187" s="33">
        <f t="shared" si="3"/>
        <v>182</v>
      </c>
      <c r="B187" s="34" t="s">
        <v>1583</v>
      </c>
      <c r="C187" s="35" t="s">
        <v>1584</v>
      </c>
      <c r="D187" s="36" t="s">
        <v>1585</v>
      </c>
      <c r="E187" s="36" t="s">
        <v>54</v>
      </c>
      <c r="F187" s="98" t="s">
        <v>1586</v>
      </c>
      <c r="G187" s="37" t="s">
        <v>73</v>
      </c>
      <c r="H187" s="37" t="s">
        <v>73</v>
      </c>
      <c r="I187" s="54" t="s">
        <v>1587</v>
      </c>
      <c r="J187" s="34" t="s">
        <v>41</v>
      </c>
      <c r="K187" s="39" t="s">
        <v>42</v>
      </c>
      <c r="L187" s="158" t="s">
        <v>1588</v>
      </c>
      <c r="M187" s="56" t="s">
        <v>179</v>
      </c>
      <c r="N187" s="56" t="s">
        <v>179</v>
      </c>
      <c r="O187" s="56"/>
      <c r="P187" s="56"/>
      <c r="Q187" s="56"/>
      <c r="R187" s="56"/>
      <c r="S187" s="56"/>
      <c r="T187" s="56"/>
      <c r="U187" s="56"/>
      <c r="V187" s="56" t="s">
        <v>732</v>
      </c>
      <c r="W187" s="56"/>
      <c r="X187" s="54" t="s">
        <v>1589</v>
      </c>
      <c r="Y187" s="58" t="s">
        <v>1590</v>
      </c>
      <c r="Z187" s="44"/>
      <c r="AA187" s="45"/>
      <c r="AB187" s="101" t="s">
        <v>30</v>
      </c>
      <c r="AC187" s="36" t="s">
        <v>26</v>
      </c>
      <c r="AD187" s="47" t="s">
        <v>49</v>
      </c>
      <c r="AE187" s="48" t="s">
        <v>49</v>
      </c>
      <c r="AF187" s="48" t="s">
        <v>49</v>
      </c>
      <c r="AG187" s="48" t="s">
        <v>49</v>
      </c>
      <c r="AH187" s="48" t="s">
        <v>49</v>
      </c>
      <c r="AI187" s="48" t="s">
        <v>49</v>
      </c>
      <c r="AJ187" s="49" t="s">
        <v>49</v>
      </c>
      <c r="AK187" s="48" t="s">
        <v>49</v>
      </c>
      <c r="AL187" s="62" t="s">
        <v>32</v>
      </c>
      <c r="AM187" s="59"/>
      <c r="AN187" s="10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1"/>
    </row>
    <row r="188" spans="1:51" x14ac:dyDescent="0.2">
      <c r="A188" s="33">
        <f t="shared" si="3"/>
        <v>183</v>
      </c>
      <c r="B188" s="34" t="s">
        <v>1591</v>
      </c>
      <c r="C188" s="35" t="s">
        <v>1592</v>
      </c>
      <c r="D188" s="36" t="s">
        <v>1593</v>
      </c>
      <c r="E188" s="36" t="s">
        <v>54</v>
      </c>
      <c r="F188" s="98" t="s">
        <v>1594</v>
      </c>
      <c r="G188" s="37" t="s">
        <v>205</v>
      </c>
      <c r="H188" s="37" t="s">
        <v>205</v>
      </c>
      <c r="I188" s="38" t="s">
        <v>1595</v>
      </c>
      <c r="J188" s="34" t="s">
        <v>41</v>
      </c>
      <c r="K188" s="39" t="s">
        <v>42</v>
      </c>
      <c r="L188" s="158" t="s">
        <v>1596</v>
      </c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42" t="s">
        <v>1152</v>
      </c>
      <c r="Y188" s="52" t="s">
        <v>1597</v>
      </c>
      <c r="Z188" s="44" t="s">
        <v>1598</v>
      </c>
      <c r="AA188" s="45">
        <v>44041</v>
      </c>
      <c r="AB188" s="101" t="s">
        <v>30</v>
      </c>
      <c r="AC188" s="36" t="s">
        <v>26</v>
      </c>
      <c r="AD188" s="47" t="s">
        <v>49</v>
      </c>
      <c r="AE188" s="48" t="s">
        <v>49</v>
      </c>
      <c r="AF188" s="48" t="s">
        <v>49</v>
      </c>
      <c r="AG188" s="48" t="s">
        <v>49</v>
      </c>
      <c r="AH188" s="48" t="s">
        <v>49</v>
      </c>
      <c r="AI188" s="48" t="s">
        <v>49</v>
      </c>
      <c r="AJ188" s="49" t="s">
        <v>41</v>
      </c>
      <c r="AK188" s="48" t="s">
        <v>41</v>
      </c>
      <c r="AL188" s="62" t="s">
        <v>276</v>
      </c>
      <c r="AM188" s="59"/>
      <c r="AN188" s="10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1"/>
    </row>
    <row r="189" spans="1:51" x14ac:dyDescent="0.2">
      <c r="A189" s="33">
        <f t="shared" si="3"/>
        <v>184</v>
      </c>
      <c r="B189" s="34" t="s">
        <v>1599</v>
      </c>
      <c r="C189" s="35" t="s">
        <v>1600</v>
      </c>
      <c r="D189" s="36" t="s">
        <v>1601</v>
      </c>
      <c r="E189" s="36" t="s">
        <v>54</v>
      </c>
      <c r="F189" s="98" t="s">
        <v>1602</v>
      </c>
      <c r="G189" s="37" t="s">
        <v>176</v>
      </c>
      <c r="H189" s="37" t="s">
        <v>39</v>
      </c>
      <c r="I189" s="57" t="s">
        <v>1603</v>
      </c>
      <c r="J189" s="34" t="s">
        <v>41</v>
      </c>
      <c r="K189" s="39" t="s">
        <v>42</v>
      </c>
      <c r="L189" s="158" t="s">
        <v>1604</v>
      </c>
      <c r="M189" s="56" t="s">
        <v>179</v>
      </c>
      <c r="N189" s="56" t="s">
        <v>179</v>
      </c>
      <c r="O189" s="56"/>
      <c r="P189" s="56"/>
      <c r="Q189" s="56"/>
      <c r="R189" s="56"/>
      <c r="S189" s="56"/>
      <c r="T189" s="56" t="s">
        <v>44</v>
      </c>
      <c r="U189" s="56"/>
      <c r="V189" s="56" t="s">
        <v>732</v>
      </c>
      <c r="W189" s="56"/>
      <c r="X189" s="42" t="s">
        <v>1605</v>
      </c>
      <c r="Y189" s="58" t="s">
        <v>1606</v>
      </c>
      <c r="Z189" s="58"/>
      <c r="AA189" s="45">
        <v>45642</v>
      </c>
      <c r="AB189" s="101"/>
      <c r="AC189" s="36"/>
      <c r="AD189" s="47" t="s">
        <v>49</v>
      </c>
      <c r="AE189" s="48" t="s">
        <v>41</v>
      </c>
      <c r="AF189" s="48" t="s">
        <v>41</v>
      </c>
      <c r="AG189" s="48" t="s">
        <v>41</v>
      </c>
      <c r="AH189" s="48" t="s">
        <v>49</v>
      </c>
      <c r="AI189" s="48" t="s">
        <v>49</v>
      </c>
      <c r="AJ189" s="49" t="s">
        <v>49</v>
      </c>
      <c r="AK189" s="48" t="s">
        <v>41</v>
      </c>
      <c r="AL189" s="65" t="s">
        <v>148</v>
      </c>
      <c r="AM189" s="59"/>
      <c r="AN189" s="10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1"/>
    </row>
    <row r="190" spans="1:51" x14ac:dyDescent="0.2">
      <c r="A190" s="33">
        <f t="shared" si="3"/>
        <v>185</v>
      </c>
      <c r="B190" s="34" t="s">
        <v>1607</v>
      </c>
      <c r="C190" s="35" t="s">
        <v>1608</v>
      </c>
      <c r="D190" s="36" t="s">
        <v>1609</v>
      </c>
      <c r="E190" s="36" t="s">
        <v>36</v>
      </c>
      <c r="F190" s="98" t="s">
        <v>1610</v>
      </c>
      <c r="G190" s="37" t="s">
        <v>252</v>
      </c>
      <c r="H190" s="37" t="s">
        <v>57</v>
      </c>
      <c r="I190" s="38" t="s">
        <v>1611</v>
      </c>
      <c r="J190" s="34" t="s">
        <v>41</v>
      </c>
      <c r="K190" s="39" t="s">
        <v>42</v>
      </c>
      <c r="L190" s="158" t="s">
        <v>1604</v>
      </c>
      <c r="M190" s="56"/>
      <c r="N190" s="56"/>
      <c r="O190" s="56"/>
      <c r="P190" s="56"/>
      <c r="Q190" s="56"/>
      <c r="R190" s="56"/>
      <c r="S190" s="56"/>
      <c r="T190" s="56" t="s">
        <v>44</v>
      </c>
      <c r="U190" s="56"/>
      <c r="V190" s="56"/>
      <c r="W190" s="56"/>
      <c r="X190" s="42" t="s">
        <v>1612</v>
      </c>
      <c r="Y190" s="58" t="s">
        <v>1613</v>
      </c>
      <c r="Z190" s="58"/>
      <c r="AA190" s="45">
        <v>45642</v>
      </c>
      <c r="AB190" s="101"/>
      <c r="AC190" s="36"/>
      <c r="AD190" s="47" t="s">
        <v>49</v>
      </c>
      <c r="AE190" s="48" t="s">
        <v>41</v>
      </c>
      <c r="AF190" s="48" t="s">
        <v>41</v>
      </c>
      <c r="AG190" s="48" t="s">
        <v>41</v>
      </c>
      <c r="AH190" s="48" t="s">
        <v>49</v>
      </c>
      <c r="AI190" s="48" t="s">
        <v>41</v>
      </c>
      <c r="AJ190" s="49" t="s">
        <v>41</v>
      </c>
      <c r="AK190" s="48" t="s">
        <v>41</v>
      </c>
      <c r="AL190" s="62" t="s">
        <v>4589</v>
      </c>
      <c r="AM190" s="59"/>
      <c r="AN190" s="10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1"/>
    </row>
    <row r="191" spans="1:51" x14ac:dyDescent="0.2">
      <c r="A191" s="33">
        <f t="shared" si="3"/>
        <v>186</v>
      </c>
      <c r="B191" s="34" t="s">
        <v>1614</v>
      </c>
      <c r="C191" s="35" t="s">
        <v>1615</v>
      </c>
      <c r="D191" s="36" t="s">
        <v>1616</v>
      </c>
      <c r="E191" s="36" t="s">
        <v>54</v>
      </c>
      <c r="F191" s="98" t="s">
        <v>1166</v>
      </c>
      <c r="G191" s="37" t="s">
        <v>56</v>
      </c>
      <c r="H191" s="37" t="s">
        <v>57</v>
      </c>
      <c r="I191" s="38" t="s">
        <v>1617</v>
      </c>
      <c r="J191" s="34" t="s">
        <v>41</v>
      </c>
      <c r="K191" s="39" t="s">
        <v>42</v>
      </c>
      <c r="L191" s="158" t="s">
        <v>1618</v>
      </c>
      <c r="M191" s="115"/>
      <c r="N191" s="115"/>
      <c r="O191" s="115"/>
      <c r="P191" s="115"/>
      <c r="Q191" s="115"/>
      <c r="R191" s="115" t="s">
        <v>44</v>
      </c>
      <c r="S191" s="115"/>
      <c r="T191" s="56"/>
      <c r="U191" s="56"/>
      <c r="V191" s="56"/>
      <c r="W191" s="56"/>
      <c r="X191" s="42" t="s">
        <v>1619</v>
      </c>
      <c r="Y191" s="43" t="s">
        <v>1620</v>
      </c>
      <c r="Z191" s="44" t="s">
        <v>1621</v>
      </c>
      <c r="AA191" s="45">
        <v>44650</v>
      </c>
      <c r="AB191" s="101" t="s">
        <v>30</v>
      </c>
      <c r="AC191" s="36"/>
      <c r="AD191" s="47" t="s">
        <v>49</v>
      </c>
      <c r="AE191" s="48" t="s">
        <v>41</v>
      </c>
      <c r="AF191" s="48" t="s">
        <v>49</v>
      </c>
      <c r="AG191" s="48" t="s">
        <v>49</v>
      </c>
      <c r="AH191" s="48" t="s">
        <v>49</v>
      </c>
      <c r="AI191" s="48" t="s">
        <v>49</v>
      </c>
      <c r="AJ191" s="49" t="s">
        <v>49</v>
      </c>
      <c r="AK191" s="48" t="s">
        <v>49</v>
      </c>
      <c r="AL191" s="65" t="s">
        <v>32</v>
      </c>
      <c r="AM191" s="59"/>
      <c r="AN191" s="10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1"/>
    </row>
    <row r="192" spans="1:51" x14ac:dyDescent="0.2">
      <c r="A192" s="33">
        <f t="shared" si="3"/>
        <v>187</v>
      </c>
      <c r="B192" s="34" t="s">
        <v>1622</v>
      </c>
      <c r="C192" s="35" t="s">
        <v>1623</v>
      </c>
      <c r="D192" s="36" t="s">
        <v>1624</v>
      </c>
      <c r="E192" s="36" t="s">
        <v>54</v>
      </c>
      <c r="F192" s="34" t="s">
        <v>1625</v>
      </c>
      <c r="G192" s="37" t="s">
        <v>73</v>
      </c>
      <c r="H192" s="37" t="s">
        <v>73</v>
      </c>
      <c r="I192" s="38" t="s">
        <v>1626</v>
      </c>
      <c r="J192" s="34" t="s">
        <v>41</v>
      </c>
      <c r="K192" s="39" t="s">
        <v>42</v>
      </c>
      <c r="L192" s="187">
        <v>45315</v>
      </c>
      <c r="M192" s="188"/>
      <c r="N192" s="188"/>
      <c r="O192" s="188"/>
      <c r="P192" s="188"/>
      <c r="Q192" s="188"/>
      <c r="R192" s="188"/>
      <c r="S192" s="188"/>
      <c r="T192" s="188"/>
      <c r="U192" s="188" t="s">
        <v>44</v>
      </c>
      <c r="V192" s="188"/>
      <c r="W192" s="188"/>
      <c r="X192" s="38" t="s">
        <v>1627</v>
      </c>
      <c r="Y192" s="43" t="s">
        <v>1628</v>
      </c>
      <c r="Z192" s="44"/>
      <c r="AA192" s="45"/>
      <c r="AB192" s="164"/>
      <c r="AC192" s="36"/>
      <c r="AD192" s="47" t="s">
        <v>49</v>
      </c>
      <c r="AE192" s="48" t="s">
        <v>41</v>
      </c>
      <c r="AF192" s="48" t="s">
        <v>41</v>
      </c>
      <c r="AG192" s="48" t="s">
        <v>41</v>
      </c>
      <c r="AH192" s="48" t="s">
        <v>41</v>
      </c>
      <c r="AI192" s="48" t="s">
        <v>49</v>
      </c>
      <c r="AJ192" s="49" t="s">
        <v>49</v>
      </c>
      <c r="AK192" s="48" t="s">
        <v>49</v>
      </c>
      <c r="AL192" s="65" t="s">
        <v>32</v>
      </c>
      <c r="AM192" s="59"/>
      <c r="AN192" s="10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1"/>
    </row>
    <row r="193" spans="1:59" x14ac:dyDescent="0.2">
      <c r="A193" s="33">
        <f t="shared" si="3"/>
        <v>188</v>
      </c>
      <c r="B193" s="34" t="s">
        <v>1629</v>
      </c>
      <c r="C193" s="35" t="s">
        <v>1630</v>
      </c>
      <c r="D193" s="36" t="s">
        <v>1631</v>
      </c>
      <c r="E193" s="36" t="s">
        <v>54</v>
      </c>
      <c r="F193" s="98" t="s">
        <v>1632</v>
      </c>
      <c r="G193" s="37" t="s">
        <v>360</v>
      </c>
      <c r="H193" s="37" t="s">
        <v>350</v>
      </c>
      <c r="I193" s="34" t="s">
        <v>1633</v>
      </c>
      <c r="J193" s="34" t="s">
        <v>41</v>
      </c>
      <c r="K193" s="39" t="s">
        <v>42</v>
      </c>
      <c r="L193" s="165" t="s">
        <v>1634</v>
      </c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42" t="s">
        <v>1635</v>
      </c>
      <c r="Y193" s="58" t="s">
        <v>1636</v>
      </c>
      <c r="Z193" s="44" t="s">
        <v>1637</v>
      </c>
      <c r="AA193" s="45">
        <v>44041</v>
      </c>
      <c r="AB193" s="164" t="s">
        <v>30</v>
      </c>
      <c r="AC193" s="36" t="s">
        <v>26</v>
      </c>
      <c r="AD193" s="47" t="s">
        <v>49</v>
      </c>
      <c r="AE193" s="48" t="s">
        <v>49</v>
      </c>
      <c r="AF193" s="48" t="s">
        <v>49</v>
      </c>
      <c r="AG193" s="48" t="s">
        <v>49</v>
      </c>
      <c r="AH193" s="48" t="s">
        <v>49</v>
      </c>
      <c r="AI193" s="48" t="s">
        <v>49</v>
      </c>
      <c r="AJ193" s="49" t="s">
        <v>49</v>
      </c>
      <c r="AK193" s="48" t="s">
        <v>41</v>
      </c>
      <c r="AL193" s="62" t="s">
        <v>148</v>
      </c>
      <c r="AM193" s="59"/>
      <c r="AN193" s="10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1"/>
    </row>
    <row r="194" spans="1:59" x14ac:dyDescent="0.2">
      <c r="A194" s="33">
        <f t="shared" si="3"/>
        <v>189</v>
      </c>
      <c r="B194" s="34" t="s">
        <v>1638</v>
      </c>
      <c r="C194" s="35" t="s">
        <v>1639</v>
      </c>
      <c r="D194" s="36" t="s">
        <v>1640</v>
      </c>
      <c r="E194" s="36" t="s">
        <v>54</v>
      </c>
      <c r="F194" s="98" t="s">
        <v>1641</v>
      </c>
      <c r="G194" s="37" t="s">
        <v>73</v>
      </c>
      <c r="H194" s="37" t="s">
        <v>73</v>
      </c>
      <c r="I194" s="34" t="s">
        <v>1642</v>
      </c>
      <c r="J194" s="34" t="s">
        <v>41</v>
      </c>
      <c r="K194" s="39" t="s">
        <v>42</v>
      </c>
      <c r="L194" s="165">
        <v>31054</v>
      </c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42" t="s">
        <v>1643</v>
      </c>
      <c r="Y194" s="58" t="s">
        <v>1644</v>
      </c>
      <c r="Z194" s="44" t="s">
        <v>61</v>
      </c>
      <c r="AA194" s="45">
        <v>36641</v>
      </c>
      <c r="AB194" s="164" t="s">
        <v>30</v>
      </c>
      <c r="AC194" s="36"/>
      <c r="AD194" s="47" t="s">
        <v>49</v>
      </c>
      <c r="AE194" s="48" t="s">
        <v>41</v>
      </c>
      <c r="AF194" s="48" t="s">
        <v>41</v>
      </c>
      <c r="AG194" s="48" t="s">
        <v>41</v>
      </c>
      <c r="AH194" s="48" t="s">
        <v>41</v>
      </c>
      <c r="AI194" s="48" t="s">
        <v>41</v>
      </c>
      <c r="AJ194" s="49" t="s">
        <v>41</v>
      </c>
      <c r="AK194" s="48" t="s">
        <v>41</v>
      </c>
      <c r="AL194" s="62" t="s">
        <v>4590</v>
      </c>
      <c r="AM194" s="59" t="s">
        <v>192</v>
      </c>
      <c r="AN194" s="10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1"/>
    </row>
    <row r="195" spans="1:59" x14ac:dyDescent="0.2">
      <c r="A195" s="33">
        <f t="shared" si="3"/>
        <v>190</v>
      </c>
      <c r="B195" s="34" t="s">
        <v>1645</v>
      </c>
      <c r="C195" s="35" t="s">
        <v>1646</v>
      </c>
      <c r="D195" s="36" t="s">
        <v>1647</v>
      </c>
      <c r="E195" s="36" t="s">
        <v>54</v>
      </c>
      <c r="F195" s="34" t="s">
        <v>1648</v>
      </c>
      <c r="G195" s="37" t="s">
        <v>73</v>
      </c>
      <c r="H195" s="37" t="s">
        <v>73</v>
      </c>
      <c r="I195" s="34" t="s">
        <v>1649</v>
      </c>
      <c r="J195" s="34" t="s">
        <v>41</v>
      </c>
      <c r="K195" s="39" t="s">
        <v>42</v>
      </c>
      <c r="L195" s="189" t="s">
        <v>1650</v>
      </c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90" t="s">
        <v>1651</v>
      </c>
      <c r="Y195" s="58" t="s">
        <v>1652</v>
      </c>
      <c r="Z195" s="44" t="s">
        <v>61</v>
      </c>
      <c r="AA195" s="45">
        <v>36640</v>
      </c>
      <c r="AB195" s="191" t="s">
        <v>129</v>
      </c>
      <c r="AC195" s="36" t="s">
        <v>26</v>
      </c>
      <c r="AD195" s="47" t="s">
        <v>49</v>
      </c>
      <c r="AE195" s="48" t="s">
        <v>49</v>
      </c>
      <c r="AF195" s="48" t="s">
        <v>49</v>
      </c>
      <c r="AG195" s="48" t="s">
        <v>49</v>
      </c>
      <c r="AH195" s="48" t="s">
        <v>49</v>
      </c>
      <c r="AI195" s="48" t="s">
        <v>49</v>
      </c>
      <c r="AJ195" s="49" t="s">
        <v>41</v>
      </c>
      <c r="AK195" s="48" t="s">
        <v>41</v>
      </c>
      <c r="AL195" s="62" t="s">
        <v>276</v>
      </c>
      <c r="AM195" s="59"/>
      <c r="AN195" s="10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1"/>
    </row>
    <row r="196" spans="1:59" x14ac:dyDescent="0.2">
      <c r="A196" s="33">
        <f t="shared" si="3"/>
        <v>191</v>
      </c>
      <c r="B196" s="34" t="s">
        <v>1653</v>
      </c>
      <c r="C196" s="35" t="s">
        <v>1654</v>
      </c>
      <c r="D196" s="36" t="s">
        <v>1655</v>
      </c>
      <c r="E196" s="36" t="s">
        <v>241</v>
      </c>
      <c r="F196" s="34" t="s">
        <v>1656</v>
      </c>
      <c r="G196" s="37" t="s">
        <v>73</v>
      </c>
      <c r="H196" s="37" t="s">
        <v>73</v>
      </c>
      <c r="I196" s="34" t="s">
        <v>1657</v>
      </c>
      <c r="J196" s="34" t="s">
        <v>41</v>
      </c>
      <c r="K196" s="39" t="s">
        <v>42</v>
      </c>
      <c r="L196" s="158" t="s">
        <v>556</v>
      </c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57" t="s">
        <v>1658</v>
      </c>
      <c r="Y196" s="43" t="s">
        <v>1659</v>
      </c>
      <c r="Z196" s="44" t="s">
        <v>61</v>
      </c>
      <c r="AA196" s="45">
        <v>36641</v>
      </c>
      <c r="AB196" s="101" t="s">
        <v>30</v>
      </c>
      <c r="AC196" s="36" t="s">
        <v>26</v>
      </c>
      <c r="AD196" s="47" t="s">
        <v>49</v>
      </c>
      <c r="AE196" s="48" t="s">
        <v>49</v>
      </c>
      <c r="AF196" s="48" t="s">
        <v>49</v>
      </c>
      <c r="AG196" s="48" t="s">
        <v>49</v>
      </c>
      <c r="AH196" s="48" t="s">
        <v>49</v>
      </c>
      <c r="AI196" s="48" t="s">
        <v>49</v>
      </c>
      <c r="AJ196" s="49" t="s">
        <v>49</v>
      </c>
      <c r="AK196" s="48" t="s">
        <v>49</v>
      </c>
      <c r="AL196" s="65" t="s">
        <v>32</v>
      </c>
      <c r="AM196" s="103" t="s">
        <v>41</v>
      </c>
      <c r="AN196" s="10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1"/>
    </row>
    <row r="197" spans="1:59" x14ac:dyDescent="0.2">
      <c r="A197" s="33">
        <f t="shared" si="3"/>
        <v>192</v>
      </c>
      <c r="B197" s="34" t="s">
        <v>1660</v>
      </c>
      <c r="C197" s="35" t="s">
        <v>1661</v>
      </c>
      <c r="D197" s="36" t="s">
        <v>1662</v>
      </c>
      <c r="E197" s="36" t="s">
        <v>36</v>
      </c>
      <c r="F197" s="34" t="s">
        <v>1663</v>
      </c>
      <c r="G197" s="37" t="s">
        <v>73</v>
      </c>
      <c r="H197" s="37" t="s">
        <v>73</v>
      </c>
      <c r="I197" s="34" t="s">
        <v>1664</v>
      </c>
      <c r="J197" s="34" t="s">
        <v>41</v>
      </c>
      <c r="K197" s="39" t="s">
        <v>42</v>
      </c>
      <c r="L197" s="120">
        <v>45143</v>
      </c>
      <c r="M197" s="56"/>
      <c r="N197" s="56"/>
      <c r="O197" s="56"/>
      <c r="P197" s="56"/>
      <c r="Q197" s="56"/>
      <c r="R197" s="56"/>
      <c r="S197" s="56"/>
      <c r="T197" s="56" t="s">
        <v>44</v>
      </c>
      <c r="U197" s="56"/>
      <c r="V197" s="56"/>
      <c r="W197" s="56"/>
      <c r="X197" s="42" t="s">
        <v>1665</v>
      </c>
      <c r="Y197" s="83" t="s">
        <v>1666</v>
      </c>
      <c r="Z197" s="44"/>
      <c r="AA197" s="45">
        <v>45642</v>
      </c>
      <c r="AB197" s="101"/>
      <c r="AC197" s="36"/>
      <c r="AD197" s="64" t="s">
        <v>120</v>
      </c>
      <c r="AE197" s="48" t="s">
        <v>41</v>
      </c>
      <c r="AF197" s="48" t="s">
        <v>41</v>
      </c>
      <c r="AG197" s="48" t="s">
        <v>41</v>
      </c>
      <c r="AH197" s="48" t="s">
        <v>120</v>
      </c>
      <c r="AI197" s="48" t="s">
        <v>120</v>
      </c>
      <c r="AJ197" s="49" t="s">
        <v>120</v>
      </c>
      <c r="AK197" s="48" t="s">
        <v>41</v>
      </c>
      <c r="AL197" s="62" t="s">
        <v>148</v>
      </c>
      <c r="AM197" s="59"/>
      <c r="AN197" s="10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1"/>
    </row>
    <row r="198" spans="1:59" x14ac:dyDescent="0.2">
      <c r="A198" s="33">
        <f t="shared" si="3"/>
        <v>193</v>
      </c>
      <c r="B198" s="34" t="s">
        <v>1667</v>
      </c>
      <c r="C198" s="35" t="s">
        <v>1668</v>
      </c>
      <c r="D198" s="36" t="s">
        <v>1669</v>
      </c>
      <c r="E198" s="36" t="s">
        <v>54</v>
      </c>
      <c r="F198" s="34" t="s">
        <v>1670</v>
      </c>
      <c r="G198" s="37" t="s">
        <v>73</v>
      </c>
      <c r="H198" s="37" t="s">
        <v>73</v>
      </c>
      <c r="I198" s="34" t="s">
        <v>1671</v>
      </c>
      <c r="J198" s="34" t="s">
        <v>1671</v>
      </c>
      <c r="K198" s="39" t="s">
        <v>42</v>
      </c>
      <c r="L198" s="163" t="s">
        <v>1040</v>
      </c>
      <c r="M198" s="130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42" t="s">
        <v>1672</v>
      </c>
      <c r="Y198" s="43" t="s">
        <v>1673</v>
      </c>
      <c r="Z198" s="44" t="s">
        <v>61</v>
      </c>
      <c r="AA198" s="45">
        <v>36803</v>
      </c>
      <c r="AB198" s="164" t="s">
        <v>30</v>
      </c>
      <c r="AC198" s="36" t="s">
        <v>26</v>
      </c>
      <c r="AD198" s="61" t="s">
        <v>49</v>
      </c>
      <c r="AE198" s="48" t="s">
        <v>49</v>
      </c>
      <c r="AF198" s="48" t="s">
        <v>49</v>
      </c>
      <c r="AG198" s="48" t="s">
        <v>49</v>
      </c>
      <c r="AH198" s="48" t="s">
        <v>49</v>
      </c>
      <c r="AI198" s="48" t="s">
        <v>49</v>
      </c>
      <c r="AJ198" s="49" t="s">
        <v>49</v>
      </c>
      <c r="AK198" s="48" t="s">
        <v>49</v>
      </c>
      <c r="AL198" s="65" t="s">
        <v>32</v>
      </c>
      <c r="AM198" s="59"/>
      <c r="AN198" s="10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1"/>
    </row>
    <row r="199" spans="1:59" x14ac:dyDescent="0.2">
      <c r="A199" s="33">
        <f t="shared" ref="A199:A262" si="4">+A198+1</f>
        <v>194</v>
      </c>
      <c r="B199" s="34" t="s">
        <v>1674</v>
      </c>
      <c r="C199" s="35" t="s">
        <v>1675</v>
      </c>
      <c r="D199" s="36" t="s">
        <v>1676</v>
      </c>
      <c r="E199" s="36" t="s">
        <v>36</v>
      </c>
      <c r="F199" s="87" t="s">
        <v>1677</v>
      </c>
      <c r="G199" s="37" t="s">
        <v>73</v>
      </c>
      <c r="H199" s="37" t="s">
        <v>73</v>
      </c>
      <c r="I199" s="34" t="s">
        <v>1678</v>
      </c>
      <c r="J199" s="34" t="s">
        <v>1679</v>
      </c>
      <c r="K199" s="39" t="s">
        <v>42</v>
      </c>
      <c r="L199" s="120">
        <v>34984</v>
      </c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2" t="s">
        <v>1680</v>
      </c>
      <c r="Y199" s="43" t="s">
        <v>1681</v>
      </c>
      <c r="Z199" s="44" t="s">
        <v>61</v>
      </c>
      <c r="AA199" s="45">
        <v>40815</v>
      </c>
      <c r="AB199" s="101" t="s">
        <v>30</v>
      </c>
      <c r="AC199" s="36" t="s">
        <v>26</v>
      </c>
      <c r="AD199" s="47" t="s">
        <v>49</v>
      </c>
      <c r="AE199" s="48" t="s">
        <v>49</v>
      </c>
      <c r="AF199" s="48" t="s">
        <v>49</v>
      </c>
      <c r="AG199" s="48" t="s">
        <v>49</v>
      </c>
      <c r="AH199" s="48" t="s">
        <v>49</v>
      </c>
      <c r="AI199" s="48" t="s">
        <v>49</v>
      </c>
      <c r="AJ199" s="49" t="s">
        <v>49</v>
      </c>
      <c r="AK199" s="48" t="s">
        <v>49</v>
      </c>
      <c r="AL199" s="65" t="s">
        <v>32</v>
      </c>
      <c r="AM199" s="103" t="s">
        <v>41</v>
      </c>
      <c r="AN199" s="10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1"/>
    </row>
    <row r="200" spans="1:59" x14ac:dyDescent="0.2">
      <c r="A200" s="33">
        <f t="shared" si="4"/>
        <v>195</v>
      </c>
      <c r="B200" s="98" t="s">
        <v>1682</v>
      </c>
      <c r="C200" s="35" t="s">
        <v>1683</v>
      </c>
      <c r="D200" s="73" t="s">
        <v>1684</v>
      </c>
      <c r="E200" s="36" t="s">
        <v>36</v>
      </c>
      <c r="F200" s="192" t="s">
        <v>1685</v>
      </c>
      <c r="G200" s="37" t="s">
        <v>73</v>
      </c>
      <c r="H200" s="37" t="s">
        <v>73</v>
      </c>
      <c r="I200" s="193" t="s">
        <v>41</v>
      </c>
      <c r="J200" s="193" t="s">
        <v>1686</v>
      </c>
      <c r="K200" s="39" t="s">
        <v>42</v>
      </c>
      <c r="L200" s="194">
        <v>45728</v>
      </c>
      <c r="M200" s="137" t="s">
        <v>179</v>
      </c>
      <c r="N200" s="137" t="s">
        <v>179</v>
      </c>
      <c r="O200" s="137"/>
      <c r="P200" s="137"/>
      <c r="Q200" s="137" t="s">
        <v>179</v>
      </c>
      <c r="R200" s="137"/>
      <c r="S200" s="137"/>
      <c r="T200" s="137"/>
      <c r="U200" s="137"/>
      <c r="V200" s="137" t="s">
        <v>44</v>
      </c>
      <c r="W200" s="137"/>
      <c r="X200" s="193" t="s">
        <v>1687</v>
      </c>
      <c r="Y200" s="58" t="s">
        <v>1688</v>
      </c>
      <c r="Z200" s="58"/>
      <c r="AA200" s="58"/>
      <c r="AB200" s="101"/>
      <c r="AC200" s="36"/>
      <c r="AD200" s="47" t="s">
        <v>49</v>
      </c>
      <c r="AE200" s="48" t="s">
        <v>41</v>
      </c>
      <c r="AF200" s="48" t="s">
        <v>41</v>
      </c>
      <c r="AG200" s="48" t="s">
        <v>41</v>
      </c>
      <c r="AH200" s="48" t="s">
        <v>41</v>
      </c>
      <c r="AI200" s="48" t="s">
        <v>41</v>
      </c>
      <c r="AJ200" s="49" t="s">
        <v>49</v>
      </c>
      <c r="AK200" s="48" t="s">
        <v>49</v>
      </c>
      <c r="AL200" s="65" t="s">
        <v>32</v>
      </c>
      <c r="AM200" s="134"/>
      <c r="AN200" s="195"/>
      <c r="AO200" s="196"/>
      <c r="AP200" s="196"/>
      <c r="AQ200" s="196"/>
      <c r="AR200" s="196"/>
      <c r="AS200" s="196"/>
      <c r="AT200" s="196"/>
      <c r="AU200" s="196"/>
      <c r="AV200" s="196"/>
      <c r="AW200" s="196"/>
      <c r="AX200" s="196"/>
      <c r="AY200" s="197"/>
      <c r="AZ200" s="198"/>
      <c r="BA200" s="198"/>
      <c r="BB200" s="198"/>
      <c r="BC200" s="198"/>
      <c r="BD200" s="198"/>
      <c r="BE200" s="198"/>
      <c r="BF200" s="198"/>
      <c r="BG200" s="198"/>
    </row>
    <row r="201" spans="1:59" x14ac:dyDescent="0.2">
      <c r="A201" s="33">
        <f t="shared" si="4"/>
        <v>196</v>
      </c>
      <c r="B201" s="34" t="s">
        <v>1689</v>
      </c>
      <c r="C201" s="35" t="s">
        <v>1690</v>
      </c>
      <c r="D201" s="36" t="s">
        <v>1691</v>
      </c>
      <c r="E201" s="36" t="s">
        <v>54</v>
      </c>
      <c r="F201" s="34" t="s">
        <v>1692</v>
      </c>
      <c r="G201" s="37" t="s">
        <v>73</v>
      </c>
      <c r="H201" s="37" t="s">
        <v>73</v>
      </c>
      <c r="I201" s="34" t="s">
        <v>1671</v>
      </c>
      <c r="J201" s="34" t="s">
        <v>1671</v>
      </c>
      <c r="K201" s="39" t="s">
        <v>42</v>
      </c>
      <c r="L201" s="120">
        <v>30353</v>
      </c>
      <c r="M201" s="115"/>
      <c r="N201" s="115"/>
      <c r="O201" s="115"/>
      <c r="P201" s="115"/>
      <c r="Q201" s="115"/>
      <c r="R201" s="115"/>
      <c r="S201" s="115"/>
      <c r="T201" s="56"/>
      <c r="U201" s="56"/>
      <c r="V201" s="56"/>
      <c r="W201" s="56"/>
      <c r="X201" s="42" t="s">
        <v>1693</v>
      </c>
      <c r="Y201" s="58" t="s">
        <v>1694</v>
      </c>
      <c r="Z201" s="44" t="s">
        <v>1695</v>
      </c>
      <c r="AA201" s="45">
        <v>42325</v>
      </c>
      <c r="AB201" s="101" t="s">
        <v>30</v>
      </c>
      <c r="AC201" s="36" t="s">
        <v>26</v>
      </c>
      <c r="AD201" s="64" t="s">
        <v>120</v>
      </c>
      <c r="AE201" s="48" t="s">
        <v>120</v>
      </c>
      <c r="AF201" s="48" t="s">
        <v>120</v>
      </c>
      <c r="AG201" s="48" t="s">
        <v>120</v>
      </c>
      <c r="AH201" s="48" t="s">
        <v>120</v>
      </c>
      <c r="AI201" s="48" t="s">
        <v>120</v>
      </c>
      <c r="AJ201" s="49" t="s">
        <v>120</v>
      </c>
      <c r="AK201" s="48" t="s">
        <v>120</v>
      </c>
      <c r="AL201" s="65" t="s">
        <v>32</v>
      </c>
      <c r="AM201" s="134"/>
      <c r="AN201" s="10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1"/>
    </row>
    <row r="202" spans="1:59" x14ac:dyDescent="0.2">
      <c r="A202" s="33">
        <f t="shared" si="4"/>
        <v>197</v>
      </c>
      <c r="B202" s="34" t="s">
        <v>1696</v>
      </c>
      <c r="C202" s="35" t="s">
        <v>1697</v>
      </c>
      <c r="D202" s="36" t="s">
        <v>1698</v>
      </c>
      <c r="E202" s="36" t="s">
        <v>54</v>
      </c>
      <c r="F202" s="34" t="s">
        <v>1699</v>
      </c>
      <c r="G202" s="37" t="s">
        <v>73</v>
      </c>
      <c r="H202" s="37" t="s">
        <v>73</v>
      </c>
      <c r="I202" s="34" t="s">
        <v>1700</v>
      </c>
      <c r="J202" s="34" t="s">
        <v>1700</v>
      </c>
      <c r="K202" s="39" t="s">
        <v>42</v>
      </c>
      <c r="L202" s="194">
        <v>30353</v>
      </c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42" t="s">
        <v>1701</v>
      </c>
      <c r="Y202" s="58" t="s">
        <v>1702</v>
      </c>
      <c r="Z202" s="44" t="s">
        <v>61</v>
      </c>
      <c r="AA202" s="45">
        <v>34597</v>
      </c>
      <c r="AB202" s="191" t="s">
        <v>30</v>
      </c>
      <c r="AC202" s="36"/>
      <c r="AD202" s="47" t="s">
        <v>49</v>
      </c>
      <c r="AE202" s="48" t="s">
        <v>41</v>
      </c>
      <c r="AF202" s="48" t="s">
        <v>41</v>
      </c>
      <c r="AG202" s="48" t="s">
        <v>41</v>
      </c>
      <c r="AH202" s="48" t="s">
        <v>41</v>
      </c>
      <c r="AI202" s="48" t="s">
        <v>41</v>
      </c>
      <c r="AJ202" s="49" t="s">
        <v>41</v>
      </c>
      <c r="AK202" s="48" t="s">
        <v>41</v>
      </c>
      <c r="AL202" s="65" t="s">
        <v>4591</v>
      </c>
      <c r="AM202" s="59" t="s">
        <v>460</v>
      </c>
      <c r="AN202" s="10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1"/>
    </row>
    <row r="203" spans="1:59" x14ac:dyDescent="0.2">
      <c r="A203" s="33">
        <f t="shared" si="4"/>
        <v>198</v>
      </c>
      <c r="B203" s="34" t="s">
        <v>1703</v>
      </c>
      <c r="C203" s="35" t="s">
        <v>1704</v>
      </c>
      <c r="D203" s="36" t="s">
        <v>1705</v>
      </c>
      <c r="E203" s="36" t="s">
        <v>36</v>
      </c>
      <c r="F203" s="34" t="s">
        <v>1706</v>
      </c>
      <c r="G203" s="37" t="s">
        <v>214</v>
      </c>
      <c r="H203" s="37" t="s">
        <v>205</v>
      </c>
      <c r="I203" s="38" t="s">
        <v>1707</v>
      </c>
      <c r="J203" s="34"/>
      <c r="K203" s="39" t="s">
        <v>42</v>
      </c>
      <c r="L203" s="166" t="s">
        <v>1708</v>
      </c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42" t="s">
        <v>1709</v>
      </c>
      <c r="Y203" s="52" t="s">
        <v>1710</v>
      </c>
      <c r="Z203" s="44" t="s">
        <v>1711</v>
      </c>
      <c r="AA203" s="45">
        <v>44041</v>
      </c>
      <c r="AB203" s="101" t="s">
        <v>30</v>
      </c>
      <c r="AC203" s="36" t="s">
        <v>26</v>
      </c>
      <c r="AD203" s="47" t="s">
        <v>49</v>
      </c>
      <c r="AE203" s="48" t="s">
        <v>49</v>
      </c>
      <c r="AF203" s="48" t="s">
        <v>49</v>
      </c>
      <c r="AG203" s="48" t="s">
        <v>49</v>
      </c>
      <c r="AH203" s="48" t="s">
        <v>49</v>
      </c>
      <c r="AI203" s="48" t="s">
        <v>49</v>
      </c>
      <c r="AJ203" s="49" t="s">
        <v>49</v>
      </c>
      <c r="AK203" s="48" t="s">
        <v>49</v>
      </c>
      <c r="AL203" s="62" t="s">
        <v>32</v>
      </c>
      <c r="AM203" s="59"/>
      <c r="AN203" s="10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1"/>
    </row>
    <row r="204" spans="1:59" x14ac:dyDescent="0.2">
      <c r="A204" s="33">
        <f t="shared" si="4"/>
        <v>199</v>
      </c>
      <c r="B204" s="34" t="s">
        <v>1712</v>
      </c>
      <c r="C204" s="35" t="s">
        <v>1713</v>
      </c>
      <c r="D204" s="36" t="s">
        <v>1714</v>
      </c>
      <c r="E204" s="36" t="s">
        <v>36</v>
      </c>
      <c r="F204" s="34" t="s">
        <v>1715</v>
      </c>
      <c r="G204" s="37" t="s">
        <v>39</v>
      </c>
      <c r="H204" s="37" t="s">
        <v>39</v>
      </c>
      <c r="I204" s="34" t="s">
        <v>1716</v>
      </c>
      <c r="J204" s="34" t="s">
        <v>41</v>
      </c>
      <c r="K204" s="39" t="s">
        <v>42</v>
      </c>
      <c r="L204" s="120">
        <v>42010</v>
      </c>
      <c r="M204" s="56" t="s">
        <v>179</v>
      </c>
      <c r="N204" s="56" t="s">
        <v>179</v>
      </c>
      <c r="O204" s="56"/>
      <c r="P204" s="56">
        <v>2</v>
      </c>
      <c r="Q204" s="56"/>
      <c r="R204" s="56"/>
      <c r="S204" s="56"/>
      <c r="T204" s="56" t="s">
        <v>732</v>
      </c>
      <c r="U204" s="56"/>
      <c r="V204" s="56"/>
      <c r="W204" s="56"/>
      <c r="X204" s="57" t="s">
        <v>1717</v>
      </c>
      <c r="Y204" s="100" t="s">
        <v>1718</v>
      </c>
      <c r="Z204" s="44" t="s">
        <v>1719</v>
      </c>
      <c r="AA204" s="45">
        <v>42325</v>
      </c>
      <c r="AB204" s="101" t="s">
        <v>30</v>
      </c>
      <c r="AC204" s="36" t="s">
        <v>26</v>
      </c>
      <c r="AD204" s="47" t="s">
        <v>49</v>
      </c>
      <c r="AE204" s="48" t="s">
        <v>49</v>
      </c>
      <c r="AF204" s="48" t="s">
        <v>49</v>
      </c>
      <c r="AG204" s="48" t="s">
        <v>49</v>
      </c>
      <c r="AH204" s="48" t="s">
        <v>49</v>
      </c>
      <c r="AI204" s="48" t="s">
        <v>49</v>
      </c>
      <c r="AJ204" s="49" t="s">
        <v>49</v>
      </c>
      <c r="AK204" s="48" t="s">
        <v>49</v>
      </c>
      <c r="AL204" s="62" t="s">
        <v>32</v>
      </c>
      <c r="AM204" s="59"/>
      <c r="AN204" s="10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1"/>
    </row>
    <row r="205" spans="1:59" x14ac:dyDescent="0.2">
      <c r="A205" s="33">
        <f t="shared" si="4"/>
        <v>200</v>
      </c>
      <c r="B205" s="34" t="s">
        <v>1720</v>
      </c>
      <c r="C205" s="35" t="s">
        <v>1721</v>
      </c>
      <c r="D205" s="36" t="s">
        <v>1722</v>
      </c>
      <c r="E205" s="36" t="s">
        <v>36</v>
      </c>
      <c r="F205" s="34" t="s">
        <v>1723</v>
      </c>
      <c r="G205" s="37" t="s">
        <v>398</v>
      </c>
      <c r="H205" s="37" t="s">
        <v>205</v>
      </c>
      <c r="I205" s="38" t="s">
        <v>1724</v>
      </c>
      <c r="J205" s="34" t="s">
        <v>41</v>
      </c>
      <c r="K205" s="39" t="s">
        <v>42</v>
      </c>
      <c r="L205" s="120" t="s">
        <v>1725</v>
      </c>
      <c r="M205" s="56" t="s">
        <v>179</v>
      </c>
      <c r="N205" s="56" t="s">
        <v>179</v>
      </c>
      <c r="O205" s="56"/>
      <c r="P205" s="56">
        <v>2</v>
      </c>
      <c r="Q205" s="56" t="s">
        <v>179</v>
      </c>
      <c r="R205" s="56"/>
      <c r="S205" s="56"/>
      <c r="T205" s="56" t="s">
        <v>44</v>
      </c>
      <c r="U205" s="56"/>
      <c r="V205" s="56"/>
      <c r="W205" s="56"/>
      <c r="X205" s="54" t="s">
        <v>1726</v>
      </c>
      <c r="Y205" s="100" t="s">
        <v>1727</v>
      </c>
      <c r="Z205" s="44"/>
      <c r="AA205" s="45" t="s">
        <v>47</v>
      </c>
      <c r="AB205" s="101"/>
      <c r="AC205" s="36"/>
      <c r="AD205" s="47" t="s">
        <v>49</v>
      </c>
      <c r="AE205" s="48" t="s">
        <v>41</v>
      </c>
      <c r="AF205" s="48" t="s">
        <v>41</v>
      </c>
      <c r="AG205" s="48" t="s">
        <v>49</v>
      </c>
      <c r="AH205" s="48" t="s">
        <v>49</v>
      </c>
      <c r="AI205" s="48" t="s">
        <v>49</v>
      </c>
      <c r="AJ205" s="49" t="s">
        <v>49</v>
      </c>
      <c r="AK205" s="48" t="s">
        <v>49</v>
      </c>
      <c r="AL205" s="62" t="s">
        <v>32</v>
      </c>
      <c r="AM205" s="59"/>
      <c r="AN205" s="10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1"/>
    </row>
    <row r="206" spans="1:59" ht="15" customHeight="1" x14ac:dyDescent="0.2">
      <c r="A206" s="33">
        <f t="shared" si="4"/>
        <v>201</v>
      </c>
      <c r="B206" s="38" t="s">
        <v>1728</v>
      </c>
      <c r="C206" s="35" t="s">
        <v>1729</v>
      </c>
      <c r="D206" s="36" t="s">
        <v>1730</v>
      </c>
      <c r="E206" s="36" t="s">
        <v>54</v>
      </c>
      <c r="F206" s="34" t="s">
        <v>1731</v>
      </c>
      <c r="G206" s="37" t="s">
        <v>205</v>
      </c>
      <c r="H206" s="37" t="s">
        <v>205</v>
      </c>
      <c r="I206" s="199" t="s">
        <v>1732</v>
      </c>
      <c r="J206" s="34" t="s">
        <v>41</v>
      </c>
      <c r="K206" s="39" t="s">
        <v>42</v>
      </c>
      <c r="L206" s="120">
        <v>43292</v>
      </c>
      <c r="M206" s="137"/>
      <c r="N206" s="137"/>
      <c r="O206" s="137"/>
      <c r="P206" s="137"/>
      <c r="Q206" s="137"/>
      <c r="R206" s="137"/>
      <c r="S206" s="137"/>
      <c r="T206" s="137"/>
      <c r="U206" s="137"/>
      <c r="V206" s="137" t="s">
        <v>732</v>
      </c>
      <c r="W206" s="137"/>
      <c r="X206" s="42" t="s">
        <v>1733</v>
      </c>
      <c r="Y206" s="100" t="s">
        <v>1734</v>
      </c>
      <c r="Z206" s="44"/>
      <c r="AA206" s="45">
        <v>44041</v>
      </c>
      <c r="AB206" s="101" t="s">
        <v>30</v>
      </c>
      <c r="AC206" s="36" t="s">
        <v>26</v>
      </c>
      <c r="AD206" s="47" t="s">
        <v>49</v>
      </c>
      <c r="AE206" s="48" t="s">
        <v>49</v>
      </c>
      <c r="AF206" s="48" t="s">
        <v>49</v>
      </c>
      <c r="AG206" s="48" t="s">
        <v>49</v>
      </c>
      <c r="AH206" s="48" t="s">
        <v>49</v>
      </c>
      <c r="AI206" s="48" t="s">
        <v>49</v>
      </c>
      <c r="AJ206" s="49" t="s">
        <v>49</v>
      </c>
      <c r="AK206" s="48" t="s">
        <v>49</v>
      </c>
      <c r="AL206" s="62" t="s">
        <v>32</v>
      </c>
      <c r="AM206" s="59"/>
      <c r="AN206" s="10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1"/>
    </row>
    <row r="207" spans="1:59" ht="15" customHeight="1" x14ac:dyDescent="0.2">
      <c r="A207" s="33">
        <f t="shared" si="4"/>
        <v>202</v>
      </c>
      <c r="B207" s="38" t="s">
        <v>1735</v>
      </c>
      <c r="C207" s="35" t="s">
        <v>1736</v>
      </c>
      <c r="D207" s="36" t="s">
        <v>1737</v>
      </c>
      <c r="E207" s="36" t="s">
        <v>54</v>
      </c>
      <c r="F207" s="34" t="s">
        <v>1738</v>
      </c>
      <c r="G207" s="37" t="s">
        <v>73</v>
      </c>
      <c r="H207" s="37" t="s">
        <v>73</v>
      </c>
      <c r="I207" s="199" t="s">
        <v>1739</v>
      </c>
      <c r="J207" s="34" t="s">
        <v>41</v>
      </c>
      <c r="K207" s="39" t="s">
        <v>42</v>
      </c>
      <c r="L207" s="120">
        <v>45610</v>
      </c>
      <c r="M207" s="115"/>
      <c r="N207" s="115"/>
      <c r="O207" s="115"/>
      <c r="P207" s="115"/>
      <c r="Q207" s="115"/>
      <c r="R207" s="115"/>
      <c r="S207" s="115"/>
      <c r="T207" s="115"/>
      <c r="U207" s="115" t="s">
        <v>44</v>
      </c>
      <c r="V207" s="115"/>
      <c r="W207" s="115"/>
      <c r="X207" s="199" t="s">
        <v>1740</v>
      </c>
      <c r="Y207" s="100" t="s">
        <v>1741</v>
      </c>
      <c r="Z207" s="44"/>
      <c r="AA207" s="45"/>
      <c r="AB207" s="101"/>
      <c r="AC207" s="36"/>
      <c r="AD207" s="47" t="s">
        <v>49</v>
      </c>
      <c r="AE207" s="48" t="s">
        <v>41</v>
      </c>
      <c r="AF207" s="48" t="s">
        <v>41</v>
      </c>
      <c r="AG207" s="48" t="s">
        <v>41</v>
      </c>
      <c r="AH207" s="48" t="s">
        <v>41</v>
      </c>
      <c r="AI207" s="48" t="s">
        <v>49</v>
      </c>
      <c r="AJ207" s="49" t="s">
        <v>49</v>
      </c>
      <c r="AK207" s="48" t="s">
        <v>41</v>
      </c>
      <c r="AL207" s="62" t="s">
        <v>148</v>
      </c>
      <c r="AM207" s="59"/>
      <c r="AN207" s="10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1"/>
    </row>
    <row r="208" spans="1:59" x14ac:dyDescent="0.2">
      <c r="A208" s="33">
        <f t="shared" si="4"/>
        <v>203</v>
      </c>
      <c r="B208" s="34" t="s">
        <v>1742</v>
      </c>
      <c r="C208" s="35" t="s">
        <v>1743</v>
      </c>
      <c r="D208" s="36" t="s">
        <v>1744</v>
      </c>
      <c r="E208" s="36" t="s">
        <v>36</v>
      </c>
      <c r="F208" s="34" t="s">
        <v>1745</v>
      </c>
      <c r="G208" s="37" t="s">
        <v>323</v>
      </c>
      <c r="H208" s="37" t="s">
        <v>39</v>
      </c>
      <c r="I208" s="38" t="s">
        <v>1746</v>
      </c>
      <c r="J208" s="34"/>
      <c r="K208" s="39" t="s">
        <v>42</v>
      </c>
      <c r="L208" s="194">
        <v>42463</v>
      </c>
      <c r="M208" s="115"/>
      <c r="N208" s="114"/>
      <c r="O208" s="115"/>
      <c r="P208" s="114"/>
      <c r="Q208" s="115"/>
      <c r="R208" s="115"/>
      <c r="S208" s="115"/>
      <c r="T208" s="56"/>
      <c r="U208" s="56"/>
      <c r="V208" s="56"/>
      <c r="W208" s="56"/>
      <c r="X208" s="42" t="s">
        <v>1747</v>
      </c>
      <c r="Y208" s="100" t="s">
        <v>1748</v>
      </c>
      <c r="Z208" s="44" t="s">
        <v>61</v>
      </c>
      <c r="AA208" s="45">
        <v>42935</v>
      </c>
      <c r="AB208" s="191" t="s">
        <v>30</v>
      </c>
      <c r="AC208" s="36" t="s">
        <v>26</v>
      </c>
      <c r="AD208" s="47" t="s">
        <v>49</v>
      </c>
      <c r="AE208" s="48" t="s">
        <v>49</v>
      </c>
      <c r="AF208" s="48" t="s">
        <v>49</v>
      </c>
      <c r="AG208" s="48" t="s">
        <v>49</v>
      </c>
      <c r="AH208" s="48" t="s">
        <v>49</v>
      </c>
      <c r="AI208" s="48" t="s">
        <v>49</v>
      </c>
      <c r="AJ208" s="49" t="s">
        <v>49</v>
      </c>
      <c r="AK208" s="48" t="s">
        <v>49</v>
      </c>
      <c r="AL208" s="62" t="s">
        <v>32</v>
      </c>
      <c r="AM208" s="59"/>
      <c r="AN208" s="10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1"/>
    </row>
    <row r="209" spans="1:51" x14ac:dyDescent="0.2">
      <c r="A209" s="33">
        <f t="shared" si="4"/>
        <v>204</v>
      </c>
      <c r="B209" s="34" t="s">
        <v>1749</v>
      </c>
      <c r="C209" s="35" t="s">
        <v>1750</v>
      </c>
      <c r="D209" s="36" t="s">
        <v>1751</v>
      </c>
      <c r="E209" s="36" t="s">
        <v>54</v>
      </c>
      <c r="F209" s="34" t="s">
        <v>1752</v>
      </c>
      <c r="G209" s="37" t="s">
        <v>73</v>
      </c>
      <c r="H209" s="37" t="s">
        <v>73</v>
      </c>
      <c r="I209" s="34" t="s">
        <v>1753</v>
      </c>
      <c r="J209" s="34" t="s">
        <v>1753</v>
      </c>
      <c r="K209" s="39" t="s">
        <v>42</v>
      </c>
      <c r="L209" s="158" t="s">
        <v>1311</v>
      </c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2" t="s">
        <v>1754</v>
      </c>
      <c r="Y209" s="58" t="s">
        <v>1755</v>
      </c>
      <c r="Z209" s="44" t="s">
        <v>61</v>
      </c>
      <c r="AA209" s="45">
        <v>37208</v>
      </c>
      <c r="AB209" s="101" t="s">
        <v>30</v>
      </c>
      <c r="AC209" s="36" t="s">
        <v>26</v>
      </c>
      <c r="AD209" s="47" t="s">
        <v>49</v>
      </c>
      <c r="AE209" s="48" t="s">
        <v>49</v>
      </c>
      <c r="AF209" s="48" t="s">
        <v>49</v>
      </c>
      <c r="AG209" s="48" t="s">
        <v>49</v>
      </c>
      <c r="AH209" s="48" t="s">
        <v>49</v>
      </c>
      <c r="AI209" s="48" t="s">
        <v>49</v>
      </c>
      <c r="AJ209" s="49" t="s">
        <v>49</v>
      </c>
      <c r="AK209" s="48" t="s">
        <v>41</v>
      </c>
      <c r="AL209" s="62" t="s">
        <v>148</v>
      </c>
      <c r="AM209" s="103"/>
      <c r="AN209" s="10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1"/>
    </row>
    <row r="210" spans="1:51" x14ac:dyDescent="0.2">
      <c r="A210" s="33">
        <f t="shared" si="4"/>
        <v>205</v>
      </c>
      <c r="B210" s="34" t="s">
        <v>1756</v>
      </c>
      <c r="C210" s="35" t="s">
        <v>1757</v>
      </c>
      <c r="D210" s="36" t="s">
        <v>1758</v>
      </c>
      <c r="E210" s="36" t="s">
        <v>54</v>
      </c>
      <c r="F210" s="34" t="s">
        <v>1759</v>
      </c>
      <c r="G210" s="37" t="s">
        <v>73</v>
      </c>
      <c r="H210" s="37" t="s">
        <v>73</v>
      </c>
      <c r="I210" s="34">
        <v>85741499797</v>
      </c>
      <c r="J210" s="34" t="s">
        <v>41</v>
      </c>
      <c r="K210" s="39" t="s">
        <v>42</v>
      </c>
      <c r="L210" s="158" t="s">
        <v>1760</v>
      </c>
      <c r="M210" s="41"/>
      <c r="N210" s="41"/>
      <c r="O210" s="41"/>
      <c r="P210" s="41"/>
      <c r="Q210" s="41"/>
      <c r="R210" s="41"/>
      <c r="S210" s="41"/>
      <c r="T210" s="41" t="s">
        <v>44</v>
      </c>
      <c r="U210" s="41"/>
      <c r="V210" s="41"/>
      <c r="W210" s="41"/>
      <c r="X210" s="42" t="s">
        <v>1761</v>
      </c>
      <c r="Y210" s="58" t="s">
        <v>1762</v>
      </c>
      <c r="Z210" s="44"/>
      <c r="AA210" s="45">
        <v>45642</v>
      </c>
      <c r="AB210" s="101"/>
      <c r="AC210" s="36"/>
      <c r="AD210" s="47" t="s">
        <v>49</v>
      </c>
      <c r="AE210" s="48" t="s">
        <v>41</v>
      </c>
      <c r="AF210" s="48" t="s">
        <v>41</v>
      </c>
      <c r="AG210" s="48" t="s">
        <v>1763</v>
      </c>
      <c r="AH210" s="48" t="s">
        <v>49</v>
      </c>
      <c r="AI210" s="48" t="s">
        <v>49</v>
      </c>
      <c r="AJ210" s="49" t="s">
        <v>49</v>
      </c>
      <c r="AK210" s="48" t="s">
        <v>49</v>
      </c>
      <c r="AL210" s="62" t="s">
        <v>32</v>
      </c>
      <c r="AM210" s="59"/>
      <c r="AN210" s="10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1"/>
    </row>
    <row r="211" spans="1:51" x14ac:dyDescent="0.2">
      <c r="A211" s="33">
        <f t="shared" si="4"/>
        <v>206</v>
      </c>
      <c r="B211" s="34" t="s">
        <v>1764</v>
      </c>
      <c r="C211" s="35" t="s">
        <v>1765</v>
      </c>
      <c r="D211" s="36" t="s">
        <v>1766</v>
      </c>
      <c r="E211" s="36" t="s">
        <v>54</v>
      </c>
      <c r="F211" s="34" t="s">
        <v>1767</v>
      </c>
      <c r="G211" s="37" t="s">
        <v>73</v>
      </c>
      <c r="H211" s="37" t="s">
        <v>73</v>
      </c>
      <c r="I211" s="34" t="s">
        <v>1753</v>
      </c>
      <c r="J211" s="34" t="s">
        <v>1753</v>
      </c>
      <c r="K211" s="39" t="s">
        <v>42</v>
      </c>
      <c r="L211" s="120">
        <v>30353</v>
      </c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2" t="s">
        <v>1768</v>
      </c>
      <c r="Y211" s="58" t="s">
        <v>1769</v>
      </c>
      <c r="Z211" s="44" t="s">
        <v>1770</v>
      </c>
      <c r="AA211" s="45">
        <v>44041</v>
      </c>
      <c r="AB211" s="101" t="s">
        <v>30</v>
      </c>
      <c r="AC211" s="36" t="s">
        <v>26</v>
      </c>
      <c r="AD211" s="64" t="s">
        <v>120</v>
      </c>
      <c r="AE211" s="48" t="s">
        <v>120</v>
      </c>
      <c r="AF211" s="48" t="s">
        <v>120</v>
      </c>
      <c r="AG211" s="48" t="s">
        <v>120</v>
      </c>
      <c r="AH211" s="48" t="s">
        <v>120</v>
      </c>
      <c r="AI211" s="48" t="s">
        <v>120</v>
      </c>
      <c r="AJ211" s="49" t="s">
        <v>41</v>
      </c>
      <c r="AK211" s="48" t="s">
        <v>41</v>
      </c>
      <c r="AL211" s="62" t="s">
        <v>276</v>
      </c>
      <c r="AM211" s="59"/>
      <c r="AN211" s="10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1"/>
    </row>
    <row r="212" spans="1:51" x14ac:dyDescent="0.2">
      <c r="A212" s="33">
        <f t="shared" si="4"/>
        <v>207</v>
      </c>
      <c r="B212" s="34" t="s">
        <v>1771</v>
      </c>
      <c r="C212" s="35" t="s">
        <v>1772</v>
      </c>
      <c r="D212" s="36" t="s">
        <v>1773</v>
      </c>
      <c r="E212" s="36" t="s">
        <v>54</v>
      </c>
      <c r="F212" s="34" t="s">
        <v>1774</v>
      </c>
      <c r="G212" s="37" t="s">
        <v>360</v>
      </c>
      <c r="H212" s="37" t="s">
        <v>350</v>
      </c>
      <c r="I212" s="34" t="s">
        <v>1775</v>
      </c>
      <c r="J212" s="34" t="s">
        <v>41</v>
      </c>
      <c r="K212" s="39" t="s">
        <v>42</v>
      </c>
      <c r="L212" s="158" t="s">
        <v>1776</v>
      </c>
      <c r="M212" s="41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42" t="s">
        <v>1777</v>
      </c>
      <c r="Y212" s="52" t="s">
        <v>1778</v>
      </c>
      <c r="Z212" s="44" t="s">
        <v>61</v>
      </c>
      <c r="AA212" s="45">
        <v>40815</v>
      </c>
      <c r="AB212" s="101" t="s">
        <v>30</v>
      </c>
      <c r="AC212" s="36" t="s">
        <v>26</v>
      </c>
      <c r="AD212" s="47" t="s">
        <v>49</v>
      </c>
      <c r="AE212" s="48" t="s">
        <v>49</v>
      </c>
      <c r="AF212" s="48" t="s">
        <v>49</v>
      </c>
      <c r="AG212" s="48" t="s">
        <v>49</v>
      </c>
      <c r="AH212" s="48" t="s">
        <v>49</v>
      </c>
      <c r="AI212" s="48" t="s">
        <v>49</v>
      </c>
      <c r="AJ212" s="49" t="s">
        <v>49</v>
      </c>
      <c r="AK212" s="48" t="s">
        <v>41</v>
      </c>
      <c r="AL212" s="65" t="s">
        <v>148</v>
      </c>
      <c r="AM212" s="59"/>
      <c r="AN212" s="10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1"/>
    </row>
    <row r="213" spans="1:51" x14ac:dyDescent="0.2">
      <c r="A213" s="33">
        <f t="shared" si="4"/>
        <v>208</v>
      </c>
      <c r="B213" s="34" t="s">
        <v>1779</v>
      </c>
      <c r="C213" s="35" t="s">
        <v>1780</v>
      </c>
      <c r="D213" s="36" t="s">
        <v>1781</v>
      </c>
      <c r="E213" s="36" t="s">
        <v>36</v>
      </c>
      <c r="F213" s="34" t="s">
        <v>1782</v>
      </c>
      <c r="G213" s="37" t="s">
        <v>38</v>
      </c>
      <c r="H213" s="37" t="s">
        <v>39</v>
      </c>
      <c r="I213" s="38" t="s">
        <v>1783</v>
      </c>
      <c r="J213" s="34" t="s">
        <v>41</v>
      </c>
      <c r="K213" s="39" t="s">
        <v>42</v>
      </c>
      <c r="L213" s="99" t="s">
        <v>1650</v>
      </c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42" t="s">
        <v>1784</v>
      </c>
      <c r="Y213" s="52" t="s">
        <v>1785</v>
      </c>
      <c r="Z213" s="44" t="s">
        <v>1786</v>
      </c>
      <c r="AA213" s="45">
        <v>43200</v>
      </c>
      <c r="AB213" s="101" t="s">
        <v>30</v>
      </c>
      <c r="AC213" s="36" t="s">
        <v>26</v>
      </c>
      <c r="AD213" s="47" t="s">
        <v>49</v>
      </c>
      <c r="AE213" s="48" t="s">
        <v>49</v>
      </c>
      <c r="AF213" s="48" t="s">
        <v>49</v>
      </c>
      <c r="AG213" s="48" t="s">
        <v>49</v>
      </c>
      <c r="AH213" s="48" t="s">
        <v>49</v>
      </c>
      <c r="AI213" s="48" t="s">
        <v>49</v>
      </c>
      <c r="AJ213" s="49" t="s">
        <v>49</v>
      </c>
      <c r="AK213" s="48" t="s">
        <v>49</v>
      </c>
      <c r="AL213" s="65" t="s">
        <v>32</v>
      </c>
      <c r="AM213" s="59"/>
      <c r="AN213" s="10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1"/>
    </row>
    <row r="214" spans="1:51" x14ac:dyDescent="0.2">
      <c r="A214" s="33">
        <f t="shared" si="4"/>
        <v>209</v>
      </c>
      <c r="B214" s="34" t="s">
        <v>1787</v>
      </c>
      <c r="C214" s="35" t="s">
        <v>1788</v>
      </c>
      <c r="D214" s="36" t="s">
        <v>1789</v>
      </c>
      <c r="E214" s="36" t="s">
        <v>54</v>
      </c>
      <c r="F214" s="34" t="s">
        <v>1790</v>
      </c>
      <c r="G214" s="37" t="s">
        <v>73</v>
      </c>
      <c r="H214" s="37" t="s">
        <v>73</v>
      </c>
      <c r="I214" s="34" t="s">
        <v>1791</v>
      </c>
      <c r="J214" s="34" t="s">
        <v>41</v>
      </c>
      <c r="K214" s="39" t="s">
        <v>42</v>
      </c>
      <c r="L214" s="99" t="s">
        <v>1650</v>
      </c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42" t="s">
        <v>1792</v>
      </c>
      <c r="Y214" s="100" t="s">
        <v>1793</v>
      </c>
      <c r="Z214" s="44" t="s">
        <v>61</v>
      </c>
      <c r="AA214" s="45">
        <v>37208</v>
      </c>
      <c r="AB214" s="101" t="s">
        <v>30</v>
      </c>
      <c r="AC214" s="36" t="s">
        <v>26</v>
      </c>
      <c r="AD214" s="47" t="s">
        <v>49</v>
      </c>
      <c r="AE214" s="48" t="s">
        <v>49</v>
      </c>
      <c r="AF214" s="48" t="s">
        <v>41</v>
      </c>
      <c r="AG214" s="48" t="s">
        <v>41</v>
      </c>
      <c r="AH214" s="48" t="s">
        <v>41</v>
      </c>
      <c r="AI214" s="48" t="s">
        <v>41</v>
      </c>
      <c r="AJ214" s="49" t="s">
        <v>41</v>
      </c>
      <c r="AK214" s="48" t="s">
        <v>41</v>
      </c>
      <c r="AL214" s="62" t="s">
        <v>4587</v>
      </c>
      <c r="AM214" s="59"/>
      <c r="AN214" s="10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1"/>
    </row>
    <row r="215" spans="1:51" x14ac:dyDescent="0.2">
      <c r="A215" s="33">
        <f t="shared" si="4"/>
        <v>210</v>
      </c>
      <c r="B215" s="34" t="s">
        <v>1794</v>
      </c>
      <c r="C215" s="35" t="s">
        <v>1795</v>
      </c>
      <c r="D215" s="36" t="s">
        <v>1796</v>
      </c>
      <c r="E215" s="36" t="s">
        <v>54</v>
      </c>
      <c r="F215" s="87" t="s">
        <v>1797</v>
      </c>
      <c r="G215" s="37" t="s">
        <v>39</v>
      </c>
      <c r="H215" s="37" t="s">
        <v>39</v>
      </c>
      <c r="I215" s="38" t="s">
        <v>1798</v>
      </c>
      <c r="J215" s="34" t="s">
        <v>41</v>
      </c>
      <c r="K215" s="39" t="s">
        <v>42</v>
      </c>
      <c r="L215" s="158" t="s">
        <v>1799</v>
      </c>
      <c r="M215" s="56" t="s">
        <v>179</v>
      </c>
      <c r="N215" s="56" t="s">
        <v>179</v>
      </c>
      <c r="O215" s="56"/>
      <c r="P215" s="56"/>
      <c r="Q215" s="56"/>
      <c r="R215" s="56"/>
      <c r="S215" s="56"/>
      <c r="T215" s="56"/>
      <c r="U215" s="56"/>
      <c r="V215" s="56" t="s">
        <v>732</v>
      </c>
      <c r="W215" s="56"/>
      <c r="X215" s="42" t="s">
        <v>1800</v>
      </c>
      <c r="Y215" s="69" t="s">
        <v>1801</v>
      </c>
      <c r="Z215" s="44"/>
      <c r="AA215" s="45"/>
      <c r="AB215" s="101"/>
      <c r="AC215" s="36" t="s">
        <v>26</v>
      </c>
      <c r="AD215" s="47" t="s">
        <v>49</v>
      </c>
      <c r="AE215" s="48" t="s">
        <v>49</v>
      </c>
      <c r="AF215" s="48" t="s">
        <v>49</v>
      </c>
      <c r="AG215" s="48" t="s">
        <v>49</v>
      </c>
      <c r="AH215" s="48" t="s">
        <v>49</v>
      </c>
      <c r="AI215" s="48" t="s">
        <v>49</v>
      </c>
      <c r="AJ215" s="49" t="s">
        <v>49</v>
      </c>
      <c r="AK215" s="48" t="s">
        <v>49</v>
      </c>
      <c r="AL215" s="65" t="s">
        <v>32</v>
      </c>
      <c r="AM215" s="59"/>
      <c r="AN215" s="10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1"/>
    </row>
    <row r="216" spans="1:51" x14ac:dyDescent="0.2">
      <c r="A216" s="33">
        <f t="shared" si="4"/>
        <v>211</v>
      </c>
      <c r="B216" s="34" t="s">
        <v>1802</v>
      </c>
      <c r="C216" s="35" t="s">
        <v>1803</v>
      </c>
      <c r="D216" s="36" t="s">
        <v>1804</v>
      </c>
      <c r="E216" s="36" t="s">
        <v>54</v>
      </c>
      <c r="F216" s="200" t="s">
        <v>1805</v>
      </c>
      <c r="G216" s="37" t="s">
        <v>528</v>
      </c>
      <c r="H216" s="37" t="s">
        <v>57</v>
      </c>
      <c r="I216" s="201" t="s">
        <v>1806</v>
      </c>
      <c r="J216" s="34" t="s">
        <v>41</v>
      </c>
      <c r="K216" s="39" t="s">
        <v>42</v>
      </c>
      <c r="L216" s="158" t="s">
        <v>1006</v>
      </c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2" t="s">
        <v>1807</v>
      </c>
      <c r="Y216" s="58" t="s">
        <v>1808</v>
      </c>
      <c r="Z216" s="44" t="s">
        <v>1809</v>
      </c>
      <c r="AA216" s="45">
        <v>43200</v>
      </c>
      <c r="AB216" s="101" t="s">
        <v>30</v>
      </c>
      <c r="AC216" s="36" t="s">
        <v>26</v>
      </c>
      <c r="AD216" s="47" t="s">
        <v>49</v>
      </c>
      <c r="AE216" s="48" t="s">
        <v>49</v>
      </c>
      <c r="AF216" s="48" t="s">
        <v>49</v>
      </c>
      <c r="AG216" s="48" t="s">
        <v>49</v>
      </c>
      <c r="AH216" s="48" t="s">
        <v>49</v>
      </c>
      <c r="AI216" s="48" t="s">
        <v>49</v>
      </c>
      <c r="AJ216" s="49" t="s">
        <v>41</v>
      </c>
      <c r="AK216" s="48" t="s">
        <v>41</v>
      </c>
      <c r="AL216" s="62" t="s">
        <v>276</v>
      </c>
      <c r="AM216" s="59"/>
      <c r="AN216" s="10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1"/>
    </row>
    <row r="217" spans="1:51" x14ac:dyDescent="0.2">
      <c r="A217" s="33">
        <f t="shared" si="4"/>
        <v>212</v>
      </c>
      <c r="B217" s="34" t="s">
        <v>1810</v>
      </c>
      <c r="C217" s="35" t="s">
        <v>1811</v>
      </c>
      <c r="D217" s="89" t="s">
        <v>1812</v>
      </c>
      <c r="E217" s="36" t="s">
        <v>36</v>
      </c>
      <c r="F217" s="200" t="s">
        <v>1813</v>
      </c>
      <c r="G217" s="37" t="s">
        <v>252</v>
      </c>
      <c r="H217" s="37" t="s">
        <v>57</v>
      </c>
      <c r="I217" s="201" t="s">
        <v>1814</v>
      </c>
      <c r="J217" s="34"/>
      <c r="K217" s="39" t="s">
        <v>42</v>
      </c>
      <c r="L217" s="158" t="s">
        <v>1815</v>
      </c>
      <c r="M217" s="41" t="s">
        <v>179</v>
      </c>
      <c r="N217" s="41" t="s">
        <v>179</v>
      </c>
      <c r="O217" s="41"/>
      <c r="P217" s="41"/>
      <c r="Q217" s="41" t="s">
        <v>179</v>
      </c>
      <c r="R217" s="41"/>
      <c r="S217" s="41"/>
      <c r="T217" s="41"/>
      <c r="U217" s="41"/>
      <c r="V217" s="41" t="s">
        <v>44</v>
      </c>
      <c r="W217" s="41"/>
      <c r="X217" s="201" t="s">
        <v>1816</v>
      </c>
      <c r="Y217" s="58" t="s">
        <v>1817</v>
      </c>
      <c r="Z217" s="44"/>
      <c r="AA217" s="45"/>
      <c r="AB217" s="101"/>
      <c r="AC217" s="36"/>
      <c r="AD217" s="47" t="s">
        <v>49</v>
      </c>
      <c r="AE217" s="48" t="s">
        <v>41</v>
      </c>
      <c r="AF217" s="48" t="s">
        <v>41</v>
      </c>
      <c r="AG217" s="48" t="s">
        <v>41</v>
      </c>
      <c r="AH217" s="48" t="s">
        <v>41</v>
      </c>
      <c r="AI217" s="48" t="s">
        <v>41</v>
      </c>
      <c r="AJ217" s="49" t="s">
        <v>49</v>
      </c>
      <c r="AK217" s="48" t="s">
        <v>41</v>
      </c>
      <c r="AL217" s="65" t="s">
        <v>148</v>
      </c>
      <c r="AM217" s="59"/>
      <c r="AN217" s="10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1"/>
    </row>
    <row r="218" spans="1:51" x14ac:dyDescent="0.2">
      <c r="A218" s="33">
        <f t="shared" si="4"/>
        <v>213</v>
      </c>
      <c r="B218" s="34" t="s">
        <v>1818</v>
      </c>
      <c r="C218" s="35" t="s">
        <v>1819</v>
      </c>
      <c r="D218" s="174" t="s">
        <v>1820</v>
      </c>
      <c r="E218" s="36" t="s">
        <v>54</v>
      </c>
      <c r="F218" s="34" t="s">
        <v>1821</v>
      </c>
      <c r="G218" s="37" t="s">
        <v>39</v>
      </c>
      <c r="H218" s="37" t="s">
        <v>39</v>
      </c>
      <c r="I218" s="34" t="s">
        <v>1822</v>
      </c>
      <c r="J218" s="34" t="s">
        <v>1823</v>
      </c>
      <c r="K218" s="39" t="s">
        <v>42</v>
      </c>
      <c r="L218" s="158" t="s">
        <v>1824</v>
      </c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2" t="s">
        <v>1825</v>
      </c>
      <c r="Y218" s="58" t="s">
        <v>1826</v>
      </c>
      <c r="Z218" s="44" t="s">
        <v>1827</v>
      </c>
      <c r="AA218" s="45">
        <v>43200</v>
      </c>
      <c r="AB218" s="101" t="s">
        <v>30</v>
      </c>
      <c r="AC218" s="109"/>
      <c r="AD218" s="47" t="s">
        <v>49</v>
      </c>
      <c r="AE218" s="48" t="s">
        <v>41</v>
      </c>
      <c r="AF218" s="48" t="s">
        <v>41</v>
      </c>
      <c r="AG218" s="48" t="s">
        <v>41</v>
      </c>
      <c r="AH218" s="48" t="s">
        <v>41</v>
      </c>
      <c r="AI218" s="48" t="s">
        <v>41</v>
      </c>
      <c r="AJ218" s="49" t="s">
        <v>41</v>
      </c>
      <c r="AK218" s="48" t="s">
        <v>41</v>
      </c>
      <c r="AL218" s="65" t="s">
        <v>4590</v>
      </c>
      <c r="AM218" s="59" t="s">
        <v>1828</v>
      </c>
      <c r="AN218" s="10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1"/>
    </row>
    <row r="219" spans="1:51" x14ac:dyDescent="0.2">
      <c r="A219" s="33">
        <f t="shared" si="4"/>
        <v>214</v>
      </c>
      <c r="B219" s="34" t="s">
        <v>1829</v>
      </c>
      <c r="C219" s="35" t="s">
        <v>1830</v>
      </c>
      <c r="D219" s="36" t="s">
        <v>1831</v>
      </c>
      <c r="E219" s="36" t="s">
        <v>36</v>
      </c>
      <c r="F219" s="108" t="s">
        <v>1832</v>
      </c>
      <c r="G219" s="37" t="s">
        <v>73</v>
      </c>
      <c r="H219" s="37" t="s">
        <v>73</v>
      </c>
      <c r="I219" s="38" t="s">
        <v>1833</v>
      </c>
      <c r="J219" s="38" t="s">
        <v>1834</v>
      </c>
      <c r="K219" s="39" t="s">
        <v>42</v>
      </c>
      <c r="L219" s="99" t="s">
        <v>1835</v>
      </c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42" t="s">
        <v>1836</v>
      </c>
      <c r="Y219" s="58" t="s">
        <v>1837</v>
      </c>
      <c r="Z219" s="44" t="s">
        <v>1838</v>
      </c>
      <c r="AA219" s="45">
        <v>43200</v>
      </c>
      <c r="AB219" s="101" t="s">
        <v>30</v>
      </c>
      <c r="AC219" s="36" t="s">
        <v>26</v>
      </c>
      <c r="AD219" s="47" t="s">
        <v>49</v>
      </c>
      <c r="AE219" s="48" t="s">
        <v>49</v>
      </c>
      <c r="AF219" s="48" t="s">
        <v>41</v>
      </c>
      <c r="AG219" s="48" t="s">
        <v>41</v>
      </c>
      <c r="AH219" s="48" t="s">
        <v>41</v>
      </c>
      <c r="AI219" s="48" t="s">
        <v>41</v>
      </c>
      <c r="AJ219" s="49" t="s">
        <v>41</v>
      </c>
      <c r="AK219" s="48" t="s">
        <v>41</v>
      </c>
      <c r="AL219" s="62" t="s">
        <v>4587</v>
      </c>
      <c r="AM219" s="59"/>
      <c r="AN219" s="10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1"/>
    </row>
    <row r="220" spans="1:51" x14ac:dyDescent="0.2">
      <c r="A220" s="33">
        <f t="shared" si="4"/>
        <v>215</v>
      </c>
      <c r="B220" s="34" t="s">
        <v>1839</v>
      </c>
      <c r="C220" s="35" t="s">
        <v>1840</v>
      </c>
      <c r="D220" s="36" t="s">
        <v>1841</v>
      </c>
      <c r="E220" s="36" t="s">
        <v>36</v>
      </c>
      <c r="F220" s="108" t="s">
        <v>1842</v>
      </c>
      <c r="G220" s="37" t="s">
        <v>205</v>
      </c>
      <c r="H220" s="37" t="s">
        <v>205</v>
      </c>
      <c r="I220" s="38" t="s">
        <v>1843</v>
      </c>
      <c r="J220" s="38" t="s">
        <v>41</v>
      </c>
      <c r="K220" s="39" t="s">
        <v>42</v>
      </c>
      <c r="L220" s="120">
        <v>44658</v>
      </c>
      <c r="M220" s="56"/>
      <c r="N220" s="56"/>
      <c r="O220" s="56"/>
      <c r="P220" s="56"/>
      <c r="Q220" s="56"/>
      <c r="R220" s="56"/>
      <c r="S220" s="56" t="s">
        <v>44</v>
      </c>
      <c r="T220" s="56"/>
      <c r="U220" s="56"/>
      <c r="V220" s="56"/>
      <c r="W220" s="56"/>
      <c r="X220" s="42" t="s">
        <v>1844</v>
      </c>
      <c r="Y220" s="58" t="s">
        <v>1845</v>
      </c>
      <c r="Z220" s="44" t="s">
        <v>1846</v>
      </c>
      <c r="AA220" s="45">
        <v>44944</v>
      </c>
      <c r="AB220" s="101" t="s">
        <v>30</v>
      </c>
      <c r="AC220" s="36"/>
      <c r="AD220" s="47" t="s">
        <v>49</v>
      </c>
      <c r="AE220" s="48" t="s">
        <v>41</v>
      </c>
      <c r="AF220" s="48" t="s">
        <v>41</v>
      </c>
      <c r="AG220" s="48" t="s">
        <v>49</v>
      </c>
      <c r="AH220" s="48" t="s">
        <v>49</v>
      </c>
      <c r="AI220" s="48" t="s">
        <v>49</v>
      </c>
      <c r="AJ220" s="49" t="s">
        <v>49</v>
      </c>
      <c r="AK220" s="48" t="s">
        <v>49</v>
      </c>
      <c r="AL220" s="62" t="s">
        <v>32</v>
      </c>
      <c r="AM220" s="59"/>
      <c r="AN220" s="10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1"/>
    </row>
    <row r="221" spans="1:51" x14ac:dyDescent="0.2">
      <c r="A221" s="33">
        <f t="shared" si="4"/>
        <v>216</v>
      </c>
      <c r="B221" s="108" t="s">
        <v>1847</v>
      </c>
      <c r="C221" s="35" t="s">
        <v>1848</v>
      </c>
      <c r="D221" s="174" t="s">
        <v>1849</v>
      </c>
      <c r="E221" s="36" t="s">
        <v>54</v>
      </c>
      <c r="F221" s="108" t="s">
        <v>1850</v>
      </c>
      <c r="G221" s="37" t="s">
        <v>73</v>
      </c>
      <c r="H221" s="37" t="s">
        <v>73</v>
      </c>
      <c r="I221" s="108" t="s">
        <v>1851</v>
      </c>
      <c r="J221" s="108" t="s">
        <v>1851</v>
      </c>
      <c r="K221" s="39" t="s">
        <v>42</v>
      </c>
      <c r="L221" s="158" t="s">
        <v>1852</v>
      </c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2" t="s">
        <v>1853</v>
      </c>
      <c r="Y221" s="58" t="s">
        <v>1854</v>
      </c>
      <c r="Z221" s="44" t="s">
        <v>1855</v>
      </c>
      <c r="AA221" s="45">
        <v>42935</v>
      </c>
      <c r="AB221" s="101" t="s">
        <v>30</v>
      </c>
      <c r="AC221" s="109" t="s">
        <v>26</v>
      </c>
      <c r="AD221" s="61" t="s">
        <v>49</v>
      </c>
      <c r="AE221" s="48" t="s">
        <v>49</v>
      </c>
      <c r="AF221" s="48" t="s">
        <v>49</v>
      </c>
      <c r="AG221" s="48" t="s">
        <v>49</v>
      </c>
      <c r="AH221" s="48" t="s">
        <v>49</v>
      </c>
      <c r="AI221" s="48" t="s">
        <v>41</v>
      </c>
      <c r="AJ221" s="49" t="s">
        <v>41</v>
      </c>
      <c r="AK221" s="48" t="s">
        <v>41</v>
      </c>
      <c r="AL221" s="62" t="s">
        <v>4589</v>
      </c>
      <c r="AM221" s="59"/>
      <c r="AN221" s="10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1"/>
    </row>
    <row r="222" spans="1:51" x14ac:dyDescent="0.2">
      <c r="A222" s="33">
        <f t="shared" si="4"/>
        <v>217</v>
      </c>
      <c r="B222" s="34" t="s">
        <v>1856</v>
      </c>
      <c r="C222" s="35" t="s">
        <v>1857</v>
      </c>
      <c r="D222" s="202" t="s">
        <v>1858</v>
      </c>
      <c r="E222" s="36" t="s">
        <v>54</v>
      </c>
      <c r="F222" s="87" t="s">
        <v>1859</v>
      </c>
      <c r="G222" s="37" t="s">
        <v>73</v>
      </c>
      <c r="H222" s="37" t="s">
        <v>73</v>
      </c>
      <c r="I222" s="107" t="s">
        <v>1860</v>
      </c>
      <c r="J222" s="34" t="s">
        <v>1861</v>
      </c>
      <c r="K222" s="39" t="s">
        <v>42</v>
      </c>
      <c r="L222" s="158" t="s">
        <v>1862</v>
      </c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2" t="s">
        <v>1863</v>
      </c>
      <c r="Y222" s="52" t="s">
        <v>1864</v>
      </c>
      <c r="Z222" s="44" t="s">
        <v>61</v>
      </c>
      <c r="AA222" s="45">
        <v>41793</v>
      </c>
      <c r="AB222" s="101" t="s">
        <v>30</v>
      </c>
      <c r="AC222" s="36" t="s">
        <v>26</v>
      </c>
      <c r="AD222" s="61" t="s">
        <v>49</v>
      </c>
      <c r="AE222" s="48" t="s">
        <v>49</v>
      </c>
      <c r="AF222" s="48" t="s">
        <v>49</v>
      </c>
      <c r="AG222" s="48" t="s">
        <v>49</v>
      </c>
      <c r="AH222" s="48" t="s">
        <v>49</v>
      </c>
      <c r="AI222" s="48" t="s">
        <v>49</v>
      </c>
      <c r="AJ222" s="49" t="s">
        <v>49</v>
      </c>
      <c r="AK222" s="48" t="s">
        <v>49</v>
      </c>
      <c r="AL222" s="65" t="s">
        <v>32</v>
      </c>
      <c r="AM222" s="59"/>
      <c r="AN222" s="10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1"/>
    </row>
    <row r="223" spans="1:51" x14ac:dyDescent="0.2">
      <c r="A223" s="33">
        <f t="shared" si="4"/>
        <v>218</v>
      </c>
      <c r="B223" s="34" t="s">
        <v>1865</v>
      </c>
      <c r="C223" s="35" t="s">
        <v>1866</v>
      </c>
      <c r="D223" s="104" t="s">
        <v>1867</v>
      </c>
      <c r="E223" s="36" t="s">
        <v>54</v>
      </c>
      <c r="F223" s="34" t="s">
        <v>1868</v>
      </c>
      <c r="G223" s="37" t="s">
        <v>73</v>
      </c>
      <c r="H223" s="37" t="s">
        <v>73</v>
      </c>
      <c r="I223" s="34" t="s">
        <v>1860</v>
      </c>
      <c r="J223" s="34" t="s">
        <v>1861</v>
      </c>
      <c r="K223" s="39" t="s">
        <v>42</v>
      </c>
      <c r="L223" s="99" t="s">
        <v>1869</v>
      </c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2" t="s">
        <v>1870</v>
      </c>
      <c r="Y223" s="52" t="s">
        <v>1871</v>
      </c>
      <c r="Z223" s="44" t="s">
        <v>1872</v>
      </c>
      <c r="AA223" s="45">
        <v>40876</v>
      </c>
      <c r="AB223" s="101" t="s">
        <v>30</v>
      </c>
      <c r="AC223" s="36" t="s">
        <v>26</v>
      </c>
      <c r="AD223" s="47" t="s">
        <v>49</v>
      </c>
      <c r="AE223" s="48" t="s">
        <v>49</v>
      </c>
      <c r="AF223" s="48" t="s">
        <v>49</v>
      </c>
      <c r="AG223" s="48" t="s">
        <v>49</v>
      </c>
      <c r="AH223" s="48" t="s">
        <v>49</v>
      </c>
      <c r="AI223" s="48" t="s">
        <v>49</v>
      </c>
      <c r="AJ223" s="49" t="s">
        <v>49</v>
      </c>
      <c r="AK223" s="48" t="s">
        <v>49</v>
      </c>
      <c r="AL223" s="65" t="s">
        <v>32</v>
      </c>
      <c r="AM223" s="59"/>
      <c r="AN223" s="10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1"/>
    </row>
    <row r="224" spans="1:51" x14ac:dyDescent="0.2">
      <c r="A224" s="33">
        <f t="shared" si="4"/>
        <v>219</v>
      </c>
      <c r="B224" s="34" t="s">
        <v>1873</v>
      </c>
      <c r="C224" s="35" t="s">
        <v>1874</v>
      </c>
      <c r="D224" s="174" t="s">
        <v>1875</v>
      </c>
      <c r="E224" s="36" t="s">
        <v>54</v>
      </c>
      <c r="F224" s="34" t="s">
        <v>1876</v>
      </c>
      <c r="G224" s="37" t="s">
        <v>73</v>
      </c>
      <c r="H224" s="37" t="s">
        <v>73</v>
      </c>
      <c r="I224" s="34" t="s">
        <v>1679</v>
      </c>
      <c r="J224" s="34" t="s">
        <v>1877</v>
      </c>
      <c r="K224" s="39" t="s">
        <v>42</v>
      </c>
      <c r="L224" s="120">
        <v>34984</v>
      </c>
      <c r="M224" s="56" t="s">
        <v>179</v>
      </c>
      <c r="N224" s="56" t="s">
        <v>341</v>
      </c>
      <c r="O224" s="56" t="s">
        <v>1878</v>
      </c>
      <c r="P224" s="56">
        <v>1</v>
      </c>
      <c r="Q224" s="56"/>
      <c r="R224" s="56"/>
      <c r="S224" s="56"/>
      <c r="T224" s="56"/>
      <c r="U224" s="56" t="s">
        <v>732</v>
      </c>
      <c r="V224" s="56"/>
      <c r="W224" s="56"/>
      <c r="X224" s="42" t="s">
        <v>1879</v>
      </c>
      <c r="Y224" s="58" t="s">
        <v>1880</v>
      </c>
      <c r="Z224" s="44"/>
      <c r="AA224" s="45"/>
      <c r="AB224" s="101"/>
      <c r="AC224" s="36" t="s">
        <v>26</v>
      </c>
      <c r="AD224" s="47" t="s">
        <v>49</v>
      </c>
      <c r="AE224" s="48" t="s">
        <v>49</v>
      </c>
      <c r="AF224" s="48" t="s">
        <v>49</v>
      </c>
      <c r="AG224" s="48" t="s">
        <v>49</v>
      </c>
      <c r="AH224" s="48" t="s">
        <v>49</v>
      </c>
      <c r="AI224" s="48" t="s">
        <v>49</v>
      </c>
      <c r="AJ224" s="49" t="s">
        <v>49</v>
      </c>
      <c r="AK224" s="48" t="s">
        <v>49</v>
      </c>
      <c r="AL224" s="65" t="s">
        <v>32</v>
      </c>
      <c r="AM224" s="59"/>
      <c r="AN224" s="10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1"/>
    </row>
    <row r="225" spans="1:51" x14ac:dyDescent="0.2">
      <c r="A225" s="33">
        <f t="shared" si="4"/>
        <v>220</v>
      </c>
      <c r="B225" s="34" t="s">
        <v>1881</v>
      </c>
      <c r="C225" s="35" t="s">
        <v>1882</v>
      </c>
      <c r="D225" s="174" t="s">
        <v>1883</v>
      </c>
      <c r="E225" s="36" t="s">
        <v>54</v>
      </c>
      <c r="F225" s="34" t="s">
        <v>1884</v>
      </c>
      <c r="G225" s="37" t="s">
        <v>73</v>
      </c>
      <c r="H225" s="37" t="s">
        <v>73</v>
      </c>
      <c r="I225" s="38" t="s">
        <v>1885</v>
      </c>
      <c r="J225" s="34" t="s">
        <v>1886</v>
      </c>
      <c r="K225" s="39" t="s">
        <v>42</v>
      </c>
      <c r="L225" s="120" t="s">
        <v>1887</v>
      </c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42" t="s">
        <v>1888</v>
      </c>
      <c r="Y225" s="58" t="s">
        <v>1889</v>
      </c>
      <c r="Z225" s="44" t="s">
        <v>1890</v>
      </c>
      <c r="AA225" s="45">
        <v>44041</v>
      </c>
      <c r="AB225" s="101" t="s">
        <v>30</v>
      </c>
      <c r="AC225" s="36" t="s">
        <v>26</v>
      </c>
      <c r="AD225" s="47" t="s">
        <v>49</v>
      </c>
      <c r="AE225" s="48" t="s">
        <v>49</v>
      </c>
      <c r="AF225" s="48" t="s">
        <v>49</v>
      </c>
      <c r="AG225" s="48" t="s">
        <v>49</v>
      </c>
      <c r="AH225" s="48" t="s">
        <v>49</v>
      </c>
      <c r="AI225" s="48" t="s">
        <v>49</v>
      </c>
      <c r="AJ225" s="49" t="s">
        <v>49</v>
      </c>
      <c r="AK225" s="48" t="s">
        <v>41</v>
      </c>
      <c r="AL225" s="65" t="s">
        <v>148</v>
      </c>
      <c r="AM225" s="59"/>
      <c r="AN225" s="10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1"/>
    </row>
    <row r="226" spans="1:51" x14ac:dyDescent="0.2">
      <c r="A226" s="33">
        <f t="shared" si="4"/>
        <v>221</v>
      </c>
      <c r="B226" s="72" t="s">
        <v>1891</v>
      </c>
      <c r="C226" s="35" t="s">
        <v>1892</v>
      </c>
      <c r="D226" s="36" t="s">
        <v>1893</v>
      </c>
      <c r="E226" s="36" t="s">
        <v>54</v>
      </c>
      <c r="F226" s="72" t="s">
        <v>1894</v>
      </c>
      <c r="G226" s="75" t="s">
        <v>252</v>
      </c>
      <c r="H226" s="75" t="s">
        <v>57</v>
      </c>
      <c r="I226" s="72" t="s">
        <v>1895</v>
      </c>
      <c r="J226" s="72" t="s">
        <v>41</v>
      </c>
      <c r="K226" s="77" t="s">
        <v>42</v>
      </c>
      <c r="L226" s="203" t="s">
        <v>556</v>
      </c>
      <c r="M226" s="156"/>
      <c r="N226" s="204"/>
      <c r="O226" s="205"/>
      <c r="P226" s="204"/>
      <c r="Q226" s="205"/>
      <c r="R226" s="205"/>
      <c r="S226" s="205"/>
      <c r="T226" s="156"/>
      <c r="U226" s="156" t="s">
        <v>732</v>
      </c>
      <c r="V226" s="156"/>
      <c r="W226" s="156"/>
      <c r="X226" s="42" t="s">
        <v>1896</v>
      </c>
      <c r="Y226" s="52" t="s">
        <v>1897</v>
      </c>
      <c r="Z226" s="44"/>
      <c r="AA226" s="45"/>
      <c r="AB226" s="206"/>
      <c r="AC226" s="154" t="s">
        <v>26</v>
      </c>
      <c r="AD226" s="81" t="s">
        <v>49</v>
      </c>
      <c r="AE226" s="48" t="s">
        <v>49</v>
      </c>
      <c r="AF226" s="48" t="s">
        <v>49</v>
      </c>
      <c r="AG226" s="48" t="s">
        <v>49</v>
      </c>
      <c r="AH226" s="48" t="s">
        <v>49</v>
      </c>
      <c r="AI226" s="48" t="s">
        <v>49</v>
      </c>
      <c r="AJ226" s="49" t="s">
        <v>49</v>
      </c>
      <c r="AK226" s="48" t="s">
        <v>41</v>
      </c>
      <c r="AL226" s="62" t="s">
        <v>148</v>
      </c>
      <c r="AM226" s="59"/>
      <c r="AN226" s="10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1"/>
    </row>
    <row r="227" spans="1:51" x14ac:dyDescent="0.2">
      <c r="A227" s="33">
        <f t="shared" si="4"/>
        <v>222</v>
      </c>
      <c r="B227" s="34" t="s">
        <v>1898</v>
      </c>
      <c r="C227" s="35" t="s">
        <v>1899</v>
      </c>
      <c r="D227" s="36" t="s">
        <v>1900</v>
      </c>
      <c r="E227" s="36" t="s">
        <v>54</v>
      </c>
      <c r="F227" s="34" t="s">
        <v>1901</v>
      </c>
      <c r="G227" s="37" t="s">
        <v>205</v>
      </c>
      <c r="H227" s="37" t="s">
        <v>205</v>
      </c>
      <c r="I227" s="34" t="s">
        <v>1902</v>
      </c>
      <c r="J227" s="34" t="s">
        <v>1903</v>
      </c>
      <c r="K227" s="39" t="s">
        <v>42</v>
      </c>
      <c r="L227" s="120">
        <v>34761</v>
      </c>
      <c r="M227" s="41"/>
      <c r="N227" s="177"/>
      <c r="O227" s="112"/>
      <c r="P227" s="177"/>
      <c r="Q227" s="112"/>
      <c r="R227" s="112"/>
      <c r="S227" s="112"/>
      <c r="T227" s="41"/>
      <c r="U227" s="41"/>
      <c r="V227" s="41"/>
      <c r="W227" s="41"/>
      <c r="X227" s="42" t="s">
        <v>1904</v>
      </c>
      <c r="Y227" s="43" t="s">
        <v>1905</v>
      </c>
      <c r="Z227" s="44" t="s">
        <v>61</v>
      </c>
      <c r="AA227" s="45">
        <v>36641</v>
      </c>
      <c r="AB227" s="101" t="s">
        <v>30</v>
      </c>
      <c r="AC227" s="36" t="s">
        <v>26</v>
      </c>
      <c r="AD227" s="47" t="s">
        <v>49</v>
      </c>
      <c r="AE227" s="48" t="s">
        <v>49</v>
      </c>
      <c r="AF227" s="48" t="s">
        <v>49</v>
      </c>
      <c r="AG227" s="48" t="s">
        <v>49</v>
      </c>
      <c r="AH227" s="48" t="s">
        <v>49</v>
      </c>
      <c r="AI227" s="48" t="s">
        <v>41</v>
      </c>
      <c r="AJ227" s="49" t="s">
        <v>41</v>
      </c>
      <c r="AK227" s="48" t="s">
        <v>41</v>
      </c>
      <c r="AL227" s="62" t="s">
        <v>4589</v>
      </c>
      <c r="AM227" s="59"/>
      <c r="AN227" s="10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1"/>
    </row>
    <row r="228" spans="1:51" x14ac:dyDescent="0.2">
      <c r="A228" s="33">
        <f t="shared" si="4"/>
        <v>223</v>
      </c>
      <c r="B228" s="34" t="s">
        <v>1906</v>
      </c>
      <c r="C228" s="35" t="s">
        <v>1907</v>
      </c>
      <c r="D228" s="36" t="s">
        <v>1908</v>
      </c>
      <c r="E228" s="36" t="s">
        <v>54</v>
      </c>
      <c r="F228" s="34" t="s">
        <v>1909</v>
      </c>
      <c r="G228" s="37" t="s">
        <v>205</v>
      </c>
      <c r="H228" s="37" t="s">
        <v>205</v>
      </c>
      <c r="I228" s="34" t="s">
        <v>1910</v>
      </c>
      <c r="J228" s="34" t="s">
        <v>41</v>
      </c>
      <c r="K228" s="39" t="s">
        <v>42</v>
      </c>
      <c r="L228" s="120">
        <v>33428</v>
      </c>
      <c r="M228" s="56"/>
      <c r="N228" s="114"/>
      <c r="O228" s="115"/>
      <c r="P228" s="114"/>
      <c r="Q228" s="115"/>
      <c r="R228" s="115"/>
      <c r="S228" s="115"/>
      <c r="T228" s="56"/>
      <c r="U228" s="56"/>
      <c r="V228" s="56"/>
      <c r="W228" s="56"/>
      <c r="X228" s="42" t="s">
        <v>1911</v>
      </c>
      <c r="Y228" s="43" t="s">
        <v>1912</v>
      </c>
      <c r="Z228" s="119" t="s">
        <v>61</v>
      </c>
      <c r="AA228" s="45">
        <v>36641</v>
      </c>
      <c r="AB228" s="101" t="s">
        <v>30</v>
      </c>
      <c r="AC228" s="36" t="s">
        <v>26</v>
      </c>
      <c r="AD228" s="47" t="s">
        <v>49</v>
      </c>
      <c r="AE228" s="48" t="s">
        <v>49</v>
      </c>
      <c r="AF228" s="48" t="s">
        <v>49</v>
      </c>
      <c r="AG228" s="48" t="s">
        <v>49</v>
      </c>
      <c r="AH228" s="48" t="s">
        <v>41</v>
      </c>
      <c r="AI228" s="48" t="s">
        <v>41</v>
      </c>
      <c r="AJ228" s="49" t="s">
        <v>41</v>
      </c>
      <c r="AK228" s="48" t="s">
        <v>41</v>
      </c>
      <c r="AL228" s="62" t="s">
        <v>139</v>
      </c>
      <c r="AM228" s="59"/>
      <c r="AN228" s="10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1"/>
    </row>
    <row r="229" spans="1:51" ht="18" customHeight="1" x14ac:dyDescent="0.2">
      <c r="A229" s="33">
        <f t="shared" si="4"/>
        <v>224</v>
      </c>
      <c r="B229" s="107" t="s">
        <v>1913</v>
      </c>
      <c r="C229" s="35" t="s">
        <v>1914</v>
      </c>
      <c r="D229" s="36" t="s">
        <v>1915</v>
      </c>
      <c r="E229" s="36" t="s">
        <v>54</v>
      </c>
      <c r="F229" s="34" t="s">
        <v>1916</v>
      </c>
      <c r="G229" s="37" t="s">
        <v>73</v>
      </c>
      <c r="H229" s="37" t="s">
        <v>73</v>
      </c>
      <c r="I229" s="183" t="s">
        <v>1917</v>
      </c>
      <c r="J229" s="34" t="s">
        <v>41</v>
      </c>
      <c r="K229" s="39" t="s">
        <v>42</v>
      </c>
      <c r="L229" s="120">
        <v>44447</v>
      </c>
      <c r="M229" s="56"/>
      <c r="N229" s="186"/>
      <c r="O229" s="115"/>
      <c r="P229" s="186"/>
      <c r="Q229" s="115"/>
      <c r="R229" s="115" t="s">
        <v>44</v>
      </c>
      <c r="S229" s="115"/>
      <c r="T229" s="56"/>
      <c r="U229" s="56"/>
      <c r="V229" s="56"/>
      <c r="W229" s="56"/>
      <c r="X229" s="42" t="s">
        <v>1918</v>
      </c>
      <c r="Y229" s="43" t="s">
        <v>1919</v>
      </c>
      <c r="Z229" s="207" t="s">
        <v>1920</v>
      </c>
      <c r="AA229" s="45">
        <v>44944</v>
      </c>
      <c r="AB229" s="101" t="s">
        <v>30</v>
      </c>
      <c r="AC229" s="36"/>
      <c r="AD229" s="47" t="s">
        <v>49</v>
      </c>
      <c r="AE229" s="48" t="s">
        <v>41</v>
      </c>
      <c r="AF229" s="48" t="s">
        <v>49</v>
      </c>
      <c r="AG229" s="48" t="s">
        <v>49</v>
      </c>
      <c r="AH229" s="48" t="s">
        <v>49</v>
      </c>
      <c r="AI229" s="48" t="s">
        <v>41</v>
      </c>
      <c r="AJ229" s="49" t="s">
        <v>41</v>
      </c>
      <c r="AK229" s="48" t="s">
        <v>41</v>
      </c>
      <c r="AL229" s="62" t="s">
        <v>4589</v>
      </c>
      <c r="AM229" s="59"/>
      <c r="AN229" s="10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1"/>
    </row>
    <row r="230" spans="1:51" x14ac:dyDescent="0.2">
      <c r="A230" s="33">
        <f t="shared" si="4"/>
        <v>225</v>
      </c>
      <c r="B230" s="34" t="s">
        <v>1921</v>
      </c>
      <c r="C230" s="35" t="s">
        <v>1922</v>
      </c>
      <c r="D230" s="36" t="s">
        <v>1923</v>
      </c>
      <c r="E230" s="36" t="s">
        <v>54</v>
      </c>
      <c r="F230" s="34" t="s">
        <v>1924</v>
      </c>
      <c r="G230" s="37" t="s">
        <v>176</v>
      </c>
      <c r="H230" s="37" t="s">
        <v>39</v>
      </c>
      <c r="I230" s="38" t="s">
        <v>1925</v>
      </c>
      <c r="J230" s="34" t="s">
        <v>41</v>
      </c>
      <c r="K230" s="39" t="s">
        <v>42</v>
      </c>
      <c r="L230" s="120">
        <v>45803</v>
      </c>
      <c r="M230" s="56" t="s">
        <v>179</v>
      </c>
      <c r="N230" s="147" t="s">
        <v>179</v>
      </c>
      <c r="O230" s="115"/>
      <c r="P230" s="56"/>
      <c r="Q230" s="115" t="s">
        <v>179</v>
      </c>
      <c r="R230" s="115"/>
      <c r="S230" s="115"/>
      <c r="T230" s="56"/>
      <c r="U230" s="56"/>
      <c r="V230" s="56" t="s">
        <v>44</v>
      </c>
      <c r="W230" s="56"/>
      <c r="X230" s="38" t="s">
        <v>1926</v>
      </c>
      <c r="Y230" s="55" t="s">
        <v>1927</v>
      </c>
      <c r="Z230" s="207"/>
      <c r="AA230" s="45"/>
      <c r="AB230" s="101"/>
      <c r="AC230" s="36"/>
      <c r="AD230" s="47" t="s">
        <v>49</v>
      </c>
      <c r="AE230" s="48" t="s">
        <v>41</v>
      </c>
      <c r="AF230" s="48" t="s">
        <v>41</v>
      </c>
      <c r="AG230" s="48" t="s">
        <v>41</v>
      </c>
      <c r="AH230" s="48" t="s">
        <v>41</v>
      </c>
      <c r="AI230" s="48" t="s">
        <v>41</v>
      </c>
      <c r="AJ230" s="49" t="s">
        <v>49</v>
      </c>
      <c r="AK230" s="48" t="s">
        <v>49</v>
      </c>
      <c r="AL230" s="62" t="s">
        <v>32</v>
      </c>
      <c r="AM230" s="59"/>
      <c r="AN230" s="10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1"/>
    </row>
    <row r="231" spans="1:51" x14ac:dyDescent="0.2">
      <c r="A231" s="33">
        <f t="shared" si="4"/>
        <v>226</v>
      </c>
      <c r="B231" s="108" t="s">
        <v>1928</v>
      </c>
      <c r="C231" s="35" t="s">
        <v>1929</v>
      </c>
      <c r="D231" s="36" t="s">
        <v>1930</v>
      </c>
      <c r="E231" s="36" t="s">
        <v>54</v>
      </c>
      <c r="F231" s="34" t="s">
        <v>1931</v>
      </c>
      <c r="G231" s="37" t="s">
        <v>243</v>
      </c>
      <c r="H231" s="37" t="s">
        <v>205</v>
      </c>
      <c r="I231" s="140" t="s">
        <v>1932</v>
      </c>
      <c r="J231" s="34" t="s">
        <v>41</v>
      </c>
      <c r="K231" s="39" t="s">
        <v>42</v>
      </c>
      <c r="L231" s="120">
        <v>43070</v>
      </c>
      <c r="M231" s="56"/>
      <c r="N231" s="114"/>
      <c r="O231" s="115"/>
      <c r="P231" s="114"/>
      <c r="Q231" s="115"/>
      <c r="R231" s="115"/>
      <c r="S231" s="115"/>
      <c r="T231" s="56"/>
      <c r="U231" s="56"/>
      <c r="V231" s="56"/>
      <c r="W231" s="56"/>
      <c r="X231" s="42" t="s">
        <v>1933</v>
      </c>
      <c r="Y231" s="52" t="s">
        <v>1934</v>
      </c>
      <c r="Z231" s="44" t="s">
        <v>1935</v>
      </c>
      <c r="AA231" s="45">
        <v>42935</v>
      </c>
      <c r="AB231" s="101" t="s">
        <v>30</v>
      </c>
      <c r="AC231" s="73" t="s">
        <v>26</v>
      </c>
      <c r="AD231" s="47" t="s">
        <v>49</v>
      </c>
      <c r="AE231" s="48" t="s">
        <v>49</v>
      </c>
      <c r="AF231" s="48" t="s">
        <v>49</v>
      </c>
      <c r="AG231" s="48" t="s">
        <v>49</v>
      </c>
      <c r="AH231" s="48" t="s">
        <v>49</v>
      </c>
      <c r="AI231" s="48" t="s">
        <v>49</v>
      </c>
      <c r="AJ231" s="49" t="s">
        <v>49</v>
      </c>
      <c r="AK231" s="48" t="s">
        <v>49</v>
      </c>
      <c r="AL231" s="62" t="s">
        <v>32</v>
      </c>
      <c r="AM231" s="59"/>
      <c r="AN231" s="117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1"/>
    </row>
    <row r="232" spans="1:51" x14ac:dyDescent="0.2">
      <c r="A232" s="33">
        <f t="shared" si="4"/>
        <v>227</v>
      </c>
      <c r="B232" s="34" t="s">
        <v>1936</v>
      </c>
      <c r="C232" s="35" t="s">
        <v>1937</v>
      </c>
      <c r="D232" s="36" t="s">
        <v>1938</v>
      </c>
      <c r="E232" s="36" t="s">
        <v>54</v>
      </c>
      <c r="F232" s="34" t="s">
        <v>1939</v>
      </c>
      <c r="G232" s="37" t="s">
        <v>323</v>
      </c>
      <c r="H232" s="37" t="s">
        <v>39</v>
      </c>
      <c r="I232" s="34" t="s">
        <v>1940</v>
      </c>
      <c r="J232" s="34" t="s">
        <v>41</v>
      </c>
      <c r="K232" s="39" t="s">
        <v>42</v>
      </c>
      <c r="L232" s="120">
        <v>37718</v>
      </c>
      <c r="M232" s="41"/>
      <c r="N232" s="177"/>
      <c r="O232" s="112"/>
      <c r="P232" s="177"/>
      <c r="Q232" s="112"/>
      <c r="R232" s="112"/>
      <c r="S232" s="41"/>
      <c r="T232" s="41"/>
      <c r="U232" s="41"/>
      <c r="V232" s="41"/>
      <c r="W232" s="41"/>
      <c r="X232" s="42" t="s">
        <v>1941</v>
      </c>
      <c r="Y232" s="52" t="s">
        <v>1942</v>
      </c>
      <c r="Z232" s="44" t="s">
        <v>61</v>
      </c>
      <c r="AA232" s="45">
        <v>38593</v>
      </c>
      <c r="AB232" s="101" t="s">
        <v>30</v>
      </c>
      <c r="AC232" s="36" t="s">
        <v>26</v>
      </c>
      <c r="AD232" s="47" t="s">
        <v>49</v>
      </c>
      <c r="AE232" s="48" t="s">
        <v>49</v>
      </c>
      <c r="AF232" s="48" t="s">
        <v>49</v>
      </c>
      <c r="AG232" s="48" t="s">
        <v>41</v>
      </c>
      <c r="AH232" s="48" t="s">
        <v>41</v>
      </c>
      <c r="AI232" s="48" t="s">
        <v>41</v>
      </c>
      <c r="AJ232" s="49" t="s">
        <v>41</v>
      </c>
      <c r="AK232" s="48" t="s">
        <v>41</v>
      </c>
      <c r="AL232" s="62" t="s">
        <v>110</v>
      </c>
      <c r="AM232" s="59"/>
      <c r="AN232" s="10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1"/>
    </row>
    <row r="233" spans="1:51" x14ac:dyDescent="0.2">
      <c r="A233" s="33">
        <f t="shared" si="4"/>
        <v>228</v>
      </c>
      <c r="B233" s="34" t="s">
        <v>1943</v>
      </c>
      <c r="C233" s="35" t="s">
        <v>1944</v>
      </c>
      <c r="D233" s="36" t="s">
        <v>1945</v>
      </c>
      <c r="E233" s="36" t="s">
        <v>54</v>
      </c>
      <c r="F233" s="98" t="s">
        <v>1946</v>
      </c>
      <c r="G233" s="37" t="s">
        <v>73</v>
      </c>
      <c r="H233" s="37" t="s">
        <v>73</v>
      </c>
      <c r="I233" s="38" t="s">
        <v>1947</v>
      </c>
      <c r="J233" s="34" t="s">
        <v>41</v>
      </c>
      <c r="K233" s="39" t="s">
        <v>42</v>
      </c>
      <c r="L233" s="120">
        <v>45084</v>
      </c>
      <c r="M233" s="41" t="s">
        <v>179</v>
      </c>
      <c r="N233" s="177" t="s">
        <v>179</v>
      </c>
      <c r="O233" s="112"/>
      <c r="P233" s="177">
        <v>1</v>
      </c>
      <c r="Q233" s="112"/>
      <c r="R233" s="112"/>
      <c r="S233" s="41"/>
      <c r="T233" s="41" t="s">
        <v>44</v>
      </c>
      <c r="U233" s="41"/>
      <c r="V233" s="41"/>
      <c r="W233" s="41"/>
      <c r="X233" s="42" t="s">
        <v>1948</v>
      </c>
      <c r="Y233" s="55" t="s">
        <v>1949</v>
      </c>
      <c r="Z233" s="119"/>
      <c r="AA233" s="45" t="s">
        <v>47</v>
      </c>
      <c r="AB233" s="101"/>
      <c r="AC233" s="36"/>
      <c r="AD233" s="66" t="s">
        <v>130</v>
      </c>
      <c r="AE233" s="48" t="s">
        <v>41</v>
      </c>
      <c r="AF233" s="48" t="s">
        <v>41</v>
      </c>
      <c r="AG233" s="48" t="s">
        <v>41</v>
      </c>
      <c r="AH233" s="48" t="s">
        <v>130</v>
      </c>
      <c r="AI233" s="48" t="s">
        <v>130</v>
      </c>
      <c r="AJ233" s="49" t="s">
        <v>130</v>
      </c>
      <c r="AK233" s="48" t="s">
        <v>130</v>
      </c>
      <c r="AL233" s="65" t="s">
        <v>32</v>
      </c>
      <c r="AM233" s="59"/>
      <c r="AN233" s="10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1"/>
    </row>
    <row r="234" spans="1:51" x14ac:dyDescent="0.2">
      <c r="A234" s="33">
        <f t="shared" si="4"/>
        <v>229</v>
      </c>
      <c r="B234" s="34" t="s">
        <v>1950</v>
      </c>
      <c r="C234" s="35" t="s">
        <v>1951</v>
      </c>
      <c r="D234" s="36" t="s">
        <v>1952</v>
      </c>
      <c r="E234" s="36" t="s">
        <v>54</v>
      </c>
      <c r="F234" s="34" t="s">
        <v>1953</v>
      </c>
      <c r="G234" s="37" t="s">
        <v>39</v>
      </c>
      <c r="H234" s="37" t="s">
        <v>39</v>
      </c>
      <c r="I234" s="38" t="s">
        <v>1954</v>
      </c>
      <c r="J234" s="34" t="s">
        <v>41</v>
      </c>
      <c r="K234" s="39" t="s">
        <v>42</v>
      </c>
      <c r="L234" s="120" t="s">
        <v>1955</v>
      </c>
      <c r="M234" s="41" t="s">
        <v>179</v>
      </c>
      <c r="N234" s="41" t="s">
        <v>179</v>
      </c>
      <c r="O234" s="41"/>
      <c r="P234" s="41"/>
      <c r="Q234" s="41"/>
      <c r="R234" s="41"/>
      <c r="S234" s="41" t="s">
        <v>44</v>
      </c>
      <c r="T234" s="41"/>
      <c r="U234" s="41"/>
      <c r="V234" s="41" t="s">
        <v>732</v>
      </c>
      <c r="W234" s="41"/>
      <c r="X234" s="42" t="s">
        <v>1956</v>
      </c>
      <c r="Y234" s="43" t="s">
        <v>1957</v>
      </c>
      <c r="Z234" s="84" t="s">
        <v>1958</v>
      </c>
      <c r="AA234" s="45">
        <v>44650</v>
      </c>
      <c r="AB234" s="101" t="s">
        <v>30</v>
      </c>
      <c r="AC234" s="36"/>
      <c r="AD234" s="47" t="s">
        <v>49</v>
      </c>
      <c r="AE234" s="48" t="s">
        <v>41</v>
      </c>
      <c r="AF234" s="48" t="s">
        <v>41</v>
      </c>
      <c r="AG234" s="48" t="s">
        <v>49</v>
      </c>
      <c r="AH234" s="48" t="s">
        <v>49</v>
      </c>
      <c r="AI234" s="48" t="s">
        <v>49</v>
      </c>
      <c r="AJ234" s="49" t="s">
        <v>49</v>
      </c>
      <c r="AK234" s="48" t="s">
        <v>41</v>
      </c>
      <c r="AL234" s="62" t="s">
        <v>148</v>
      </c>
      <c r="AM234" s="59"/>
      <c r="AN234" s="10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1"/>
    </row>
    <row r="235" spans="1:51" ht="26.25" customHeight="1" x14ac:dyDescent="0.2">
      <c r="A235" s="33">
        <f t="shared" si="4"/>
        <v>230</v>
      </c>
      <c r="B235" s="34" t="s">
        <v>1959</v>
      </c>
      <c r="C235" s="35" t="s">
        <v>1960</v>
      </c>
      <c r="D235" s="36" t="s">
        <v>1961</v>
      </c>
      <c r="E235" s="36" t="s">
        <v>54</v>
      </c>
      <c r="F235" s="34" t="s">
        <v>1962</v>
      </c>
      <c r="G235" s="37" t="s">
        <v>73</v>
      </c>
      <c r="H235" s="37" t="s">
        <v>73</v>
      </c>
      <c r="I235" s="34" t="s">
        <v>1963</v>
      </c>
      <c r="J235" s="34" t="s">
        <v>1964</v>
      </c>
      <c r="K235" s="39" t="s">
        <v>42</v>
      </c>
      <c r="L235" s="120" t="s">
        <v>628</v>
      </c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57" t="s">
        <v>1965</v>
      </c>
      <c r="Y235" s="43" t="s">
        <v>1966</v>
      </c>
      <c r="Z235" s="207" t="s">
        <v>1967</v>
      </c>
      <c r="AA235" s="45">
        <v>44944</v>
      </c>
      <c r="AB235" s="101" t="s">
        <v>30</v>
      </c>
      <c r="AC235" s="36" t="s">
        <v>26</v>
      </c>
      <c r="AD235" s="47" t="s">
        <v>49</v>
      </c>
      <c r="AE235" s="48" t="s">
        <v>49</v>
      </c>
      <c r="AF235" s="48" t="s">
        <v>49</v>
      </c>
      <c r="AG235" s="48" t="s">
        <v>49</v>
      </c>
      <c r="AH235" s="48" t="s">
        <v>49</v>
      </c>
      <c r="AI235" s="48" t="s">
        <v>49</v>
      </c>
      <c r="AJ235" s="49" t="s">
        <v>49</v>
      </c>
      <c r="AK235" s="48" t="s">
        <v>49</v>
      </c>
      <c r="AL235" s="65" t="s">
        <v>32</v>
      </c>
      <c r="AM235" s="134"/>
      <c r="AN235" s="10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1"/>
    </row>
    <row r="236" spans="1:51" x14ac:dyDescent="0.2">
      <c r="A236" s="33">
        <f t="shared" si="4"/>
        <v>231</v>
      </c>
      <c r="B236" s="34" t="s">
        <v>1968</v>
      </c>
      <c r="C236" s="35" t="s">
        <v>1969</v>
      </c>
      <c r="D236" s="36" t="s">
        <v>1970</v>
      </c>
      <c r="E236" s="36" t="s">
        <v>54</v>
      </c>
      <c r="F236" s="34" t="s">
        <v>1971</v>
      </c>
      <c r="G236" s="37" t="s">
        <v>73</v>
      </c>
      <c r="H236" s="37" t="s">
        <v>73</v>
      </c>
      <c r="I236" s="38" t="s">
        <v>1972</v>
      </c>
      <c r="J236" s="34" t="s">
        <v>41</v>
      </c>
      <c r="K236" s="39" t="s">
        <v>42</v>
      </c>
      <c r="L236" s="120">
        <v>45143</v>
      </c>
      <c r="M236" s="41"/>
      <c r="N236" s="41"/>
      <c r="O236" s="41"/>
      <c r="P236" s="41"/>
      <c r="Q236" s="41"/>
      <c r="R236" s="41"/>
      <c r="S236" s="41"/>
      <c r="T236" s="41" t="s">
        <v>44</v>
      </c>
      <c r="U236" s="41"/>
      <c r="V236" s="41"/>
      <c r="W236" s="41"/>
      <c r="X236" s="38" t="s">
        <v>1973</v>
      </c>
      <c r="Y236" s="43" t="s">
        <v>1974</v>
      </c>
      <c r="Z236" s="44"/>
      <c r="AA236" s="45" t="s">
        <v>47</v>
      </c>
      <c r="AB236" s="101"/>
      <c r="AC236" s="36"/>
      <c r="AD236" s="47" t="s">
        <v>49</v>
      </c>
      <c r="AE236" s="48" t="s">
        <v>41</v>
      </c>
      <c r="AF236" s="48" t="s">
        <v>41</v>
      </c>
      <c r="AG236" s="48" t="s">
        <v>41</v>
      </c>
      <c r="AH236" s="48" t="s">
        <v>49</v>
      </c>
      <c r="AI236" s="48" t="s">
        <v>49</v>
      </c>
      <c r="AJ236" s="49" t="s">
        <v>49</v>
      </c>
      <c r="AK236" s="48" t="s">
        <v>41</v>
      </c>
      <c r="AL236" s="62" t="s">
        <v>148</v>
      </c>
      <c r="AM236" s="134"/>
      <c r="AN236" s="10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1"/>
    </row>
    <row r="237" spans="1:51" x14ac:dyDescent="0.2">
      <c r="A237" s="33">
        <f t="shared" si="4"/>
        <v>232</v>
      </c>
      <c r="B237" s="34" t="s">
        <v>1975</v>
      </c>
      <c r="C237" s="35" t="s">
        <v>1976</v>
      </c>
      <c r="D237" s="36" t="s">
        <v>1977</v>
      </c>
      <c r="E237" s="36" t="s">
        <v>54</v>
      </c>
      <c r="F237" s="34" t="s">
        <v>1978</v>
      </c>
      <c r="G237" s="37" t="s">
        <v>205</v>
      </c>
      <c r="H237" s="37" t="s">
        <v>205</v>
      </c>
      <c r="I237" s="38" t="s">
        <v>1979</v>
      </c>
      <c r="J237" s="34" t="s">
        <v>41</v>
      </c>
      <c r="K237" s="39" t="s">
        <v>42</v>
      </c>
      <c r="L237" s="120">
        <v>45357</v>
      </c>
      <c r="M237" s="112" t="s">
        <v>179</v>
      </c>
      <c r="N237" s="112" t="s">
        <v>179</v>
      </c>
      <c r="O237" s="112"/>
      <c r="P237" s="112"/>
      <c r="Q237" s="112" t="s">
        <v>179</v>
      </c>
      <c r="R237" s="112"/>
      <c r="S237" s="112"/>
      <c r="T237" s="41"/>
      <c r="U237" s="41" t="s">
        <v>44</v>
      </c>
      <c r="V237" s="41"/>
      <c r="W237" s="41"/>
      <c r="X237" s="54" t="s">
        <v>1980</v>
      </c>
      <c r="Y237" s="43" t="s">
        <v>1981</v>
      </c>
      <c r="Z237" s="44"/>
      <c r="AA237" s="45"/>
      <c r="AB237" s="101"/>
      <c r="AC237" s="36"/>
      <c r="AD237" s="47" t="s">
        <v>49</v>
      </c>
      <c r="AE237" s="48" t="s">
        <v>41</v>
      </c>
      <c r="AF237" s="48" t="s">
        <v>41</v>
      </c>
      <c r="AG237" s="48" t="s">
        <v>41</v>
      </c>
      <c r="AH237" s="48" t="s">
        <v>41</v>
      </c>
      <c r="AI237" s="48" t="s">
        <v>49</v>
      </c>
      <c r="AJ237" s="49" t="s">
        <v>41</v>
      </c>
      <c r="AK237" s="48" t="s">
        <v>41</v>
      </c>
      <c r="AL237" s="62" t="s">
        <v>276</v>
      </c>
      <c r="AM237" s="59"/>
      <c r="AN237" s="10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1"/>
    </row>
    <row r="238" spans="1:51" x14ac:dyDescent="0.2">
      <c r="A238" s="33">
        <f t="shared" si="4"/>
        <v>233</v>
      </c>
      <c r="B238" s="122" t="s">
        <v>1982</v>
      </c>
      <c r="C238" s="123" t="s">
        <v>1983</v>
      </c>
      <c r="D238" s="202" t="s">
        <v>1984</v>
      </c>
      <c r="E238" s="36" t="s">
        <v>54</v>
      </c>
      <c r="F238" s="122" t="s">
        <v>1985</v>
      </c>
      <c r="G238" s="126" t="s">
        <v>73</v>
      </c>
      <c r="H238" s="126" t="s">
        <v>73</v>
      </c>
      <c r="I238" s="122" t="s">
        <v>1986</v>
      </c>
      <c r="J238" s="127" t="s">
        <v>1987</v>
      </c>
      <c r="K238" s="128" t="s">
        <v>42</v>
      </c>
      <c r="L238" s="194">
        <v>42465</v>
      </c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42" t="s">
        <v>1988</v>
      </c>
      <c r="Y238" s="58" t="s">
        <v>1989</v>
      </c>
      <c r="Z238" s="119" t="s">
        <v>1990</v>
      </c>
      <c r="AA238" s="45">
        <v>42935</v>
      </c>
      <c r="AB238" s="191" t="s">
        <v>30</v>
      </c>
      <c r="AC238" s="36" t="s">
        <v>26</v>
      </c>
      <c r="AD238" s="133" t="s">
        <v>49</v>
      </c>
      <c r="AE238" s="48" t="s">
        <v>49</v>
      </c>
      <c r="AF238" s="48" t="s">
        <v>49</v>
      </c>
      <c r="AG238" s="48" t="s">
        <v>49</v>
      </c>
      <c r="AH238" s="48" t="s">
        <v>49</v>
      </c>
      <c r="AI238" s="48" t="s">
        <v>41</v>
      </c>
      <c r="AJ238" s="49" t="s">
        <v>41</v>
      </c>
      <c r="AK238" s="48" t="s">
        <v>41</v>
      </c>
      <c r="AL238" s="62" t="s">
        <v>4589</v>
      </c>
      <c r="AM238" s="134"/>
      <c r="AN238" s="117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1"/>
    </row>
    <row r="239" spans="1:51" x14ac:dyDescent="0.2">
      <c r="A239" s="33">
        <f t="shared" si="4"/>
        <v>234</v>
      </c>
      <c r="B239" s="122" t="s">
        <v>1991</v>
      </c>
      <c r="C239" s="123" t="s">
        <v>1992</v>
      </c>
      <c r="D239" s="202" t="s">
        <v>1993</v>
      </c>
      <c r="E239" s="36" t="s">
        <v>36</v>
      </c>
      <c r="F239" s="122" t="s">
        <v>1994</v>
      </c>
      <c r="G239" s="126" t="s">
        <v>73</v>
      </c>
      <c r="H239" s="126" t="s">
        <v>73</v>
      </c>
      <c r="I239" s="122" t="s">
        <v>1995</v>
      </c>
      <c r="J239" s="122" t="s">
        <v>1996</v>
      </c>
      <c r="K239" s="128" t="s">
        <v>42</v>
      </c>
      <c r="L239" s="99" t="s">
        <v>1997</v>
      </c>
      <c r="M239" s="115" t="s">
        <v>179</v>
      </c>
      <c r="N239" s="115" t="s">
        <v>179</v>
      </c>
      <c r="O239" s="115" t="s">
        <v>1878</v>
      </c>
      <c r="P239" s="115"/>
      <c r="Q239" s="115"/>
      <c r="R239" s="115"/>
      <c r="S239" s="115"/>
      <c r="T239" s="56"/>
      <c r="U239" s="56"/>
      <c r="V239" s="56" t="s">
        <v>732</v>
      </c>
      <c r="W239" s="56"/>
      <c r="X239" s="42" t="s">
        <v>1998</v>
      </c>
      <c r="Y239" s="52" t="s">
        <v>1999</v>
      </c>
      <c r="Z239" s="208" t="s">
        <v>2000</v>
      </c>
      <c r="AA239" s="45">
        <v>44650</v>
      </c>
      <c r="AB239" s="101" t="s">
        <v>30</v>
      </c>
      <c r="AC239" s="36" t="s">
        <v>26</v>
      </c>
      <c r="AD239" s="133" t="s">
        <v>49</v>
      </c>
      <c r="AE239" s="48" t="s">
        <v>49</v>
      </c>
      <c r="AF239" s="48" t="s">
        <v>49</v>
      </c>
      <c r="AG239" s="48" t="s">
        <v>49</v>
      </c>
      <c r="AH239" s="48" t="s">
        <v>49</v>
      </c>
      <c r="AI239" s="48" t="s">
        <v>49</v>
      </c>
      <c r="AJ239" s="49" t="s">
        <v>49</v>
      </c>
      <c r="AK239" s="48" t="s">
        <v>49</v>
      </c>
      <c r="AL239" s="65" t="s">
        <v>32</v>
      </c>
      <c r="AM239" s="134"/>
      <c r="AN239" s="10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1"/>
    </row>
    <row r="240" spans="1:51" x14ac:dyDescent="0.2">
      <c r="A240" s="33">
        <f t="shared" si="4"/>
        <v>235</v>
      </c>
      <c r="B240" s="122" t="s">
        <v>2001</v>
      </c>
      <c r="C240" s="123" t="s">
        <v>2002</v>
      </c>
      <c r="D240" s="202" t="s">
        <v>2003</v>
      </c>
      <c r="E240" s="36" t="s">
        <v>36</v>
      </c>
      <c r="F240" s="122" t="s">
        <v>2004</v>
      </c>
      <c r="G240" s="126" t="s">
        <v>176</v>
      </c>
      <c r="H240" s="126" t="s">
        <v>39</v>
      </c>
      <c r="I240" s="127" t="s">
        <v>2005</v>
      </c>
      <c r="J240" s="122" t="s">
        <v>41</v>
      </c>
      <c r="K240" s="128" t="s">
        <v>42</v>
      </c>
      <c r="L240" s="120">
        <v>45740</v>
      </c>
      <c r="M240" s="56" t="s">
        <v>179</v>
      </c>
      <c r="N240" s="56" t="s">
        <v>179</v>
      </c>
      <c r="O240" s="56"/>
      <c r="P240" s="56"/>
      <c r="Q240" s="56"/>
      <c r="R240" s="56"/>
      <c r="S240" s="56"/>
      <c r="T240" s="56"/>
      <c r="U240" s="56"/>
      <c r="V240" s="56" t="s">
        <v>44</v>
      </c>
      <c r="W240" s="130"/>
      <c r="X240" s="127" t="s">
        <v>2006</v>
      </c>
      <c r="Y240" s="43" t="s">
        <v>2007</v>
      </c>
      <c r="Z240" s="208"/>
      <c r="AA240" s="45"/>
      <c r="AB240" s="101"/>
      <c r="AC240" s="36"/>
      <c r="AD240" s="133" t="s">
        <v>49</v>
      </c>
      <c r="AE240" s="48" t="s">
        <v>41</v>
      </c>
      <c r="AF240" s="48" t="s">
        <v>41</v>
      </c>
      <c r="AG240" s="48" t="s">
        <v>41</v>
      </c>
      <c r="AH240" s="48" t="s">
        <v>41</v>
      </c>
      <c r="AI240" s="48" t="s">
        <v>41</v>
      </c>
      <c r="AJ240" s="49" t="s">
        <v>49</v>
      </c>
      <c r="AK240" s="48" t="s">
        <v>49</v>
      </c>
      <c r="AL240" s="65" t="s">
        <v>32</v>
      </c>
      <c r="AM240" s="134"/>
      <c r="AN240" s="10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1"/>
    </row>
    <row r="241" spans="1:51" x14ac:dyDescent="0.2">
      <c r="A241" s="33">
        <f t="shared" si="4"/>
        <v>236</v>
      </c>
      <c r="B241" s="34" t="s">
        <v>2008</v>
      </c>
      <c r="C241" s="35" t="s">
        <v>2009</v>
      </c>
      <c r="D241" s="36" t="s">
        <v>2010</v>
      </c>
      <c r="E241" s="36" t="s">
        <v>54</v>
      </c>
      <c r="F241" s="34" t="s">
        <v>2011</v>
      </c>
      <c r="G241" s="37" t="s">
        <v>73</v>
      </c>
      <c r="H241" s="37" t="s">
        <v>73</v>
      </c>
      <c r="I241" s="34" t="s">
        <v>2012</v>
      </c>
      <c r="J241" s="34" t="s">
        <v>41</v>
      </c>
      <c r="K241" s="39" t="s">
        <v>42</v>
      </c>
      <c r="L241" s="99" t="s">
        <v>2013</v>
      </c>
      <c r="M241" s="56" t="s">
        <v>179</v>
      </c>
      <c r="N241" s="56"/>
      <c r="O241" s="56"/>
      <c r="P241" s="56"/>
      <c r="Q241" s="56"/>
      <c r="R241" s="56"/>
      <c r="S241" s="56"/>
      <c r="T241" s="56"/>
      <c r="U241" s="56"/>
      <c r="V241" s="56" t="s">
        <v>732</v>
      </c>
      <c r="W241" s="186"/>
      <c r="X241" s="209" t="s">
        <v>2014</v>
      </c>
      <c r="Y241" s="52" t="s">
        <v>2015</v>
      </c>
      <c r="Z241" s="44" t="s">
        <v>61</v>
      </c>
      <c r="AA241" s="45">
        <v>38593</v>
      </c>
      <c r="AB241" s="101" t="s">
        <v>30</v>
      </c>
      <c r="AC241" s="36" t="s">
        <v>26</v>
      </c>
      <c r="AD241" s="47" t="s">
        <v>49</v>
      </c>
      <c r="AE241" s="48" t="s">
        <v>49</v>
      </c>
      <c r="AF241" s="48" t="s">
        <v>49</v>
      </c>
      <c r="AG241" s="48" t="s">
        <v>49</v>
      </c>
      <c r="AH241" s="48" t="s">
        <v>49</v>
      </c>
      <c r="AI241" s="48" t="s">
        <v>49</v>
      </c>
      <c r="AJ241" s="49" t="s">
        <v>49</v>
      </c>
      <c r="AK241" s="48" t="s">
        <v>49</v>
      </c>
      <c r="AL241" s="65" t="s">
        <v>32</v>
      </c>
      <c r="AM241" s="59"/>
      <c r="AN241" s="10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210"/>
    </row>
    <row r="242" spans="1:51" x14ac:dyDescent="0.2">
      <c r="A242" s="33">
        <f t="shared" si="4"/>
        <v>237</v>
      </c>
      <c r="B242" s="107" t="s">
        <v>2016</v>
      </c>
      <c r="C242" s="35" t="s">
        <v>2017</v>
      </c>
      <c r="D242" s="36" t="s">
        <v>2018</v>
      </c>
      <c r="E242" s="36" t="s">
        <v>54</v>
      </c>
      <c r="F242" s="185" t="s">
        <v>2019</v>
      </c>
      <c r="G242" s="37" t="s">
        <v>176</v>
      </c>
      <c r="H242" s="37" t="s">
        <v>39</v>
      </c>
      <c r="I242" s="34" t="s">
        <v>2020</v>
      </c>
      <c r="J242" s="34" t="s">
        <v>41</v>
      </c>
      <c r="K242" s="39" t="s">
        <v>42</v>
      </c>
      <c r="L242" s="120">
        <v>41187</v>
      </c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42" t="s">
        <v>2021</v>
      </c>
      <c r="Y242" s="58" t="s">
        <v>2022</v>
      </c>
      <c r="Z242" s="44" t="s">
        <v>61</v>
      </c>
      <c r="AA242" s="45">
        <v>36641</v>
      </c>
      <c r="AB242" s="101" t="s">
        <v>30</v>
      </c>
      <c r="AC242" s="36" t="s">
        <v>26</v>
      </c>
      <c r="AD242" s="47" t="s">
        <v>49</v>
      </c>
      <c r="AE242" s="48" t="s">
        <v>49</v>
      </c>
      <c r="AF242" s="48" t="s">
        <v>49</v>
      </c>
      <c r="AG242" s="48" t="s">
        <v>41</v>
      </c>
      <c r="AH242" s="48" t="s">
        <v>41</v>
      </c>
      <c r="AI242" s="48" t="s">
        <v>41</v>
      </c>
      <c r="AJ242" s="49" t="s">
        <v>41</v>
      </c>
      <c r="AK242" s="48" t="s">
        <v>41</v>
      </c>
      <c r="AL242" s="62" t="s">
        <v>110</v>
      </c>
      <c r="AM242" s="59"/>
      <c r="AN242" s="117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1"/>
    </row>
    <row r="243" spans="1:51" x14ac:dyDescent="0.2">
      <c r="A243" s="33">
        <f t="shared" si="4"/>
        <v>238</v>
      </c>
      <c r="B243" s="108" t="s">
        <v>2023</v>
      </c>
      <c r="C243" s="35" t="s">
        <v>2024</v>
      </c>
      <c r="D243" s="36" t="s">
        <v>2025</v>
      </c>
      <c r="E243" s="36" t="s">
        <v>36</v>
      </c>
      <c r="F243" s="108" t="s">
        <v>2026</v>
      </c>
      <c r="G243" s="37" t="s">
        <v>73</v>
      </c>
      <c r="H243" s="37" t="s">
        <v>73</v>
      </c>
      <c r="I243" s="34" t="s">
        <v>2027</v>
      </c>
      <c r="J243" s="34" t="s">
        <v>2028</v>
      </c>
      <c r="K243" s="39" t="s">
        <v>42</v>
      </c>
      <c r="L243" s="120">
        <v>41918</v>
      </c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42" t="s">
        <v>2029</v>
      </c>
      <c r="Y243" s="58" t="s">
        <v>2030</v>
      </c>
      <c r="Z243" s="44" t="s">
        <v>2031</v>
      </c>
      <c r="AA243" s="45">
        <v>42325</v>
      </c>
      <c r="AB243" s="101" t="s">
        <v>30</v>
      </c>
      <c r="AC243" s="36" t="s">
        <v>26</v>
      </c>
      <c r="AD243" s="47" t="s">
        <v>49</v>
      </c>
      <c r="AE243" s="48" t="s">
        <v>49</v>
      </c>
      <c r="AF243" s="48" t="s">
        <v>49</v>
      </c>
      <c r="AG243" s="48" t="s">
        <v>49</v>
      </c>
      <c r="AH243" s="48" t="s">
        <v>49</v>
      </c>
      <c r="AI243" s="48" t="s">
        <v>49</v>
      </c>
      <c r="AJ243" s="49" t="s">
        <v>49</v>
      </c>
      <c r="AK243" s="48" t="s">
        <v>41</v>
      </c>
      <c r="AL243" s="62" t="s">
        <v>148</v>
      </c>
      <c r="AM243" s="59"/>
      <c r="AN243" s="10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1"/>
    </row>
    <row r="244" spans="1:51" x14ac:dyDescent="0.2">
      <c r="A244" s="33">
        <f t="shared" si="4"/>
        <v>239</v>
      </c>
      <c r="B244" s="34" t="s">
        <v>2032</v>
      </c>
      <c r="C244" s="35" t="s">
        <v>2033</v>
      </c>
      <c r="D244" s="36" t="s">
        <v>2034</v>
      </c>
      <c r="E244" s="36" t="s">
        <v>54</v>
      </c>
      <c r="F244" s="185" t="s">
        <v>2035</v>
      </c>
      <c r="G244" s="37" t="s">
        <v>73</v>
      </c>
      <c r="H244" s="37" t="s">
        <v>73</v>
      </c>
      <c r="I244" s="34" t="s">
        <v>2036</v>
      </c>
      <c r="J244" s="136" t="s">
        <v>2036</v>
      </c>
      <c r="K244" s="39" t="s">
        <v>42</v>
      </c>
      <c r="L244" s="99" t="s">
        <v>2037</v>
      </c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42" t="s">
        <v>2038</v>
      </c>
      <c r="Y244" s="58" t="s">
        <v>2039</v>
      </c>
      <c r="Z244" s="44" t="s">
        <v>61</v>
      </c>
      <c r="AA244" s="45">
        <v>40815</v>
      </c>
      <c r="AB244" s="101" t="s">
        <v>30</v>
      </c>
      <c r="AC244" s="36" t="s">
        <v>26</v>
      </c>
      <c r="AD244" s="61" t="s">
        <v>49</v>
      </c>
      <c r="AE244" s="48" t="s">
        <v>49</v>
      </c>
      <c r="AF244" s="48" t="s">
        <v>49</v>
      </c>
      <c r="AG244" s="48" t="s">
        <v>49</v>
      </c>
      <c r="AH244" s="48" t="s">
        <v>49</v>
      </c>
      <c r="AI244" s="48" t="s">
        <v>49</v>
      </c>
      <c r="AJ244" s="49" t="s">
        <v>49</v>
      </c>
      <c r="AK244" s="48" t="s">
        <v>49</v>
      </c>
      <c r="AL244" s="62" t="s">
        <v>32</v>
      </c>
      <c r="AM244" s="59"/>
      <c r="AN244" s="10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1"/>
    </row>
    <row r="245" spans="1:51" x14ac:dyDescent="0.2">
      <c r="A245" s="33">
        <f t="shared" si="4"/>
        <v>240</v>
      </c>
      <c r="B245" s="34" t="s">
        <v>2040</v>
      </c>
      <c r="C245" s="35" t="s">
        <v>2041</v>
      </c>
      <c r="D245" s="36" t="s">
        <v>2042</v>
      </c>
      <c r="E245" s="36" t="s">
        <v>241</v>
      </c>
      <c r="F245" s="34" t="s">
        <v>2043</v>
      </c>
      <c r="G245" s="37" t="s">
        <v>73</v>
      </c>
      <c r="H245" s="37" t="s">
        <v>73</v>
      </c>
      <c r="I245" s="34" t="s">
        <v>1445</v>
      </c>
      <c r="J245" s="34" t="s">
        <v>1445</v>
      </c>
      <c r="K245" s="39" t="s">
        <v>42</v>
      </c>
      <c r="L245" s="120">
        <v>31054</v>
      </c>
      <c r="M245" s="41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42" t="s">
        <v>2044</v>
      </c>
      <c r="Y245" s="58" t="s">
        <v>2045</v>
      </c>
      <c r="Z245" s="44" t="s">
        <v>61</v>
      </c>
      <c r="AA245" s="45">
        <v>40815</v>
      </c>
      <c r="AB245" s="101" t="s">
        <v>30</v>
      </c>
      <c r="AC245" s="36" t="s">
        <v>26</v>
      </c>
      <c r="AD245" s="47" t="s">
        <v>49</v>
      </c>
      <c r="AE245" s="48" t="s">
        <v>49</v>
      </c>
      <c r="AF245" s="48" t="s">
        <v>49</v>
      </c>
      <c r="AG245" s="48" t="s">
        <v>41</v>
      </c>
      <c r="AH245" s="48" t="s">
        <v>41</v>
      </c>
      <c r="AI245" s="48" t="s">
        <v>41</v>
      </c>
      <c r="AJ245" s="49" t="s">
        <v>41</v>
      </c>
      <c r="AK245" s="48" t="s">
        <v>41</v>
      </c>
      <c r="AL245" s="62" t="s">
        <v>110</v>
      </c>
      <c r="AM245" s="59"/>
      <c r="AN245" s="10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1"/>
    </row>
    <row r="246" spans="1:51" x14ac:dyDescent="0.2">
      <c r="A246" s="33">
        <f t="shared" si="4"/>
        <v>241</v>
      </c>
      <c r="B246" s="34" t="s">
        <v>2046</v>
      </c>
      <c r="C246" s="35" t="s">
        <v>2047</v>
      </c>
      <c r="D246" s="36" t="s">
        <v>2048</v>
      </c>
      <c r="E246" s="36" t="s">
        <v>54</v>
      </c>
      <c r="F246" s="34" t="s">
        <v>2049</v>
      </c>
      <c r="G246" s="37" t="s">
        <v>73</v>
      </c>
      <c r="H246" s="37" t="s">
        <v>73</v>
      </c>
      <c r="I246" s="34" t="s">
        <v>2050</v>
      </c>
      <c r="J246" s="34" t="s">
        <v>2051</v>
      </c>
      <c r="K246" s="39" t="s">
        <v>986</v>
      </c>
      <c r="L246" s="99" t="s">
        <v>2052</v>
      </c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42" t="s">
        <v>2053</v>
      </c>
      <c r="Y246" s="58" t="s">
        <v>2054</v>
      </c>
      <c r="Z246" s="44" t="s">
        <v>2055</v>
      </c>
      <c r="AA246" s="45">
        <v>42325</v>
      </c>
      <c r="AB246" s="101" t="s">
        <v>30</v>
      </c>
      <c r="AC246" s="36"/>
      <c r="AD246" s="66" t="s">
        <v>130</v>
      </c>
      <c r="AE246" s="48" t="s">
        <v>41</v>
      </c>
      <c r="AF246" s="48" t="s">
        <v>41</v>
      </c>
      <c r="AG246" s="48" t="s">
        <v>41</v>
      </c>
      <c r="AH246" s="48" t="s">
        <v>41</v>
      </c>
      <c r="AI246" s="48" t="s">
        <v>41</v>
      </c>
      <c r="AJ246" s="49" t="s">
        <v>41</v>
      </c>
      <c r="AK246" s="48" t="s">
        <v>41</v>
      </c>
      <c r="AL246" s="65" t="s">
        <v>4588</v>
      </c>
      <c r="AM246" s="59"/>
      <c r="AN246" s="10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1"/>
    </row>
    <row r="247" spans="1:51" ht="15" customHeight="1" x14ac:dyDescent="0.2">
      <c r="A247" s="33">
        <f t="shared" si="4"/>
        <v>242</v>
      </c>
      <c r="B247" s="34" t="s">
        <v>2056</v>
      </c>
      <c r="C247" s="35" t="s">
        <v>2057</v>
      </c>
      <c r="D247" s="36" t="s">
        <v>2058</v>
      </c>
      <c r="E247" s="36" t="s">
        <v>54</v>
      </c>
      <c r="F247" s="34" t="s">
        <v>2059</v>
      </c>
      <c r="G247" s="37" t="s">
        <v>350</v>
      </c>
      <c r="H247" s="37" t="s">
        <v>350</v>
      </c>
      <c r="I247" s="38" t="s">
        <v>2060</v>
      </c>
      <c r="J247" s="34" t="s">
        <v>41</v>
      </c>
      <c r="K247" s="39" t="s">
        <v>42</v>
      </c>
      <c r="L247" s="120">
        <v>44568</v>
      </c>
      <c r="M247" s="56" t="s">
        <v>179</v>
      </c>
      <c r="N247" s="56" t="s">
        <v>179</v>
      </c>
      <c r="O247" s="56" t="s">
        <v>514</v>
      </c>
      <c r="P247" s="56">
        <v>1</v>
      </c>
      <c r="Q247" s="56"/>
      <c r="R247" s="56"/>
      <c r="S247" s="56" t="s">
        <v>44</v>
      </c>
      <c r="T247" s="56"/>
      <c r="U247" s="56"/>
      <c r="V247" s="56"/>
      <c r="W247" s="56"/>
      <c r="X247" s="42" t="s">
        <v>2061</v>
      </c>
      <c r="Y247" s="58" t="s">
        <v>2062</v>
      </c>
      <c r="Z247" s="211" t="s">
        <v>2063</v>
      </c>
      <c r="AA247" s="45">
        <v>44944</v>
      </c>
      <c r="AB247" s="101" t="s">
        <v>30</v>
      </c>
      <c r="AC247" s="36"/>
      <c r="AD247" s="61" t="s">
        <v>49</v>
      </c>
      <c r="AE247" s="48" t="s">
        <v>41</v>
      </c>
      <c r="AF247" s="48" t="s">
        <v>41</v>
      </c>
      <c r="AG247" s="48" t="s">
        <v>49</v>
      </c>
      <c r="AH247" s="48" t="s">
        <v>49</v>
      </c>
      <c r="AI247" s="48" t="s">
        <v>49</v>
      </c>
      <c r="AJ247" s="49" t="s">
        <v>49</v>
      </c>
      <c r="AK247" s="48" t="s">
        <v>49</v>
      </c>
      <c r="AL247" s="62" t="s">
        <v>32</v>
      </c>
      <c r="AM247" s="59"/>
      <c r="AN247" s="10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1"/>
    </row>
    <row r="248" spans="1:51" ht="15" customHeight="1" x14ac:dyDescent="0.2">
      <c r="A248" s="33">
        <f t="shared" si="4"/>
        <v>243</v>
      </c>
      <c r="B248" s="34" t="s">
        <v>2064</v>
      </c>
      <c r="C248" s="35" t="s">
        <v>2065</v>
      </c>
      <c r="D248" s="36" t="s">
        <v>2066</v>
      </c>
      <c r="E248" s="36" t="s">
        <v>54</v>
      </c>
      <c r="F248" s="98" t="s">
        <v>2067</v>
      </c>
      <c r="G248" s="37" t="s">
        <v>39</v>
      </c>
      <c r="H248" s="37" t="s">
        <v>39</v>
      </c>
      <c r="I248" s="34" t="s">
        <v>2068</v>
      </c>
      <c r="J248" s="34" t="s">
        <v>2068</v>
      </c>
      <c r="K248" s="39" t="s">
        <v>42</v>
      </c>
      <c r="L248" s="120">
        <v>42254</v>
      </c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42" t="s">
        <v>2069</v>
      </c>
      <c r="Y248" s="58" t="s">
        <v>2070</v>
      </c>
      <c r="Z248" s="44" t="s">
        <v>2071</v>
      </c>
      <c r="AA248" s="45">
        <v>42325</v>
      </c>
      <c r="AB248" s="101" t="s">
        <v>30</v>
      </c>
      <c r="AC248" s="73" t="s">
        <v>26</v>
      </c>
      <c r="AD248" s="47" t="s">
        <v>49</v>
      </c>
      <c r="AE248" s="48" t="s">
        <v>49</v>
      </c>
      <c r="AF248" s="48" t="s">
        <v>49</v>
      </c>
      <c r="AG248" s="48" t="s">
        <v>49</v>
      </c>
      <c r="AH248" s="48" t="s">
        <v>49</v>
      </c>
      <c r="AI248" s="48" t="s">
        <v>49</v>
      </c>
      <c r="AJ248" s="49" t="s">
        <v>49</v>
      </c>
      <c r="AK248" s="48" t="s">
        <v>41</v>
      </c>
      <c r="AL248" s="65" t="s">
        <v>148</v>
      </c>
      <c r="AM248" s="59"/>
      <c r="AN248" s="10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1"/>
    </row>
    <row r="249" spans="1:51" ht="15" customHeight="1" x14ac:dyDescent="0.2">
      <c r="A249" s="33">
        <f t="shared" si="4"/>
        <v>244</v>
      </c>
      <c r="B249" s="34" t="s">
        <v>2072</v>
      </c>
      <c r="C249" s="35" t="s">
        <v>2073</v>
      </c>
      <c r="D249" s="36" t="s">
        <v>2074</v>
      </c>
      <c r="E249" s="36" t="s">
        <v>54</v>
      </c>
      <c r="F249" s="34" t="s">
        <v>2075</v>
      </c>
      <c r="G249" s="37" t="s">
        <v>205</v>
      </c>
      <c r="H249" s="37" t="s">
        <v>205</v>
      </c>
      <c r="I249" s="38" t="s">
        <v>2076</v>
      </c>
      <c r="J249" s="34" t="s">
        <v>41</v>
      </c>
      <c r="K249" s="39" t="s">
        <v>42</v>
      </c>
      <c r="L249" s="120" t="s">
        <v>2077</v>
      </c>
      <c r="M249" s="41"/>
      <c r="N249" s="41"/>
      <c r="O249" s="41"/>
      <c r="P249" s="41"/>
      <c r="Q249" s="41"/>
      <c r="R249" s="41"/>
      <c r="S249" s="41" t="s">
        <v>44</v>
      </c>
      <c r="T249" s="41"/>
      <c r="U249" s="41"/>
      <c r="V249" s="41"/>
      <c r="W249" s="41"/>
      <c r="X249" s="42" t="s">
        <v>2078</v>
      </c>
      <c r="Y249" s="58" t="s">
        <v>2079</v>
      </c>
      <c r="Z249" s="211" t="s">
        <v>2080</v>
      </c>
      <c r="AA249" s="45">
        <v>44944</v>
      </c>
      <c r="AB249" s="101" t="s">
        <v>30</v>
      </c>
      <c r="AC249" s="36"/>
      <c r="AD249" s="47" t="s">
        <v>49</v>
      </c>
      <c r="AE249" s="48" t="s">
        <v>41</v>
      </c>
      <c r="AF249" s="48" t="s">
        <v>41</v>
      </c>
      <c r="AG249" s="48" t="s">
        <v>49</v>
      </c>
      <c r="AH249" s="48" t="s">
        <v>49</v>
      </c>
      <c r="AI249" s="48" t="s">
        <v>49</v>
      </c>
      <c r="AJ249" s="49" t="s">
        <v>49</v>
      </c>
      <c r="AK249" s="48" t="s">
        <v>49</v>
      </c>
      <c r="AL249" s="62" t="s">
        <v>32</v>
      </c>
      <c r="AM249" s="59"/>
      <c r="AN249" s="10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1"/>
    </row>
    <row r="250" spans="1:51" ht="15" customHeight="1" x14ac:dyDescent="0.2">
      <c r="A250" s="33">
        <f t="shared" si="4"/>
        <v>245</v>
      </c>
      <c r="B250" s="34" t="s">
        <v>2081</v>
      </c>
      <c r="C250" s="35" t="s">
        <v>2082</v>
      </c>
      <c r="D250" s="36" t="s">
        <v>2083</v>
      </c>
      <c r="E250" s="36" t="s">
        <v>54</v>
      </c>
      <c r="F250" s="34" t="s">
        <v>2084</v>
      </c>
      <c r="G250" s="37" t="s">
        <v>377</v>
      </c>
      <c r="H250" s="37" t="s">
        <v>378</v>
      </c>
      <c r="I250" s="212" t="s">
        <v>2085</v>
      </c>
      <c r="J250" s="34" t="s">
        <v>41</v>
      </c>
      <c r="K250" s="39" t="s">
        <v>42</v>
      </c>
      <c r="L250" s="120">
        <v>36528</v>
      </c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2" t="s">
        <v>2086</v>
      </c>
      <c r="Y250" s="83" t="s">
        <v>2087</v>
      </c>
      <c r="Z250" s="44"/>
      <c r="AA250" s="45">
        <v>45642</v>
      </c>
      <c r="AB250" s="101"/>
      <c r="AC250" s="36" t="s">
        <v>26</v>
      </c>
      <c r="AD250" s="47" t="s">
        <v>49</v>
      </c>
      <c r="AE250" s="48" t="s">
        <v>49</v>
      </c>
      <c r="AF250" s="48" t="s">
        <v>49</v>
      </c>
      <c r="AG250" s="48" t="s">
        <v>49</v>
      </c>
      <c r="AH250" s="48" t="s">
        <v>41</v>
      </c>
      <c r="AI250" s="48" t="s">
        <v>41</v>
      </c>
      <c r="AJ250" s="49" t="s">
        <v>41</v>
      </c>
      <c r="AK250" s="48" t="s">
        <v>41</v>
      </c>
      <c r="AL250" s="65" t="s">
        <v>139</v>
      </c>
      <c r="AM250" s="59"/>
      <c r="AN250" s="10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1"/>
    </row>
    <row r="251" spans="1:51" ht="15" customHeight="1" x14ac:dyDescent="0.2">
      <c r="A251" s="33">
        <f t="shared" si="4"/>
        <v>246</v>
      </c>
      <c r="B251" s="34" t="s">
        <v>2088</v>
      </c>
      <c r="C251" s="35" t="s">
        <v>2089</v>
      </c>
      <c r="D251" s="36" t="s">
        <v>2090</v>
      </c>
      <c r="E251" s="36" t="s">
        <v>54</v>
      </c>
      <c r="F251" s="34" t="s">
        <v>2091</v>
      </c>
      <c r="G251" s="37" t="s">
        <v>323</v>
      </c>
      <c r="H251" s="37" t="s">
        <v>39</v>
      </c>
      <c r="I251" s="38" t="s">
        <v>2092</v>
      </c>
      <c r="J251" s="34" t="s">
        <v>41</v>
      </c>
      <c r="K251" s="39" t="s">
        <v>42</v>
      </c>
      <c r="L251" s="120" t="s">
        <v>2093</v>
      </c>
      <c r="M251" s="41"/>
      <c r="N251" s="41"/>
      <c r="O251" s="41"/>
      <c r="P251" s="41"/>
      <c r="Q251" s="41"/>
      <c r="R251" s="41"/>
      <c r="S251" s="41" t="s">
        <v>44</v>
      </c>
      <c r="T251" s="41"/>
      <c r="U251" s="41"/>
      <c r="V251" s="41"/>
      <c r="W251" s="41"/>
      <c r="X251" s="42" t="s">
        <v>2094</v>
      </c>
      <c r="Y251" s="58" t="s">
        <v>2095</v>
      </c>
      <c r="Z251" s="211" t="s">
        <v>2096</v>
      </c>
      <c r="AA251" s="45">
        <v>44944</v>
      </c>
      <c r="AB251" s="101" t="s">
        <v>30</v>
      </c>
      <c r="AC251" s="36"/>
      <c r="AD251" s="47" t="s">
        <v>49</v>
      </c>
      <c r="AE251" s="48" t="s">
        <v>41</v>
      </c>
      <c r="AF251" s="48" t="s">
        <v>41</v>
      </c>
      <c r="AG251" s="48" t="s">
        <v>49</v>
      </c>
      <c r="AH251" s="48" t="s">
        <v>49</v>
      </c>
      <c r="AI251" s="48" t="s">
        <v>49</v>
      </c>
      <c r="AJ251" s="49" t="s">
        <v>49</v>
      </c>
      <c r="AK251" s="48" t="s">
        <v>49</v>
      </c>
      <c r="AL251" s="62" t="s">
        <v>32</v>
      </c>
      <c r="AM251" s="59"/>
      <c r="AN251" s="10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1"/>
    </row>
    <row r="252" spans="1:51" x14ac:dyDescent="0.2">
      <c r="A252" s="33">
        <f t="shared" si="4"/>
        <v>247</v>
      </c>
      <c r="B252" s="34" t="s">
        <v>2097</v>
      </c>
      <c r="C252" s="35" t="s">
        <v>2098</v>
      </c>
      <c r="D252" s="36" t="s">
        <v>2099</v>
      </c>
      <c r="E252" s="36" t="s">
        <v>54</v>
      </c>
      <c r="F252" s="98" t="s">
        <v>2100</v>
      </c>
      <c r="G252" s="37" t="s">
        <v>73</v>
      </c>
      <c r="H252" s="37" t="s">
        <v>73</v>
      </c>
      <c r="I252" s="34" t="s">
        <v>2101</v>
      </c>
      <c r="J252" s="34" t="s">
        <v>2102</v>
      </c>
      <c r="K252" s="39" t="s">
        <v>42</v>
      </c>
      <c r="L252" s="99" t="s">
        <v>2103</v>
      </c>
      <c r="M252" s="112"/>
      <c r="N252" s="112"/>
      <c r="O252" s="112"/>
      <c r="P252" s="112"/>
      <c r="Q252" s="112"/>
      <c r="R252" s="112"/>
      <c r="S252" s="112"/>
      <c r="T252" s="41"/>
      <c r="U252" s="41"/>
      <c r="V252" s="41"/>
      <c r="W252" s="41"/>
      <c r="X252" s="42" t="s">
        <v>2104</v>
      </c>
      <c r="Y252" s="58" t="s">
        <v>2105</v>
      </c>
      <c r="Z252" s="44" t="s">
        <v>2106</v>
      </c>
      <c r="AA252" s="45">
        <v>42325</v>
      </c>
      <c r="AB252" s="101" t="s">
        <v>30</v>
      </c>
      <c r="AC252" s="36" t="s">
        <v>26</v>
      </c>
      <c r="AD252" s="47" t="s">
        <v>49</v>
      </c>
      <c r="AE252" s="48" t="s">
        <v>49</v>
      </c>
      <c r="AF252" s="48" t="s">
        <v>41</v>
      </c>
      <c r="AG252" s="48" t="s">
        <v>41</v>
      </c>
      <c r="AH252" s="48" t="s">
        <v>41</v>
      </c>
      <c r="AI252" s="48" t="s">
        <v>41</v>
      </c>
      <c r="AJ252" s="49" t="s">
        <v>41</v>
      </c>
      <c r="AK252" s="48" t="s">
        <v>41</v>
      </c>
      <c r="AL252" s="62" t="s">
        <v>4587</v>
      </c>
      <c r="AM252" s="59" t="s">
        <v>2107</v>
      </c>
      <c r="AN252" s="117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1"/>
    </row>
    <row r="253" spans="1:51" x14ac:dyDescent="0.2">
      <c r="A253" s="33">
        <f t="shared" si="4"/>
        <v>248</v>
      </c>
      <c r="B253" s="34" t="s">
        <v>2108</v>
      </c>
      <c r="C253" s="35" t="s">
        <v>2109</v>
      </c>
      <c r="D253" s="36" t="s">
        <v>2110</v>
      </c>
      <c r="E253" s="36" t="s">
        <v>36</v>
      </c>
      <c r="F253" s="34" t="s">
        <v>2111</v>
      </c>
      <c r="G253" s="37" t="s">
        <v>73</v>
      </c>
      <c r="H253" s="37" t="s">
        <v>73</v>
      </c>
      <c r="I253" s="34" t="s">
        <v>2112</v>
      </c>
      <c r="J253" s="34" t="s">
        <v>41</v>
      </c>
      <c r="K253" s="39" t="s">
        <v>42</v>
      </c>
      <c r="L253" s="120">
        <v>40004</v>
      </c>
      <c r="M253" s="115"/>
      <c r="N253" s="115"/>
      <c r="O253" s="115"/>
      <c r="P253" s="115"/>
      <c r="Q253" s="115"/>
      <c r="R253" s="115"/>
      <c r="S253" s="115"/>
      <c r="T253" s="56"/>
      <c r="U253" s="56"/>
      <c r="V253" s="56"/>
      <c r="W253" s="56"/>
      <c r="X253" s="42" t="s">
        <v>2113</v>
      </c>
      <c r="Y253" s="58" t="s">
        <v>2114</v>
      </c>
      <c r="Z253" s="84" t="s">
        <v>2115</v>
      </c>
      <c r="AA253" s="45" t="s">
        <v>2116</v>
      </c>
      <c r="AB253" s="101" t="s">
        <v>30</v>
      </c>
      <c r="AC253" s="36" t="s">
        <v>26</v>
      </c>
      <c r="AD253" s="47" t="s">
        <v>49</v>
      </c>
      <c r="AE253" s="48" t="s">
        <v>49</v>
      </c>
      <c r="AF253" s="48" t="s">
        <v>49</v>
      </c>
      <c r="AG253" s="48" t="s">
        <v>49</v>
      </c>
      <c r="AH253" s="48" t="s">
        <v>49</v>
      </c>
      <c r="AI253" s="48" t="s">
        <v>49</v>
      </c>
      <c r="AJ253" s="49" t="s">
        <v>49</v>
      </c>
      <c r="AK253" s="48" t="s">
        <v>41</v>
      </c>
      <c r="AL253" s="213">
        <v>1</v>
      </c>
      <c r="AM253" s="59"/>
      <c r="AN253" s="10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1"/>
    </row>
    <row r="254" spans="1:51" x14ac:dyDescent="0.2">
      <c r="A254" s="33">
        <f t="shared" si="4"/>
        <v>249</v>
      </c>
      <c r="B254" s="34" t="s">
        <v>2117</v>
      </c>
      <c r="C254" s="35" t="s">
        <v>2118</v>
      </c>
      <c r="D254" s="36" t="s">
        <v>2119</v>
      </c>
      <c r="E254" s="36" t="s">
        <v>54</v>
      </c>
      <c r="F254" s="34" t="s">
        <v>2120</v>
      </c>
      <c r="G254" s="37" t="s">
        <v>73</v>
      </c>
      <c r="H254" s="37" t="s">
        <v>73</v>
      </c>
      <c r="I254" s="34" t="s">
        <v>2121</v>
      </c>
      <c r="J254" s="34" t="s">
        <v>41</v>
      </c>
      <c r="K254" s="39" t="s">
        <v>42</v>
      </c>
      <c r="L254" s="165">
        <v>45202</v>
      </c>
      <c r="M254" s="130" t="s">
        <v>179</v>
      </c>
      <c r="N254" s="115" t="s">
        <v>341</v>
      </c>
      <c r="O254" s="115" t="s">
        <v>1878</v>
      </c>
      <c r="P254" s="115">
        <v>2</v>
      </c>
      <c r="Q254" s="137"/>
      <c r="R254" s="137"/>
      <c r="S254" s="137"/>
      <c r="T254" s="137" t="s">
        <v>44</v>
      </c>
      <c r="U254" s="137"/>
      <c r="V254" s="137"/>
      <c r="W254" s="137"/>
      <c r="X254" s="42" t="s">
        <v>2122</v>
      </c>
      <c r="Y254" s="146" t="s">
        <v>2123</v>
      </c>
      <c r="Z254" s="44"/>
      <c r="AA254" s="45" t="s">
        <v>47</v>
      </c>
      <c r="AB254" s="164"/>
      <c r="AC254" s="36"/>
      <c r="AD254" s="47" t="s">
        <v>49</v>
      </c>
      <c r="AE254" s="48" t="s">
        <v>41</v>
      </c>
      <c r="AF254" s="48" t="s">
        <v>41</v>
      </c>
      <c r="AG254" s="48" t="s">
        <v>41</v>
      </c>
      <c r="AH254" s="48" t="s">
        <v>49</v>
      </c>
      <c r="AI254" s="48" t="s">
        <v>49</v>
      </c>
      <c r="AJ254" s="49" t="s">
        <v>41</v>
      </c>
      <c r="AK254" s="48" t="s">
        <v>41</v>
      </c>
      <c r="AL254" s="62">
        <v>1</v>
      </c>
      <c r="AM254" s="59"/>
      <c r="AN254" s="10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1"/>
    </row>
    <row r="255" spans="1:51" x14ac:dyDescent="0.2">
      <c r="A255" s="33">
        <f t="shared" si="4"/>
        <v>250</v>
      </c>
      <c r="B255" s="34" t="s">
        <v>2124</v>
      </c>
      <c r="C255" s="35" t="s">
        <v>2125</v>
      </c>
      <c r="D255" s="36" t="s">
        <v>2126</v>
      </c>
      <c r="E255" s="36" t="s">
        <v>54</v>
      </c>
      <c r="F255" s="34" t="s">
        <v>2127</v>
      </c>
      <c r="G255" s="37" t="s">
        <v>73</v>
      </c>
      <c r="H255" s="37" t="s">
        <v>73</v>
      </c>
      <c r="I255" s="34" t="s">
        <v>2128</v>
      </c>
      <c r="J255" s="34" t="s">
        <v>41</v>
      </c>
      <c r="K255" s="39" t="s">
        <v>42</v>
      </c>
      <c r="L255" s="163" t="s">
        <v>2129</v>
      </c>
      <c r="M255" s="130"/>
      <c r="N255" s="130"/>
      <c r="O255" s="130"/>
      <c r="P255" s="130"/>
      <c r="Q255" s="115"/>
      <c r="R255" s="115"/>
      <c r="S255" s="115"/>
      <c r="T255" s="115"/>
      <c r="U255" s="56"/>
      <c r="V255" s="56"/>
      <c r="W255" s="56"/>
      <c r="X255" s="42" t="s">
        <v>2130</v>
      </c>
      <c r="Y255" s="100" t="s">
        <v>2131</v>
      </c>
      <c r="Z255" s="44" t="s">
        <v>2132</v>
      </c>
      <c r="AA255" s="45">
        <v>41793</v>
      </c>
      <c r="AB255" s="164" t="s">
        <v>129</v>
      </c>
      <c r="AC255" s="36" t="s">
        <v>26</v>
      </c>
      <c r="AD255" s="47" t="s">
        <v>49</v>
      </c>
      <c r="AE255" s="48" t="s">
        <v>49</v>
      </c>
      <c r="AF255" s="48" t="s">
        <v>49</v>
      </c>
      <c r="AG255" s="48" t="s">
        <v>49</v>
      </c>
      <c r="AH255" s="48" t="s">
        <v>41</v>
      </c>
      <c r="AI255" s="48" t="s">
        <v>41</v>
      </c>
      <c r="AJ255" s="49" t="s">
        <v>41</v>
      </c>
      <c r="AK255" s="48" t="s">
        <v>41</v>
      </c>
      <c r="AL255" s="62" t="s">
        <v>139</v>
      </c>
      <c r="AM255" s="59"/>
      <c r="AN255" s="10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1"/>
    </row>
    <row r="256" spans="1:51" x14ac:dyDescent="0.2">
      <c r="A256" s="33">
        <f t="shared" si="4"/>
        <v>251</v>
      </c>
      <c r="B256" s="34" t="s">
        <v>2133</v>
      </c>
      <c r="C256" s="35" t="s">
        <v>2134</v>
      </c>
      <c r="D256" s="36" t="s">
        <v>2135</v>
      </c>
      <c r="E256" s="36" t="s">
        <v>54</v>
      </c>
      <c r="F256" s="34" t="s">
        <v>2136</v>
      </c>
      <c r="G256" s="37" t="s">
        <v>73</v>
      </c>
      <c r="H256" s="37" t="s">
        <v>73</v>
      </c>
      <c r="I256" s="34" t="s">
        <v>2137</v>
      </c>
      <c r="J256" s="34" t="s">
        <v>2138</v>
      </c>
      <c r="K256" s="39" t="s">
        <v>42</v>
      </c>
      <c r="L256" s="99" t="s">
        <v>2139</v>
      </c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42" t="s">
        <v>2140</v>
      </c>
      <c r="Y256" s="58" t="s">
        <v>2141</v>
      </c>
      <c r="Z256" s="44" t="s">
        <v>2142</v>
      </c>
      <c r="AA256" s="45">
        <v>41793</v>
      </c>
      <c r="AB256" s="101" t="s">
        <v>30</v>
      </c>
      <c r="AC256" s="36" t="s">
        <v>26</v>
      </c>
      <c r="AD256" s="64" t="s">
        <v>120</v>
      </c>
      <c r="AE256" s="48" t="s">
        <v>120</v>
      </c>
      <c r="AF256" s="48" t="s">
        <v>120</v>
      </c>
      <c r="AG256" s="48" t="s">
        <v>120</v>
      </c>
      <c r="AH256" s="48" t="s">
        <v>120</v>
      </c>
      <c r="AI256" s="48" t="s">
        <v>120</v>
      </c>
      <c r="AJ256" s="49" t="s">
        <v>120</v>
      </c>
      <c r="AK256" s="48" t="s">
        <v>120</v>
      </c>
      <c r="AL256" s="62" t="s">
        <v>32</v>
      </c>
      <c r="AM256" s="59"/>
      <c r="AN256" s="10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1"/>
    </row>
    <row r="257" spans="1:51" ht="15" customHeight="1" x14ac:dyDescent="0.2">
      <c r="A257" s="33">
        <f t="shared" si="4"/>
        <v>252</v>
      </c>
      <c r="B257" s="34" t="s">
        <v>2143</v>
      </c>
      <c r="C257" s="35" t="s">
        <v>2144</v>
      </c>
      <c r="D257" s="36" t="s">
        <v>2145</v>
      </c>
      <c r="E257" s="36" t="s">
        <v>54</v>
      </c>
      <c r="F257" s="34" t="s">
        <v>2146</v>
      </c>
      <c r="G257" s="37" t="s">
        <v>252</v>
      </c>
      <c r="H257" s="37" t="s">
        <v>57</v>
      </c>
      <c r="I257" s="38" t="s">
        <v>2147</v>
      </c>
      <c r="J257" s="34" t="s">
        <v>41</v>
      </c>
      <c r="K257" s="39" t="s">
        <v>42</v>
      </c>
      <c r="L257" s="120" t="s">
        <v>2148</v>
      </c>
      <c r="M257" s="56"/>
      <c r="N257" s="56"/>
      <c r="O257" s="56"/>
      <c r="P257" s="56"/>
      <c r="Q257" s="56"/>
      <c r="R257" s="56"/>
      <c r="S257" s="56" t="s">
        <v>44</v>
      </c>
      <c r="T257" s="56"/>
      <c r="U257" s="56"/>
      <c r="V257" s="56"/>
      <c r="W257" s="56"/>
      <c r="X257" s="42" t="s">
        <v>2149</v>
      </c>
      <c r="Y257" s="58" t="s">
        <v>2150</v>
      </c>
      <c r="Z257" s="211" t="s">
        <v>2151</v>
      </c>
      <c r="AA257" s="45">
        <v>44944</v>
      </c>
      <c r="AB257" s="101" t="s">
        <v>30</v>
      </c>
      <c r="AC257" s="36"/>
      <c r="AD257" s="61" t="s">
        <v>49</v>
      </c>
      <c r="AE257" s="48" t="s">
        <v>41</v>
      </c>
      <c r="AF257" s="48" t="s">
        <v>41</v>
      </c>
      <c r="AG257" s="48" t="s">
        <v>49</v>
      </c>
      <c r="AH257" s="48" t="s">
        <v>49</v>
      </c>
      <c r="AI257" s="48" t="s">
        <v>49</v>
      </c>
      <c r="AJ257" s="49" t="s">
        <v>49</v>
      </c>
      <c r="AK257" s="48" t="s">
        <v>41</v>
      </c>
      <c r="AL257" s="65" t="s">
        <v>148</v>
      </c>
      <c r="AM257" s="59"/>
      <c r="AN257" s="10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1"/>
    </row>
    <row r="258" spans="1:51" ht="15" customHeight="1" x14ac:dyDescent="0.2">
      <c r="A258" s="33">
        <f t="shared" si="4"/>
        <v>253</v>
      </c>
      <c r="B258" s="34" t="s">
        <v>2152</v>
      </c>
      <c r="C258" s="35" t="s">
        <v>2153</v>
      </c>
      <c r="D258" s="36" t="s">
        <v>2154</v>
      </c>
      <c r="E258" s="36" t="s">
        <v>54</v>
      </c>
      <c r="F258" s="34" t="s">
        <v>2155</v>
      </c>
      <c r="G258" s="37" t="s">
        <v>323</v>
      </c>
      <c r="H258" s="37" t="s">
        <v>39</v>
      </c>
      <c r="I258" s="38" t="s">
        <v>2156</v>
      </c>
      <c r="J258" s="34" t="s">
        <v>41</v>
      </c>
      <c r="K258" s="39" t="s">
        <v>42</v>
      </c>
      <c r="L258" s="120">
        <v>44869</v>
      </c>
      <c r="M258" s="56"/>
      <c r="N258" s="56"/>
      <c r="O258" s="56"/>
      <c r="P258" s="56"/>
      <c r="Q258" s="56"/>
      <c r="R258" s="56"/>
      <c r="S258" s="56" t="s">
        <v>44</v>
      </c>
      <c r="T258" s="56"/>
      <c r="U258" s="56"/>
      <c r="V258" s="56"/>
      <c r="W258" s="56"/>
      <c r="X258" s="42" t="s">
        <v>2157</v>
      </c>
      <c r="Y258" s="58" t="s">
        <v>2158</v>
      </c>
      <c r="Z258" s="211" t="s">
        <v>2159</v>
      </c>
      <c r="AA258" s="45">
        <v>44944</v>
      </c>
      <c r="AB258" s="101" t="s">
        <v>30</v>
      </c>
      <c r="AC258" s="36"/>
      <c r="AD258" s="61" t="s">
        <v>49</v>
      </c>
      <c r="AE258" s="48" t="s">
        <v>41</v>
      </c>
      <c r="AF258" s="48" t="s">
        <v>41</v>
      </c>
      <c r="AG258" s="48" t="s">
        <v>49</v>
      </c>
      <c r="AH258" s="48" t="s">
        <v>49</v>
      </c>
      <c r="AI258" s="48" t="s">
        <v>49</v>
      </c>
      <c r="AJ258" s="49" t="s">
        <v>49</v>
      </c>
      <c r="AK258" s="48" t="s">
        <v>41</v>
      </c>
      <c r="AL258" s="62" t="s">
        <v>148</v>
      </c>
      <c r="AM258" s="59"/>
      <c r="AN258" s="10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1"/>
    </row>
    <row r="259" spans="1:51" ht="15" customHeight="1" x14ac:dyDescent="0.2">
      <c r="A259" s="33">
        <f t="shared" si="4"/>
        <v>254</v>
      </c>
      <c r="B259" s="34" t="s">
        <v>2160</v>
      </c>
      <c r="C259" s="35" t="s">
        <v>2161</v>
      </c>
      <c r="D259" s="36" t="s">
        <v>2162</v>
      </c>
      <c r="E259" s="36" t="s">
        <v>54</v>
      </c>
      <c r="F259" s="34" t="s">
        <v>2163</v>
      </c>
      <c r="G259" s="37" t="s">
        <v>38</v>
      </c>
      <c r="H259" s="37" t="s">
        <v>39</v>
      </c>
      <c r="I259" s="34" t="s">
        <v>2164</v>
      </c>
      <c r="J259" s="38" t="s">
        <v>2165</v>
      </c>
      <c r="K259" s="39" t="s">
        <v>42</v>
      </c>
      <c r="L259" s="120">
        <v>37539</v>
      </c>
      <c r="M259" s="41"/>
      <c r="N259" s="41"/>
      <c r="O259" s="41"/>
      <c r="P259" s="41"/>
      <c r="Q259" s="112"/>
      <c r="R259" s="112"/>
      <c r="S259" s="112"/>
      <c r="T259" s="41"/>
      <c r="U259" s="41"/>
      <c r="V259" s="41"/>
      <c r="W259" s="41"/>
      <c r="X259" s="42" t="s">
        <v>2166</v>
      </c>
      <c r="Y259" s="69" t="s">
        <v>2167</v>
      </c>
      <c r="Z259" s="44" t="s">
        <v>61</v>
      </c>
      <c r="AA259" s="45">
        <v>37877</v>
      </c>
      <c r="AB259" s="101" t="s">
        <v>30</v>
      </c>
      <c r="AC259" s="36" t="s">
        <v>26</v>
      </c>
      <c r="AD259" s="47" t="s">
        <v>49</v>
      </c>
      <c r="AE259" s="48" t="s">
        <v>49</v>
      </c>
      <c r="AF259" s="48" t="s">
        <v>49</v>
      </c>
      <c r="AG259" s="48" t="s">
        <v>49</v>
      </c>
      <c r="AH259" s="48" t="s">
        <v>49</v>
      </c>
      <c r="AI259" s="48" t="s">
        <v>49</v>
      </c>
      <c r="AJ259" s="49" t="s">
        <v>41</v>
      </c>
      <c r="AK259" s="48" t="s">
        <v>41</v>
      </c>
      <c r="AL259" s="62" t="s">
        <v>276</v>
      </c>
      <c r="AM259" s="59"/>
      <c r="AN259" s="10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1"/>
    </row>
    <row r="260" spans="1:51" ht="15" customHeight="1" x14ac:dyDescent="0.2">
      <c r="A260" s="33">
        <f t="shared" si="4"/>
        <v>255</v>
      </c>
      <c r="B260" s="34" t="s">
        <v>2168</v>
      </c>
      <c r="C260" s="35" t="s">
        <v>2169</v>
      </c>
      <c r="D260" s="36" t="s">
        <v>2170</v>
      </c>
      <c r="E260" s="36" t="s">
        <v>36</v>
      </c>
      <c r="F260" s="214" t="s">
        <v>2171</v>
      </c>
      <c r="G260" s="37" t="s">
        <v>176</v>
      </c>
      <c r="H260" s="37" t="s">
        <v>39</v>
      </c>
      <c r="I260" s="38" t="s">
        <v>2172</v>
      </c>
      <c r="J260" s="34" t="s">
        <v>41</v>
      </c>
      <c r="K260" s="39" t="s">
        <v>42</v>
      </c>
      <c r="L260" s="99" t="s">
        <v>2173</v>
      </c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2" t="s">
        <v>2174</v>
      </c>
      <c r="Y260" s="58" t="s">
        <v>2175</v>
      </c>
      <c r="Z260" s="211" t="s">
        <v>2176</v>
      </c>
      <c r="AA260" s="45">
        <v>44944</v>
      </c>
      <c r="AB260" s="101" t="s">
        <v>30</v>
      </c>
      <c r="AC260" s="36"/>
      <c r="AD260" s="47" t="s">
        <v>49</v>
      </c>
      <c r="AE260" s="48" t="s">
        <v>41</v>
      </c>
      <c r="AF260" s="48" t="s">
        <v>41</v>
      </c>
      <c r="AG260" s="48" t="s">
        <v>49</v>
      </c>
      <c r="AH260" s="48" t="s">
        <v>49</v>
      </c>
      <c r="AI260" s="48" t="s">
        <v>49</v>
      </c>
      <c r="AJ260" s="49" t="s">
        <v>49</v>
      </c>
      <c r="AK260" s="48" t="s">
        <v>49</v>
      </c>
      <c r="AL260" s="62" t="s">
        <v>32</v>
      </c>
      <c r="AM260" s="59"/>
      <c r="AN260" s="117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1"/>
    </row>
    <row r="261" spans="1:51" ht="15" customHeight="1" x14ac:dyDescent="0.2">
      <c r="A261" s="33">
        <f t="shared" si="4"/>
        <v>256</v>
      </c>
      <c r="B261" s="107" t="s">
        <v>2177</v>
      </c>
      <c r="C261" s="35" t="s">
        <v>2178</v>
      </c>
      <c r="D261" s="36" t="s">
        <v>2179</v>
      </c>
      <c r="E261" s="36" t="s">
        <v>36</v>
      </c>
      <c r="F261" s="87" t="s">
        <v>2180</v>
      </c>
      <c r="G261" s="37" t="s">
        <v>73</v>
      </c>
      <c r="H261" s="37" t="s">
        <v>73</v>
      </c>
      <c r="I261" s="38" t="s">
        <v>2181</v>
      </c>
      <c r="J261" s="34" t="s">
        <v>41</v>
      </c>
      <c r="K261" s="39" t="s">
        <v>42</v>
      </c>
      <c r="L261" s="120" t="s">
        <v>2182</v>
      </c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42" t="s">
        <v>2183</v>
      </c>
      <c r="Y261" s="43" t="s">
        <v>2184</v>
      </c>
      <c r="Z261" s="44" t="s">
        <v>2185</v>
      </c>
      <c r="AA261" s="45" t="s">
        <v>1130</v>
      </c>
      <c r="AB261" s="101" t="s">
        <v>30</v>
      </c>
      <c r="AC261" s="36"/>
      <c r="AD261" s="47" t="s">
        <v>49</v>
      </c>
      <c r="AE261" s="48" t="s">
        <v>41</v>
      </c>
      <c r="AF261" s="48" t="s">
        <v>41</v>
      </c>
      <c r="AG261" s="48" t="s">
        <v>41</v>
      </c>
      <c r="AH261" s="48" t="s">
        <v>41</v>
      </c>
      <c r="AI261" s="48" t="s">
        <v>41</v>
      </c>
      <c r="AJ261" s="49" t="s">
        <v>41</v>
      </c>
      <c r="AK261" s="48" t="s">
        <v>41</v>
      </c>
      <c r="AL261" s="65" t="s">
        <v>4591</v>
      </c>
      <c r="AM261" s="59"/>
      <c r="AN261" s="10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1"/>
    </row>
    <row r="262" spans="1:51" ht="15" customHeight="1" x14ac:dyDescent="0.2">
      <c r="A262" s="33">
        <f t="shared" si="4"/>
        <v>257</v>
      </c>
      <c r="B262" s="107" t="s">
        <v>2186</v>
      </c>
      <c r="C262" s="35" t="s">
        <v>2187</v>
      </c>
      <c r="D262" s="36" t="s">
        <v>2188</v>
      </c>
      <c r="E262" s="36" t="s">
        <v>54</v>
      </c>
      <c r="F262" s="34" t="s">
        <v>2189</v>
      </c>
      <c r="G262" s="37" t="s">
        <v>456</v>
      </c>
      <c r="H262" s="37" t="s">
        <v>187</v>
      </c>
      <c r="I262" s="38" t="s">
        <v>2190</v>
      </c>
      <c r="J262" s="34" t="s">
        <v>41</v>
      </c>
      <c r="K262" s="39" t="s">
        <v>42</v>
      </c>
      <c r="L262" s="120" t="s">
        <v>2191</v>
      </c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42" t="s">
        <v>2192</v>
      </c>
      <c r="Y262" s="43" t="s">
        <v>2193</v>
      </c>
      <c r="Z262" s="211" t="s">
        <v>2194</v>
      </c>
      <c r="AA262" s="45">
        <v>44944</v>
      </c>
      <c r="AB262" s="101" t="s">
        <v>30</v>
      </c>
      <c r="AC262" s="36" t="s">
        <v>26</v>
      </c>
      <c r="AD262" s="47" t="s">
        <v>49</v>
      </c>
      <c r="AE262" s="48" t="s">
        <v>49</v>
      </c>
      <c r="AF262" s="48" t="s">
        <v>49</v>
      </c>
      <c r="AG262" s="48" t="s">
        <v>49</v>
      </c>
      <c r="AH262" s="48" t="s">
        <v>49</v>
      </c>
      <c r="AI262" s="48" t="s">
        <v>49</v>
      </c>
      <c r="AJ262" s="49" t="s">
        <v>49</v>
      </c>
      <c r="AK262" s="48" t="s">
        <v>41</v>
      </c>
      <c r="AL262" s="62" t="s">
        <v>148</v>
      </c>
      <c r="AM262" s="59"/>
      <c r="AN262" s="10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1"/>
    </row>
    <row r="263" spans="1:51" x14ac:dyDescent="0.2">
      <c r="A263" s="33">
        <f t="shared" ref="A263:A326" si="5">+A262+1</f>
        <v>258</v>
      </c>
      <c r="B263" s="34" t="s">
        <v>2195</v>
      </c>
      <c r="C263" s="35" t="s">
        <v>2196</v>
      </c>
      <c r="D263" s="36" t="s">
        <v>2197</v>
      </c>
      <c r="E263" s="36" t="s">
        <v>54</v>
      </c>
      <c r="F263" s="34" t="s">
        <v>2198</v>
      </c>
      <c r="G263" s="37" t="s">
        <v>1354</v>
      </c>
      <c r="H263" s="37" t="s">
        <v>57</v>
      </c>
      <c r="I263" s="38" t="s">
        <v>2199</v>
      </c>
      <c r="J263" s="34" t="s">
        <v>41</v>
      </c>
      <c r="K263" s="39" t="s">
        <v>42</v>
      </c>
      <c r="L263" s="99" t="s">
        <v>2200</v>
      </c>
      <c r="M263" s="56"/>
      <c r="N263" s="56"/>
      <c r="O263" s="56"/>
      <c r="P263" s="56"/>
      <c r="Q263" s="56"/>
      <c r="R263" s="56" t="s">
        <v>44</v>
      </c>
      <c r="S263" s="56"/>
      <c r="T263" s="56"/>
      <c r="U263" s="56"/>
      <c r="V263" s="56"/>
      <c r="W263" s="56"/>
      <c r="X263" s="42" t="s">
        <v>2201</v>
      </c>
      <c r="Y263" s="43" t="s">
        <v>2202</v>
      </c>
      <c r="Z263" s="121" t="s">
        <v>2203</v>
      </c>
      <c r="AA263" s="45">
        <v>44650</v>
      </c>
      <c r="AB263" s="101" t="s">
        <v>30</v>
      </c>
      <c r="AC263" s="36"/>
      <c r="AD263" s="61" t="s">
        <v>49</v>
      </c>
      <c r="AE263" s="48" t="s">
        <v>41</v>
      </c>
      <c r="AF263" s="48" t="s">
        <v>49</v>
      </c>
      <c r="AG263" s="48" t="s">
        <v>49</v>
      </c>
      <c r="AH263" s="48" t="s">
        <v>49</v>
      </c>
      <c r="AI263" s="48" t="s">
        <v>49</v>
      </c>
      <c r="AJ263" s="49" t="s">
        <v>49</v>
      </c>
      <c r="AK263" s="48" t="s">
        <v>41</v>
      </c>
      <c r="AL263" s="62" t="s">
        <v>148</v>
      </c>
      <c r="AM263" s="59"/>
      <c r="AN263" s="10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1"/>
    </row>
    <row r="264" spans="1:51" x14ac:dyDescent="0.2">
      <c r="A264" s="33">
        <f t="shared" si="5"/>
        <v>259</v>
      </c>
      <c r="B264" s="34" t="s">
        <v>2204</v>
      </c>
      <c r="C264" s="35" t="s">
        <v>2205</v>
      </c>
      <c r="D264" s="36" t="s">
        <v>2206</v>
      </c>
      <c r="E264" s="36" t="s">
        <v>54</v>
      </c>
      <c r="F264" s="34" t="s">
        <v>2207</v>
      </c>
      <c r="G264" s="37" t="s">
        <v>73</v>
      </c>
      <c r="H264" s="37" t="s">
        <v>73</v>
      </c>
      <c r="I264" s="34" t="s">
        <v>2208</v>
      </c>
      <c r="J264" s="34" t="s">
        <v>2208</v>
      </c>
      <c r="K264" s="39" t="s">
        <v>42</v>
      </c>
      <c r="L264" s="99" t="s">
        <v>2209</v>
      </c>
      <c r="M264" s="215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42"/>
      <c r="Y264" s="52" t="s">
        <v>2210</v>
      </c>
      <c r="Z264" s="119" t="s">
        <v>61</v>
      </c>
      <c r="AA264" s="45">
        <v>40815</v>
      </c>
      <c r="AB264" s="101" t="s">
        <v>30</v>
      </c>
      <c r="AC264" s="36"/>
      <c r="AD264" s="61" t="s">
        <v>49</v>
      </c>
      <c r="AE264" s="48" t="s">
        <v>41</v>
      </c>
      <c r="AF264" s="48" t="s">
        <v>41</v>
      </c>
      <c r="AG264" s="48" t="s">
        <v>41</v>
      </c>
      <c r="AH264" s="48" t="s">
        <v>41</v>
      </c>
      <c r="AI264" s="48" t="s">
        <v>41</v>
      </c>
      <c r="AJ264" s="49" t="s">
        <v>41</v>
      </c>
      <c r="AK264" s="48" t="s">
        <v>41</v>
      </c>
      <c r="AL264" s="65" t="s">
        <v>4588</v>
      </c>
      <c r="AM264" s="59" t="s">
        <v>2211</v>
      </c>
      <c r="AN264" s="117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1"/>
    </row>
    <row r="265" spans="1:51" x14ac:dyDescent="0.2">
      <c r="A265" s="33">
        <f t="shared" si="5"/>
        <v>260</v>
      </c>
      <c r="B265" s="34" t="s">
        <v>2212</v>
      </c>
      <c r="C265" s="35" t="s">
        <v>2213</v>
      </c>
      <c r="D265" s="36" t="s">
        <v>2214</v>
      </c>
      <c r="E265" s="36" t="s">
        <v>54</v>
      </c>
      <c r="F265" s="87" t="s">
        <v>2215</v>
      </c>
      <c r="G265" s="37" t="s">
        <v>73</v>
      </c>
      <c r="H265" s="37" t="s">
        <v>73</v>
      </c>
      <c r="I265" s="38" t="s">
        <v>2216</v>
      </c>
      <c r="J265" s="107" t="s">
        <v>2217</v>
      </c>
      <c r="K265" s="39" t="s">
        <v>42</v>
      </c>
      <c r="L265" s="99" t="s">
        <v>2218</v>
      </c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2" t="s">
        <v>2219</v>
      </c>
      <c r="Y265" s="100" t="s">
        <v>2220</v>
      </c>
      <c r="Z265" s="44" t="s">
        <v>2221</v>
      </c>
      <c r="AA265" s="45">
        <v>41793</v>
      </c>
      <c r="AB265" s="101" t="s">
        <v>30</v>
      </c>
      <c r="AC265" s="36" t="s">
        <v>26</v>
      </c>
      <c r="AD265" s="64" t="s">
        <v>120</v>
      </c>
      <c r="AE265" s="48" t="s">
        <v>120</v>
      </c>
      <c r="AF265" s="48" t="s">
        <v>120</v>
      </c>
      <c r="AG265" s="48" t="s">
        <v>120</v>
      </c>
      <c r="AH265" s="48" t="s">
        <v>120</v>
      </c>
      <c r="AI265" s="48" t="s">
        <v>120</v>
      </c>
      <c r="AJ265" s="49" t="s">
        <v>120</v>
      </c>
      <c r="AK265" s="48" t="s">
        <v>120</v>
      </c>
      <c r="AL265" s="65" t="s">
        <v>32</v>
      </c>
      <c r="AM265" s="59"/>
      <c r="AN265" s="10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1"/>
    </row>
    <row r="266" spans="1:51" x14ac:dyDescent="0.2">
      <c r="A266" s="33">
        <f t="shared" si="5"/>
        <v>261</v>
      </c>
      <c r="B266" s="34" t="s">
        <v>2222</v>
      </c>
      <c r="C266" s="35" t="s">
        <v>2223</v>
      </c>
      <c r="D266" s="36" t="s">
        <v>2224</v>
      </c>
      <c r="E266" s="36" t="s">
        <v>54</v>
      </c>
      <c r="F266" s="216" t="s">
        <v>2225</v>
      </c>
      <c r="G266" s="37" t="s">
        <v>73</v>
      </c>
      <c r="H266" s="37" t="s">
        <v>73</v>
      </c>
      <c r="I266" s="108" t="s">
        <v>2226</v>
      </c>
      <c r="J266" s="108" t="s">
        <v>2227</v>
      </c>
      <c r="K266" s="39" t="s">
        <v>42</v>
      </c>
      <c r="L266" s="120">
        <v>32234</v>
      </c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2" t="s">
        <v>2228</v>
      </c>
      <c r="Y266" s="58" t="s">
        <v>2229</v>
      </c>
      <c r="Z266" s="44" t="s">
        <v>61</v>
      </c>
      <c r="AA266" s="45">
        <v>40815</v>
      </c>
      <c r="AB266" s="101" t="s">
        <v>30</v>
      </c>
      <c r="AC266" s="36" t="s">
        <v>26</v>
      </c>
      <c r="AD266" s="64" t="s">
        <v>120</v>
      </c>
      <c r="AE266" s="48" t="s">
        <v>120</v>
      </c>
      <c r="AF266" s="48" t="s">
        <v>120</v>
      </c>
      <c r="AG266" s="48" t="s">
        <v>41</v>
      </c>
      <c r="AH266" s="48" t="s">
        <v>41</v>
      </c>
      <c r="AI266" s="48" t="s">
        <v>41</v>
      </c>
      <c r="AJ266" s="49" t="s">
        <v>41</v>
      </c>
      <c r="AK266" s="48" t="s">
        <v>41</v>
      </c>
      <c r="AL266" s="62" t="s">
        <v>110</v>
      </c>
      <c r="AM266" s="59"/>
      <c r="AN266" s="10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1"/>
    </row>
    <row r="267" spans="1:51" x14ac:dyDescent="0.2">
      <c r="A267" s="33">
        <f t="shared" si="5"/>
        <v>262</v>
      </c>
      <c r="B267" s="34" t="s">
        <v>2230</v>
      </c>
      <c r="C267" s="35" t="s">
        <v>2231</v>
      </c>
      <c r="D267" s="36" t="s">
        <v>2232</v>
      </c>
      <c r="E267" s="36" t="s">
        <v>54</v>
      </c>
      <c r="F267" s="60" t="s">
        <v>2233</v>
      </c>
      <c r="G267" s="37" t="s">
        <v>528</v>
      </c>
      <c r="H267" s="37" t="s">
        <v>57</v>
      </c>
      <c r="I267" s="113" t="s">
        <v>2234</v>
      </c>
      <c r="J267" s="34" t="s">
        <v>41</v>
      </c>
      <c r="K267" s="39" t="s">
        <v>42</v>
      </c>
      <c r="L267" s="120">
        <v>37207</v>
      </c>
      <c r="M267" s="41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42" t="s">
        <v>2235</v>
      </c>
      <c r="Y267" s="69" t="s">
        <v>2236</v>
      </c>
      <c r="Z267" s="44" t="s">
        <v>2237</v>
      </c>
      <c r="AA267" s="45">
        <v>41793</v>
      </c>
      <c r="AB267" s="101" t="s">
        <v>30</v>
      </c>
      <c r="AC267" s="73" t="s">
        <v>26</v>
      </c>
      <c r="AD267" s="47" t="s">
        <v>49</v>
      </c>
      <c r="AE267" s="48" t="s">
        <v>49</v>
      </c>
      <c r="AF267" s="48" t="s">
        <v>49</v>
      </c>
      <c r="AG267" s="48" t="s">
        <v>49</v>
      </c>
      <c r="AH267" s="48" t="s">
        <v>49</v>
      </c>
      <c r="AI267" s="48" t="s">
        <v>49</v>
      </c>
      <c r="AJ267" s="49" t="s">
        <v>49</v>
      </c>
      <c r="AK267" s="48" t="s">
        <v>41</v>
      </c>
      <c r="AL267" s="62" t="s">
        <v>148</v>
      </c>
      <c r="AM267" s="59"/>
      <c r="AN267" s="10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1"/>
    </row>
    <row r="268" spans="1:51" x14ac:dyDescent="0.2">
      <c r="A268" s="33">
        <f t="shared" si="5"/>
        <v>263</v>
      </c>
      <c r="B268" s="34" t="s">
        <v>2238</v>
      </c>
      <c r="C268" s="35" t="s">
        <v>2239</v>
      </c>
      <c r="D268" s="36" t="s">
        <v>2240</v>
      </c>
      <c r="E268" s="36" t="s">
        <v>54</v>
      </c>
      <c r="F268" s="108" t="s">
        <v>2241</v>
      </c>
      <c r="G268" s="37" t="s">
        <v>413</v>
      </c>
      <c r="H268" s="37" t="s">
        <v>378</v>
      </c>
      <c r="I268" s="34" t="s">
        <v>2242</v>
      </c>
      <c r="J268" s="34" t="s">
        <v>41</v>
      </c>
      <c r="K268" s="39" t="s">
        <v>42</v>
      </c>
      <c r="L268" s="120">
        <v>37377</v>
      </c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2" t="s">
        <v>2243</v>
      </c>
      <c r="Y268" s="52" t="s">
        <v>2244</v>
      </c>
      <c r="Z268" s="44" t="s">
        <v>61</v>
      </c>
      <c r="AA268" s="45">
        <v>37877</v>
      </c>
      <c r="AB268" s="101" t="s">
        <v>30</v>
      </c>
      <c r="AC268" s="36" t="s">
        <v>26</v>
      </c>
      <c r="AD268" s="47" t="s">
        <v>49</v>
      </c>
      <c r="AE268" s="48" t="s">
        <v>49</v>
      </c>
      <c r="AF268" s="48" t="s">
        <v>49</v>
      </c>
      <c r="AG268" s="48" t="s">
        <v>41</v>
      </c>
      <c r="AH268" s="48" t="s">
        <v>41</v>
      </c>
      <c r="AI268" s="48" t="s">
        <v>41</v>
      </c>
      <c r="AJ268" s="49" t="s">
        <v>41</v>
      </c>
      <c r="AK268" s="48" t="s">
        <v>41</v>
      </c>
      <c r="AL268" s="62">
        <v>5</v>
      </c>
      <c r="AM268" s="59"/>
      <c r="AN268" s="10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1"/>
    </row>
    <row r="269" spans="1:51" x14ac:dyDescent="0.2">
      <c r="A269" s="33">
        <f t="shared" si="5"/>
        <v>264</v>
      </c>
      <c r="B269" s="34" t="s">
        <v>2245</v>
      </c>
      <c r="C269" s="35" t="s">
        <v>2246</v>
      </c>
      <c r="D269" s="36" t="s">
        <v>2247</v>
      </c>
      <c r="E269" s="36" t="s">
        <v>36</v>
      </c>
      <c r="F269" s="60" t="s">
        <v>2248</v>
      </c>
      <c r="G269" s="37" t="s">
        <v>360</v>
      </c>
      <c r="H269" s="37" t="s">
        <v>350</v>
      </c>
      <c r="I269" s="113" t="s">
        <v>2249</v>
      </c>
      <c r="J269" s="34" t="s">
        <v>41</v>
      </c>
      <c r="K269" s="39" t="s">
        <v>42</v>
      </c>
      <c r="L269" s="120">
        <v>44384</v>
      </c>
      <c r="M269" s="41"/>
      <c r="N269" s="70"/>
      <c r="O269" s="70"/>
      <c r="P269" s="70"/>
      <c r="Q269" s="70"/>
      <c r="R269" s="70" t="s">
        <v>44</v>
      </c>
      <c r="S269" s="70"/>
      <c r="T269" s="70"/>
      <c r="U269" s="70"/>
      <c r="V269" s="70"/>
      <c r="W269" s="70"/>
      <c r="X269" s="42" t="s">
        <v>2250</v>
      </c>
      <c r="Y269" s="58" t="s">
        <v>2251</v>
      </c>
      <c r="Z269" s="84" t="s">
        <v>2252</v>
      </c>
      <c r="AA269" s="45">
        <v>44650</v>
      </c>
      <c r="AB269" s="101" t="s">
        <v>30</v>
      </c>
      <c r="AC269" s="73"/>
      <c r="AD269" s="47" t="s">
        <v>49</v>
      </c>
      <c r="AE269" s="48" t="s">
        <v>41</v>
      </c>
      <c r="AF269" s="48" t="s">
        <v>49</v>
      </c>
      <c r="AG269" s="48" t="s">
        <v>41</v>
      </c>
      <c r="AH269" s="48" t="s">
        <v>41</v>
      </c>
      <c r="AI269" s="48" t="s">
        <v>41</v>
      </c>
      <c r="AJ269" s="49" t="s">
        <v>41</v>
      </c>
      <c r="AK269" s="48" t="s">
        <v>41</v>
      </c>
      <c r="AL269" s="62" t="s">
        <v>110</v>
      </c>
      <c r="AM269" s="59"/>
      <c r="AN269" s="10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1"/>
    </row>
    <row r="270" spans="1:51" ht="18.75" customHeight="1" x14ac:dyDescent="0.2">
      <c r="A270" s="33">
        <f t="shared" si="5"/>
        <v>265</v>
      </c>
      <c r="B270" s="38" t="s">
        <v>2253</v>
      </c>
      <c r="C270" s="35" t="s">
        <v>2254</v>
      </c>
      <c r="D270" s="36" t="s">
        <v>2255</v>
      </c>
      <c r="E270" s="36" t="s">
        <v>54</v>
      </c>
      <c r="F270" s="200" t="s">
        <v>2256</v>
      </c>
      <c r="G270" s="37" t="s">
        <v>39</v>
      </c>
      <c r="H270" s="37" t="s">
        <v>39</v>
      </c>
      <c r="I270" s="38" t="s">
        <v>2257</v>
      </c>
      <c r="J270" s="38" t="s">
        <v>41</v>
      </c>
      <c r="K270" s="39" t="s">
        <v>42</v>
      </c>
      <c r="L270" s="158" t="s">
        <v>2258</v>
      </c>
      <c r="M270" s="56"/>
      <c r="N270" s="56"/>
      <c r="O270" s="56"/>
      <c r="P270" s="56"/>
      <c r="Q270" s="56"/>
      <c r="R270" s="56" t="s">
        <v>44</v>
      </c>
      <c r="S270" s="56"/>
      <c r="T270" s="56"/>
      <c r="U270" s="56"/>
      <c r="V270" s="56"/>
      <c r="W270" s="56"/>
      <c r="X270" s="42" t="s">
        <v>2259</v>
      </c>
      <c r="Y270" s="58" t="s">
        <v>2260</v>
      </c>
      <c r="Z270" s="207" t="s">
        <v>2261</v>
      </c>
      <c r="AA270" s="45">
        <v>44944</v>
      </c>
      <c r="AB270" s="101" t="s">
        <v>30</v>
      </c>
      <c r="AC270" s="36" t="s">
        <v>26</v>
      </c>
      <c r="AD270" s="47" t="s">
        <v>49</v>
      </c>
      <c r="AE270" s="48" t="s">
        <v>49</v>
      </c>
      <c r="AF270" s="48" t="s">
        <v>49</v>
      </c>
      <c r="AG270" s="48" t="s">
        <v>49</v>
      </c>
      <c r="AH270" s="48" t="s">
        <v>49</v>
      </c>
      <c r="AI270" s="48" t="s">
        <v>49</v>
      </c>
      <c r="AJ270" s="49" t="s">
        <v>49</v>
      </c>
      <c r="AK270" s="48" t="s">
        <v>41</v>
      </c>
      <c r="AL270" s="65" t="s">
        <v>148</v>
      </c>
      <c r="AM270" s="59"/>
      <c r="AN270" s="117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1"/>
    </row>
    <row r="271" spans="1:51" x14ac:dyDescent="0.2">
      <c r="A271" s="33">
        <f t="shared" si="5"/>
        <v>266</v>
      </c>
      <c r="B271" s="34" t="s">
        <v>2262</v>
      </c>
      <c r="C271" s="35" t="s">
        <v>2263</v>
      </c>
      <c r="D271" s="36" t="s">
        <v>2264</v>
      </c>
      <c r="E271" s="36" t="s">
        <v>54</v>
      </c>
      <c r="F271" s="200" t="s">
        <v>2265</v>
      </c>
      <c r="G271" s="37" t="s">
        <v>1285</v>
      </c>
      <c r="H271" s="37" t="s">
        <v>350</v>
      </c>
      <c r="I271" s="38" t="s">
        <v>2266</v>
      </c>
      <c r="J271" s="34" t="s">
        <v>41</v>
      </c>
      <c r="K271" s="39" t="s">
        <v>42</v>
      </c>
      <c r="L271" s="120">
        <v>43408</v>
      </c>
      <c r="M271" s="41" t="s">
        <v>179</v>
      </c>
      <c r="N271" s="41" t="s">
        <v>179</v>
      </c>
      <c r="O271" s="41"/>
      <c r="P271" s="41">
        <v>5</v>
      </c>
      <c r="Q271" s="41" t="s">
        <v>942</v>
      </c>
      <c r="R271" s="41"/>
      <c r="S271" s="41"/>
      <c r="T271" s="41"/>
      <c r="U271" s="41"/>
      <c r="V271" s="41"/>
      <c r="W271" s="41"/>
      <c r="X271" s="42" t="s">
        <v>2267</v>
      </c>
      <c r="Y271" s="58" t="s">
        <v>2268</v>
      </c>
      <c r="Z271" s="44"/>
      <c r="AA271" s="45" t="s">
        <v>47</v>
      </c>
      <c r="AB271" s="101"/>
      <c r="AC271" s="36"/>
      <c r="AD271" s="47" t="s">
        <v>49</v>
      </c>
      <c r="AE271" s="48" t="s">
        <v>41</v>
      </c>
      <c r="AF271" s="48" t="s">
        <v>41</v>
      </c>
      <c r="AG271" s="48" t="s">
        <v>41</v>
      </c>
      <c r="AH271" s="48" t="s">
        <v>41</v>
      </c>
      <c r="AI271" s="48" t="s">
        <v>41</v>
      </c>
      <c r="AJ271" s="49" t="s">
        <v>41</v>
      </c>
      <c r="AK271" s="48" t="s">
        <v>41</v>
      </c>
      <c r="AL271" s="65">
        <v>7</v>
      </c>
      <c r="AM271" s="59" t="s">
        <v>2211</v>
      </c>
      <c r="AN271" s="10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1"/>
    </row>
    <row r="272" spans="1:51" x14ac:dyDescent="0.2">
      <c r="A272" s="33">
        <f t="shared" si="5"/>
        <v>267</v>
      </c>
      <c r="B272" s="34" t="s">
        <v>2269</v>
      </c>
      <c r="C272" s="35" t="s">
        <v>2270</v>
      </c>
      <c r="D272" s="36" t="s">
        <v>2271</v>
      </c>
      <c r="E272" s="36" t="s">
        <v>54</v>
      </c>
      <c r="F272" s="200" t="s">
        <v>2265</v>
      </c>
      <c r="G272" s="37" t="s">
        <v>1285</v>
      </c>
      <c r="H272" s="37" t="s">
        <v>350</v>
      </c>
      <c r="I272" s="34" t="s">
        <v>2272</v>
      </c>
      <c r="J272" s="34" t="s">
        <v>2273</v>
      </c>
      <c r="K272" s="39" t="s">
        <v>42</v>
      </c>
      <c r="L272" s="99" t="s">
        <v>2274</v>
      </c>
      <c r="M272" s="112" t="s">
        <v>179</v>
      </c>
      <c r="N272" s="41" t="s">
        <v>179</v>
      </c>
      <c r="O272" s="41"/>
      <c r="P272" s="41">
        <v>5</v>
      </c>
      <c r="Q272" s="41" t="s">
        <v>942</v>
      </c>
      <c r="R272" s="41"/>
      <c r="S272" s="41"/>
      <c r="T272" s="41"/>
      <c r="U272" s="41"/>
      <c r="V272" s="41"/>
      <c r="W272" s="41"/>
      <c r="X272" s="57" t="s">
        <v>2267</v>
      </c>
      <c r="Y272" s="58" t="s">
        <v>2275</v>
      </c>
      <c r="Z272" s="44"/>
      <c r="AA272" s="45" t="s">
        <v>47</v>
      </c>
      <c r="AB272" s="101"/>
      <c r="AC272" s="36"/>
      <c r="AD272" s="47" t="s">
        <v>49</v>
      </c>
      <c r="AE272" s="48" t="s">
        <v>41</v>
      </c>
      <c r="AF272" s="48" t="s">
        <v>41</v>
      </c>
      <c r="AG272" s="48" t="s">
        <v>41</v>
      </c>
      <c r="AH272" s="48" t="s">
        <v>41</v>
      </c>
      <c r="AI272" s="48" t="s">
        <v>41</v>
      </c>
      <c r="AJ272" s="49" t="s">
        <v>41</v>
      </c>
      <c r="AK272" s="48" t="s">
        <v>41</v>
      </c>
      <c r="AL272" s="65" t="s">
        <v>4591</v>
      </c>
      <c r="AM272" s="59" t="s">
        <v>2211</v>
      </c>
      <c r="AN272" s="10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1"/>
    </row>
    <row r="273" spans="1:51" x14ac:dyDescent="0.2">
      <c r="A273" s="33">
        <f t="shared" si="5"/>
        <v>268</v>
      </c>
      <c r="B273" s="38" t="s">
        <v>2253</v>
      </c>
      <c r="C273" s="35" t="s">
        <v>2276</v>
      </c>
      <c r="D273" s="36" t="s">
        <v>2277</v>
      </c>
      <c r="E273" s="36" t="s">
        <v>36</v>
      </c>
      <c r="F273" s="200" t="s">
        <v>2278</v>
      </c>
      <c r="G273" s="37" t="s">
        <v>323</v>
      </c>
      <c r="H273" s="37" t="s">
        <v>39</v>
      </c>
      <c r="I273" s="38" t="s">
        <v>2279</v>
      </c>
      <c r="J273" s="38" t="s">
        <v>2279</v>
      </c>
      <c r="K273" s="39" t="s">
        <v>42</v>
      </c>
      <c r="L273" s="217" t="s">
        <v>2280</v>
      </c>
      <c r="M273" s="41"/>
      <c r="N273" s="41"/>
      <c r="O273" s="41"/>
      <c r="P273" s="41"/>
      <c r="Q273" s="41"/>
      <c r="R273" s="56"/>
      <c r="S273" s="56"/>
      <c r="T273" s="56"/>
      <c r="U273" s="56"/>
      <c r="V273" s="56"/>
      <c r="W273" s="56"/>
      <c r="X273" s="218" t="s">
        <v>2281</v>
      </c>
      <c r="Y273" s="83" t="s">
        <v>2282</v>
      </c>
      <c r="Z273" s="119"/>
      <c r="AA273" s="45" t="s">
        <v>47</v>
      </c>
      <c r="AB273" s="101"/>
      <c r="AC273" s="36"/>
      <c r="AD273" s="47" t="s">
        <v>49</v>
      </c>
      <c r="AE273" s="48" t="s">
        <v>41</v>
      </c>
      <c r="AF273" s="48" t="s">
        <v>41</v>
      </c>
      <c r="AG273" s="48" t="s">
        <v>41</v>
      </c>
      <c r="AH273" s="48" t="s">
        <v>41</v>
      </c>
      <c r="AI273" s="48" t="s">
        <v>41</v>
      </c>
      <c r="AJ273" s="49" t="s">
        <v>41</v>
      </c>
      <c r="AK273" s="48" t="s">
        <v>41</v>
      </c>
      <c r="AL273" s="65" t="s">
        <v>4591</v>
      </c>
      <c r="AM273" s="59"/>
      <c r="AN273" s="10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1"/>
    </row>
    <row r="274" spans="1:51" x14ac:dyDescent="0.2">
      <c r="A274" s="33">
        <f t="shared" si="5"/>
        <v>269</v>
      </c>
      <c r="B274" s="34" t="s">
        <v>2283</v>
      </c>
      <c r="C274" s="35" t="s">
        <v>2284</v>
      </c>
      <c r="D274" s="36" t="s">
        <v>2285</v>
      </c>
      <c r="E274" s="36" t="s">
        <v>54</v>
      </c>
      <c r="F274" s="60" t="s">
        <v>2286</v>
      </c>
      <c r="G274" s="37" t="s">
        <v>73</v>
      </c>
      <c r="H274" s="37" t="s">
        <v>73</v>
      </c>
      <c r="I274" s="113" t="s">
        <v>2287</v>
      </c>
      <c r="J274" s="34" t="s">
        <v>41</v>
      </c>
      <c r="K274" s="39" t="s">
        <v>42</v>
      </c>
      <c r="L274" s="120" t="s">
        <v>2288</v>
      </c>
      <c r="M274" s="41"/>
      <c r="N274" s="70"/>
      <c r="O274" s="70"/>
      <c r="P274" s="70"/>
      <c r="Q274" s="70"/>
      <c r="R274" s="70"/>
      <c r="S274" s="70" t="s">
        <v>44</v>
      </c>
      <c r="T274" s="70"/>
      <c r="U274" s="70"/>
      <c r="V274" s="70"/>
      <c r="W274" s="70"/>
      <c r="X274" s="42" t="s">
        <v>2289</v>
      </c>
      <c r="Y274" s="58" t="s">
        <v>2290</v>
      </c>
      <c r="Z274" s="84" t="s">
        <v>2291</v>
      </c>
      <c r="AA274" s="45">
        <v>44650</v>
      </c>
      <c r="AB274" s="101" t="s">
        <v>30</v>
      </c>
      <c r="AC274" s="73"/>
      <c r="AD274" s="47" t="s">
        <v>49</v>
      </c>
      <c r="AE274" s="48" t="s">
        <v>41</v>
      </c>
      <c r="AF274" s="48" t="s">
        <v>41</v>
      </c>
      <c r="AG274" s="48" t="s">
        <v>49</v>
      </c>
      <c r="AH274" s="48" t="s">
        <v>49</v>
      </c>
      <c r="AI274" s="48" t="s">
        <v>41</v>
      </c>
      <c r="AJ274" s="49" t="s">
        <v>41</v>
      </c>
      <c r="AK274" s="48" t="s">
        <v>41</v>
      </c>
      <c r="AL274" s="62" t="s">
        <v>4589</v>
      </c>
      <c r="AM274" s="59"/>
      <c r="AN274" s="117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1"/>
    </row>
    <row r="275" spans="1:51" x14ac:dyDescent="0.2">
      <c r="A275" s="33">
        <f t="shared" si="5"/>
        <v>270</v>
      </c>
      <c r="B275" s="34" t="s">
        <v>2292</v>
      </c>
      <c r="C275" s="35" t="s">
        <v>2293</v>
      </c>
      <c r="D275" s="36" t="s">
        <v>2294</v>
      </c>
      <c r="E275" s="36" t="s">
        <v>54</v>
      </c>
      <c r="F275" s="52" t="s">
        <v>2295</v>
      </c>
      <c r="G275" s="37" t="s">
        <v>350</v>
      </c>
      <c r="H275" s="37" t="s">
        <v>350</v>
      </c>
      <c r="I275" s="113" t="s">
        <v>2296</v>
      </c>
      <c r="J275" s="34" t="s">
        <v>41</v>
      </c>
      <c r="K275" s="39" t="s">
        <v>42</v>
      </c>
      <c r="L275" s="120">
        <v>45237</v>
      </c>
      <c r="M275" s="41"/>
      <c r="N275" s="70"/>
      <c r="O275" s="70"/>
      <c r="P275" s="70"/>
      <c r="Q275" s="70"/>
      <c r="R275" s="70"/>
      <c r="S275" s="70"/>
      <c r="T275" s="70" t="s">
        <v>44</v>
      </c>
      <c r="U275" s="70"/>
      <c r="V275" s="70"/>
      <c r="W275" s="70"/>
      <c r="X275" s="42" t="s">
        <v>2297</v>
      </c>
      <c r="Y275" s="83" t="s">
        <v>2298</v>
      </c>
      <c r="Z275" s="44"/>
      <c r="AA275" s="45">
        <v>45642</v>
      </c>
      <c r="AB275" s="101"/>
      <c r="AC275" s="73"/>
      <c r="AD275" s="47" t="s">
        <v>49</v>
      </c>
      <c r="AE275" s="48" t="s">
        <v>41</v>
      </c>
      <c r="AF275" s="48" t="s">
        <v>41</v>
      </c>
      <c r="AG275" s="48" t="s">
        <v>41</v>
      </c>
      <c r="AH275" s="48" t="s">
        <v>49</v>
      </c>
      <c r="AI275" s="48" t="s">
        <v>49</v>
      </c>
      <c r="AJ275" s="49" t="s">
        <v>49</v>
      </c>
      <c r="AK275" s="48" t="s">
        <v>41</v>
      </c>
      <c r="AL275" s="62" t="s">
        <v>148</v>
      </c>
      <c r="AM275" s="59"/>
      <c r="AN275" s="117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1"/>
    </row>
    <row r="276" spans="1:51" x14ac:dyDescent="0.2">
      <c r="A276" s="33">
        <f t="shared" si="5"/>
        <v>271</v>
      </c>
      <c r="B276" s="34" t="s">
        <v>2299</v>
      </c>
      <c r="C276" s="35" t="s">
        <v>2300</v>
      </c>
      <c r="D276" s="36" t="s">
        <v>2301</v>
      </c>
      <c r="E276" s="36" t="s">
        <v>36</v>
      </c>
      <c r="F276" s="34" t="s">
        <v>2302</v>
      </c>
      <c r="G276" s="37" t="s">
        <v>73</v>
      </c>
      <c r="H276" s="37" t="s">
        <v>73</v>
      </c>
      <c r="I276" s="34" t="s">
        <v>2303</v>
      </c>
      <c r="J276" s="34" t="s">
        <v>41</v>
      </c>
      <c r="K276" s="39" t="s">
        <v>42</v>
      </c>
      <c r="L276" s="99" t="s">
        <v>1160</v>
      </c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42" t="s">
        <v>2304</v>
      </c>
      <c r="Y276" s="52" t="s">
        <v>2305</v>
      </c>
      <c r="Z276" s="44" t="s">
        <v>2306</v>
      </c>
      <c r="AA276" s="45">
        <v>43200</v>
      </c>
      <c r="AB276" s="101" t="s">
        <v>30</v>
      </c>
      <c r="AC276" s="36" t="s">
        <v>26</v>
      </c>
      <c r="AD276" s="47" t="s">
        <v>49</v>
      </c>
      <c r="AE276" s="48" t="s">
        <v>49</v>
      </c>
      <c r="AF276" s="48" t="s">
        <v>49</v>
      </c>
      <c r="AG276" s="48" t="s">
        <v>49</v>
      </c>
      <c r="AH276" s="48" t="s">
        <v>49</v>
      </c>
      <c r="AI276" s="48" t="s">
        <v>49</v>
      </c>
      <c r="AJ276" s="49" t="s">
        <v>49</v>
      </c>
      <c r="AK276" s="48" t="s">
        <v>41</v>
      </c>
      <c r="AL276" s="62" t="s">
        <v>148</v>
      </c>
      <c r="AM276" s="59"/>
      <c r="AN276" s="10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1"/>
    </row>
    <row r="277" spans="1:51" x14ac:dyDescent="0.2">
      <c r="A277" s="33">
        <f t="shared" si="5"/>
        <v>272</v>
      </c>
      <c r="B277" s="34" t="s">
        <v>2307</v>
      </c>
      <c r="C277" s="35" t="s">
        <v>2308</v>
      </c>
      <c r="D277" s="36" t="s">
        <v>2309</v>
      </c>
      <c r="E277" s="36" t="s">
        <v>54</v>
      </c>
      <c r="F277" s="34" t="s">
        <v>2310</v>
      </c>
      <c r="G277" s="37" t="s">
        <v>176</v>
      </c>
      <c r="H277" s="37" t="s">
        <v>39</v>
      </c>
      <c r="I277" s="34" t="s">
        <v>2311</v>
      </c>
      <c r="J277" s="34" t="s">
        <v>41</v>
      </c>
      <c r="K277" s="39" t="s">
        <v>42</v>
      </c>
      <c r="L277" s="99" t="s">
        <v>2312</v>
      </c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2" t="s">
        <v>2313</v>
      </c>
      <c r="Y277" s="58" t="s">
        <v>2314</v>
      </c>
      <c r="Z277" s="44" t="s">
        <v>61</v>
      </c>
      <c r="AA277" s="45">
        <v>38593</v>
      </c>
      <c r="AB277" s="101" t="s">
        <v>30</v>
      </c>
      <c r="AC277" s="36"/>
      <c r="AD277" s="47" t="s">
        <v>49</v>
      </c>
      <c r="AE277" s="48" t="s">
        <v>41</v>
      </c>
      <c r="AF277" s="48" t="s">
        <v>41</v>
      </c>
      <c r="AG277" s="48" t="s">
        <v>41</v>
      </c>
      <c r="AH277" s="48" t="s">
        <v>41</v>
      </c>
      <c r="AI277" s="48" t="s">
        <v>41</v>
      </c>
      <c r="AJ277" s="49" t="s">
        <v>41</v>
      </c>
      <c r="AK277" s="48" t="s">
        <v>41</v>
      </c>
      <c r="AL277" s="65" t="s">
        <v>4591</v>
      </c>
      <c r="AM277" s="59" t="s">
        <v>460</v>
      </c>
      <c r="AN277" s="10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1"/>
    </row>
    <row r="278" spans="1:51" x14ac:dyDescent="0.2">
      <c r="A278" s="33">
        <f t="shared" si="5"/>
        <v>273</v>
      </c>
      <c r="B278" s="34" t="s">
        <v>2315</v>
      </c>
      <c r="C278" s="35" t="s">
        <v>2316</v>
      </c>
      <c r="D278" s="36" t="s">
        <v>2317</v>
      </c>
      <c r="E278" s="36" t="s">
        <v>54</v>
      </c>
      <c r="F278" s="34" t="s">
        <v>2318</v>
      </c>
      <c r="G278" s="37" t="s">
        <v>349</v>
      </c>
      <c r="H278" s="37" t="s">
        <v>350</v>
      </c>
      <c r="I278" s="38" t="s">
        <v>2319</v>
      </c>
      <c r="J278" s="34" t="s">
        <v>41</v>
      </c>
      <c r="K278" s="39" t="s">
        <v>42</v>
      </c>
      <c r="L278" s="99" t="s">
        <v>2320</v>
      </c>
      <c r="M278" s="41" t="s">
        <v>179</v>
      </c>
      <c r="N278" s="41" t="s">
        <v>514</v>
      </c>
      <c r="O278" s="41"/>
      <c r="P278" s="41"/>
      <c r="Q278" s="41"/>
      <c r="R278" s="41"/>
      <c r="S278" s="41"/>
      <c r="T278" s="41"/>
      <c r="U278" s="41"/>
      <c r="V278" s="41" t="s">
        <v>732</v>
      </c>
      <c r="W278" s="41"/>
      <c r="X278" s="42" t="s">
        <v>2321</v>
      </c>
      <c r="Y278" s="52" t="s">
        <v>2322</v>
      </c>
      <c r="Z278" s="44" t="s">
        <v>2323</v>
      </c>
      <c r="AA278" s="45">
        <v>42935</v>
      </c>
      <c r="AB278" s="101" t="s">
        <v>30</v>
      </c>
      <c r="AC278" s="36" t="s">
        <v>26</v>
      </c>
      <c r="AD278" s="47" t="s">
        <v>49</v>
      </c>
      <c r="AE278" s="48" t="s">
        <v>49</v>
      </c>
      <c r="AF278" s="48" t="s">
        <v>49</v>
      </c>
      <c r="AG278" s="48" t="s">
        <v>49</v>
      </c>
      <c r="AH278" s="48" t="s">
        <v>49</v>
      </c>
      <c r="AI278" s="48" t="s">
        <v>49</v>
      </c>
      <c r="AJ278" s="49" t="s">
        <v>49</v>
      </c>
      <c r="AK278" s="48" t="s">
        <v>41</v>
      </c>
      <c r="AL278" s="65" t="s">
        <v>148</v>
      </c>
      <c r="AM278" s="59"/>
      <c r="AN278" s="10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1"/>
    </row>
    <row r="279" spans="1:51" x14ac:dyDescent="0.2">
      <c r="A279" s="33">
        <f t="shared" si="5"/>
        <v>274</v>
      </c>
      <c r="B279" s="34" t="s">
        <v>2324</v>
      </c>
      <c r="C279" s="35" t="s">
        <v>2325</v>
      </c>
      <c r="D279" s="36" t="s">
        <v>2326</v>
      </c>
      <c r="E279" s="36" t="s">
        <v>36</v>
      </c>
      <c r="F279" s="34" t="s">
        <v>2327</v>
      </c>
      <c r="G279" s="37" t="s">
        <v>73</v>
      </c>
      <c r="H279" s="37" t="s">
        <v>73</v>
      </c>
      <c r="I279" s="34" t="s">
        <v>2328</v>
      </c>
      <c r="J279" s="34" t="s">
        <v>2329</v>
      </c>
      <c r="K279" s="39" t="s">
        <v>42</v>
      </c>
      <c r="L279" s="120">
        <v>42254</v>
      </c>
      <c r="M279" s="41" t="s">
        <v>179</v>
      </c>
      <c r="N279" s="41" t="s">
        <v>179</v>
      </c>
      <c r="O279" s="41"/>
      <c r="P279" s="41">
        <v>5</v>
      </c>
      <c r="Q279" s="41" t="s">
        <v>942</v>
      </c>
      <c r="R279" s="41"/>
      <c r="S279" s="41"/>
      <c r="T279" s="41"/>
      <c r="U279" s="41"/>
      <c r="V279" s="41"/>
      <c r="W279" s="41"/>
      <c r="X279" s="42" t="s">
        <v>2330</v>
      </c>
      <c r="Y279" s="58" t="s">
        <v>2331</v>
      </c>
      <c r="Z279" s="44"/>
      <c r="AA279" s="45" t="s">
        <v>47</v>
      </c>
      <c r="AB279" s="101"/>
      <c r="AC279" s="36" t="s">
        <v>26</v>
      </c>
      <c r="AD279" s="47" t="s">
        <v>49</v>
      </c>
      <c r="AE279" s="48" t="s">
        <v>49</v>
      </c>
      <c r="AF279" s="48" t="s">
        <v>41</v>
      </c>
      <c r="AG279" s="48" t="s">
        <v>41</v>
      </c>
      <c r="AH279" s="48" t="s">
        <v>41</v>
      </c>
      <c r="AI279" s="48" t="s">
        <v>41</v>
      </c>
      <c r="AJ279" s="49" t="s">
        <v>41</v>
      </c>
      <c r="AK279" s="48" t="s">
        <v>41</v>
      </c>
      <c r="AL279" s="62" t="s">
        <v>4587</v>
      </c>
      <c r="AM279" s="59"/>
      <c r="AN279" s="10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1"/>
    </row>
    <row r="280" spans="1:51" x14ac:dyDescent="0.2">
      <c r="A280" s="33">
        <f t="shared" si="5"/>
        <v>275</v>
      </c>
      <c r="B280" s="34" t="s">
        <v>2332</v>
      </c>
      <c r="C280" s="35" t="s">
        <v>2333</v>
      </c>
      <c r="D280" s="36" t="s">
        <v>2334</v>
      </c>
      <c r="E280" s="36" t="s">
        <v>54</v>
      </c>
      <c r="F280" s="34" t="s">
        <v>2335</v>
      </c>
      <c r="G280" s="37" t="s">
        <v>38</v>
      </c>
      <c r="H280" s="37" t="s">
        <v>39</v>
      </c>
      <c r="I280" s="34" t="s">
        <v>2336</v>
      </c>
      <c r="J280" s="34" t="s">
        <v>41</v>
      </c>
      <c r="K280" s="39" t="s">
        <v>42</v>
      </c>
      <c r="L280" s="99" t="s">
        <v>2337</v>
      </c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2" t="s">
        <v>2338</v>
      </c>
      <c r="Y280" s="43" t="s">
        <v>2339</v>
      </c>
      <c r="Z280" s="44" t="s">
        <v>61</v>
      </c>
      <c r="AA280" s="45">
        <v>37877</v>
      </c>
      <c r="AB280" s="101" t="s">
        <v>30</v>
      </c>
      <c r="AC280" s="36" t="s">
        <v>26</v>
      </c>
      <c r="AD280" s="47" t="s">
        <v>49</v>
      </c>
      <c r="AE280" s="48" t="s">
        <v>49</v>
      </c>
      <c r="AF280" s="48" t="s">
        <v>49</v>
      </c>
      <c r="AG280" s="48" t="s">
        <v>49</v>
      </c>
      <c r="AH280" s="48" t="s">
        <v>49</v>
      </c>
      <c r="AI280" s="48" t="s">
        <v>49</v>
      </c>
      <c r="AJ280" s="49" t="s">
        <v>49</v>
      </c>
      <c r="AK280" s="48" t="s">
        <v>41</v>
      </c>
      <c r="AL280" s="65" t="s">
        <v>148</v>
      </c>
      <c r="AM280" s="59"/>
      <c r="AN280" s="10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1"/>
    </row>
    <row r="281" spans="1:51" x14ac:dyDescent="0.2">
      <c r="A281" s="33">
        <f t="shared" si="5"/>
        <v>276</v>
      </c>
      <c r="B281" s="34" t="s">
        <v>2340</v>
      </c>
      <c r="C281" s="35" t="s">
        <v>2341</v>
      </c>
      <c r="D281" s="36" t="s">
        <v>2342</v>
      </c>
      <c r="E281" s="36" t="s">
        <v>54</v>
      </c>
      <c r="F281" s="34" t="s">
        <v>2343</v>
      </c>
      <c r="G281" s="37" t="s">
        <v>38</v>
      </c>
      <c r="H281" s="37" t="s">
        <v>39</v>
      </c>
      <c r="I281" s="34" t="s">
        <v>2344</v>
      </c>
      <c r="J281" s="34" t="s">
        <v>41</v>
      </c>
      <c r="K281" s="39" t="s">
        <v>42</v>
      </c>
      <c r="L281" s="120">
        <v>37598</v>
      </c>
      <c r="M281" s="41"/>
      <c r="N281" s="111"/>
      <c r="O281" s="112"/>
      <c r="P281" s="111"/>
      <c r="Q281" s="112"/>
      <c r="R281" s="112"/>
      <c r="S281" s="112"/>
      <c r="T281" s="41"/>
      <c r="U281" s="41"/>
      <c r="V281" s="41"/>
      <c r="W281" s="41"/>
      <c r="X281" s="42" t="s">
        <v>2345</v>
      </c>
      <c r="Y281" s="69" t="s">
        <v>2346</v>
      </c>
      <c r="Z281" s="44" t="s">
        <v>61</v>
      </c>
      <c r="AA281" s="45">
        <v>37877</v>
      </c>
      <c r="AB281" s="101" t="s">
        <v>30</v>
      </c>
      <c r="AC281" s="36" t="s">
        <v>26</v>
      </c>
      <c r="AD281" s="47" t="s">
        <v>49</v>
      </c>
      <c r="AE281" s="48" t="s">
        <v>49</v>
      </c>
      <c r="AF281" s="48" t="s">
        <v>49</v>
      </c>
      <c r="AG281" s="48" t="s">
        <v>49</v>
      </c>
      <c r="AH281" s="48" t="s">
        <v>49</v>
      </c>
      <c r="AI281" s="48" t="s">
        <v>49</v>
      </c>
      <c r="AJ281" s="49" t="s">
        <v>49</v>
      </c>
      <c r="AK281" s="48" t="s">
        <v>49</v>
      </c>
      <c r="AL281" s="62" t="s">
        <v>32</v>
      </c>
      <c r="AM281" s="59"/>
      <c r="AN281" s="10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1"/>
    </row>
    <row r="282" spans="1:51" x14ac:dyDescent="0.2">
      <c r="A282" s="33">
        <f t="shared" si="5"/>
        <v>277</v>
      </c>
      <c r="B282" s="34" t="s">
        <v>2347</v>
      </c>
      <c r="C282" s="35" t="s">
        <v>2348</v>
      </c>
      <c r="D282" s="36" t="s">
        <v>2349</v>
      </c>
      <c r="E282" s="36" t="s">
        <v>54</v>
      </c>
      <c r="F282" s="98" t="s">
        <v>2350</v>
      </c>
      <c r="G282" s="37" t="s">
        <v>398</v>
      </c>
      <c r="H282" s="37" t="s">
        <v>205</v>
      </c>
      <c r="I282" s="34" t="s">
        <v>2351</v>
      </c>
      <c r="J282" s="34" t="s">
        <v>41</v>
      </c>
      <c r="K282" s="39" t="s">
        <v>42</v>
      </c>
      <c r="L282" s="99" t="s">
        <v>2352</v>
      </c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2" t="s">
        <v>2353</v>
      </c>
      <c r="Y282" s="52" t="s">
        <v>2354</v>
      </c>
      <c r="Z282" s="44" t="s">
        <v>61</v>
      </c>
      <c r="AA282" s="45">
        <v>36641</v>
      </c>
      <c r="AB282" s="101" t="s">
        <v>30</v>
      </c>
      <c r="AC282" s="36" t="s">
        <v>26</v>
      </c>
      <c r="AD282" s="47" t="s">
        <v>49</v>
      </c>
      <c r="AE282" s="48" t="s">
        <v>49</v>
      </c>
      <c r="AF282" s="48" t="s">
        <v>49</v>
      </c>
      <c r="AG282" s="48" t="s">
        <v>49</v>
      </c>
      <c r="AH282" s="48" t="s">
        <v>49</v>
      </c>
      <c r="AI282" s="48" t="s">
        <v>49</v>
      </c>
      <c r="AJ282" s="49" t="s">
        <v>49</v>
      </c>
      <c r="AK282" s="48" t="s">
        <v>41</v>
      </c>
      <c r="AL282" s="62" t="s">
        <v>148</v>
      </c>
      <c r="AM282" s="59"/>
      <c r="AN282" s="10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1"/>
    </row>
    <row r="283" spans="1:51" x14ac:dyDescent="0.2">
      <c r="A283" s="33">
        <f t="shared" si="5"/>
        <v>278</v>
      </c>
      <c r="B283" s="34" t="s">
        <v>2355</v>
      </c>
      <c r="C283" s="35" t="s">
        <v>2356</v>
      </c>
      <c r="D283" s="36" t="s">
        <v>2357</v>
      </c>
      <c r="E283" s="36" t="s">
        <v>36</v>
      </c>
      <c r="F283" s="98" t="s">
        <v>2358</v>
      </c>
      <c r="G283" s="37" t="s">
        <v>73</v>
      </c>
      <c r="H283" s="37" t="s">
        <v>73</v>
      </c>
      <c r="I283" s="219" t="s">
        <v>2359</v>
      </c>
      <c r="J283" s="34"/>
      <c r="K283" s="39" t="s">
        <v>42</v>
      </c>
      <c r="L283" s="120">
        <v>45883</v>
      </c>
      <c r="M283" s="41" t="s">
        <v>179</v>
      </c>
      <c r="N283" s="41" t="s">
        <v>179</v>
      </c>
      <c r="O283" s="41"/>
      <c r="P283" s="41"/>
      <c r="Q283" s="41"/>
      <c r="R283" s="41"/>
      <c r="S283" s="41"/>
      <c r="T283" s="41"/>
      <c r="U283" s="41"/>
      <c r="V283" s="41" t="s">
        <v>44</v>
      </c>
      <c r="W283" s="41"/>
      <c r="X283" s="42" t="s">
        <v>2360</v>
      </c>
      <c r="Y283" s="43" t="s">
        <v>2361</v>
      </c>
      <c r="Z283" s="44"/>
      <c r="AA283" s="45"/>
      <c r="AB283" s="101"/>
      <c r="AC283" s="36"/>
      <c r="AD283" s="47" t="s">
        <v>49</v>
      </c>
      <c r="AE283" s="48" t="s">
        <v>41</v>
      </c>
      <c r="AF283" s="48" t="s">
        <v>41</v>
      </c>
      <c r="AG283" s="48" t="s">
        <v>41</v>
      </c>
      <c r="AH283" s="48" t="s">
        <v>41</v>
      </c>
      <c r="AI283" s="48" t="s">
        <v>41</v>
      </c>
      <c r="AJ283" s="49" t="s">
        <v>49</v>
      </c>
      <c r="AK283" s="48" t="s">
        <v>41</v>
      </c>
      <c r="AL283" s="62" t="s">
        <v>148</v>
      </c>
      <c r="AM283" s="59"/>
      <c r="AN283" s="102" t="s">
        <v>2362</v>
      </c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1"/>
    </row>
    <row r="284" spans="1:51" x14ac:dyDescent="0.2">
      <c r="A284" s="33">
        <f t="shared" si="5"/>
        <v>279</v>
      </c>
      <c r="B284" s="34" t="s">
        <v>2363</v>
      </c>
      <c r="C284" s="35" t="s">
        <v>2364</v>
      </c>
      <c r="D284" s="36" t="s">
        <v>2365</v>
      </c>
      <c r="E284" s="36" t="s">
        <v>241</v>
      </c>
      <c r="F284" s="34" t="s">
        <v>2366</v>
      </c>
      <c r="G284" s="37" t="s">
        <v>73</v>
      </c>
      <c r="H284" s="37" t="s">
        <v>73</v>
      </c>
      <c r="I284" s="34" t="s">
        <v>2367</v>
      </c>
      <c r="J284" s="34" t="s">
        <v>41</v>
      </c>
      <c r="K284" s="39" t="s">
        <v>42</v>
      </c>
      <c r="L284" s="120">
        <v>35040</v>
      </c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2" t="s">
        <v>2368</v>
      </c>
      <c r="Y284" s="69" t="s">
        <v>2369</v>
      </c>
      <c r="Z284" s="44" t="s">
        <v>61</v>
      </c>
      <c r="AA284" s="45">
        <v>36641</v>
      </c>
      <c r="AB284" s="101" t="s">
        <v>30</v>
      </c>
      <c r="AC284" s="36" t="s">
        <v>26</v>
      </c>
      <c r="AD284" s="47" t="s">
        <v>49</v>
      </c>
      <c r="AE284" s="48" t="s">
        <v>49</v>
      </c>
      <c r="AF284" s="48" t="s">
        <v>49</v>
      </c>
      <c r="AG284" s="48" t="s">
        <v>49</v>
      </c>
      <c r="AH284" s="48" t="s">
        <v>49</v>
      </c>
      <c r="AI284" s="48" t="s">
        <v>49</v>
      </c>
      <c r="AJ284" s="49" t="s">
        <v>49</v>
      </c>
      <c r="AK284" s="48" t="s">
        <v>41</v>
      </c>
      <c r="AL284" s="62" t="s">
        <v>148</v>
      </c>
      <c r="AM284" s="59"/>
      <c r="AN284" s="10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1"/>
    </row>
    <row r="285" spans="1:51" x14ac:dyDescent="0.2">
      <c r="A285" s="33">
        <f t="shared" si="5"/>
        <v>280</v>
      </c>
      <c r="B285" s="108" t="s">
        <v>2370</v>
      </c>
      <c r="C285" s="35" t="s">
        <v>2371</v>
      </c>
      <c r="D285" s="174" t="s">
        <v>2372</v>
      </c>
      <c r="E285" s="36" t="s">
        <v>54</v>
      </c>
      <c r="F285" s="108" t="s">
        <v>2373</v>
      </c>
      <c r="G285" s="37" t="s">
        <v>456</v>
      </c>
      <c r="H285" s="37" t="s">
        <v>187</v>
      </c>
      <c r="I285" s="108" t="s">
        <v>2374</v>
      </c>
      <c r="J285" s="108" t="s">
        <v>2374</v>
      </c>
      <c r="K285" s="39" t="s">
        <v>42</v>
      </c>
      <c r="L285" s="120" t="s">
        <v>2375</v>
      </c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42" t="s">
        <v>2376</v>
      </c>
      <c r="Y285" s="52" t="s">
        <v>2377</v>
      </c>
      <c r="Z285" s="44" t="s">
        <v>2378</v>
      </c>
      <c r="AA285" s="45">
        <v>42935</v>
      </c>
      <c r="AB285" s="101" t="s">
        <v>30</v>
      </c>
      <c r="AC285" s="109" t="s">
        <v>26</v>
      </c>
      <c r="AD285" s="47" t="s">
        <v>49</v>
      </c>
      <c r="AE285" s="48" t="s">
        <v>49</v>
      </c>
      <c r="AF285" s="48" t="s">
        <v>49</v>
      </c>
      <c r="AG285" s="48" t="s">
        <v>49</v>
      </c>
      <c r="AH285" s="48" t="s">
        <v>49</v>
      </c>
      <c r="AI285" s="48" t="s">
        <v>49</v>
      </c>
      <c r="AJ285" s="49" t="s">
        <v>49</v>
      </c>
      <c r="AK285" s="48" t="s">
        <v>49</v>
      </c>
      <c r="AL285" s="65" t="s">
        <v>32</v>
      </c>
      <c r="AM285" s="59"/>
      <c r="AN285" s="10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1"/>
    </row>
    <row r="286" spans="1:51" x14ac:dyDescent="0.2">
      <c r="A286" s="33">
        <f t="shared" si="5"/>
        <v>281</v>
      </c>
      <c r="B286" s="139" t="s">
        <v>2379</v>
      </c>
      <c r="C286" s="35" t="s">
        <v>2380</v>
      </c>
      <c r="D286" s="174" t="s">
        <v>2381</v>
      </c>
      <c r="E286" s="36" t="s">
        <v>36</v>
      </c>
      <c r="F286" s="185" t="s">
        <v>2382</v>
      </c>
      <c r="G286" s="37" t="s">
        <v>176</v>
      </c>
      <c r="H286" s="37" t="s">
        <v>39</v>
      </c>
      <c r="I286" s="140" t="s">
        <v>2383</v>
      </c>
      <c r="J286" s="139" t="s">
        <v>41</v>
      </c>
      <c r="K286" s="39" t="s">
        <v>42</v>
      </c>
      <c r="L286" s="120">
        <v>45079</v>
      </c>
      <c r="M286" s="56" t="s">
        <v>179</v>
      </c>
      <c r="N286" s="56" t="s">
        <v>179</v>
      </c>
      <c r="O286" s="56"/>
      <c r="P286" s="56">
        <v>2</v>
      </c>
      <c r="Q286" s="56" t="s">
        <v>942</v>
      </c>
      <c r="R286" s="56"/>
      <c r="S286" s="56"/>
      <c r="T286" s="56" t="s">
        <v>44</v>
      </c>
      <c r="U286" s="56"/>
      <c r="V286" s="56"/>
      <c r="W286" s="56"/>
      <c r="X286" s="42" t="s">
        <v>2384</v>
      </c>
      <c r="Y286" s="55" t="s">
        <v>2385</v>
      </c>
      <c r="Z286" s="55"/>
      <c r="AA286" s="55" t="s">
        <v>47</v>
      </c>
      <c r="AB286" s="101"/>
      <c r="AC286" s="109"/>
      <c r="AD286" s="47" t="s">
        <v>49</v>
      </c>
      <c r="AE286" s="48" t="s">
        <v>41</v>
      </c>
      <c r="AF286" s="48" t="s">
        <v>41</v>
      </c>
      <c r="AG286" s="48" t="s">
        <v>41</v>
      </c>
      <c r="AH286" s="48" t="s">
        <v>49</v>
      </c>
      <c r="AI286" s="48" t="s">
        <v>41</v>
      </c>
      <c r="AJ286" s="49" t="s">
        <v>41</v>
      </c>
      <c r="AK286" s="48" t="s">
        <v>41</v>
      </c>
      <c r="AL286" s="62" t="s">
        <v>4589</v>
      </c>
      <c r="AM286" s="59"/>
      <c r="AN286" s="10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1"/>
    </row>
    <row r="287" spans="1:51" x14ac:dyDescent="0.2">
      <c r="A287" s="33">
        <f t="shared" si="5"/>
        <v>282</v>
      </c>
      <c r="B287" s="108" t="s">
        <v>2386</v>
      </c>
      <c r="C287" s="35" t="s">
        <v>2387</v>
      </c>
      <c r="D287" s="174" t="s">
        <v>2388</v>
      </c>
      <c r="E287" s="36" t="s">
        <v>54</v>
      </c>
      <c r="F287" s="108" t="s">
        <v>2389</v>
      </c>
      <c r="G287" s="37" t="s">
        <v>73</v>
      </c>
      <c r="H287" s="37" t="s">
        <v>73</v>
      </c>
      <c r="I287" s="145" t="s">
        <v>2390</v>
      </c>
      <c r="J287" s="108" t="s">
        <v>41</v>
      </c>
      <c r="K287" s="39" t="s">
        <v>42</v>
      </c>
      <c r="L287" s="120">
        <v>45852</v>
      </c>
      <c r="M287" s="56" t="s">
        <v>179</v>
      </c>
      <c r="N287" s="56"/>
      <c r="O287" s="56"/>
      <c r="P287" s="56"/>
      <c r="Q287" s="56" t="s">
        <v>179</v>
      </c>
      <c r="R287" s="56"/>
      <c r="S287" s="56"/>
      <c r="T287" s="56"/>
      <c r="U287" s="56"/>
      <c r="V287" s="56" t="s">
        <v>44</v>
      </c>
      <c r="W287" s="56"/>
      <c r="X287" s="42" t="s">
        <v>2391</v>
      </c>
      <c r="Y287" s="43" t="s">
        <v>2392</v>
      </c>
      <c r="Z287" s="55"/>
      <c r="AA287" s="55"/>
      <c r="AB287" s="101"/>
      <c r="AC287" s="109"/>
      <c r="AD287" s="47" t="s">
        <v>49</v>
      </c>
      <c r="AE287" s="48" t="s">
        <v>41</v>
      </c>
      <c r="AF287" s="48" t="s">
        <v>41</v>
      </c>
      <c r="AG287" s="48" t="s">
        <v>41</v>
      </c>
      <c r="AH287" s="48" t="s">
        <v>41</v>
      </c>
      <c r="AI287" s="48" t="s">
        <v>41</v>
      </c>
      <c r="AJ287" s="49" t="s">
        <v>49</v>
      </c>
      <c r="AK287" s="48" t="s">
        <v>41</v>
      </c>
      <c r="AL287" s="62" t="s">
        <v>148</v>
      </c>
      <c r="AM287" s="59"/>
      <c r="AN287" s="10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1"/>
    </row>
    <row r="288" spans="1:51" x14ac:dyDescent="0.2">
      <c r="A288" s="33">
        <f t="shared" si="5"/>
        <v>283</v>
      </c>
      <c r="B288" s="107" t="s">
        <v>2393</v>
      </c>
      <c r="C288" s="35" t="s">
        <v>2394</v>
      </c>
      <c r="D288" s="36" t="s">
        <v>2395</v>
      </c>
      <c r="E288" s="36" t="s">
        <v>54</v>
      </c>
      <c r="F288" s="98" t="s">
        <v>2396</v>
      </c>
      <c r="G288" s="37" t="s">
        <v>56</v>
      </c>
      <c r="H288" s="37" t="s">
        <v>57</v>
      </c>
      <c r="I288" s="54" t="s">
        <v>2397</v>
      </c>
      <c r="J288" s="183" t="s">
        <v>41</v>
      </c>
      <c r="K288" s="39" t="s">
        <v>42</v>
      </c>
      <c r="L288" s="120" t="s">
        <v>390</v>
      </c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42" t="s">
        <v>2398</v>
      </c>
      <c r="Y288" s="69" t="s">
        <v>2399</v>
      </c>
      <c r="Z288" s="44" t="s">
        <v>2400</v>
      </c>
      <c r="AA288" s="45">
        <v>43200</v>
      </c>
      <c r="AB288" s="101" t="s">
        <v>30</v>
      </c>
      <c r="AC288" s="73"/>
      <c r="AD288" s="47" t="s">
        <v>49</v>
      </c>
      <c r="AE288" s="48" t="s">
        <v>41</v>
      </c>
      <c r="AF288" s="48" t="s">
        <v>41</v>
      </c>
      <c r="AG288" s="48" t="s">
        <v>41</v>
      </c>
      <c r="AH288" s="48" t="s">
        <v>41</v>
      </c>
      <c r="AI288" s="48" t="s">
        <v>41</v>
      </c>
      <c r="AJ288" s="49" t="s">
        <v>41</v>
      </c>
      <c r="AK288" s="48" t="s">
        <v>41</v>
      </c>
      <c r="AL288" s="65" t="s">
        <v>4592</v>
      </c>
      <c r="AM288" s="59"/>
      <c r="AN288" s="10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1"/>
    </row>
    <row r="289" spans="1:51" x14ac:dyDescent="0.2">
      <c r="A289" s="33">
        <f t="shared" si="5"/>
        <v>284</v>
      </c>
      <c r="B289" s="34" t="s">
        <v>2401</v>
      </c>
      <c r="C289" s="35" t="s">
        <v>2402</v>
      </c>
      <c r="D289" s="36" t="s">
        <v>2403</v>
      </c>
      <c r="E289" s="36" t="s">
        <v>54</v>
      </c>
      <c r="F289" s="98" t="s">
        <v>2404</v>
      </c>
      <c r="G289" s="37" t="s">
        <v>214</v>
      </c>
      <c r="H289" s="37" t="s">
        <v>205</v>
      </c>
      <c r="I289" s="42" t="s">
        <v>2405</v>
      </c>
      <c r="J289" s="38" t="s">
        <v>41</v>
      </c>
      <c r="K289" s="39" t="s">
        <v>42</v>
      </c>
      <c r="L289" s="120">
        <v>42223</v>
      </c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42" t="s">
        <v>2405</v>
      </c>
      <c r="Y289" s="69" t="s">
        <v>2406</v>
      </c>
      <c r="Z289" s="44" t="s">
        <v>2407</v>
      </c>
      <c r="AA289" s="45">
        <v>42325</v>
      </c>
      <c r="AB289" s="101" t="s">
        <v>30</v>
      </c>
      <c r="AC289" s="73" t="s">
        <v>26</v>
      </c>
      <c r="AD289" s="47" t="s">
        <v>49</v>
      </c>
      <c r="AE289" s="48" t="s">
        <v>49</v>
      </c>
      <c r="AF289" s="48" t="s">
        <v>49</v>
      </c>
      <c r="AG289" s="48" t="s">
        <v>49</v>
      </c>
      <c r="AH289" s="48" t="s">
        <v>49</v>
      </c>
      <c r="AI289" s="48" t="s">
        <v>49</v>
      </c>
      <c r="AJ289" s="49" t="s">
        <v>41</v>
      </c>
      <c r="AK289" s="48" t="s">
        <v>41</v>
      </c>
      <c r="AL289" s="62" t="s">
        <v>276</v>
      </c>
      <c r="AM289" s="59"/>
      <c r="AN289" s="10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1"/>
    </row>
    <row r="290" spans="1:51" x14ac:dyDescent="0.2">
      <c r="A290" s="33">
        <f t="shared" si="5"/>
        <v>285</v>
      </c>
      <c r="B290" s="34" t="s">
        <v>2408</v>
      </c>
      <c r="C290" s="35" t="s">
        <v>2409</v>
      </c>
      <c r="D290" s="36" t="s">
        <v>2410</v>
      </c>
      <c r="E290" s="36" t="s">
        <v>36</v>
      </c>
      <c r="F290" s="34" t="s">
        <v>2411</v>
      </c>
      <c r="G290" s="37" t="s">
        <v>349</v>
      </c>
      <c r="H290" s="37" t="s">
        <v>350</v>
      </c>
      <c r="I290" s="34" t="s">
        <v>2412</v>
      </c>
      <c r="J290" s="34" t="s">
        <v>41</v>
      </c>
      <c r="K290" s="39" t="s">
        <v>42</v>
      </c>
      <c r="L290" s="99" t="s">
        <v>2413</v>
      </c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42" t="s">
        <v>2414</v>
      </c>
      <c r="Y290" s="58" t="s">
        <v>2415</v>
      </c>
      <c r="Z290" s="44" t="s">
        <v>2416</v>
      </c>
      <c r="AA290" s="45">
        <v>41793</v>
      </c>
      <c r="AB290" s="101" t="s">
        <v>30</v>
      </c>
      <c r="AC290" s="36"/>
      <c r="AD290" s="47" t="s">
        <v>49</v>
      </c>
      <c r="AE290" s="48" t="s">
        <v>41</v>
      </c>
      <c r="AF290" s="48" t="s">
        <v>41</v>
      </c>
      <c r="AG290" s="48" t="s">
        <v>41</v>
      </c>
      <c r="AH290" s="48" t="s">
        <v>41</v>
      </c>
      <c r="AI290" s="48" t="s">
        <v>41</v>
      </c>
      <c r="AJ290" s="49" t="s">
        <v>41</v>
      </c>
      <c r="AK290" s="48" t="s">
        <v>41</v>
      </c>
      <c r="AL290" s="65" t="s">
        <v>4588</v>
      </c>
      <c r="AM290" s="59"/>
      <c r="AN290" s="117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1"/>
    </row>
    <row r="291" spans="1:51" x14ac:dyDescent="0.2">
      <c r="A291" s="33">
        <f t="shared" si="5"/>
        <v>286</v>
      </c>
      <c r="B291" s="34" t="s">
        <v>2417</v>
      </c>
      <c r="C291" s="35" t="s">
        <v>2418</v>
      </c>
      <c r="D291" s="36" t="s">
        <v>2419</v>
      </c>
      <c r="E291" s="36" t="s">
        <v>54</v>
      </c>
      <c r="F291" s="34" t="s">
        <v>2420</v>
      </c>
      <c r="G291" s="37" t="s">
        <v>243</v>
      </c>
      <c r="H291" s="37" t="s">
        <v>205</v>
      </c>
      <c r="I291" s="38" t="s">
        <v>2421</v>
      </c>
      <c r="J291" s="34" t="s">
        <v>41</v>
      </c>
      <c r="K291" s="39" t="s">
        <v>42</v>
      </c>
      <c r="L291" s="120">
        <v>45052</v>
      </c>
      <c r="M291" s="56"/>
      <c r="N291" s="56"/>
      <c r="O291" s="56"/>
      <c r="P291" s="56"/>
      <c r="Q291" s="56"/>
      <c r="R291" s="56"/>
      <c r="S291" s="56"/>
      <c r="T291" s="56" t="s">
        <v>44</v>
      </c>
      <c r="U291" s="56"/>
      <c r="V291" s="56"/>
      <c r="W291" s="56"/>
      <c r="X291" s="42" t="s">
        <v>2422</v>
      </c>
      <c r="Y291" s="58" t="s">
        <v>2423</v>
      </c>
      <c r="Z291" s="44"/>
      <c r="AA291" s="45">
        <v>45642</v>
      </c>
      <c r="AB291" s="101"/>
      <c r="AC291" s="36"/>
      <c r="AD291" s="47" t="s">
        <v>49</v>
      </c>
      <c r="AE291" s="48" t="s">
        <v>41</v>
      </c>
      <c r="AF291" s="48" t="s">
        <v>41</v>
      </c>
      <c r="AG291" s="48" t="s">
        <v>41</v>
      </c>
      <c r="AH291" s="48" t="s">
        <v>49</v>
      </c>
      <c r="AI291" s="48" t="s">
        <v>49</v>
      </c>
      <c r="AJ291" s="49" t="s">
        <v>49</v>
      </c>
      <c r="AK291" s="48" t="s">
        <v>49</v>
      </c>
      <c r="AL291" s="62" t="s">
        <v>32</v>
      </c>
      <c r="AM291" s="59"/>
      <c r="AN291" s="10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1"/>
    </row>
    <row r="292" spans="1:51" x14ac:dyDescent="0.2">
      <c r="A292" s="33">
        <f t="shared" si="5"/>
        <v>287</v>
      </c>
      <c r="B292" s="34" t="s">
        <v>2424</v>
      </c>
      <c r="C292" s="35" t="s">
        <v>2425</v>
      </c>
      <c r="D292" s="36" t="s">
        <v>2426</v>
      </c>
      <c r="E292" s="36" t="s">
        <v>54</v>
      </c>
      <c r="F292" s="34" t="s">
        <v>2427</v>
      </c>
      <c r="G292" s="37" t="s">
        <v>349</v>
      </c>
      <c r="H292" s="37" t="s">
        <v>350</v>
      </c>
      <c r="I292" s="38" t="s">
        <v>2428</v>
      </c>
      <c r="J292" s="34" t="s">
        <v>41</v>
      </c>
      <c r="K292" s="39" t="s">
        <v>42</v>
      </c>
      <c r="L292" s="120">
        <v>40853</v>
      </c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2" t="s">
        <v>2429</v>
      </c>
      <c r="Y292" s="69" t="s">
        <v>2430</v>
      </c>
      <c r="Z292" s="44" t="s">
        <v>2431</v>
      </c>
      <c r="AA292" s="45">
        <v>41803</v>
      </c>
      <c r="AB292" s="101" t="s">
        <v>30</v>
      </c>
      <c r="AC292" s="36" t="s">
        <v>26</v>
      </c>
      <c r="AD292" s="47" t="s">
        <v>49</v>
      </c>
      <c r="AE292" s="48" t="s">
        <v>49</v>
      </c>
      <c r="AF292" s="48" t="s">
        <v>49</v>
      </c>
      <c r="AG292" s="48" t="s">
        <v>49</v>
      </c>
      <c r="AH292" s="48" t="s">
        <v>49</v>
      </c>
      <c r="AI292" s="48" t="s">
        <v>49</v>
      </c>
      <c r="AJ292" s="49" t="s">
        <v>49</v>
      </c>
      <c r="AK292" s="48" t="s">
        <v>49</v>
      </c>
      <c r="AL292" s="62" t="s">
        <v>32</v>
      </c>
      <c r="AM292" s="59"/>
      <c r="AN292" s="10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1"/>
    </row>
    <row r="293" spans="1:51" x14ac:dyDescent="0.2">
      <c r="A293" s="33">
        <f t="shared" si="5"/>
        <v>288</v>
      </c>
      <c r="B293" s="34" t="s">
        <v>2432</v>
      </c>
      <c r="C293" s="35" t="s">
        <v>2433</v>
      </c>
      <c r="D293" s="36" t="s">
        <v>2434</v>
      </c>
      <c r="E293" s="36" t="s">
        <v>54</v>
      </c>
      <c r="F293" s="34" t="s">
        <v>2435</v>
      </c>
      <c r="G293" s="37" t="s">
        <v>1285</v>
      </c>
      <c r="H293" s="37" t="s">
        <v>350</v>
      </c>
      <c r="I293" s="34" t="s">
        <v>2436</v>
      </c>
      <c r="J293" s="34" t="s">
        <v>41</v>
      </c>
      <c r="K293" s="39" t="s">
        <v>42</v>
      </c>
      <c r="L293" s="99" t="s">
        <v>2437</v>
      </c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2" t="s">
        <v>2438</v>
      </c>
      <c r="Y293" s="69" t="s">
        <v>2439</v>
      </c>
      <c r="Z293" s="119" t="s">
        <v>61</v>
      </c>
      <c r="AA293" s="45">
        <v>38593</v>
      </c>
      <c r="AB293" s="101" t="s">
        <v>30</v>
      </c>
      <c r="AC293" s="73" t="s">
        <v>26</v>
      </c>
      <c r="AD293" s="47" t="s">
        <v>49</v>
      </c>
      <c r="AE293" s="48" t="s">
        <v>49</v>
      </c>
      <c r="AF293" s="48" t="s">
        <v>41</v>
      </c>
      <c r="AG293" s="48" t="s">
        <v>41</v>
      </c>
      <c r="AH293" s="48" t="s">
        <v>41</v>
      </c>
      <c r="AI293" s="48" t="s">
        <v>41</v>
      </c>
      <c r="AJ293" s="49" t="s">
        <v>41</v>
      </c>
      <c r="AK293" s="48" t="s">
        <v>41</v>
      </c>
      <c r="AL293" s="65" t="s">
        <v>4587</v>
      </c>
      <c r="AM293" s="59"/>
      <c r="AN293" s="10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1"/>
    </row>
    <row r="294" spans="1:51" x14ac:dyDescent="0.2">
      <c r="A294" s="33">
        <f t="shared" si="5"/>
        <v>289</v>
      </c>
      <c r="B294" s="34" t="s">
        <v>2440</v>
      </c>
      <c r="C294" s="35" t="s">
        <v>2441</v>
      </c>
      <c r="D294" s="36" t="s">
        <v>2442</v>
      </c>
      <c r="E294" s="36" t="s">
        <v>54</v>
      </c>
      <c r="F294" s="98" t="s">
        <v>2443</v>
      </c>
      <c r="G294" s="37" t="s">
        <v>73</v>
      </c>
      <c r="H294" s="37" t="s">
        <v>73</v>
      </c>
      <c r="I294" s="34" t="s">
        <v>2444</v>
      </c>
      <c r="J294" s="34" t="s">
        <v>41</v>
      </c>
      <c r="K294" s="39" t="s">
        <v>42</v>
      </c>
      <c r="L294" s="120">
        <v>44354</v>
      </c>
      <c r="M294" s="56"/>
      <c r="N294" s="56"/>
      <c r="O294" s="56"/>
      <c r="P294" s="56"/>
      <c r="Q294" s="56"/>
      <c r="R294" s="56" t="s">
        <v>44</v>
      </c>
      <c r="S294" s="56"/>
      <c r="T294" s="56"/>
      <c r="U294" s="56"/>
      <c r="V294" s="56"/>
      <c r="W294" s="56"/>
      <c r="X294" s="42" t="s">
        <v>2445</v>
      </c>
      <c r="Y294" s="58" t="s">
        <v>2446</v>
      </c>
      <c r="Z294" s="84" t="s">
        <v>2447</v>
      </c>
      <c r="AA294" s="45">
        <v>44650</v>
      </c>
      <c r="AB294" s="101" t="s">
        <v>30</v>
      </c>
      <c r="AC294" s="73"/>
      <c r="AD294" s="64" t="s">
        <v>120</v>
      </c>
      <c r="AE294" s="48" t="s">
        <v>41</v>
      </c>
      <c r="AF294" s="48" t="s">
        <v>120</v>
      </c>
      <c r="AG294" s="48" t="s">
        <v>120</v>
      </c>
      <c r="AH294" s="48" t="s">
        <v>120</v>
      </c>
      <c r="AI294" s="48" t="s">
        <v>120</v>
      </c>
      <c r="AJ294" s="49" t="s">
        <v>120</v>
      </c>
      <c r="AK294" s="48" t="s">
        <v>120</v>
      </c>
      <c r="AL294" s="62" t="s">
        <v>32</v>
      </c>
      <c r="AM294" s="59"/>
      <c r="AN294" s="10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1"/>
    </row>
    <row r="295" spans="1:51" x14ac:dyDescent="0.2">
      <c r="A295" s="33">
        <f t="shared" si="5"/>
        <v>290</v>
      </c>
      <c r="B295" s="34" t="s">
        <v>2448</v>
      </c>
      <c r="C295" s="35" t="s">
        <v>2449</v>
      </c>
      <c r="D295" s="36" t="s">
        <v>2450</v>
      </c>
      <c r="E295" s="36" t="s">
        <v>54</v>
      </c>
      <c r="F295" s="98" t="s">
        <v>4576</v>
      </c>
      <c r="G295" s="37" t="s">
        <v>73</v>
      </c>
      <c r="H295" s="37" t="s">
        <v>73</v>
      </c>
      <c r="I295" s="34" t="s">
        <v>2444</v>
      </c>
      <c r="J295" s="34" t="s">
        <v>2451</v>
      </c>
      <c r="K295" s="39" t="s">
        <v>42</v>
      </c>
      <c r="L295" s="120">
        <v>32913</v>
      </c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42" t="s">
        <v>2452</v>
      </c>
      <c r="Y295" s="58" t="s">
        <v>2453</v>
      </c>
      <c r="Z295" s="121" t="s">
        <v>2454</v>
      </c>
      <c r="AA295" s="45">
        <v>44650</v>
      </c>
      <c r="AB295" s="101" t="s">
        <v>30</v>
      </c>
      <c r="AC295" s="73" t="s">
        <v>26</v>
      </c>
      <c r="AD295" s="64" t="s">
        <v>120</v>
      </c>
      <c r="AE295" s="48" t="s">
        <v>120</v>
      </c>
      <c r="AF295" s="48" t="s">
        <v>120</v>
      </c>
      <c r="AG295" s="48" t="s">
        <v>120</v>
      </c>
      <c r="AH295" s="48" t="s">
        <v>120</v>
      </c>
      <c r="AI295" s="48" t="s">
        <v>120</v>
      </c>
      <c r="AJ295" s="49" t="s">
        <v>120</v>
      </c>
      <c r="AK295" s="48" t="s">
        <v>120</v>
      </c>
      <c r="AL295" s="62" t="s">
        <v>32</v>
      </c>
      <c r="AM295" s="59"/>
      <c r="AN295" s="102"/>
      <c r="AO295" s="32"/>
      <c r="AP295" s="220"/>
      <c r="AQ295" s="32"/>
      <c r="AR295" s="32"/>
      <c r="AS295" s="32"/>
      <c r="AT295" s="32"/>
      <c r="AU295" s="32"/>
      <c r="AV295" s="32"/>
      <c r="AW295" s="32"/>
      <c r="AX295" s="32"/>
      <c r="AY295" s="31"/>
    </row>
    <row r="296" spans="1:51" x14ac:dyDescent="0.2">
      <c r="A296" s="33">
        <f t="shared" si="5"/>
        <v>291</v>
      </c>
      <c r="B296" s="34" t="s">
        <v>2455</v>
      </c>
      <c r="C296" s="35" t="s">
        <v>2456</v>
      </c>
      <c r="D296" s="36" t="s">
        <v>2457</v>
      </c>
      <c r="E296" s="36" t="s">
        <v>54</v>
      </c>
      <c r="F296" s="34" t="s">
        <v>2458</v>
      </c>
      <c r="G296" s="37" t="s">
        <v>73</v>
      </c>
      <c r="H296" s="37" t="s">
        <v>73</v>
      </c>
      <c r="I296" s="34" t="s">
        <v>2459</v>
      </c>
      <c r="J296" s="34" t="s">
        <v>41</v>
      </c>
      <c r="K296" s="39" t="s">
        <v>42</v>
      </c>
      <c r="L296" s="99" t="s">
        <v>2460</v>
      </c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42" t="s">
        <v>2461</v>
      </c>
      <c r="Y296" s="52" t="s">
        <v>2462</v>
      </c>
      <c r="Z296" s="44" t="s">
        <v>2463</v>
      </c>
      <c r="AA296" s="45">
        <v>41793</v>
      </c>
      <c r="AB296" s="101" t="s">
        <v>30</v>
      </c>
      <c r="AC296" s="36" t="s">
        <v>26</v>
      </c>
      <c r="AD296" s="47" t="s">
        <v>49</v>
      </c>
      <c r="AE296" s="48" t="s">
        <v>49</v>
      </c>
      <c r="AF296" s="48" t="s">
        <v>49</v>
      </c>
      <c r="AG296" s="48" t="s">
        <v>49</v>
      </c>
      <c r="AH296" s="48" t="s">
        <v>49</v>
      </c>
      <c r="AI296" s="48" t="s">
        <v>49</v>
      </c>
      <c r="AJ296" s="49" t="s">
        <v>49</v>
      </c>
      <c r="AK296" s="48" t="s">
        <v>41</v>
      </c>
      <c r="AL296" s="62" t="s">
        <v>148</v>
      </c>
      <c r="AM296" s="59"/>
      <c r="AN296" s="10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1"/>
    </row>
    <row r="297" spans="1:51" x14ac:dyDescent="0.2">
      <c r="A297" s="33">
        <f t="shared" si="5"/>
        <v>292</v>
      </c>
      <c r="B297" s="34" t="s">
        <v>2464</v>
      </c>
      <c r="C297" s="35" t="s">
        <v>2465</v>
      </c>
      <c r="D297" s="36" t="s">
        <v>2466</v>
      </c>
      <c r="E297" s="36" t="s">
        <v>54</v>
      </c>
      <c r="F297" s="34" t="s">
        <v>2467</v>
      </c>
      <c r="G297" s="37" t="s">
        <v>243</v>
      </c>
      <c r="H297" s="37" t="s">
        <v>205</v>
      </c>
      <c r="I297" s="34" t="s">
        <v>2468</v>
      </c>
      <c r="J297" s="34" t="s">
        <v>41</v>
      </c>
      <c r="K297" s="39" t="s">
        <v>42</v>
      </c>
      <c r="L297" s="120">
        <v>36749</v>
      </c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2" t="s">
        <v>2469</v>
      </c>
      <c r="Y297" s="58" t="s">
        <v>2470</v>
      </c>
      <c r="Z297" s="44" t="s">
        <v>61</v>
      </c>
      <c r="AA297" s="45">
        <v>37877</v>
      </c>
      <c r="AB297" s="101" t="s">
        <v>30</v>
      </c>
      <c r="AC297" s="36" t="s">
        <v>26</v>
      </c>
      <c r="AD297" s="47" t="s">
        <v>49</v>
      </c>
      <c r="AE297" s="48" t="s">
        <v>49</v>
      </c>
      <c r="AF297" s="48" t="s">
        <v>49</v>
      </c>
      <c r="AG297" s="48" t="s">
        <v>49</v>
      </c>
      <c r="AH297" s="48" t="s">
        <v>49</v>
      </c>
      <c r="AI297" s="48" t="s">
        <v>49</v>
      </c>
      <c r="AJ297" s="49" t="s">
        <v>41</v>
      </c>
      <c r="AK297" s="48" t="s">
        <v>41</v>
      </c>
      <c r="AL297" s="62" t="s">
        <v>276</v>
      </c>
      <c r="AM297" s="59"/>
      <c r="AN297" s="10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1"/>
    </row>
    <row r="298" spans="1:51" x14ac:dyDescent="0.2">
      <c r="A298" s="33">
        <f t="shared" si="5"/>
        <v>293</v>
      </c>
      <c r="B298" s="34" t="s">
        <v>2471</v>
      </c>
      <c r="C298" s="35" t="s">
        <v>2472</v>
      </c>
      <c r="D298" s="36" t="s">
        <v>2473</v>
      </c>
      <c r="E298" s="36" t="s">
        <v>54</v>
      </c>
      <c r="F298" s="34" t="s">
        <v>2474</v>
      </c>
      <c r="G298" s="37" t="s">
        <v>958</v>
      </c>
      <c r="H298" s="37" t="s">
        <v>187</v>
      </c>
      <c r="I298" s="38" t="s">
        <v>2475</v>
      </c>
      <c r="J298" s="34" t="s">
        <v>41</v>
      </c>
      <c r="K298" s="39" t="s">
        <v>42</v>
      </c>
      <c r="L298" s="120" t="s">
        <v>2476</v>
      </c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42" t="s">
        <v>2477</v>
      </c>
      <c r="Y298" s="100" t="s">
        <v>2478</v>
      </c>
      <c r="Z298" s="44" t="s">
        <v>2479</v>
      </c>
      <c r="AA298" s="45">
        <v>44041</v>
      </c>
      <c r="AB298" s="101" t="s">
        <v>30</v>
      </c>
      <c r="AC298" s="36" t="s">
        <v>26</v>
      </c>
      <c r="AD298" s="61" t="s">
        <v>49</v>
      </c>
      <c r="AE298" s="48" t="s">
        <v>49</v>
      </c>
      <c r="AF298" s="48" t="s">
        <v>49</v>
      </c>
      <c r="AG298" s="48" t="s">
        <v>49</v>
      </c>
      <c r="AH298" s="48" t="s">
        <v>49</v>
      </c>
      <c r="AI298" s="48" t="s">
        <v>49</v>
      </c>
      <c r="AJ298" s="49" t="s">
        <v>49</v>
      </c>
      <c r="AK298" s="48" t="s">
        <v>49</v>
      </c>
      <c r="AL298" s="65" t="s">
        <v>32</v>
      </c>
      <c r="AM298" s="59"/>
      <c r="AN298" s="10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1"/>
    </row>
    <row r="299" spans="1:51" x14ac:dyDescent="0.2">
      <c r="A299" s="33">
        <f t="shared" si="5"/>
        <v>294</v>
      </c>
      <c r="B299" s="34" t="s">
        <v>2480</v>
      </c>
      <c r="C299" s="35" t="s">
        <v>2481</v>
      </c>
      <c r="D299" s="36" t="s">
        <v>2482</v>
      </c>
      <c r="E299" s="36" t="s">
        <v>36</v>
      </c>
      <c r="F299" s="34" t="s">
        <v>2483</v>
      </c>
      <c r="G299" s="37" t="s">
        <v>205</v>
      </c>
      <c r="H299" s="37" t="s">
        <v>205</v>
      </c>
      <c r="I299" s="38" t="s">
        <v>2484</v>
      </c>
      <c r="J299" s="34" t="s">
        <v>41</v>
      </c>
      <c r="K299" s="39" t="s">
        <v>42</v>
      </c>
      <c r="L299" s="120">
        <v>44137</v>
      </c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42" t="s">
        <v>2485</v>
      </c>
      <c r="Y299" s="100" t="s">
        <v>2486</v>
      </c>
      <c r="Z299" s="44" t="s">
        <v>2487</v>
      </c>
      <c r="AA299" s="45">
        <v>44041</v>
      </c>
      <c r="AB299" s="101" t="s">
        <v>30</v>
      </c>
      <c r="AC299" s="36" t="s">
        <v>26</v>
      </c>
      <c r="AD299" s="61" t="s">
        <v>49</v>
      </c>
      <c r="AE299" s="48" t="s">
        <v>49</v>
      </c>
      <c r="AF299" s="48" t="s">
        <v>49</v>
      </c>
      <c r="AG299" s="48" t="s">
        <v>49</v>
      </c>
      <c r="AH299" s="48" t="s">
        <v>49</v>
      </c>
      <c r="AI299" s="48" t="s">
        <v>49</v>
      </c>
      <c r="AJ299" s="49" t="s">
        <v>41</v>
      </c>
      <c r="AK299" s="48" t="s">
        <v>41</v>
      </c>
      <c r="AL299" s="62" t="s">
        <v>276</v>
      </c>
      <c r="AM299" s="59"/>
      <c r="AN299" s="10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1"/>
    </row>
    <row r="300" spans="1:51" x14ac:dyDescent="0.2">
      <c r="A300" s="33">
        <f t="shared" si="5"/>
        <v>295</v>
      </c>
      <c r="B300" s="34" t="s">
        <v>2488</v>
      </c>
      <c r="C300" s="35" t="s">
        <v>2489</v>
      </c>
      <c r="D300" s="36" t="s">
        <v>2490</v>
      </c>
      <c r="E300" s="36" t="s">
        <v>36</v>
      </c>
      <c r="F300" s="34" t="s">
        <v>2491</v>
      </c>
      <c r="G300" s="37" t="s">
        <v>73</v>
      </c>
      <c r="H300" s="37" t="s">
        <v>73</v>
      </c>
      <c r="I300" s="34" t="s">
        <v>2492</v>
      </c>
      <c r="J300" s="34" t="s">
        <v>2492</v>
      </c>
      <c r="K300" s="39" t="s">
        <v>42</v>
      </c>
      <c r="L300" s="99" t="s">
        <v>2493</v>
      </c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42" t="s">
        <v>2494</v>
      </c>
      <c r="Y300" s="100" t="s">
        <v>2495</v>
      </c>
      <c r="Z300" s="44" t="s">
        <v>61</v>
      </c>
      <c r="AA300" s="45">
        <v>36641</v>
      </c>
      <c r="AB300" s="101" t="s">
        <v>30</v>
      </c>
      <c r="AC300" s="36" t="s">
        <v>26</v>
      </c>
      <c r="AD300" s="61" t="s">
        <v>49</v>
      </c>
      <c r="AE300" s="48" t="s">
        <v>49</v>
      </c>
      <c r="AF300" s="48" t="s">
        <v>49</v>
      </c>
      <c r="AG300" s="48" t="s">
        <v>49</v>
      </c>
      <c r="AH300" s="48" t="s">
        <v>41</v>
      </c>
      <c r="AI300" s="48" t="s">
        <v>41</v>
      </c>
      <c r="AJ300" s="49" t="s">
        <v>41</v>
      </c>
      <c r="AK300" s="48" t="s">
        <v>41</v>
      </c>
      <c r="AL300" s="62" t="s">
        <v>139</v>
      </c>
      <c r="AM300" s="59"/>
      <c r="AN300" s="10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1"/>
    </row>
    <row r="301" spans="1:51" x14ac:dyDescent="0.2">
      <c r="A301" s="33">
        <f t="shared" si="5"/>
        <v>296</v>
      </c>
      <c r="B301" s="34" t="s">
        <v>2496</v>
      </c>
      <c r="C301" s="35" t="s">
        <v>2497</v>
      </c>
      <c r="D301" s="36" t="s">
        <v>2498</v>
      </c>
      <c r="E301" s="36" t="s">
        <v>36</v>
      </c>
      <c r="F301" s="34" t="s">
        <v>2499</v>
      </c>
      <c r="G301" s="37" t="s">
        <v>73</v>
      </c>
      <c r="H301" s="37" t="s">
        <v>73</v>
      </c>
      <c r="I301" s="38" t="s">
        <v>2500</v>
      </c>
      <c r="J301" s="34" t="s">
        <v>41</v>
      </c>
      <c r="K301" s="39" t="s">
        <v>42</v>
      </c>
      <c r="L301" s="120">
        <v>45209</v>
      </c>
      <c r="M301" s="56" t="s">
        <v>179</v>
      </c>
      <c r="N301" s="56" t="s">
        <v>179</v>
      </c>
      <c r="O301" s="56" t="s">
        <v>514</v>
      </c>
      <c r="P301" s="56">
        <v>1</v>
      </c>
      <c r="Q301" s="56"/>
      <c r="R301" s="56"/>
      <c r="S301" s="56"/>
      <c r="T301" s="56" t="s">
        <v>44</v>
      </c>
      <c r="U301" s="56"/>
      <c r="V301" s="56"/>
      <c r="W301" s="56"/>
      <c r="X301" s="38" t="s">
        <v>2501</v>
      </c>
      <c r="Y301" s="146" t="s">
        <v>2502</v>
      </c>
      <c r="Z301" s="146"/>
      <c r="AA301" s="45">
        <v>45642</v>
      </c>
      <c r="AB301" s="101"/>
      <c r="AC301" s="36"/>
      <c r="AD301" s="61" t="s">
        <v>49</v>
      </c>
      <c r="AE301" s="48" t="s">
        <v>41</v>
      </c>
      <c r="AF301" s="48" t="s">
        <v>41</v>
      </c>
      <c r="AG301" s="48" t="s">
        <v>41</v>
      </c>
      <c r="AH301" s="48" t="s">
        <v>49</v>
      </c>
      <c r="AI301" s="48" t="s">
        <v>49</v>
      </c>
      <c r="AJ301" s="49" t="s">
        <v>49</v>
      </c>
      <c r="AK301" s="48" t="s">
        <v>41</v>
      </c>
      <c r="AL301" s="65" t="s">
        <v>148</v>
      </c>
      <c r="AM301" s="59"/>
      <c r="AN301" s="10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1"/>
    </row>
    <row r="302" spans="1:51" x14ac:dyDescent="0.2">
      <c r="A302" s="33">
        <f t="shared" si="5"/>
        <v>297</v>
      </c>
      <c r="B302" s="34" t="s">
        <v>2503</v>
      </c>
      <c r="C302" s="35" t="s">
        <v>2504</v>
      </c>
      <c r="D302" s="36" t="s">
        <v>2505</v>
      </c>
      <c r="E302" s="36" t="s">
        <v>54</v>
      </c>
      <c r="F302" s="34" t="s">
        <v>2506</v>
      </c>
      <c r="G302" s="37" t="s">
        <v>176</v>
      </c>
      <c r="H302" s="37" t="s">
        <v>39</v>
      </c>
      <c r="I302" s="38" t="s">
        <v>2507</v>
      </c>
      <c r="J302" s="34" t="s">
        <v>41</v>
      </c>
      <c r="K302" s="39" t="s">
        <v>42</v>
      </c>
      <c r="L302" s="99" t="s">
        <v>2508</v>
      </c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42" t="s">
        <v>2509</v>
      </c>
      <c r="Y302" s="69" t="s">
        <v>2510</v>
      </c>
      <c r="Z302" s="44" t="s">
        <v>2511</v>
      </c>
      <c r="AA302" s="45">
        <v>42935</v>
      </c>
      <c r="AB302" s="101" t="s">
        <v>30</v>
      </c>
      <c r="AC302" s="36" t="s">
        <v>26</v>
      </c>
      <c r="AD302" s="47" t="s">
        <v>49</v>
      </c>
      <c r="AE302" s="48" t="s">
        <v>49</v>
      </c>
      <c r="AF302" s="48" t="s">
        <v>49</v>
      </c>
      <c r="AG302" s="48" t="s">
        <v>49</v>
      </c>
      <c r="AH302" s="48" t="s">
        <v>49</v>
      </c>
      <c r="AI302" s="48" t="s">
        <v>49</v>
      </c>
      <c r="AJ302" s="49" t="s">
        <v>49</v>
      </c>
      <c r="AK302" s="48" t="s">
        <v>49</v>
      </c>
      <c r="AL302" s="65" t="s">
        <v>32</v>
      </c>
      <c r="AM302" s="59"/>
      <c r="AN302" s="10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1"/>
    </row>
    <row r="303" spans="1:51" x14ac:dyDescent="0.2">
      <c r="A303" s="33">
        <f t="shared" si="5"/>
        <v>298</v>
      </c>
      <c r="B303" s="34" t="s">
        <v>2512</v>
      </c>
      <c r="C303" s="35" t="s">
        <v>2513</v>
      </c>
      <c r="D303" s="36" t="s">
        <v>2514</v>
      </c>
      <c r="E303" s="36" t="s">
        <v>54</v>
      </c>
      <c r="F303" s="34" t="s">
        <v>2515</v>
      </c>
      <c r="G303" s="37" t="s">
        <v>350</v>
      </c>
      <c r="H303" s="37" t="s">
        <v>350</v>
      </c>
      <c r="I303" s="38" t="s">
        <v>2516</v>
      </c>
      <c r="J303" s="38" t="s">
        <v>2516</v>
      </c>
      <c r="K303" s="39" t="s">
        <v>42</v>
      </c>
      <c r="L303" s="99" t="s">
        <v>2517</v>
      </c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42" t="s">
        <v>2518</v>
      </c>
      <c r="Y303" s="52" t="s">
        <v>2519</v>
      </c>
      <c r="Z303" s="44" t="s">
        <v>61</v>
      </c>
      <c r="AA303" s="45">
        <v>38593</v>
      </c>
      <c r="AB303" s="101" t="s">
        <v>30</v>
      </c>
      <c r="AC303" s="36" t="s">
        <v>26</v>
      </c>
      <c r="AD303" s="47" t="s">
        <v>49</v>
      </c>
      <c r="AE303" s="48" t="s">
        <v>49</v>
      </c>
      <c r="AF303" s="48" t="s">
        <v>49</v>
      </c>
      <c r="AG303" s="48" t="s">
        <v>49</v>
      </c>
      <c r="AH303" s="48" t="s">
        <v>49</v>
      </c>
      <c r="AI303" s="48" t="s">
        <v>49</v>
      </c>
      <c r="AJ303" s="49" t="s">
        <v>49</v>
      </c>
      <c r="AK303" s="48" t="s">
        <v>41</v>
      </c>
      <c r="AL303" s="65" t="s">
        <v>148</v>
      </c>
      <c r="AM303" s="59"/>
      <c r="AN303" s="10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1"/>
    </row>
    <row r="304" spans="1:51" x14ac:dyDescent="0.2">
      <c r="A304" s="33">
        <f t="shared" si="5"/>
        <v>299</v>
      </c>
      <c r="B304" s="34" t="s">
        <v>2520</v>
      </c>
      <c r="C304" s="35" t="s">
        <v>2521</v>
      </c>
      <c r="D304" s="36" t="s">
        <v>2522</v>
      </c>
      <c r="E304" s="36" t="s">
        <v>54</v>
      </c>
      <c r="F304" s="98" t="s">
        <v>2523</v>
      </c>
      <c r="G304" s="37" t="s">
        <v>252</v>
      </c>
      <c r="H304" s="37" t="s">
        <v>57</v>
      </c>
      <c r="I304" s="34" t="s">
        <v>2524</v>
      </c>
      <c r="J304" s="34" t="s">
        <v>41</v>
      </c>
      <c r="K304" s="39" t="s">
        <v>42</v>
      </c>
      <c r="L304" s="99" t="s">
        <v>2525</v>
      </c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42" t="s">
        <v>2526</v>
      </c>
      <c r="Y304" s="58" t="s">
        <v>2527</v>
      </c>
      <c r="Z304" s="44" t="s">
        <v>2528</v>
      </c>
      <c r="AA304" s="45">
        <v>44041</v>
      </c>
      <c r="AB304" s="101" t="s">
        <v>30</v>
      </c>
      <c r="AC304" s="36" t="s">
        <v>26</v>
      </c>
      <c r="AD304" s="47" t="s">
        <v>49</v>
      </c>
      <c r="AE304" s="48" t="s">
        <v>49</v>
      </c>
      <c r="AF304" s="48" t="s">
        <v>49</v>
      </c>
      <c r="AG304" s="48" t="s">
        <v>49</v>
      </c>
      <c r="AH304" s="48" t="s">
        <v>49</v>
      </c>
      <c r="AI304" s="48" t="s">
        <v>49</v>
      </c>
      <c r="AJ304" s="49" t="s">
        <v>49</v>
      </c>
      <c r="AK304" s="48" t="s">
        <v>49</v>
      </c>
      <c r="AL304" s="62" t="s">
        <v>32</v>
      </c>
      <c r="AM304" s="59"/>
      <c r="AN304" s="10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1"/>
    </row>
    <row r="305" spans="1:51" x14ac:dyDescent="0.2">
      <c r="A305" s="33">
        <f t="shared" si="5"/>
        <v>300</v>
      </c>
      <c r="B305" s="34" t="s">
        <v>2529</v>
      </c>
      <c r="C305" s="35" t="s">
        <v>2530</v>
      </c>
      <c r="D305" s="36" t="s">
        <v>2531</v>
      </c>
      <c r="E305" s="36" t="s">
        <v>36</v>
      </c>
      <c r="F305" s="98" t="s">
        <v>2532</v>
      </c>
      <c r="G305" s="37" t="s">
        <v>1285</v>
      </c>
      <c r="H305" s="37" t="s">
        <v>350</v>
      </c>
      <c r="I305" s="38" t="s">
        <v>2533</v>
      </c>
      <c r="J305" s="34" t="s">
        <v>41</v>
      </c>
      <c r="K305" s="39" t="s">
        <v>42</v>
      </c>
      <c r="L305" s="120">
        <v>45516</v>
      </c>
      <c r="M305" s="56" t="s">
        <v>179</v>
      </c>
      <c r="N305" s="56"/>
      <c r="O305" s="56"/>
      <c r="P305" s="56"/>
      <c r="Q305" s="56" t="s">
        <v>179</v>
      </c>
      <c r="R305" s="56"/>
      <c r="S305" s="56"/>
      <c r="T305" s="56"/>
      <c r="U305" s="56" t="s">
        <v>44</v>
      </c>
      <c r="V305" s="56"/>
      <c r="W305" s="56"/>
      <c r="X305" s="42" t="s">
        <v>2534</v>
      </c>
      <c r="Y305" s="58" t="s">
        <v>2535</v>
      </c>
      <c r="Z305" s="44"/>
      <c r="AA305" s="45"/>
      <c r="AB305" s="101"/>
      <c r="AC305" s="36"/>
      <c r="AD305" s="47" t="s">
        <v>49</v>
      </c>
      <c r="AE305" s="48" t="s">
        <v>41</v>
      </c>
      <c r="AF305" s="48" t="s">
        <v>41</v>
      </c>
      <c r="AG305" s="48" t="s">
        <v>41</v>
      </c>
      <c r="AH305" s="48" t="s">
        <v>41</v>
      </c>
      <c r="AI305" s="48" t="s">
        <v>49</v>
      </c>
      <c r="AJ305" s="49" t="s">
        <v>41</v>
      </c>
      <c r="AK305" s="48" t="s">
        <v>41</v>
      </c>
      <c r="AL305" s="62" t="s">
        <v>276</v>
      </c>
      <c r="AM305" s="59"/>
      <c r="AN305" s="10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1"/>
    </row>
    <row r="306" spans="1:51" x14ac:dyDescent="0.2">
      <c r="A306" s="33">
        <f t="shared" si="5"/>
        <v>301</v>
      </c>
      <c r="B306" s="34" t="s">
        <v>2536</v>
      </c>
      <c r="C306" s="35" t="s">
        <v>2537</v>
      </c>
      <c r="D306" s="36" t="s">
        <v>2538</v>
      </c>
      <c r="E306" s="36" t="s">
        <v>54</v>
      </c>
      <c r="F306" s="98" t="s">
        <v>2539</v>
      </c>
      <c r="G306" s="37" t="s">
        <v>73</v>
      </c>
      <c r="H306" s="37" t="s">
        <v>73</v>
      </c>
      <c r="I306" s="38" t="s">
        <v>2540</v>
      </c>
      <c r="J306" s="34" t="s">
        <v>41</v>
      </c>
      <c r="K306" s="39" t="s">
        <v>42</v>
      </c>
      <c r="L306" s="99" t="s">
        <v>2541</v>
      </c>
      <c r="M306" s="56" t="s">
        <v>179</v>
      </c>
      <c r="N306" s="56"/>
      <c r="O306" s="56"/>
      <c r="P306" s="56"/>
      <c r="Q306" s="56" t="s">
        <v>1041</v>
      </c>
      <c r="R306" s="56" t="s">
        <v>44</v>
      </c>
      <c r="S306" s="56"/>
      <c r="T306" s="56"/>
      <c r="U306" s="56"/>
      <c r="V306" s="56"/>
      <c r="W306" s="56"/>
      <c r="X306" s="42" t="s">
        <v>2542</v>
      </c>
      <c r="Y306" s="58" t="s">
        <v>2543</v>
      </c>
      <c r="Z306" s="44"/>
      <c r="AA306" s="45" t="s">
        <v>47</v>
      </c>
      <c r="AB306" s="101"/>
      <c r="AC306" s="36"/>
      <c r="AD306" s="47" t="s">
        <v>49</v>
      </c>
      <c r="AE306" s="48" t="s">
        <v>41</v>
      </c>
      <c r="AF306" s="48" t="s">
        <v>49</v>
      </c>
      <c r="AG306" s="48" t="s">
        <v>41</v>
      </c>
      <c r="AH306" s="48" t="s">
        <v>41</v>
      </c>
      <c r="AI306" s="48" t="s">
        <v>41</v>
      </c>
      <c r="AJ306" s="49" t="s">
        <v>41</v>
      </c>
      <c r="AK306" s="48" t="s">
        <v>41</v>
      </c>
      <c r="AL306" s="62" t="s">
        <v>110</v>
      </c>
      <c r="AM306" s="59"/>
      <c r="AN306" s="10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1"/>
    </row>
    <row r="307" spans="1:51" x14ac:dyDescent="0.2">
      <c r="A307" s="33">
        <f t="shared" si="5"/>
        <v>302</v>
      </c>
      <c r="B307" s="34" t="s">
        <v>2544</v>
      </c>
      <c r="C307" s="35" t="s">
        <v>2545</v>
      </c>
      <c r="D307" s="73" t="s">
        <v>2546</v>
      </c>
      <c r="E307" s="36" t="s">
        <v>36</v>
      </c>
      <c r="F307" s="98" t="s">
        <v>2547</v>
      </c>
      <c r="G307" s="37" t="s">
        <v>350</v>
      </c>
      <c r="H307" s="37" t="s">
        <v>350</v>
      </c>
      <c r="I307" s="34" t="s">
        <v>2548</v>
      </c>
      <c r="J307" s="34" t="s">
        <v>2548</v>
      </c>
      <c r="K307" s="39" t="s">
        <v>42</v>
      </c>
      <c r="L307" s="99" t="s">
        <v>2549</v>
      </c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42" t="s">
        <v>2550</v>
      </c>
      <c r="Y307" s="58" t="s">
        <v>2551</v>
      </c>
      <c r="Z307" s="44" t="s">
        <v>61</v>
      </c>
      <c r="AA307" s="45">
        <v>37877</v>
      </c>
      <c r="AB307" s="101" t="s">
        <v>30</v>
      </c>
      <c r="AC307" s="73" t="s">
        <v>26</v>
      </c>
      <c r="AD307" s="47" t="s">
        <v>49</v>
      </c>
      <c r="AE307" s="48" t="s">
        <v>49</v>
      </c>
      <c r="AF307" s="48" t="s">
        <v>49</v>
      </c>
      <c r="AG307" s="48" t="s">
        <v>41</v>
      </c>
      <c r="AH307" s="48" t="s">
        <v>41</v>
      </c>
      <c r="AI307" s="48" t="s">
        <v>41</v>
      </c>
      <c r="AJ307" s="49" t="s">
        <v>41</v>
      </c>
      <c r="AK307" s="48" t="s">
        <v>41</v>
      </c>
      <c r="AL307" s="62" t="s">
        <v>110</v>
      </c>
      <c r="AM307" s="59"/>
      <c r="AN307" s="10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1"/>
    </row>
    <row r="308" spans="1:51" x14ac:dyDescent="0.2">
      <c r="A308" s="33">
        <f t="shared" si="5"/>
        <v>303</v>
      </c>
      <c r="B308" s="34" t="s">
        <v>2552</v>
      </c>
      <c r="C308" s="35" t="s">
        <v>2553</v>
      </c>
      <c r="D308" s="36" t="s">
        <v>2554</v>
      </c>
      <c r="E308" s="36" t="s">
        <v>36</v>
      </c>
      <c r="F308" s="34" t="s">
        <v>2555</v>
      </c>
      <c r="G308" s="37" t="s">
        <v>73</v>
      </c>
      <c r="H308" s="37" t="s">
        <v>73</v>
      </c>
      <c r="I308" s="34" t="s">
        <v>2556</v>
      </c>
      <c r="J308" s="34" t="s">
        <v>2556</v>
      </c>
      <c r="K308" s="39" t="s">
        <v>42</v>
      </c>
      <c r="L308" s="99" t="s">
        <v>2557</v>
      </c>
      <c r="M308" s="56" t="s">
        <v>179</v>
      </c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42" t="s">
        <v>2558</v>
      </c>
      <c r="Y308" s="52" t="s">
        <v>2559</v>
      </c>
      <c r="Z308" s="44" t="s">
        <v>2560</v>
      </c>
      <c r="AA308" s="45">
        <v>42935</v>
      </c>
      <c r="AB308" s="101" t="s">
        <v>129</v>
      </c>
      <c r="AC308" s="36" t="s">
        <v>26</v>
      </c>
      <c r="AD308" s="66" t="s">
        <v>130</v>
      </c>
      <c r="AE308" s="48" t="s">
        <v>130</v>
      </c>
      <c r="AF308" s="48" t="s">
        <v>130</v>
      </c>
      <c r="AG308" s="48" t="s">
        <v>130</v>
      </c>
      <c r="AH308" s="48" t="s">
        <v>130</v>
      </c>
      <c r="AI308" s="48" t="s">
        <v>130</v>
      </c>
      <c r="AJ308" s="49" t="s">
        <v>130</v>
      </c>
      <c r="AK308" s="48" t="s">
        <v>130</v>
      </c>
      <c r="AL308" s="62" t="s">
        <v>32</v>
      </c>
      <c r="AM308" s="59"/>
      <c r="AN308" s="10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1"/>
    </row>
    <row r="309" spans="1:51" x14ac:dyDescent="0.2">
      <c r="A309" s="33">
        <f t="shared" si="5"/>
        <v>304</v>
      </c>
      <c r="B309" s="221" t="s">
        <v>2561</v>
      </c>
      <c r="C309" s="35" t="s">
        <v>2562</v>
      </c>
      <c r="D309" s="36" t="s">
        <v>2563</v>
      </c>
      <c r="E309" s="36" t="s">
        <v>36</v>
      </c>
      <c r="F309" s="34" t="s">
        <v>2564</v>
      </c>
      <c r="G309" s="37" t="s">
        <v>56</v>
      </c>
      <c r="H309" s="37" t="s">
        <v>57</v>
      </c>
      <c r="I309" s="34" t="s">
        <v>2565</v>
      </c>
      <c r="J309" s="34" t="s">
        <v>41</v>
      </c>
      <c r="K309" s="39" t="s">
        <v>42</v>
      </c>
      <c r="L309" s="120">
        <v>39855</v>
      </c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2" t="s">
        <v>2566</v>
      </c>
      <c r="Y309" s="52" t="s">
        <v>2567</v>
      </c>
      <c r="Z309" s="84" t="s">
        <v>2568</v>
      </c>
      <c r="AA309" s="45">
        <v>44650</v>
      </c>
      <c r="AB309" s="101" t="s">
        <v>30</v>
      </c>
      <c r="AC309" s="36" t="s">
        <v>26</v>
      </c>
      <c r="AD309" s="47" t="s">
        <v>49</v>
      </c>
      <c r="AE309" s="48" t="s">
        <v>49</v>
      </c>
      <c r="AF309" s="48" t="s">
        <v>49</v>
      </c>
      <c r="AG309" s="48" t="s">
        <v>49</v>
      </c>
      <c r="AH309" s="48" t="s">
        <v>49</v>
      </c>
      <c r="AI309" s="48" t="s">
        <v>49</v>
      </c>
      <c r="AJ309" s="49" t="s">
        <v>49</v>
      </c>
      <c r="AK309" s="48" t="s">
        <v>41</v>
      </c>
      <c r="AL309" s="65" t="s">
        <v>148</v>
      </c>
      <c r="AM309" s="59"/>
      <c r="AN309" s="102" t="s">
        <v>2569</v>
      </c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1"/>
    </row>
    <row r="310" spans="1:51" x14ac:dyDescent="0.2">
      <c r="A310" s="33">
        <f t="shared" si="5"/>
        <v>305</v>
      </c>
      <c r="B310" s="221" t="s">
        <v>2570</v>
      </c>
      <c r="C310" s="35" t="s">
        <v>2571</v>
      </c>
      <c r="D310" s="36" t="s">
        <v>2572</v>
      </c>
      <c r="E310" s="36" t="s">
        <v>54</v>
      </c>
      <c r="F310" s="34" t="s">
        <v>2573</v>
      </c>
      <c r="G310" s="37" t="s">
        <v>1285</v>
      </c>
      <c r="H310" s="37" t="s">
        <v>350</v>
      </c>
      <c r="I310" s="38" t="s">
        <v>2574</v>
      </c>
      <c r="J310" s="34"/>
      <c r="K310" s="39" t="s">
        <v>42</v>
      </c>
      <c r="L310" s="120">
        <v>45670</v>
      </c>
      <c r="M310" s="41"/>
      <c r="N310" s="41"/>
      <c r="O310" s="41"/>
      <c r="P310" s="41"/>
      <c r="Q310" s="41"/>
      <c r="R310" s="41"/>
      <c r="S310" s="41"/>
      <c r="T310" s="41"/>
      <c r="U310" s="41"/>
      <c r="V310" s="41" t="s">
        <v>44</v>
      </c>
      <c r="W310" s="41"/>
      <c r="X310" s="42" t="s">
        <v>2575</v>
      </c>
      <c r="Y310" s="43" t="s">
        <v>2576</v>
      </c>
      <c r="Z310" s="144"/>
      <c r="AA310" s="45"/>
      <c r="AB310" s="101"/>
      <c r="AC310" s="36"/>
      <c r="AD310" s="47" t="s">
        <v>49</v>
      </c>
      <c r="AE310" s="48" t="s">
        <v>41</v>
      </c>
      <c r="AF310" s="48" t="s">
        <v>41</v>
      </c>
      <c r="AG310" s="48" t="s">
        <v>41</v>
      </c>
      <c r="AH310" s="48" t="s">
        <v>41</v>
      </c>
      <c r="AI310" s="48" t="s">
        <v>41</v>
      </c>
      <c r="AJ310" s="49" t="s">
        <v>49</v>
      </c>
      <c r="AK310" s="48" t="s">
        <v>49</v>
      </c>
      <c r="AL310" s="62" t="s">
        <v>32</v>
      </c>
      <c r="AM310" s="59"/>
      <c r="AN310" s="10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1"/>
    </row>
    <row r="311" spans="1:51" x14ac:dyDescent="0.2">
      <c r="A311" s="33">
        <f t="shared" si="5"/>
        <v>306</v>
      </c>
      <c r="B311" s="34" t="s">
        <v>2577</v>
      </c>
      <c r="C311" s="35" t="s">
        <v>2578</v>
      </c>
      <c r="D311" s="36" t="s">
        <v>2579</v>
      </c>
      <c r="E311" s="36" t="s">
        <v>54</v>
      </c>
      <c r="F311" s="34" t="s">
        <v>2580</v>
      </c>
      <c r="G311" s="37" t="s">
        <v>1417</v>
      </c>
      <c r="H311" s="37" t="s">
        <v>187</v>
      </c>
      <c r="I311" s="34" t="s">
        <v>2581</v>
      </c>
      <c r="J311" s="34" t="s">
        <v>41</v>
      </c>
      <c r="K311" s="39" t="s">
        <v>42</v>
      </c>
      <c r="L311" s="99" t="s">
        <v>1347</v>
      </c>
      <c r="M311" s="115"/>
      <c r="N311" s="115"/>
      <c r="O311" s="115"/>
      <c r="P311" s="115"/>
      <c r="Q311" s="115"/>
      <c r="R311" s="115"/>
      <c r="S311" s="115"/>
      <c r="T311" s="56"/>
      <c r="U311" s="56"/>
      <c r="V311" s="56"/>
      <c r="W311" s="56"/>
      <c r="X311" s="42" t="s">
        <v>2582</v>
      </c>
      <c r="Y311" s="69" t="s">
        <v>2583</v>
      </c>
      <c r="Z311" s="44" t="s">
        <v>2584</v>
      </c>
      <c r="AA311" s="45">
        <v>42935</v>
      </c>
      <c r="AB311" s="101" t="s">
        <v>30</v>
      </c>
      <c r="AC311" s="36" t="s">
        <v>26</v>
      </c>
      <c r="AD311" s="61" t="s">
        <v>49</v>
      </c>
      <c r="AE311" s="48" t="s">
        <v>49</v>
      </c>
      <c r="AF311" s="48" t="s">
        <v>49</v>
      </c>
      <c r="AG311" s="48" t="s">
        <v>49</v>
      </c>
      <c r="AH311" s="48" t="s">
        <v>49</v>
      </c>
      <c r="AI311" s="48" t="s">
        <v>49</v>
      </c>
      <c r="AJ311" s="49" t="s">
        <v>49</v>
      </c>
      <c r="AK311" s="48" t="s">
        <v>41</v>
      </c>
      <c r="AL311" s="62" t="s">
        <v>148</v>
      </c>
      <c r="AM311" s="59"/>
      <c r="AN311" s="10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1"/>
    </row>
    <row r="312" spans="1:51" x14ac:dyDescent="0.2">
      <c r="A312" s="33">
        <f t="shared" si="5"/>
        <v>307</v>
      </c>
      <c r="B312" s="122" t="s">
        <v>2585</v>
      </c>
      <c r="C312" s="123" t="s">
        <v>2586</v>
      </c>
      <c r="D312" s="202" t="s">
        <v>2587</v>
      </c>
      <c r="E312" s="36" t="s">
        <v>54</v>
      </c>
      <c r="F312" s="122" t="s">
        <v>2588</v>
      </c>
      <c r="G312" s="126" t="s">
        <v>252</v>
      </c>
      <c r="H312" s="126" t="s">
        <v>57</v>
      </c>
      <c r="I312" s="127" t="s">
        <v>2589</v>
      </c>
      <c r="J312" s="122"/>
      <c r="K312" s="128" t="s">
        <v>42</v>
      </c>
      <c r="L312" s="120">
        <v>45581</v>
      </c>
      <c r="M312" s="130"/>
      <c r="N312" s="130"/>
      <c r="O312" s="130"/>
      <c r="P312" s="130"/>
      <c r="Q312" s="130"/>
      <c r="R312" s="130"/>
      <c r="S312" s="130"/>
      <c r="T312" s="130"/>
      <c r="U312" s="130" t="s">
        <v>44</v>
      </c>
      <c r="V312" s="130"/>
      <c r="W312" s="130"/>
      <c r="X312" s="127" t="s">
        <v>2590</v>
      </c>
      <c r="Y312" s="83" t="s">
        <v>2591</v>
      </c>
      <c r="Z312" s="44"/>
      <c r="AA312" s="131"/>
      <c r="AB312" s="164"/>
      <c r="AC312" s="36"/>
      <c r="AD312" s="222" t="s">
        <v>49</v>
      </c>
      <c r="AE312" s="48" t="s">
        <v>41</v>
      </c>
      <c r="AF312" s="48" t="s">
        <v>41</v>
      </c>
      <c r="AG312" s="48" t="s">
        <v>41</v>
      </c>
      <c r="AH312" s="48" t="s">
        <v>41</v>
      </c>
      <c r="AI312" s="48" t="s">
        <v>49</v>
      </c>
      <c r="AJ312" s="49" t="s">
        <v>49</v>
      </c>
      <c r="AK312" s="48" t="s">
        <v>41</v>
      </c>
      <c r="AL312" s="65" t="s">
        <v>148</v>
      </c>
      <c r="AM312" s="134"/>
      <c r="AN312" s="10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1"/>
    </row>
    <row r="313" spans="1:51" x14ac:dyDescent="0.2">
      <c r="A313" s="33">
        <f t="shared" si="5"/>
        <v>308</v>
      </c>
      <c r="B313" s="122" t="s">
        <v>2592</v>
      </c>
      <c r="C313" s="123" t="s">
        <v>2593</v>
      </c>
      <c r="D313" s="124" t="s">
        <v>2594</v>
      </c>
      <c r="E313" s="36" t="s">
        <v>36</v>
      </c>
      <c r="F313" s="122" t="s">
        <v>2595</v>
      </c>
      <c r="G313" s="126" t="s">
        <v>176</v>
      </c>
      <c r="H313" s="126" t="s">
        <v>39</v>
      </c>
      <c r="I313" s="127" t="s">
        <v>2596</v>
      </c>
      <c r="J313" s="122" t="s">
        <v>41</v>
      </c>
      <c r="K313" s="128" t="s">
        <v>42</v>
      </c>
      <c r="L313" s="165">
        <v>44443</v>
      </c>
      <c r="M313" s="130"/>
      <c r="N313" s="130"/>
      <c r="O313" s="130"/>
      <c r="P313" s="130"/>
      <c r="Q313" s="130"/>
      <c r="R313" s="130" t="s">
        <v>44</v>
      </c>
      <c r="S313" s="130"/>
      <c r="T313" s="130"/>
      <c r="U313" s="130"/>
      <c r="V313" s="130"/>
      <c r="W313" s="130"/>
      <c r="X313" s="42" t="s">
        <v>2597</v>
      </c>
      <c r="Y313" s="58" t="s">
        <v>2598</v>
      </c>
      <c r="Z313" s="121" t="s">
        <v>2599</v>
      </c>
      <c r="AA313" s="131">
        <v>44650</v>
      </c>
      <c r="AB313" s="164" t="s">
        <v>30</v>
      </c>
      <c r="AC313" s="36"/>
      <c r="AD313" s="222" t="s">
        <v>49</v>
      </c>
      <c r="AE313" s="48" t="s">
        <v>41</v>
      </c>
      <c r="AF313" s="48" t="s">
        <v>49</v>
      </c>
      <c r="AG313" s="48" t="s">
        <v>49</v>
      </c>
      <c r="AH313" s="48" t="s">
        <v>49</v>
      </c>
      <c r="AI313" s="48" t="s">
        <v>49</v>
      </c>
      <c r="AJ313" s="49" t="s">
        <v>49</v>
      </c>
      <c r="AK313" s="48" t="s">
        <v>49</v>
      </c>
      <c r="AL313" s="65" t="s">
        <v>32</v>
      </c>
      <c r="AM313" s="134"/>
      <c r="AN313" s="10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1"/>
    </row>
    <row r="314" spans="1:51" x14ac:dyDescent="0.2">
      <c r="A314" s="33">
        <f t="shared" si="5"/>
        <v>309</v>
      </c>
      <c r="B314" s="122" t="s">
        <v>2600</v>
      </c>
      <c r="C314" s="123" t="s">
        <v>2601</v>
      </c>
      <c r="D314" s="202" t="s">
        <v>2602</v>
      </c>
      <c r="E314" s="36" t="s">
        <v>36</v>
      </c>
      <c r="F314" s="122" t="s">
        <v>2603</v>
      </c>
      <c r="G314" s="126" t="s">
        <v>398</v>
      </c>
      <c r="H314" s="126" t="s">
        <v>205</v>
      </c>
      <c r="I314" s="127" t="s">
        <v>2604</v>
      </c>
      <c r="J314" s="122" t="s">
        <v>41</v>
      </c>
      <c r="K314" s="128" t="s">
        <v>42</v>
      </c>
      <c r="L314" s="165">
        <v>45302</v>
      </c>
      <c r="M314" s="130" t="s">
        <v>179</v>
      </c>
      <c r="N314" s="130"/>
      <c r="O314" s="130"/>
      <c r="P314" s="130"/>
      <c r="Q314" s="130"/>
      <c r="R314" s="130"/>
      <c r="S314" s="130"/>
      <c r="T314" s="130"/>
      <c r="U314" s="130" t="s">
        <v>44</v>
      </c>
      <c r="V314" s="130"/>
      <c r="W314" s="130"/>
      <c r="X314" s="42" t="s">
        <v>2605</v>
      </c>
      <c r="Y314" s="58" t="s">
        <v>2606</v>
      </c>
      <c r="Z314" s="44"/>
      <c r="AA314" s="131"/>
      <c r="AB314" s="164"/>
      <c r="AC314" s="36"/>
      <c r="AD314" s="222" t="s">
        <v>49</v>
      </c>
      <c r="AE314" s="48" t="s">
        <v>41</v>
      </c>
      <c r="AF314" s="48" t="s">
        <v>41</v>
      </c>
      <c r="AG314" s="48" t="s">
        <v>41</v>
      </c>
      <c r="AH314" s="48" t="s">
        <v>41</v>
      </c>
      <c r="AI314" s="48" t="s">
        <v>49</v>
      </c>
      <c r="AJ314" s="49" t="s">
        <v>49</v>
      </c>
      <c r="AK314" s="48" t="s">
        <v>49</v>
      </c>
      <c r="AL314" s="62" t="s">
        <v>32</v>
      </c>
      <c r="AM314" s="134"/>
      <c r="AN314" s="10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1"/>
    </row>
    <row r="315" spans="1:51" x14ac:dyDescent="0.2">
      <c r="A315" s="33">
        <f t="shared" si="5"/>
        <v>310</v>
      </c>
      <c r="B315" s="122" t="s">
        <v>2607</v>
      </c>
      <c r="C315" s="123" t="s">
        <v>2608</v>
      </c>
      <c r="D315" s="36" t="s">
        <v>2609</v>
      </c>
      <c r="E315" s="36" t="s">
        <v>54</v>
      </c>
      <c r="F315" s="122" t="s">
        <v>2610</v>
      </c>
      <c r="G315" s="126" t="s">
        <v>73</v>
      </c>
      <c r="H315" s="126" t="s">
        <v>73</v>
      </c>
      <c r="I315" s="122" t="s">
        <v>2611</v>
      </c>
      <c r="J315" s="122" t="s">
        <v>2611</v>
      </c>
      <c r="K315" s="128" t="s">
        <v>42</v>
      </c>
      <c r="L315" s="165">
        <v>30353</v>
      </c>
      <c r="M315" s="130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42" t="s">
        <v>2612</v>
      </c>
      <c r="Y315" s="58" t="s">
        <v>2613</v>
      </c>
      <c r="Z315" s="119" t="s">
        <v>2614</v>
      </c>
      <c r="AA315" s="131">
        <v>42935</v>
      </c>
      <c r="AB315" s="164" t="s">
        <v>30</v>
      </c>
      <c r="AC315" s="36" t="s">
        <v>26</v>
      </c>
      <c r="AD315" s="222" t="s">
        <v>49</v>
      </c>
      <c r="AE315" s="48" t="s">
        <v>49</v>
      </c>
      <c r="AF315" s="48" t="s">
        <v>49</v>
      </c>
      <c r="AG315" s="48" t="s">
        <v>49</v>
      </c>
      <c r="AH315" s="48" t="s">
        <v>49</v>
      </c>
      <c r="AI315" s="48" t="s">
        <v>49</v>
      </c>
      <c r="AJ315" s="49" t="s">
        <v>49</v>
      </c>
      <c r="AK315" s="48" t="s">
        <v>41</v>
      </c>
      <c r="AL315" s="65" t="s">
        <v>148</v>
      </c>
      <c r="AM315" s="134"/>
      <c r="AN315" s="10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1"/>
    </row>
    <row r="316" spans="1:51" x14ac:dyDescent="0.2">
      <c r="A316" s="33">
        <f t="shared" si="5"/>
        <v>311</v>
      </c>
      <c r="B316" s="122" t="s">
        <v>2615</v>
      </c>
      <c r="C316" s="123" t="s">
        <v>2616</v>
      </c>
      <c r="D316" s="73" t="s">
        <v>2617</v>
      </c>
      <c r="E316" s="36" t="s">
        <v>54</v>
      </c>
      <c r="F316" s="122" t="s">
        <v>2618</v>
      </c>
      <c r="G316" s="126" t="s">
        <v>73</v>
      </c>
      <c r="H316" s="126" t="s">
        <v>73</v>
      </c>
      <c r="I316" s="127" t="s">
        <v>2619</v>
      </c>
      <c r="J316" s="122"/>
      <c r="K316" s="128" t="s">
        <v>42</v>
      </c>
      <c r="L316" s="165">
        <v>45114</v>
      </c>
      <c r="M316" s="130" t="s">
        <v>179</v>
      </c>
      <c r="N316" s="130"/>
      <c r="O316" s="130"/>
      <c r="P316" s="130"/>
      <c r="Q316" s="130" t="s">
        <v>342</v>
      </c>
      <c r="R316" s="130"/>
      <c r="S316" s="130"/>
      <c r="T316" s="130" t="s">
        <v>44</v>
      </c>
      <c r="U316" s="130"/>
      <c r="V316" s="130"/>
      <c r="W316" s="130"/>
      <c r="X316" s="42" t="s">
        <v>2620</v>
      </c>
      <c r="Y316" s="83" t="s">
        <v>2621</v>
      </c>
      <c r="Z316" s="223"/>
      <c r="AA316" s="45"/>
      <c r="AB316" s="164"/>
      <c r="AC316" s="36"/>
      <c r="AD316" s="222" t="s">
        <v>49</v>
      </c>
      <c r="AE316" s="48" t="s">
        <v>41</v>
      </c>
      <c r="AF316" s="48" t="s">
        <v>41</v>
      </c>
      <c r="AG316" s="48" t="s">
        <v>41</v>
      </c>
      <c r="AH316" s="48" t="s">
        <v>49</v>
      </c>
      <c r="AI316" s="48" t="s">
        <v>49</v>
      </c>
      <c r="AJ316" s="49" t="s">
        <v>41</v>
      </c>
      <c r="AK316" s="48" t="s">
        <v>41</v>
      </c>
      <c r="AL316" s="62" t="s">
        <v>276</v>
      </c>
      <c r="AM316" s="59"/>
      <c r="AN316" s="10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1"/>
    </row>
    <row r="317" spans="1:51" x14ac:dyDescent="0.2">
      <c r="A317" s="33">
        <f t="shared" si="5"/>
        <v>312</v>
      </c>
      <c r="B317" s="34" t="s">
        <v>2622</v>
      </c>
      <c r="C317" s="35" t="s">
        <v>2623</v>
      </c>
      <c r="D317" s="36" t="s">
        <v>2624</v>
      </c>
      <c r="E317" s="36" t="s">
        <v>54</v>
      </c>
      <c r="F317" s="34" t="s">
        <v>2625</v>
      </c>
      <c r="G317" s="37" t="s">
        <v>73</v>
      </c>
      <c r="H317" s="37" t="s">
        <v>73</v>
      </c>
      <c r="I317" s="34" t="s">
        <v>1649</v>
      </c>
      <c r="J317" s="34" t="s">
        <v>1649</v>
      </c>
      <c r="K317" s="39" t="s">
        <v>42</v>
      </c>
      <c r="L317" s="99" t="s">
        <v>1496</v>
      </c>
      <c r="M317" s="41"/>
      <c r="N317" s="41"/>
      <c r="O317" s="41"/>
      <c r="P317" s="41"/>
      <c r="Q317" s="41" t="s">
        <v>2626</v>
      </c>
      <c r="R317" s="41"/>
      <c r="S317" s="41"/>
      <c r="T317" s="41"/>
      <c r="U317" s="41"/>
      <c r="V317" s="41"/>
      <c r="W317" s="41"/>
      <c r="X317" s="42" t="s">
        <v>2627</v>
      </c>
      <c r="Y317" s="69" t="s">
        <v>2628</v>
      </c>
      <c r="Z317" s="44" t="s">
        <v>61</v>
      </c>
      <c r="AA317" s="45">
        <v>36641</v>
      </c>
      <c r="AB317" s="101" t="s">
        <v>30</v>
      </c>
      <c r="AC317" s="36" t="s">
        <v>26</v>
      </c>
      <c r="AD317" s="47" t="s">
        <v>49</v>
      </c>
      <c r="AE317" s="48" t="s">
        <v>49</v>
      </c>
      <c r="AF317" s="48" t="s">
        <v>49</v>
      </c>
      <c r="AG317" s="48" t="s">
        <v>49</v>
      </c>
      <c r="AH317" s="48" t="s">
        <v>49</v>
      </c>
      <c r="AI317" s="48" t="s">
        <v>49</v>
      </c>
      <c r="AJ317" s="49" t="s">
        <v>41</v>
      </c>
      <c r="AK317" s="48" t="s">
        <v>41</v>
      </c>
      <c r="AL317" s="62" t="s">
        <v>276</v>
      </c>
      <c r="AM317" s="59"/>
      <c r="AN317" s="10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1"/>
    </row>
    <row r="318" spans="1:51" x14ac:dyDescent="0.2">
      <c r="A318" s="33">
        <f t="shared" si="5"/>
        <v>313</v>
      </c>
      <c r="B318" s="34" t="s">
        <v>2629</v>
      </c>
      <c r="C318" s="35" t="s">
        <v>2630</v>
      </c>
      <c r="D318" s="36" t="s">
        <v>2631</v>
      </c>
      <c r="E318" s="36" t="s">
        <v>54</v>
      </c>
      <c r="F318" s="34" t="s">
        <v>2632</v>
      </c>
      <c r="G318" s="37" t="s">
        <v>73</v>
      </c>
      <c r="H318" s="37" t="s">
        <v>73</v>
      </c>
      <c r="I318" s="34" t="s">
        <v>2633</v>
      </c>
      <c r="J318" s="34" t="s">
        <v>41</v>
      </c>
      <c r="K318" s="39" t="s">
        <v>42</v>
      </c>
      <c r="L318" s="99" t="s">
        <v>1022</v>
      </c>
      <c r="M318" s="41" t="s">
        <v>179</v>
      </c>
      <c r="N318" s="41" t="s">
        <v>514</v>
      </c>
      <c r="O318" s="41"/>
      <c r="P318" s="41"/>
      <c r="Q318" s="41"/>
      <c r="R318" s="41"/>
      <c r="S318" s="41" t="s">
        <v>44</v>
      </c>
      <c r="T318" s="41"/>
      <c r="U318" s="41"/>
      <c r="V318" s="41"/>
      <c r="W318" s="41"/>
      <c r="X318" s="42" t="s">
        <v>2634</v>
      </c>
      <c r="Y318" s="83" t="s">
        <v>2635</v>
      </c>
      <c r="Z318" s="44"/>
      <c r="AA318" s="45">
        <v>45642</v>
      </c>
      <c r="AB318" s="101"/>
      <c r="AC318" s="36"/>
      <c r="AD318" s="47" t="s">
        <v>49</v>
      </c>
      <c r="AE318" s="48" t="s">
        <v>41</v>
      </c>
      <c r="AF318" s="48" t="s">
        <v>41</v>
      </c>
      <c r="AG318" s="48" t="s">
        <v>49</v>
      </c>
      <c r="AH318" s="48" t="s">
        <v>49</v>
      </c>
      <c r="AI318" s="48" t="s">
        <v>49</v>
      </c>
      <c r="AJ318" s="49" t="s">
        <v>41</v>
      </c>
      <c r="AK318" s="48" t="s">
        <v>41</v>
      </c>
      <c r="AL318" s="62" t="s">
        <v>276</v>
      </c>
      <c r="AM318" s="59"/>
      <c r="AN318" s="10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1"/>
    </row>
    <row r="319" spans="1:51" ht="24" customHeight="1" x14ac:dyDescent="0.2">
      <c r="A319" s="33">
        <f t="shared" si="5"/>
        <v>314</v>
      </c>
      <c r="B319" s="34" t="s">
        <v>2636</v>
      </c>
      <c r="C319" s="35" t="s">
        <v>2637</v>
      </c>
      <c r="D319" s="36" t="s">
        <v>2638</v>
      </c>
      <c r="E319" s="36" t="s">
        <v>54</v>
      </c>
      <c r="F319" s="34" t="s">
        <v>2639</v>
      </c>
      <c r="G319" s="37" t="s">
        <v>73</v>
      </c>
      <c r="H319" s="37" t="s">
        <v>73</v>
      </c>
      <c r="I319" s="38" t="s">
        <v>2640</v>
      </c>
      <c r="J319" s="34"/>
      <c r="K319" s="39" t="s">
        <v>42</v>
      </c>
      <c r="L319" s="120">
        <v>42106</v>
      </c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2" t="s">
        <v>2641</v>
      </c>
      <c r="Y319" s="52" t="s">
        <v>2642</v>
      </c>
      <c r="Z319" s="211" t="s">
        <v>2643</v>
      </c>
      <c r="AA319" s="45">
        <v>44944</v>
      </c>
      <c r="AB319" s="101" t="s">
        <v>30</v>
      </c>
      <c r="AC319" s="36" t="s">
        <v>26</v>
      </c>
      <c r="AD319" s="47" t="s">
        <v>49</v>
      </c>
      <c r="AE319" s="48" t="s">
        <v>49</v>
      </c>
      <c r="AF319" s="48" t="s">
        <v>49</v>
      </c>
      <c r="AG319" s="48" t="s">
        <v>49</v>
      </c>
      <c r="AH319" s="48" t="s">
        <v>49</v>
      </c>
      <c r="AI319" s="48" t="s">
        <v>49</v>
      </c>
      <c r="AJ319" s="49" t="s">
        <v>49</v>
      </c>
      <c r="AK319" s="48" t="s">
        <v>49</v>
      </c>
      <c r="AL319" s="65" t="s">
        <v>32</v>
      </c>
      <c r="AM319" s="59"/>
      <c r="AN319" s="10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1"/>
    </row>
    <row r="320" spans="1:51" x14ac:dyDescent="0.2">
      <c r="A320" s="33">
        <f t="shared" si="5"/>
        <v>315</v>
      </c>
      <c r="B320" s="34" t="s">
        <v>2644</v>
      </c>
      <c r="C320" s="35" t="s">
        <v>2645</v>
      </c>
      <c r="D320" s="36" t="s">
        <v>2646</v>
      </c>
      <c r="E320" s="36" t="s">
        <v>36</v>
      </c>
      <c r="F320" s="34" t="s">
        <v>2647</v>
      </c>
      <c r="G320" s="37" t="s">
        <v>176</v>
      </c>
      <c r="H320" s="37" t="s">
        <v>39</v>
      </c>
      <c r="I320" s="38" t="s">
        <v>2648</v>
      </c>
      <c r="J320" s="34" t="s">
        <v>41</v>
      </c>
      <c r="K320" s="39" t="s">
        <v>42</v>
      </c>
      <c r="L320" s="120" t="s">
        <v>2649</v>
      </c>
      <c r="M320" s="56"/>
      <c r="N320" s="56"/>
      <c r="O320" s="56"/>
      <c r="P320" s="56"/>
      <c r="Q320" s="56"/>
      <c r="R320" s="56"/>
      <c r="S320" s="56"/>
      <c r="T320" s="56" t="s">
        <v>468</v>
      </c>
      <c r="U320" s="56"/>
      <c r="V320" s="56"/>
      <c r="W320" s="56"/>
      <c r="X320" s="42" t="s">
        <v>2650</v>
      </c>
      <c r="Y320" s="58" t="s">
        <v>2651</v>
      </c>
      <c r="Z320" s="44"/>
      <c r="AA320" s="45" t="s">
        <v>47</v>
      </c>
      <c r="AB320" s="101"/>
      <c r="AC320" s="36" t="s">
        <v>26</v>
      </c>
      <c r="AD320" s="47" t="s">
        <v>49</v>
      </c>
      <c r="AE320" s="48" t="s">
        <v>49</v>
      </c>
      <c r="AF320" s="48" t="s">
        <v>49</v>
      </c>
      <c r="AG320" s="48" t="s">
        <v>49</v>
      </c>
      <c r="AH320" s="48" t="s">
        <v>49</v>
      </c>
      <c r="AI320" s="48" t="s">
        <v>49</v>
      </c>
      <c r="AJ320" s="49" t="s">
        <v>49</v>
      </c>
      <c r="AK320" s="48" t="s">
        <v>41</v>
      </c>
      <c r="AL320" s="65" t="s">
        <v>148</v>
      </c>
      <c r="AM320" s="59"/>
      <c r="AN320" s="10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1"/>
    </row>
    <row r="321" spans="1:51" x14ac:dyDescent="0.2">
      <c r="A321" s="33">
        <f t="shared" si="5"/>
        <v>316</v>
      </c>
      <c r="B321" s="34" t="s">
        <v>2652</v>
      </c>
      <c r="C321" s="35" t="s">
        <v>2653</v>
      </c>
      <c r="D321" s="73" t="s">
        <v>2654</v>
      </c>
      <c r="E321" s="36" t="s">
        <v>54</v>
      </c>
      <c r="F321" s="98" t="s">
        <v>2655</v>
      </c>
      <c r="G321" s="37" t="s">
        <v>214</v>
      </c>
      <c r="H321" s="37" t="s">
        <v>205</v>
      </c>
      <c r="I321" s="34" t="s">
        <v>2656</v>
      </c>
      <c r="J321" s="34" t="s">
        <v>41</v>
      </c>
      <c r="K321" s="39" t="s">
        <v>42</v>
      </c>
      <c r="L321" s="99" t="s">
        <v>2657</v>
      </c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42" t="s">
        <v>2658</v>
      </c>
      <c r="Y321" s="58" t="s">
        <v>2659</v>
      </c>
      <c r="Z321" s="44" t="s">
        <v>61</v>
      </c>
      <c r="AA321" s="45">
        <v>37877</v>
      </c>
      <c r="AB321" s="101" t="s">
        <v>30</v>
      </c>
      <c r="AC321" s="73"/>
      <c r="AD321" s="47" t="s">
        <v>49</v>
      </c>
      <c r="AE321" s="48" t="s">
        <v>41</v>
      </c>
      <c r="AF321" s="48" t="s">
        <v>41</v>
      </c>
      <c r="AG321" s="48" t="s">
        <v>41</v>
      </c>
      <c r="AH321" s="48" t="s">
        <v>41</v>
      </c>
      <c r="AI321" s="48" t="s">
        <v>41</v>
      </c>
      <c r="AJ321" s="49" t="s">
        <v>41</v>
      </c>
      <c r="AK321" s="48" t="s">
        <v>41</v>
      </c>
      <c r="AL321" s="65" t="s">
        <v>4588</v>
      </c>
      <c r="AM321" s="59" t="s">
        <v>460</v>
      </c>
      <c r="AN321" s="117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1"/>
    </row>
    <row r="322" spans="1:51" x14ac:dyDescent="0.2">
      <c r="A322" s="33">
        <f t="shared" si="5"/>
        <v>317</v>
      </c>
      <c r="B322" s="107" t="s">
        <v>2660</v>
      </c>
      <c r="C322" s="35" t="s">
        <v>2661</v>
      </c>
      <c r="D322" s="36" t="s">
        <v>2662</v>
      </c>
      <c r="E322" s="36" t="s">
        <v>54</v>
      </c>
      <c r="F322" s="87" t="s">
        <v>2663</v>
      </c>
      <c r="G322" s="37" t="s">
        <v>350</v>
      </c>
      <c r="H322" s="37" t="s">
        <v>350</v>
      </c>
      <c r="I322" s="34" t="s">
        <v>2664</v>
      </c>
      <c r="J322" s="34"/>
      <c r="K322" s="39" t="s">
        <v>42</v>
      </c>
      <c r="L322" s="99" t="s">
        <v>2139</v>
      </c>
      <c r="M322" s="56" t="s">
        <v>179</v>
      </c>
      <c r="N322" s="56" t="s">
        <v>1878</v>
      </c>
      <c r="O322" s="56"/>
      <c r="P322" s="56">
        <v>2</v>
      </c>
      <c r="Q322" s="56"/>
      <c r="R322" s="56"/>
      <c r="S322" s="56"/>
      <c r="T322" s="56" t="s">
        <v>468</v>
      </c>
      <c r="U322" s="56"/>
      <c r="V322" s="56"/>
      <c r="W322" s="56"/>
      <c r="X322" s="42" t="s">
        <v>2665</v>
      </c>
      <c r="Y322" s="58" t="s">
        <v>2666</v>
      </c>
      <c r="Z322" s="224"/>
      <c r="AA322" s="45" t="s">
        <v>47</v>
      </c>
      <c r="AB322" s="101" t="s">
        <v>342</v>
      </c>
      <c r="AC322" s="36" t="s">
        <v>26</v>
      </c>
      <c r="AD322" s="47" t="s">
        <v>49</v>
      </c>
      <c r="AE322" s="48" t="s">
        <v>49</v>
      </c>
      <c r="AF322" s="48" t="s">
        <v>49</v>
      </c>
      <c r="AG322" s="48" t="s">
        <v>49</v>
      </c>
      <c r="AH322" s="48" t="s">
        <v>49</v>
      </c>
      <c r="AI322" s="48" t="s">
        <v>49</v>
      </c>
      <c r="AJ322" s="49" t="s">
        <v>49</v>
      </c>
      <c r="AK322" s="48" t="s">
        <v>49</v>
      </c>
      <c r="AL322" s="62" t="s">
        <v>32</v>
      </c>
      <c r="AM322" s="59"/>
      <c r="AN322" s="10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1"/>
    </row>
    <row r="323" spans="1:51" x14ac:dyDescent="0.2">
      <c r="A323" s="33">
        <f t="shared" si="5"/>
        <v>318</v>
      </c>
      <c r="B323" s="107" t="s">
        <v>2667</v>
      </c>
      <c r="C323" s="35" t="s">
        <v>2668</v>
      </c>
      <c r="D323" s="36" t="s">
        <v>2669</v>
      </c>
      <c r="E323" s="36" t="s">
        <v>54</v>
      </c>
      <c r="F323" s="34" t="s">
        <v>2670</v>
      </c>
      <c r="G323" s="37" t="s">
        <v>73</v>
      </c>
      <c r="H323" s="37" t="s">
        <v>73</v>
      </c>
      <c r="I323" s="34" t="s">
        <v>2671</v>
      </c>
      <c r="J323" s="34"/>
      <c r="K323" s="39" t="s">
        <v>42</v>
      </c>
      <c r="L323" s="99" t="s">
        <v>2672</v>
      </c>
      <c r="M323" s="56"/>
      <c r="N323" s="56"/>
      <c r="O323" s="56"/>
      <c r="P323" s="56"/>
      <c r="Q323" s="56"/>
      <c r="R323" s="56"/>
      <c r="S323" s="56"/>
      <c r="T323" s="56" t="s">
        <v>44</v>
      </c>
      <c r="U323" s="56"/>
      <c r="V323" s="56"/>
      <c r="W323" s="56"/>
      <c r="X323" s="42" t="s">
        <v>2673</v>
      </c>
      <c r="Y323" s="58" t="s">
        <v>2674</v>
      </c>
      <c r="Z323" s="44"/>
      <c r="AA323" s="45">
        <v>45642</v>
      </c>
      <c r="AB323" s="101"/>
      <c r="AC323" s="36"/>
      <c r="AD323" s="47" t="s">
        <v>49</v>
      </c>
      <c r="AE323" s="48" t="s">
        <v>41</v>
      </c>
      <c r="AF323" s="48" t="s">
        <v>41</v>
      </c>
      <c r="AG323" s="48" t="s">
        <v>41</v>
      </c>
      <c r="AH323" s="48" t="s">
        <v>49</v>
      </c>
      <c r="AI323" s="48" t="s">
        <v>49</v>
      </c>
      <c r="AJ323" s="49" t="s">
        <v>49</v>
      </c>
      <c r="AK323" s="48" t="s">
        <v>41</v>
      </c>
      <c r="AL323" s="62" t="s">
        <v>148</v>
      </c>
      <c r="AM323" s="59"/>
      <c r="AN323" s="117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1"/>
    </row>
    <row r="324" spans="1:51" x14ac:dyDescent="0.2">
      <c r="A324" s="33">
        <f t="shared" si="5"/>
        <v>319</v>
      </c>
      <c r="B324" s="34" t="s">
        <v>2675</v>
      </c>
      <c r="C324" s="35" t="s">
        <v>2676</v>
      </c>
      <c r="D324" s="36" t="s">
        <v>2677</v>
      </c>
      <c r="E324" s="36" t="s">
        <v>54</v>
      </c>
      <c r="F324" s="34" t="s">
        <v>2678</v>
      </c>
      <c r="G324" s="37" t="s">
        <v>73</v>
      </c>
      <c r="H324" s="37" t="s">
        <v>73</v>
      </c>
      <c r="I324" s="34" t="s">
        <v>2679</v>
      </c>
      <c r="J324" s="34" t="s">
        <v>2680</v>
      </c>
      <c r="K324" s="39" t="s">
        <v>42</v>
      </c>
      <c r="L324" s="120">
        <v>35617</v>
      </c>
      <c r="M324" s="41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42" t="s">
        <v>2681</v>
      </c>
      <c r="Y324" s="58" t="s">
        <v>2682</v>
      </c>
      <c r="Z324" s="44" t="s">
        <v>61</v>
      </c>
      <c r="AA324" s="45">
        <v>36803</v>
      </c>
      <c r="AB324" s="101" t="s">
        <v>30</v>
      </c>
      <c r="AC324" s="36" t="s">
        <v>26</v>
      </c>
      <c r="AD324" s="47" t="s">
        <v>49</v>
      </c>
      <c r="AE324" s="48" t="s">
        <v>49</v>
      </c>
      <c r="AF324" s="48" t="s">
        <v>49</v>
      </c>
      <c r="AG324" s="48" t="s">
        <v>49</v>
      </c>
      <c r="AH324" s="48" t="s">
        <v>49</v>
      </c>
      <c r="AI324" s="48" t="s">
        <v>49</v>
      </c>
      <c r="AJ324" s="49" t="s">
        <v>49</v>
      </c>
      <c r="AK324" s="48" t="s">
        <v>49</v>
      </c>
      <c r="AL324" s="62" t="s">
        <v>32</v>
      </c>
      <c r="AM324" s="59"/>
      <c r="AN324" s="10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1"/>
    </row>
    <row r="325" spans="1:51" x14ac:dyDescent="0.2">
      <c r="A325" s="33">
        <f t="shared" si="5"/>
        <v>320</v>
      </c>
      <c r="B325" s="34" t="s">
        <v>2683</v>
      </c>
      <c r="C325" s="35" t="s">
        <v>2684</v>
      </c>
      <c r="D325" s="36" t="s">
        <v>2685</v>
      </c>
      <c r="E325" s="36" t="s">
        <v>54</v>
      </c>
      <c r="F325" s="34" t="s">
        <v>2686</v>
      </c>
      <c r="G325" s="37" t="s">
        <v>73</v>
      </c>
      <c r="H325" s="37" t="s">
        <v>73</v>
      </c>
      <c r="I325" s="34" t="s">
        <v>2687</v>
      </c>
      <c r="J325" s="34" t="s">
        <v>2688</v>
      </c>
      <c r="K325" s="39" t="s">
        <v>42</v>
      </c>
      <c r="L325" s="99" t="s">
        <v>273</v>
      </c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2" t="s">
        <v>2689</v>
      </c>
      <c r="Y325" s="52" t="s">
        <v>2690</v>
      </c>
      <c r="Z325" s="44" t="s">
        <v>2691</v>
      </c>
      <c r="AA325" s="45">
        <v>43200</v>
      </c>
      <c r="AB325" s="101" t="s">
        <v>30</v>
      </c>
      <c r="AC325" s="36" t="s">
        <v>26</v>
      </c>
      <c r="AD325" s="47" t="s">
        <v>49</v>
      </c>
      <c r="AE325" s="48" t="s">
        <v>49</v>
      </c>
      <c r="AF325" s="48" t="s">
        <v>49</v>
      </c>
      <c r="AG325" s="48" t="s">
        <v>49</v>
      </c>
      <c r="AH325" s="48" t="s">
        <v>49</v>
      </c>
      <c r="AI325" s="48" t="s">
        <v>49</v>
      </c>
      <c r="AJ325" s="49" t="s">
        <v>49</v>
      </c>
      <c r="AK325" s="48" t="s">
        <v>49</v>
      </c>
      <c r="AL325" s="62" t="s">
        <v>32</v>
      </c>
      <c r="AM325" s="59"/>
      <c r="AN325" s="10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1"/>
    </row>
    <row r="326" spans="1:51" x14ac:dyDescent="0.2">
      <c r="A326" s="33">
        <f t="shared" si="5"/>
        <v>321</v>
      </c>
      <c r="B326" s="34" t="s">
        <v>2692</v>
      </c>
      <c r="C326" s="35" t="s">
        <v>2693</v>
      </c>
      <c r="D326" s="36" t="s">
        <v>2694</v>
      </c>
      <c r="E326" s="36" t="s">
        <v>54</v>
      </c>
      <c r="F326" s="34" t="s">
        <v>2695</v>
      </c>
      <c r="G326" s="37" t="s">
        <v>73</v>
      </c>
      <c r="H326" s="37" t="s">
        <v>73</v>
      </c>
      <c r="I326" s="34" t="s">
        <v>2696</v>
      </c>
      <c r="J326" s="34" t="s">
        <v>2687</v>
      </c>
      <c r="K326" s="39" t="s">
        <v>42</v>
      </c>
      <c r="L326" s="120">
        <v>37715</v>
      </c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2" t="s">
        <v>2697</v>
      </c>
      <c r="Y326" s="43" t="s">
        <v>2698</v>
      </c>
      <c r="Z326" s="44" t="s">
        <v>61</v>
      </c>
      <c r="AA326" s="45">
        <v>37877</v>
      </c>
      <c r="AB326" s="101" t="s">
        <v>30</v>
      </c>
      <c r="AC326" s="36" t="s">
        <v>26</v>
      </c>
      <c r="AD326" s="47" t="s">
        <v>49</v>
      </c>
      <c r="AE326" s="48" t="s">
        <v>49</v>
      </c>
      <c r="AF326" s="48" t="s">
        <v>49</v>
      </c>
      <c r="AG326" s="48" t="s">
        <v>49</v>
      </c>
      <c r="AH326" s="48" t="s">
        <v>49</v>
      </c>
      <c r="AI326" s="48" t="s">
        <v>49</v>
      </c>
      <c r="AJ326" s="49" t="s">
        <v>49</v>
      </c>
      <c r="AK326" s="48" t="s">
        <v>49</v>
      </c>
      <c r="AL326" s="62" t="s">
        <v>32</v>
      </c>
      <c r="AM326" s="59"/>
      <c r="AN326" s="10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1"/>
    </row>
    <row r="327" spans="1:51" x14ac:dyDescent="0.2">
      <c r="A327" s="33">
        <f t="shared" ref="A327:A390" si="6">+A326+1</f>
        <v>322</v>
      </c>
      <c r="B327" s="34" t="s">
        <v>2699</v>
      </c>
      <c r="C327" s="35" t="s">
        <v>2700</v>
      </c>
      <c r="D327" s="36" t="s">
        <v>2701</v>
      </c>
      <c r="E327" s="36" t="s">
        <v>54</v>
      </c>
      <c r="F327" s="34" t="s">
        <v>2702</v>
      </c>
      <c r="G327" s="37" t="s">
        <v>243</v>
      </c>
      <c r="H327" s="37" t="s">
        <v>205</v>
      </c>
      <c r="I327" s="38" t="s">
        <v>2703</v>
      </c>
      <c r="J327" s="34"/>
      <c r="K327" s="39" t="s">
        <v>42</v>
      </c>
      <c r="L327" s="120" t="s">
        <v>2704</v>
      </c>
      <c r="M327" s="41"/>
      <c r="N327" s="41"/>
      <c r="O327" s="41"/>
      <c r="P327" s="41"/>
      <c r="Q327" s="41"/>
      <c r="R327" s="41"/>
      <c r="S327" s="41" t="s">
        <v>44</v>
      </c>
      <c r="T327" s="41"/>
      <c r="U327" s="41"/>
      <c r="V327" s="41"/>
      <c r="W327" s="41"/>
      <c r="X327" s="42" t="s">
        <v>2705</v>
      </c>
      <c r="Y327" s="43" t="s">
        <v>2706</v>
      </c>
      <c r="Z327" s="84" t="s">
        <v>2707</v>
      </c>
      <c r="AA327" s="45">
        <v>44650</v>
      </c>
      <c r="AB327" s="101" t="s">
        <v>30</v>
      </c>
      <c r="AC327" s="36"/>
      <c r="AD327" s="47" t="s">
        <v>49</v>
      </c>
      <c r="AE327" s="48" t="s">
        <v>41</v>
      </c>
      <c r="AF327" s="48" t="s">
        <v>41</v>
      </c>
      <c r="AG327" s="48" t="s">
        <v>49</v>
      </c>
      <c r="AH327" s="48" t="s">
        <v>49</v>
      </c>
      <c r="AI327" s="48" t="s">
        <v>49</v>
      </c>
      <c r="AJ327" s="49" t="s">
        <v>49</v>
      </c>
      <c r="AK327" s="48" t="s">
        <v>41</v>
      </c>
      <c r="AL327" s="62" t="s">
        <v>148</v>
      </c>
      <c r="AM327" s="59"/>
      <c r="AN327" s="10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1"/>
    </row>
    <row r="328" spans="1:51" x14ac:dyDescent="0.2">
      <c r="A328" s="33">
        <f t="shared" si="6"/>
        <v>323</v>
      </c>
      <c r="B328" s="34" t="s">
        <v>2708</v>
      </c>
      <c r="C328" s="35" t="s">
        <v>2709</v>
      </c>
      <c r="D328" s="36" t="s">
        <v>2710</v>
      </c>
      <c r="E328" s="36" t="s">
        <v>54</v>
      </c>
      <c r="F328" s="34" t="s">
        <v>2711</v>
      </c>
      <c r="G328" s="37" t="s">
        <v>323</v>
      </c>
      <c r="H328" s="37" t="s">
        <v>39</v>
      </c>
      <c r="I328" s="38" t="s">
        <v>2712</v>
      </c>
      <c r="J328" s="34" t="s">
        <v>41</v>
      </c>
      <c r="K328" s="39" t="s">
        <v>42</v>
      </c>
      <c r="L328" s="120">
        <v>45643</v>
      </c>
      <c r="M328" s="41"/>
      <c r="N328" s="41"/>
      <c r="O328" s="41"/>
      <c r="P328" s="41"/>
      <c r="Q328" s="41"/>
      <c r="R328" s="41"/>
      <c r="S328" s="41"/>
      <c r="T328" s="41"/>
      <c r="U328" s="41" t="s">
        <v>44</v>
      </c>
      <c r="V328" s="41"/>
      <c r="W328" s="41"/>
      <c r="X328" s="38" t="s">
        <v>2713</v>
      </c>
      <c r="Y328" s="43" t="s">
        <v>2714</v>
      </c>
      <c r="Z328" s="144"/>
      <c r="AA328" s="45"/>
      <c r="AB328" s="101"/>
      <c r="AC328" s="36"/>
      <c r="AD328" s="47" t="s">
        <v>49</v>
      </c>
      <c r="AE328" s="48" t="s">
        <v>41</v>
      </c>
      <c r="AF328" s="48" t="s">
        <v>41</v>
      </c>
      <c r="AG328" s="48" t="s">
        <v>41</v>
      </c>
      <c r="AH328" s="48" t="s">
        <v>41</v>
      </c>
      <c r="AI328" s="48" t="s">
        <v>49</v>
      </c>
      <c r="AJ328" s="49" t="s">
        <v>49</v>
      </c>
      <c r="AK328" s="48" t="s">
        <v>41</v>
      </c>
      <c r="AL328" s="62" t="s">
        <v>148</v>
      </c>
      <c r="AM328" s="59"/>
      <c r="AN328" s="10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1"/>
    </row>
    <row r="329" spans="1:51" x14ac:dyDescent="0.2">
      <c r="A329" s="33">
        <f t="shared" si="6"/>
        <v>324</v>
      </c>
      <c r="B329" s="34" t="s">
        <v>2715</v>
      </c>
      <c r="C329" s="35" t="s">
        <v>2716</v>
      </c>
      <c r="D329" s="36" t="s">
        <v>2717</v>
      </c>
      <c r="E329" s="36" t="s">
        <v>36</v>
      </c>
      <c r="F329" s="34" t="s">
        <v>2718</v>
      </c>
      <c r="G329" s="37" t="s">
        <v>73</v>
      </c>
      <c r="H329" s="37" t="s">
        <v>73</v>
      </c>
      <c r="I329" s="34" t="s">
        <v>2719</v>
      </c>
      <c r="J329" s="34" t="s">
        <v>41</v>
      </c>
      <c r="K329" s="39" t="s">
        <v>42</v>
      </c>
      <c r="L329" s="99" t="s">
        <v>2720</v>
      </c>
      <c r="M329" s="56"/>
      <c r="N329" s="56"/>
      <c r="O329" s="56"/>
      <c r="P329" s="56"/>
      <c r="Q329" s="56"/>
      <c r="R329" s="56"/>
      <c r="S329" s="56" t="s">
        <v>732</v>
      </c>
      <c r="T329" s="56"/>
      <c r="U329" s="56"/>
      <c r="V329" s="56"/>
      <c r="W329" s="56"/>
      <c r="X329" s="42" t="s">
        <v>2721</v>
      </c>
      <c r="Y329" s="52" t="s">
        <v>2722</v>
      </c>
      <c r="Z329" s="44"/>
      <c r="AA329" s="45" t="s">
        <v>47</v>
      </c>
      <c r="AB329" s="101"/>
      <c r="AC329" s="36" t="s">
        <v>26</v>
      </c>
      <c r="AD329" s="47" t="s">
        <v>49</v>
      </c>
      <c r="AE329" s="48" t="s">
        <v>49</v>
      </c>
      <c r="AF329" s="48" t="s">
        <v>49</v>
      </c>
      <c r="AG329" s="48" t="s">
        <v>49</v>
      </c>
      <c r="AH329" s="48" t="s">
        <v>49</v>
      </c>
      <c r="AI329" s="48" t="s">
        <v>49</v>
      </c>
      <c r="AJ329" s="49" t="s">
        <v>49</v>
      </c>
      <c r="AK329" s="48" t="s">
        <v>49</v>
      </c>
      <c r="AL329" s="65" t="s">
        <v>32</v>
      </c>
      <c r="AM329" s="59"/>
      <c r="AN329" s="10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1"/>
    </row>
    <row r="330" spans="1:51" x14ac:dyDescent="0.2">
      <c r="A330" s="33">
        <f t="shared" si="6"/>
        <v>325</v>
      </c>
      <c r="B330" s="34" t="s">
        <v>2723</v>
      </c>
      <c r="C330" s="35" t="s">
        <v>2724</v>
      </c>
      <c r="D330" s="36" t="s">
        <v>2725</v>
      </c>
      <c r="E330" s="36" t="s">
        <v>54</v>
      </c>
      <c r="F330" s="34" t="s">
        <v>2726</v>
      </c>
      <c r="G330" s="37" t="s">
        <v>350</v>
      </c>
      <c r="H330" s="37" t="s">
        <v>350</v>
      </c>
      <c r="I330" s="38" t="s">
        <v>2727</v>
      </c>
      <c r="J330" s="34" t="s">
        <v>41</v>
      </c>
      <c r="K330" s="39" t="s">
        <v>42</v>
      </c>
      <c r="L330" s="120">
        <v>32513</v>
      </c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2" t="s">
        <v>2728</v>
      </c>
      <c r="Y330" s="58" t="s">
        <v>2729</v>
      </c>
      <c r="Z330" s="44" t="s">
        <v>61</v>
      </c>
      <c r="AA330" s="45">
        <v>37877</v>
      </c>
      <c r="AB330" s="101" t="s">
        <v>30</v>
      </c>
      <c r="AC330" s="36"/>
      <c r="AD330" s="47" t="s">
        <v>49</v>
      </c>
      <c r="AE330" s="48" t="s">
        <v>41</v>
      </c>
      <c r="AF330" s="48" t="s">
        <v>41</v>
      </c>
      <c r="AG330" s="48" t="s">
        <v>41</v>
      </c>
      <c r="AH330" s="48" t="s">
        <v>41</v>
      </c>
      <c r="AI330" s="48" t="s">
        <v>41</v>
      </c>
      <c r="AJ330" s="49" t="s">
        <v>41</v>
      </c>
      <c r="AK330" s="48" t="s">
        <v>41</v>
      </c>
      <c r="AL330" s="65" t="s">
        <v>4592</v>
      </c>
      <c r="AM330" s="59"/>
      <c r="AN330" s="10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1"/>
    </row>
    <row r="331" spans="1:51" x14ac:dyDescent="0.2">
      <c r="A331" s="33">
        <f t="shared" si="6"/>
        <v>326</v>
      </c>
      <c r="B331" s="34" t="s">
        <v>2730</v>
      </c>
      <c r="C331" s="35" t="s">
        <v>2731</v>
      </c>
      <c r="D331" s="36" t="s">
        <v>2732</v>
      </c>
      <c r="E331" s="36" t="s">
        <v>54</v>
      </c>
      <c r="F331" s="34" t="s">
        <v>2733</v>
      </c>
      <c r="G331" s="37" t="s">
        <v>73</v>
      </c>
      <c r="H331" s="37" t="s">
        <v>73</v>
      </c>
      <c r="I331" s="34" t="s">
        <v>2734</v>
      </c>
      <c r="J331" s="34" t="s">
        <v>41</v>
      </c>
      <c r="K331" s="39" t="s">
        <v>42</v>
      </c>
      <c r="L331" s="120">
        <v>33762</v>
      </c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2" t="s">
        <v>2735</v>
      </c>
      <c r="Y331" s="58" t="s">
        <v>2736</v>
      </c>
      <c r="Z331" s="44" t="s">
        <v>61</v>
      </c>
      <c r="AA331" s="45">
        <v>34597</v>
      </c>
      <c r="AB331" s="101" t="s">
        <v>30</v>
      </c>
      <c r="AC331" s="36" t="s">
        <v>26</v>
      </c>
      <c r="AD331" s="64" t="s">
        <v>120</v>
      </c>
      <c r="AE331" s="48" t="s">
        <v>120</v>
      </c>
      <c r="AF331" s="48" t="s">
        <v>120</v>
      </c>
      <c r="AG331" s="48" t="s">
        <v>120</v>
      </c>
      <c r="AH331" s="48" t="s">
        <v>120</v>
      </c>
      <c r="AI331" s="48" t="s">
        <v>120</v>
      </c>
      <c r="AJ331" s="49" t="s">
        <v>120</v>
      </c>
      <c r="AK331" s="48" t="s">
        <v>120</v>
      </c>
      <c r="AL331" s="62" t="s">
        <v>32</v>
      </c>
      <c r="AM331" s="59"/>
      <c r="AN331" s="10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1"/>
    </row>
    <row r="332" spans="1:51" x14ac:dyDescent="0.2">
      <c r="A332" s="33">
        <f t="shared" si="6"/>
        <v>327</v>
      </c>
      <c r="B332" s="34" t="s">
        <v>2737</v>
      </c>
      <c r="C332" s="35" t="s">
        <v>2738</v>
      </c>
      <c r="D332" s="36" t="s">
        <v>2739</v>
      </c>
      <c r="E332" s="36" t="s">
        <v>36</v>
      </c>
      <c r="F332" s="34" t="s">
        <v>2740</v>
      </c>
      <c r="G332" s="37" t="s">
        <v>243</v>
      </c>
      <c r="H332" s="37" t="s">
        <v>205</v>
      </c>
      <c r="I332" s="34" t="s">
        <v>2741</v>
      </c>
      <c r="J332" s="34" t="s">
        <v>41</v>
      </c>
      <c r="K332" s="39" t="s">
        <v>42</v>
      </c>
      <c r="L332" s="99" t="s">
        <v>2742</v>
      </c>
      <c r="M332" s="56" t="s">
        <v>179</v>
      </c>
      <c r="N332" s="56"/>
      <c r="O332" s="56"/>
      <c r="P332" s="56"/>
      <c r="Q332" s="56"/>
      <c r="R332" s="56"/>
      <c r="S332" s="56"/>
      <c r="T332" s="56"/>
      <c r="U332" s="56"/>
      <c r="V332" s="56" t="s">
        <v>732</v>
      </c>
      <c r="W332" s="56"/>
      <c r="X332" s="42" t="s">
        <v>2743</v>
      </c>
      <c r="Y332" s="69" t="s">
        <v>2744</v>
      </c>
      <c r="Z332" s="44" t="s">
        <v>2745</v>
      </c>
      <c r="AA332" s="45">
        <v>41793</v>
      </c>
      <c r="AB332" s="101" t="s">
        <v>30</v>
      </c>
      <c r="AC332" s="36" t="s">
        <v>26</v>
      </c>
      <c r="AD332" s="47" t="s">
        <v>49</v>
      </c>
      <c r="AE332" s="48" t="s">
        <v>49</v>
      </c>
      <c r="AF332" s="48" t="s">
        <v>49</v>
      </c>
      <c r="AG332" s="48" t="s">
        <v>49</v>
      </c>
      <c r="AH332" s="48" t="s">
        <v>49</v>
      </c>
      <c r="AI332" s="48" t="s">
        <v>49</v>
      </c>
      <c r="AJ332" s="49" t="s">
        <v>49</v>
      </c>
      <c r="AK332" s="48" t="s">
        <v>49</v>
      </c>
      <c r="AL332" s="62" t="s">
        <v>32</v>
      </c>
      <c r="AM332" s="59"/>
      <c r="AN332" s="117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1"/>
    </row>
    <row r="333" spans="1:51" x14ac:dyDescent="0.2">
      <c r="A333" s="33">
        <f t="shared" si="6"/>
        <v>328</v>
      </c>
      <c r="B333" s="34" t="s">
        <v>2746</v>
      </c>
      <c r="C333" s="35" t="s">
        <v>2747</v>
      </c>
      <c r="D333" s="36" t="s">
        <v>2748</v>
      </c>
      <c r="E333" s="36" t="s">
        <v>54</v>
      </c>
      <c r="F333" s="34" t="s">
        <v>2749</v>
      </c>
      <c r="G333" s="37" t="s">
        <v>73</v>
      </c>
      <c r="H333" s="37" t="s">
        <v>73</v>
      </c>
      <c r="I333" s="38" t="s">
        <v>2750</v>
      </c>
      <c r="J333" s="34" t="s">
        <v>41</v>
      </c>
      <c r="K333" s="39" t="s">
        <v>42</v>
      </c>
      <c r="L333" s="99" t="s">
        <v>2751</v>
      </c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42" t="s">
        <v>2752</v>
      </c>
      <c r="Y333" s="69" t="s">
        <v>2753</v>
      </c>
      <c r="Z333" s="44" t="s">
        <v>2754</v>
      </c>
      <c r="AA333" s="45">
        <v>44041</v>
      </c>
      <c r="AB333" s="101" t="s">
        <v>30</v>
      </c>
      <c r="AC333" s="36"/>
      <c r="AD333" s="47" t="s">
        <v>49</v>
      </c>
      <c r="AE333" s="48" t="s">
        <v>41</v>
      </c>
      <c r="AF333" s="48" t="s">
        <v>41</v>
      </c>
      <c r="AG333" s="48" t="s">
        <v>41</v>
      </c>
      <c r="AH333" s="48" t="s">
        <v>41</v>
      </c>
      <c r="AI333" s="48" t="s">
        <v>41</v>
      </c>
      <c r="AJ333" s="49" t="s">
        <v>41</v>
      </c>
      <c r="AK333" s="48" t="s">
        <v>41</v>
      </c>
      <c r="AL333" s="65" t="s">
        <v>4590</v>
      </c>
      <c r="AM333" s="59" t="s">
        <v>1230</v>
      </c>
      <c r="AN333" s="10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1"/>
    </row>
    <row r="334" spans="1:51" ht="18.75" customHeight="1" x14ac:dyDescent="0.2">
      <c r="A334" s="33">
        <f t="shared" si="6"/>
        <v>329</v>
      </c>
      <c r="B334" s="34" t="s">
        <v>2755</v>
      </c>
      <c r="C334" s="35" t="s">
        <v>2756</v>
      </c>
      <c r="D334" s="36" t="s">
        <v>2757</v>
      </c>
      <c r="E334" s="36" t="s">
        <v>54</v>
      </c>
      <c r="F334" s="34" t="s">
        <v>2758</v>
      </c>
      <c r="G334" s="37" t="s">
        <v>73</v>
      </c>
      <c r="H334" s="37" t="s">
        <v>73</v>
      </c>
      <c r="I334" s="38" t="s">
        <v>2759</v>
      </c>
      <c r="J334" s="34"/>
      <c r="K334" s="39" t="s">
        <v>42</v>
      </c>
      <c r="L334" s="99" t="s">
        <v>2760</v>
      </c>
      <c r="M334" s="56"/>
      <c r="N334" s="137"/>
      <c r="O334" s="137"/>
      <c r="P334" s="137"/>
      <c r="Q334" s="137"/>
      <c r="R334" s="137" t="s">
        <v>44</v>
      </c>
      <c r="S334" s="137"/>
      <c r="T334" s="137"/>
      <c r="U334" s="137"/>
      <c r="V334" s="137"/>
      <c r="W334" s="137"/>
      <c r="X334" s="42" t="s">
        <v>2761</v>
      </c>
      <c r="Y334" s="58" t="s">
        <v>2762</v>
      </c>
      <c r="Z334" s="211" t="s">
        <v>2763</v>
      </c>
      <c r="AA334" s="45">
        <v>44944</v>
      </c>
      <c r="AB334" s="101" t="s">
        <v>30</v>
      </c>
      <c r="AC334" s="36"/>
      <c r="AD334" s="47" t="s">
        <v>49</v>
      </c>
      <c r="AE334" s="48" t="s">
        <v>41</v>
      </c>
      <c r="AF334" s="48" t="s">
        <v>49</v>
      </c>
      <c r="AG334" s="48" t="s">
        <v>49</v>
      </c>
      <c r="AH334" s="48" t="s">
        <v>49</v>
      </c>
      <c r="AI334" s="48" t="s">
        <v>49</v>
      </c>
      <c r="AJ334" s="49" t="s">
        <v>49</v>
      </c>
      <c r="AK334" s="48" t="s">
        <v>49</v>
      </c>
      <c r="AL334" s="62" t="s">
        <v>32</v>
      </c>
      <c r="AM334" s="59"/>
      <c r="AN334" s="10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1"/>
    </row>
    <row r="335" spans="1:51" ht="18.75" customHeight="1" x14ac:dyDescent="0.2">
      <c r="A335" s="33">
        <f t="shared" si="6"/>
        <v>330</v>
      </c>
      <c r="B335" s="34" t="s">
        <v>2764</v>
      </c>
      <c r="C335" s="35" t="s">
        <v>2765</v>
      </c>
      <c r="D335" s="36" t="s">
        <v>2766</v>
      </c>
      <c r="E335" s="36" t="s">
        <v>54</v>
      </c>
      <c r="F335" s="34" t="s">
        <v>2767</v>
      </c>
      <c r="G335" s="37" t="s">
        <v>205</v>
      </c>
      <c r="H335" s="37" t="s">
        <v>205</v>
      </c>
      <c r="I335" s="34" t="s">
        <v>2768</v>
      </c>
      <c r="J335" s="34" t="s">
        <v>41</v>
      </c>
      <c r="K335" s="39" t="s">
        <v>42</v>
      </c>
      <c r="L335" s="99" t="s">
        <v>2769</v>
      </c>
      <c r="M335" s="56"/>
      <c r="N335" s="56"/>
      <c r="O335" s="56"/>
      <c r="P335" s="56"/>
      <c r="Q335" s="115"/>
      <c r="R335" s="115"/>
      <c r="S335" s="115"/>
      <c r="T335" s="56"/>
      <c r="U335" s="56"/>
      <c r="V335" s="56"/>
      <c r="W335" s="56"/>
      <c r="X335" s="42" t="s">
        <v>2770</v>
      </c>
      <c r="Y335" s="58" t="s">
        <v>2771</v>
      </c>
      <c r="Z335" s="119" t="s">
        <v>61</v>
      </c>
      <c r="AA335" s="45">
        <v>40815</v>
      </c>
      <c r="AB335" s="101" t="s">
        <v>129</v>
      </c>
      <c r="AC335" s="36"/>
      <c r="AD335" s="47" t="s">
        <v>49</v>
      </c>
      <c r="AE335" s="48" t="s">
        <v>41</v>
      </c>
      <c r="AF335" s="48" t="s">
        <v>41</v>
      </c>
      <c r="AG335" s="48" t="s">
        <v>41</v>
      </c>
      <c r="AH335" s="48" t="s">
        <v>41</v>
      </c>
      <c r="AI335" s="48" t="s">
        <v>41</v>
      </c>
      <c r="AJ335" s="49" t="s">
        <v>41</v>
      </c>
      <c r="AK335" s="48" t="s">
        <v>41</v>
      </c>
      <c r="AL335" s="65" t="s">
        <v>4592</v>
      </c>
      <c r="AM335" s="59"/>
      <c r="AN335" s="10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1"/>
    </row>
    <row r="336" spans="1:51" ht="18.75" customHeight="1" x14ac:dyDescent="0.2">
      <c r="A336" s="33">
        <f t="shared" si="6"/>
        <v>331</v>
      </c>
      <c r="B336" s="34" t="s">
        <v>2772</v>
      </c>
      <c r="C336" s="35" t="s">
        <v>2773</v>
      </c>
      <c r="D336" s="36" t="s">
        <v>2774</v>
      </c>
      <c r="E336" s="36" t="s">
        <v>54</v>
      </c>
      <c r="F336" s="34" t="s">
        <v>2775</v>
      </c>
      <c r="G336" s="37" t="s">
        <v>73</v>
      </c>
      <c r="H336" s="37" t="s">
        <v>73</v>
      </c>
      <c r="I336" s="38" t="s">
        <v>2776</v>
      </c>
      <c r="J336" s="34" t="s">
        <v>41</v>
      </c>
      <c r="K336" s="39" t="s">
        <v>42</v>
      </c>
      <c r="L336" s="120">
        <v>44573</v>
      </c>
      <c r="M336" s="56"/>
      <c r="N336" s="56"/>
      <c r="O336" s="56"/>
      <c r="P336" s="56"/>
      <c r="Q336" s="115"/>
      <c r="R336" s="115"/>
      <c r="S336" s="115" t="s">
        <v>44</v>
      </c>
      <c r="T336" s="56"/>
      <c r="U336" s="56"/>
      <c r="V336" s="56"/>
      <c r="W336" s="56"/>
      <c r="X336" s="42" t="s">
        <v>2777</v>
      </c>
      <c r="Y336" s="58" t="s">
        <v>2778</v>
      </c>
      <c r="Z336" s="211" t="s">
        <v>2779</v>
      </c>
      <c r="AA336" s="45">
        <v>44944</v>
      </c>
      <c r="AB336" s="101" t="s">
        <v>30</v>
      </c>
      <c r="AC336" s="36"/>
      <c r="AD336" s="47" t="s">
        <v>49</v>
      </c>
      <c r="AE336" s="48" t="s">
        <v>41</v>
      </c>
      <c r="AF336" s="48" t="s">
        <v>41</v>
      </c>
      <c r="AG336" s="48" t="s">
        <v>49</v>
      </c>
      <c r="AH336" s="48" t="s">
        <v>49</v>
      </c>
      <c r="AI336" s="48" t="s">
        <v>49</v>
      </c>
      <c r="AJ336" s="49" t="s">
        <v>49</v>
      </c>
      <c r="AK336" s="48" t="s">
        <v>49</v>
      </c>
      <c r="AL336" s="65" t="s">
        <v>32</v>
      </c>
      <c r="AM336" s="59"/>
      <c r="AN336" s="10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1"/>
    </row>
    <row r="337" spans="1:51" ht="19.5" customHeight="1" x14ac:dyDescent="0.2">
      <c r="A337" s="33">
        <f t="shared" si="6"/>
        <v>332</v>
      </c>
      <c r="B337" s="34" t="s">
        <v>2780</v>
      </c>
      <c r="C337" s="35" t="s">
        <v>2781</v>
      </c>
      <c r="D337" s="36" t="s">
        <v>2782</v>
      </c>
      <c r="E337" s="36" t="s">
        <v>54</v>
      </c>
      <c r="F337" s="34" t="s">
        <v>2783</v>
      </c>
      <c r="G337" s="37" t="s">
        <v>205</v>
      </c>
      <c r="H337" s="37" t="s">
        <v>205</v>
      </c>
      <c r="I337" s="38" t="s">
        <v>2784</v>
      </c>
      <c r="J337" s="34"/>
      <c r="K337" s="39" t="s">
        <v>42</v>
      </c>
      <c r="L337" s="120">
        <v>44903</v>
      </c>
      <c r="M337" s="56"/>
      <c r="N337" s="56"/>
      <c r="O337" s="56"/>
      <c r="P337" s="56"/>
      <c r="Q337" s="115"/>
      <c r="R337" s="115"/>
      <c r="S337" s="115" t="s">
        <v>44</v>
      </c>
      <c r="T337" s="56"/>
      <c r="U337" s="56"/>
      <c r="V337" s="56"/>
      <c r="W337" s="56"/>
      <c r="X337" s="42" t="s">
        <v>2785</v>
      </c>
      <c r="Y337" s="58" t="s">
        <v>2786</v>
      </c>
      <c r="Z337" s="211" t="s">
        <v>2787</v>
      </c>
      <c r="AA337" s="45">
        <v>44944</v>
      </c>
      <c r="AB337" s="101" t="s">
        <v>30</v>
      </c>
      <c r="AC337" s="36"/>
      <c r="AD337" s="47" t="s">
        <v>49</v>
      </c>
      <c r="AE337" s="48" t="s">
        <v>41</v>
      </c>
      <c r="AF337" s="48" t="s">
        <v>41</v>
      </c>
      <c r="AG337" s="48" t="s">
        <v>49</v>
      </c>
      <c r="AH337" s="48" t="s">
        <v>49</v>
      </c>
      <c r="AI337" s="48" t="s">
        <v>49</v>
      </c>
      <c r="AJ337" s="49" t="s">
        <v>49</v>
      </c>
      <c r="AK337" s="48" t="s">
        <v>41</v>
      </c>
      <c r="AL337" s="62" t="s">
        <v>148</v>
      </c>
      <c r="AM337" s="59"/>
      <c r="AN337" s="10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1"/>
    </row>
    <row r="338" spans="1:51" ht="19.5" customHeight="1" x14ac:dyDescent="0.2">
      <c r="A338" s="33">
        <f t="shared" si="6"/>
        <v>333</v>
      </c>
      <c r="B338" s="34" t="s">
        <v>2788</v>
      </c>
      <c r="C338" s="35" t="s">
        <v>2789</v>
      </c>
      <c r="D338" s="36" t="s">
        <v>2790</v>
      </c>
      <c r="E338" s="36" t="s">
        <v>54</v>
      </c>
      <c r="F338" s="34" t="s">
        <v>2791</v>
      </c>
      <c r="G338" s="37" t="s">
        <v>73</v>
      </c>
      <c r="H338" s="37" t="s">
        <v>73</v>
      </c>
      <c r="I338" s="34" t="s">
        <v>1005</v>
      </c>
      <c r="J338" s="34"/>
      <c r="K338" s="39" t="s">
        <v>42</v>
      </c>
      <c r="L338" s="99" t="s">
        <v>2792</v>
      </c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42" t="s">
        <v>2793</v>
      </c>
      <c r="Y338" s="58" t="s">
        <v>2794</v>
      </c>
      <c r="Z338" s="44" t="s">
        <v>61</v>
      </c>
      <c r="AA338" s="45">
        <v>40876</v>
      </c>
      <c r="AB338" s="101" t="s">
        <v>30</v>
      </c>
      <c r="AC338" s="36" t="s">
        <v>26</v>
      </c>
      <c r="AD338" s="47" t="s">
        <v>49</v>
      </c>
      <c r="AE338" s="48" t="s">
        <v>49</v>
      </c>
      <c r="AF338" s="48" t="s">
        <v>49</v>
      </c>
      <c r="AG338" s="48" t="s">
        <v>49</v>
      </c>
      <c r="AH338" s="48" t="s">
        <v>49</v>
      </c>
      <c r="AI338" s="48" t="s">
        <v>49</v>
      </c>
      <c r="AJ338" s="49" t="s">
        <v>49</v>
      </c>
      <c r="AK338" s="48" t="s">
        <v>49</v>
      </c>
      <c r="AL338" s="62" t="s">
        <v>32</v>
      </c>
      <c r="AM338" s="59"/>
      <c r="AN338" s="10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1"/>
    </row>
    <row r="339" spans="1:51" ht="19.5" customHeight="1" x14ac:dyDescent="0.2">
      <c r="A339" s="33">
        <f t="shared" si="6"/>
        <v>334</v>
      </c>
      <c r="B339" s="34" t="s">
        <v>2795</v>
      </c>
      <c r="C339" s="35" t="s">
        <v>2796</v>
      </c>
      <c r="D339" s="36" t="s">
        <v>2797</v>
      </c>
      <c r="E339" s="36" t="s">
        <v>54</v>
      </c>
      <c r="F339" s="34" t="s">
        <v>2798</v>
      </c>
      <c r="G339" s="37" t="s">
        <v>73</v>
      </c>
      <c r="H339" s="37" t="s">
        <v>73</v>
      </c>
      <c r="I339" s="38" t="s">
        <v>2799</v>
      </c>
      <c r="J339" s="38" t="s">
        <v>2800</v>
      </c>
      <c r="K339" s="39" t="s">
        <v>42</v>
      </c>
      <c r="L339" s="99" t="s">
        <v>2493</v>
      </c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42" t="s">
        <v>2801</v>
      </c>
      <c r="Y339" s="58" t="s">
        <v>2802</v>
      </c>
      <c r="Z339" s="207" t="s">
        <v>2803</v>
      </c>
      <c r="AA339" s="45">
        <v>44944</v>
      </c>
      <c r="AB339" s="101" t="s">
        <v>30</v>
      </c>
      <c r="AC339" s="36" t="s">
        <v>26</v>
      </c>
      <c r="AD339" s="47" t="s">
        <v>49</v>
      </c>
      <c r="AE339" s="48" t="s">
        <v>49</v>
      </c>
      <c r="AF339" s="48" t="s">
        <v>49</v>
      </c>
      <c r="AG339" s="48" t="s">
        <v>49</v>
      </c>
      <c r="AH339" s="48" t="s">
        <v>49</v>
      </c>
      <c r="AI339" s="48" t="s">
        <v>49</v>
      </c>
      <c r="AJ339" s="49" t="s">
        <v>49</v>
      </c>
      <c r="AK339" s="48" t="s">
        <v>41</v>
      </c>
      <c r="AL339" s="62" t="s">
        <v>148</v>
      </c>
      <c r="AM339" s="59"/>
      <c r="AN339" s="10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1"/>
    </row>
    <row r="340" spans="1:51" x14ac:dyDescent="0.2">
      <c r="A340" s="33">
        <f t="shared" si="6"/>
        <v>335</v>
      </c>
      <c r="B340" s="34" t="s">
        <v>2804</v>
      </c>
      <c r="C340" s="35" t="s">
        <v>2805</v>
      </c>
      <c r="D340" s="36" t="s">
        <v>2806</v>
      </c>
      <c r="E340" s="36" t="s">
        <v>54</v>
      </c>
      <c r="F340" s="34" t="s">
        <v>2807</v>
      </c>
      <c r="G340" s="37" t="s">
        <v>323</v>
      </c>
      <c r="H340" s="37" t="s">
        <v>39</v>
      </c>
      <c r="I340" s="38" t="s">
        <v>2808</v>
      </c>
      <c r="J340" s="34" t="s">
        <v>41</v>
      </c>
      <c r="K340" s="39" t="s">
        <v>42</v>
      </c>
      <c r="L340" s="99" t="s">
        <v>1776</v>
      </c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42" t="s">
        <v>2809</v>
      </c>
      <c r="Y340" s="58" t="s">
        <v>2810</v>
      </c>
      <c r="Z340" s="44" t="s">
        <v>61</v>
      </c>
      <c r="AA340" s="45">
        <v>40876</v>
      </c>
      <c r="AB340" s="101" t="s">
        <v>30</v>
      </c>
      <c r="AC340" s="36" t="s">
        <v>26</v>
      </c>
      <c r="AD340" s="47" t="s">
        <v>49</v>
      </c>
      <c r="AE340" s="48" t="s">
        <v>49</v>
      </c>
      <c r="AF340" s="48" t="s">
        <v>49</v>
      </c>
      <c r="AG340" s="48" t="s">
        <v>49</v>
      </c>
      <c r="AH340" s="48" t="s">
        <v>49</v>
      </c>
      <c r="AI340" s="48" t="s">
        <v>49</v>
      </c>
      <c r="AJ340" s="49" t="s">
        <v>49</v>
      </c>
      <c r="AK340" s="48" t="s">
        <v>49</v>
      </c>
      <c r="AL340" s="62" t="s">
        <v>32</v>
      </c>
      <c r="AM340" s="59"/>
      <c r="AN340" s="10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1"/>
    </row>
    <row r="341" spans="1:51" x14ac:dyDescent="0.2">
      <c r="A341" s="33">
        <f t="shared" si="6"/>
        <v>336</v>
      </c>
      <c r="B341" s="107" t="s">
        <v>2811</v>
      </c>
      <c r="C341" s="35" t="s">
        <v>2812</v>
      </c>
      <c r="D341" s="36" t="s">
        <v>2813</v>
      </c>
      <c r="E341" s="36" t="s">
        <v>54</v>
      </c>
      <c r="F341" s="87" t="s">
        <v>2814</v>
      </c>
      <c r="G341" s="37" t="s">
        <v>73</v>
      </c>
      <c r="H341" s="37" t="s">
        <v>73</v>
      </c>
      <c r="I341" s="34" t="s">
        <v>2815</v>
      </c>
      <c r="J341" s="34" t="s">
        <v>2816</v>
      </c>
      <c r="K341" s="39" t="s">
        <v>42</v>
      </c>
      <c r="L341" s="99" t="s">
        <v>2817</v>
      </c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42" t="s">
        <v>2818</v>
      </c>
      <c r="Y341" s="58" t="s">
        <v>2819</v>
      </c>
      <c r="Z341" s="44" t="s">
        <v>61</v>
      </c>
      <c r="AA341" s="45">
        <v>40280</v>
      </c>
      <c r="AB341" s="101" t="s">
        <v>30</v>
      </c>
      <c r="AC341" s="36" t="s">
        <v>26</v>
      </c>
      <c r="AD341" s="47" t="s">
        <v>49</v>
      </c>
      <c r="AE341" s="48" t="s">
        <v>49</v>
      </c>
      <c r="AF341" s="48" t="s">
        <v>49</v>
      </c>
      <c r="AG341" s="48" t="s">
        <v>49</v>
      </c>
      <c r="AH341" s="48" t="s">
        <v>49</v>
      </c>
      <c r="AI341" s="48" t="s">
        <v>49</v>
      </c>
      <c r="AJ341" s="49" t="s">
        <v>49</v>
      </c>
      <c r="AK341" s="48" t="s">
        <v>49</v>
      </c>
      <c r="AL341" s="62" t="s">
        <v>32</v>
      </c>
      <c r="AM341" s="59"/>
      <c r="AN341" s="10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1"/>
    </row>
    <row r="342" spans="1:51" x14ac:dyDescent="0.2">
      <c r="A342" s="33">
        <f t="shared" si="6"/>
        <v>337</v>
      </c>
      <c r="B342" s="34" t="s">
        <v>2820</v>
      </c>
      <c r="C342" s="35" t="s">
        <v>2821</v>
      </c>
      <c r="D342" s="36" t="s">
        <v>2822</v>
      </c>
      <c r="E342" s="36" t="s">
        <v>54</v>
      </c>
      <c r="F342" s="34" t="s">
        <v>2823</v>
      </c>
      <c r="G342" s="37" t="s">
        <v>73</v>
      </c>
      <c r="H342" s="37" t="s">
        <v>73</v>
      </c>
      <c r="I342" s="34" t="s">
        <v>2824</v>
      </c>
      <c r="J342" s="34" t="s">
        <v>2824</v>
      </c>
      <c r="K342" s="39" t="s">
        <v>42</v>
      </c>
      <c r="L342" s="120">
        <v>30353</v>
      </c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2" t="s">
        <v>2825</v>
      </c>
      <c r="Y342" s="58" t="s">
        <v>2826</v>
      </c>
      <c r="Z342" s="44" t="s">
        <v>61</v>
      </c>
      <c r="AA342" s="45">
        <v>40280</v>
      </c>
      <c r="AB342" s="101" t="s">
        <v>30</v>
      </c>
      <c r="AC342" s="36" t="s">
        <v>26</v>
      </c>
      <c r="AD342" s="61" t="s">
        <v>49</v>
      </c>
      <c r="AE342" s="48" t="s">
        <v>49</v>
      </c>
      <c r="AF342" s="48" t="s">
        <v>41</v>
      </c>
      <c r="AG342" s="48" t="s">
        <v>41</v>
      </c>
      <c r="AH342" s="48" t="s">
        <v>41</v>
      </c>
      <c r="AI342" s="48" t="s">
        <v>41</v>
      </c>
      <c r="AJ342" s="49" t="s">
        <v>41</v>
      </c>
      <c r="AK342" s="48" t="s">
        <v>41</v>
      </c>
      <c r="AL342" s="62" t="s">
        <v>4587</v>
      </c>
      <c r="AM342" s="59"/>
      <c r="AN342" s="117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1"/>
    </row>
    <row r="343" spans="1:51" x14ac:dyDescent="0.2">
      <c r="A343" s="33">
        <f t="shared" si="6"/>
        <v>338</v>
      </c>
      <c r="B343" s="34" t="s">
        <v>2827</v>
      </c>
      <c r="C343" s="35" t="s">
        <v>2828</v>
      </c>
      <c r="D343" s="36" t="s">
        <v>2829</v>
      </c>
      <c r="E343" s="36" t="s">
        <v>36</v>
      </c>
      <c r="F343" s="34" t="s">
        <v>2830</v>
      </c>
      <c r="G343" s="37" t="s">
        <v>377</v>
      </c>
      <c r="H343" s="37" t="s">
        <v>378</v>
      </c>
      <c r="I343" s="34">
        <v>89508121544</v>
      </c>
      <c r="J343" s="34" t="s">
        <v>41</v>
      </c>
      <c r="K343" s="39" t="s">
        <v>42</v>
      </c>
      <c r="L343" s="120">
        <v>44776</v>
      </c>
      <c r="M343" s="41"/>
      <c r="N343" s="41"/>
      <c r="O343" s="41"/>
      <c r="P343" s="41"/>
      <c r="Q343" s="41"/>
      <c r="R343" s="41"/>
      <c r="S343" s="41" t="s">
        <v>44</v>
      </c>
      <c r="T343" s="41"/>
      <c r="U343" s="41"/>
      <c r="V343" s="41"/>
      <c r="W343" s="41"/>
      <c r="X343" s="42" t="s">
        <v>2831</v>
      </c>
      <c r="Y343" s="58" t="s">
        <v>2832</v>
      </c>
      <c r="Z343" s="84" t="s">
        <v>2833</v>
      </c>
      <c r="AA343" s="45">
        <v>44650</v>
      </c>
      <c r="AB343" s="101" t="s">
        <v>30</v>
      </c>
      <c r="AC343" s="36"/>
      <c r="AD343" s="61" t="s">
        <v>49</v>
      </c>
      <c r="AE343" s="48" t="s">
        <v>41</v>
      </c>
      <c r="AF343" s="48" t="s">
        <v>41</v>
      </c>
      <c r="AG343" s="48" t="s">
        <v>49</v>
      </c>
      <c r="AH343" s="48" t="s">
        <v>41</v>
      </c>
      <c r="AI343" s="48" t="s">
        <v>41</v>
      </c>
      <c r="AJ343" s="49" t="s">
        <v>41</v>
      </c>
      <c r="AK343" s="48" t="s">
        <v>41</v>
      </c>
      <c r="AL343" s="62" t="s">
        <v>139</v>
      </c>
      <c r="AM343" s="59"/>
      <c r="AN343" s="10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1"/>
    </row>
    <row r="344" spans="1:51" x14ac:dyDescent="0.2">
      <c r="A344" s="33">
        <f t="shared" si="6"/>
        <v>339</v>
      </c>
      <c r="B344" s="34" t="s">
        <v>2834</v>
      </c>
      <c r="C344" s="35" t="s">
        <v>2835</v>
      </c>
      <c r="D344" s="36" t="s">
        <v>2836</v>
      </c>
      <c r="E344" s="36" t="s">
        <v>54</v>
      </c>
      <c r="F344" s="34" t="s">
        <v>2837</v>
      </c>
      <c r="G344" s="37" t="s">
        <v>858</v>
      </c>
      <c r="H344" s="37" t="s">
        <v>57</v>
      </c>
      <c r="I344" s="38" t="s">
        <v>2838</v>
      </c>
      <c r="J344" s="34" t="s">
        <v>41</v>
      </c>
      <c r="K344" s="39" t="s">
        <v>42</v>
      </c>
      <c r="L344" s="120" t="s">
        <v>2839</v>
      </c>
      <c r="M344" s="41"/>
      <c r="N344" s="41"/>
      <c r="O344" s="41"/>
      <c r="P344" s="41"/>
      <c r="Q344" s="41"/>
      <c r="R344" s="41" t="s">
        <v>44</v>
      </c>
      <c r="S344" s="41"/>
      <c r="T344" s="41"/>
      <c r="U344" s="41"/>
      <c r="V344" s="41"/>
      <c r="W344" s="41"/>
      <c r="X344" s="42" t="s">
        <v>2840</v>
      </c>
      <c r="Y344" s="58" t="s">
        <v>2841</v>
      </c>
      <c r="Z344" s="84" t="s">
        <v>2842</v>
      </c>
      <c r="AA344" s="45">
        <v>44650</v>
      </c>
      <c r="AB344" s="101" t="s">
        <v>30</v>
      </c>
      <c r="AC344" s="36"/>
      <c r="AD344" s="61" t="s">
        <v>49</v>
      </c>
      <c r="AE344" s="48" t="s">
        <v>41</v>
      </c>
      <c r="AF344" s="48" t="s">
        <v>41</v>
      </c>
      <c r="AG344" s="48" t="s">
        <v>49</v>
      </c>
      <c r="AH344" s="48" t="s">
        <v>49</v>
      </c>
      <c r="AI344" s="48" t="s">
        <v>49</v>
      </c>
      <c r="AJ344" s="49" t="s">
        <v>49</v>
      </c>
      <c r="AK344" s="48" t="s">
        <v>49</v>
      </c>
      <c r="AL344" s="65" t="s">
        <v>32</v>
      </c>
      <c r="AM344" s="59"/>
      <c r="AN344" s="117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1"/>
    </row>
    <row r="345" spans="1:51" x14ac:dyDescent="0.2">
      <c r="A345" s="33">
        <f t="shared" si="6"/>
        <v>340</v>
      </c>
      <c r="B345" s="34" t="s">
        <v>2843</v>
      </c>
      <c r="C345" s="35" t="s">
        <v>2844</v>
      </c>
      <c r="D345" s="36" t="s">
        <v>2845</v>
      </c>
      <c r="E345" s="36" t="s">
        <v>54</v>
      </c>
      <c r="F345" s="34" t="s">
        <v>2846</v>
      </c>
      <c r="G345" s="37" t="s">
        <v>252</v>
      </c>
      <c r="H345" s="37" t="s">
        <v>57</v>
      </c>
      <c r="I345" s="38" t="s">
        <v>2847</v>
      </c>
      <c r="J345" s="34" t="s">
        <v>41</v>
      </c>
      <c r="K345" s="39" t="s">
        <v>42</v>
      </c>
      <c r="L345" s="120">
        <v>37441</v>
      </c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2" t="s">
        <v>2848</v>
      </c>
      <c r="Y345" s="58" t="s">
        <v>2849</v>
      </c>
      <c r="Z345" s="44" t="s">
        <v>61</v>
      </c>
      <c r="AA345" s="45">
        <v>37877</v>
      </c>
      <c r="AB345" s="101" t="s">
        <v>30</v>
      </c>
      <c r="AC345" s="36" t="s">
        <v>26</v>
      </c>
      <c r="AD345" s="47" t="s">
        <v>49</v>
      </c>
      <c r="AE345" s="48" t="s">
        <v>49</v>
      </c>
      <c r="AF345" s="48" t="s">
        <v>49</v>
      </c>
      <c r="AG345" s="48" t="s">
        <v>49</v>
      </c>
      <c r="AH345" s="48" t="s">
        <v>49</v>
      </c>
      <c r="AI345" s="48" t="s">
        <v>49</v>
      </c>
      <c r="AJ345" s="49" t="s">
        <v>49</v>
      </c>
      <c r="AK345" s="48" t="s">
        <v>41</v>
      </c>
      <c r="AL345" s="62" t="s">
        <v>148</v>
      </c>
      <c r="AM345" s="59"/>
      <c r="AN345" s="117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1"/>
    </row>
    <row r="346" spans="1:51" x14ac:dyDescent="0.2">
      <c r="A346" s="33">
        <f t="shared" si="6"/>
        <v>341</v>
      </c>
      <c r="B346" s="34" t="s">
        <v>2850</v>
      </c>
      <c r="C346" s="35" t="s">
        <v>2851</v>
      </c>
      <c r="D346" s="36" t="s">
        <v>2852</v>
      </c>
      <c r="E346" s="36" t="s">
        <v>54</v>
      </c>
      <c r="F346" s="34" t="s">
        <v>2853</v>
      </c>
      <c r="G346" s="37" t="s">
        <v>176</v>
      </c>
      <c r="H346" s="37" t="s">
        <v>39</v>
      </c>
      <c r="I346" s="38" t="s">
        <v>2854</v>
      </c>
      <c r="J346" s="34" t="s">
        <v>41</v>
      </c>
      <c r="K346" s="39" t="s">
        <v>42</v>
      </c>
      <c r="L346" s="120">
        <v>45726</v>
      </c>
      <c r="M346" s="41"/>
      <c r="N346" s="41"/>
      <c r="O346" s="41"/>
      <c r="P346" s="41"/>
      <c r="Q346" s="41"/>
      <c r="R346" s="41"/>
      <c r="S346" s="41"/>
      <c r="T346" s="41"/>
      <c r="U346" s="41"/>
      <c r="V346" s="41" t="s">
        <v>44</v>
      </c>
      <c r="W346" s="41"/>
      <c r="X346" s="38" t="s">
        <v>2855</v>
      </c>
      <c r="Y346" s="58" t="s">
        <v>2856</v>
      </c>
      <c r="Z346" s="44"/>
      <c r="AA346" s="45"/>
      <c r="AB346" s="101"/>
      <c r="AC346" s="36"/>
      <c r="AD346" s="47" t="s">
        <v>49</v>
      </c>
      <c r="AE346" s="48" t="s">
        <v>41</v>
      </c>
      <c r="AF346" s="48" t="s">
        <v>41</v>
      </c>
      <c r="AG346" s="48" t="s">
        <v>41</v>
      </c>
      <c r="AH346" s="48" t="s">
        <v>41</v>
      </c>
      <c r="AI346" s="48" t="s">
        <v>41</v>
      </c>
      <c r="AJ346" s="49" t="s">
        <v>49</v>
      </c>
      <c r="AK346" s="48" t="s">
        <v>49</v>
      </c>
      <c r="AL346" s="62" t="s">
        <v>32</v>
      </c>
      <c r="AM346" s="59"/>
      <c r="AN346" s="117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1"/>
    </row>
    <row r="347" spans="1:51" x14ac:dyDescent="0.2">
      <c r="A347" s="33">
        <f t="shared" si="6"/>
        <v>342</v>
      </c>
      <c r="B347" s="34" t="s">
        <v>2857</v>
      </c>
      <c r="C347" s="35" t="s">
        <v>2858</v>
      </c>
      <c r="D347" s="36" t="s">
        <v>2859</v>
      </c>
      <c r="E347" s="36" t="s">
        <v>54</v>
      </c>
      <c r="F347" s="34" t="s">
        <v>2860</v>
      </c>
      <c r="G347" s="37" t="s">
        <v>252</v>
      </c>
      <c r="H347" s="37" t="s">
        <v>57</v>
      </c>
      <c r="I347" s="34" t="s">
        <v>2861</v>
      </c>
      <c r="J347" s="34" t="s">
        <v>41</v>
      </c>
      <c r="K347" s="39" t="s">
        <v>42</v>
      </c>
      <c r="L347" s="120" t="s">
        <v>2862</v>
      </c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42" t="s">
        <v>2863</v>
      </c>
      <c r="Y347" s="43" t="s">
        <v>2864</v>
      </c>
      <c r="Z347" s="44" t="s">
        <v>61</v>
      </c>
      <c r="AA347" s="45">
        <v>40280</v>
      </c>
      <c r="AB347" s="101" t="s">
        <v>30</v>
      </c>
      <c r="AC347" s="36" t="s">
        <v>26</v>
      </c>
      <c r="AD347" s="47" t="s">
        <v>49</v>
      </c>
      <c r="AE347" s="48" t="s">
        <v>49</v>
      </c>
      <c r="AF347" s="48" t="s">
        <v>49</v>
      </c>
      <c r="AG347" s="48" t="s">
        <v>49</v>
      </c>
      <c r="AH347" s="48" t="s">
        <v>49</v>
      </c>
      <c r="AI347" s="48" t="s">
        <v>49</v>
      </c>
      <c r="AJ347" s="49" t="s">
        <v>49</v>
      </c>
      <c r="AK347" s="48" t="s">
        <v>49</v>
      </c>
      <c r="AL347" s="62" t="s">
        <v>32</v>
      </c>
      <c r="AM347" s="59"/>
      <c r="AN347" s="10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1"/>
    </row>
    <row r="348" spans="1:51" x14ac:dyDescent="0.2">
      <c r="A348" s="33">
        <f t="shared" si="6"/>
        <v>343</v>
      </c>
      <c r="B348" s="34" t="s">
        <v>2865</v>
      </c>
      <c r="C348" s="35" t="s">
        <v>2866</v>
      </c>
      <c r="D348" s="36" t="s">
        <v>2867</v>
      </c>
      <c r="E348" s="36" t="s">
        <v>54</v>
      </c>
      <c r="F348" s="34" t="s">
        <v>2868</v>
      </c>
      <c r="G348" s="37" t="s">
        <v>73</v>
      </c>
      <c r="H348" s="37" t="s">
        <v>73</v>
      </c>
      <c r="I348" s="139" t="s">
        <v>2869</v>
      </c>
      <c r="J348" s="34" t="s">
        <v>41</v>
      </c>
      <c r="K348" s="39" t="s">
        <v>42</v>
      </c>
      <c r="L348" s="99" t="s">
        <v>273</v>
      </c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2" t="s">
        <v>2870</v>
      </c>
      <c r="Y348" s="52" t="s">
        <v>2871</v>
      </c>
      <c r="Z348" s="119" t="s">
        <v>2872</v>
      </c>
      <c r="AA348" s="45">
        <v>41793</v>
      </c>
      <c r="AB348" s="101" t="s">
        <v>129</v>
      </c>
      <c r="AC348" s="36" t="s">
        <v>26</v>
      </c>
      <c r="AD348" s="47" t="s">
        <v>49</v>
      </c>
      <c r="AE348" s="48" t="s">
        <v>49</v>
      </c>
      <c r="AF348" s="48" t="s">
        <v>49</v>
      </c>
      <c r="AG348" s="48" t="s">
        <v>49</v>
      </c>
      <c r="AH348" s="48" t="s">
        <v>49</v>
      </c>
      <c r="AI348" s="48" t="s">
        <v>49</v>
      </c>
      <c r="AJ348" s="49" t="s">
        <v>49</v>
      </c>
      <c r="AK348" s="48" t="s">
        <v>49</v>
      </c>
      <c r="AL348" s="62" t="s">
        <v>32</v>
      </c>
      <c r="AM348" s="59"/>
      <c r="AN348" s="10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1"/>
    </row>
    <row r="349" spans="1:51" x14ac:dyDescent="0.2">
      <c r="A349" s="33">
        <f t="shared" si="6"/>
        <v>344</v>
      </c>
      <c r="B349" s="34" t="s">
        <v>2873</v>
      </c>
      <c r="C349" s="35" t="s">
        <v>2874</v>
      </c>
      <c r="D349" s="36" t="s">
        <v>2875</v>
      </c>
      <c r="E349" s="36" t="s">
        <v>54</v>
      </c>
      <c r="F349" s="34" t="s">
        <v>2876</v>
      </c>
      <c r="G349" s="37" t="s">
        <v>1285</v>
      </c>
      <c r="H349" s="37" t="s">
        <v>350</v>
      </c>
      <c r="I349" s="183" t="s">
        <v>2877</v>
      </c>
      <c r="J349" s="34" t="s">
        <v>41</v>
      </c>
      <c r="K349" s="39" t="s">
        <v>42</v>
      </c>
      <c r="L349" s="120" t="s">
        <v>1236</v>
      </c>
      <c r="M349" s="56"/>
      <c r="N349" s="56"/>
      <c r="O349" s="56"/>
      <c r="P349" s="56"/>
      <c r="Q349" s="56"/>
      <c r="R349" s="56"/>
      <c r="S349" s="56" t="s">
        <v>44</v>
      </c>
      <c r="T349" s="56"/>
      <c r="U349" s="56"/>
      <c r="V349" s="56"/>
      <c r="W349" s="56"/>
      <c r="X349" s="42" t="s">
        <v>2878</v>
      </c>
      <c r="Y349" s="43" t="s">
        <v>2879</v>
      </c>
      <c r="Z349" s="121" t="s">
        <v>2880</v>
      </c>
      <c r="AA349" s="45">
        <v>44650</v>
      </c>
      <c r="AB349" s="101" t="s">
        <v>30</v>
      </c>
      <c r="AC349" s="36"/>
      <c r="AD349" s="47" t="s">
        <v>49</v>
      </c>
      <c r="AE349" s="48" t="s">
        <v>41</v>
      </c>
      <c r="AF349" s="48" t="s">
        <v>41</v>
      </c>
      <c r="AG349" s="48" t="s">
        <v>49</v>
      </c>
      <c r="AH349" s="48" t="s">
        <v>49</v>
      </c>
      <c r="AI349" s="48" t="s">
        <v>49</v>
      </c>
      <c r="AJ349" s="49" t="s">
        <v>49</v>
      </c>
      <c r="AK349" s="48" t="s">
        <v>49</v>
      </c>
      <c r="AL349" s="62" t="s">
        <v>32</v>
      </c>
      <c r="AM349" s="59"/>
      <c r="AN349" s="10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1"/>
    </row>
    <row r="350" spans="1:51" x14ac:dyDescent="0.2">
      <c r="A350" s="33">
        <f t="shared" si="6"/>
        <v>345</v>
      </c>
      <c r="B350" s="34" t="s">
        <v>2881</v>
      </c>
      <c r="C350" s="35" t="s">
        <v>2882</v>
      </c>
      <c r="D350" s="36" t="s">
        <v>2883</v>
      </c>
      <c r="E350" s="36" t="s">
        <v>54</v>
      </c>
      <c r="F350" s="34" t="s">
        <v>2884</v>
      </c>
      <c r="G350" s="37" t="s">
        <v>73</v>
      </c>
      <c r="H350" s="37" t="s">
        <v>73</v>
      </c>
      <c r="I350" s="201" t="s">
        <v>2885</v>
      </c>
      <c r="J350" s="34" t="s">
        <v>41</v>
      </c>
      <c r="K350" s="39" t="s">
        <v>42</v>
      </c>
      <c r="L350" s="120">
        <v>43962</v>
      </c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42" t="s">
        <v>2886</v>
      </c>
      <c r="Y350" s="58" t="s">
        <v>2887</v>
      </c>
      <c r="Z350" s="121" t="s">
        <v>2888</v>
      </c>
      <c r="AA350" s="45">
        <v>44650</v>
      </c>
      <c r="AB350" s="101" t="s">
        <v>30</v>
      </c>
      <c r="AC350" s="36" t="s">
        <v>26</v>
      </c>
      <c r="AD350" s="61" t="s">
        <v>49</v>
      </c>
      <c r="AE350" s="48" t="s">
        <v>49</v>
      </c>
      <c r="AF350" s="48" t="s">
        <v>49</v>
      </c>
      <c r="AG350" s="48" t="s">
        <v>49</v>
      </c>
      <c r="AH350" s="48" t="s">
        <v>49</v>
      </c>
      <c r="AI350" s="48" t="s">
        <v>49</v>
      </c>
      <c r="AJ350" s="49" t="s">
        <v>49</v>
      </c>
      <c r="AK350" s="48" t="s">
        <v>41</v>
      </c>
      <c r="AL350" s="65" t="s">
        <v>148</v>
      </c>
      <c r="AM350" s="225"/>
      <c r="AN350" s="10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1"/>
    </row>
    <row r="351" spans="1:51" x14ac:dyDescent="0.2">
      <c r="A351" s="33">
        <f t="shared" si="6"/>
        <v>346</v>
      </c>
      <c r="B351" s="34" t="s">
        <v>2889</v>
      </c>
      <c r="C351" s="35" t="s">
        <v>2890</v>
      </c>
      <c r="D351" s="36" t="s">
        <v>2891</v>
      </c>
      <c r="E351" s="36" t="s">
        <v>36</v>
      </c>
      <c r="F351" s="34" t="s">
        <v>2892</v>
      </c>
      <c r="G351" s="37" t="s">
        <v>323</v>
      </c>
      <c r="H351" s="37" t="s">
        <v>39</v>
      </c>
      <c r="I351" s="201" t="s">
        <v>2893</v>
      </c>
      <c r="J351" s="34" t="s">
        <v>41</v>
      </c>
      <c r="K351" s="39" t="s">
        <v>42</v>
      </c>
      <c r="L351" s="120">
        <v>41585</v>
      </c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42" t="s">
        <v>2894</v>
      </c>
      <c r="Y351" s="83" t="s">
        <v>2895</v>
      </c>
      <c r="Z351" s="119" t="s">
        <v>2896</v>
      </c>
      <c r="AA351" s="45">
        <v>41793</v>
      </c>
      <c r="AB351" s="101" t="s">
        <v>30</v>
      </c>
      <c r="AC351" s="36" t="s">
        <v>26</v>
      </c>
      <c r="AD351" s="47" t="s">
        <v>49</v>
      </c>
      <c r="AE351" s="48" t="s">
        <v>49</v>
      </c>
      <c r="AF351" s="48" t="s">
        <v>49</v>
      </c>
      <c r="AG351" s="48" t="s">
        <v>49</v>
      </c>
      <c r="AH351" s="48" t="s">
        <v>49</v>
      </c>
      <c r="AI351" s="48" t="s">
        <v>49</v>
      </c>
      <c r="AJ351" s="49" t="s">
        <v>49</v>
      </c>
      <c r="AK351" s="48" t="s">
        <v>41</v>
      </c>
      <c r="AL351" s="62" t="s">
        <v>148</v>
      </c>
      <c r="AM351" s="59"/>
      <c r="AN351" s="10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1"/>
    </row>
    <row r="352" spans="1:51" x14ac:dyDescent="0.2">
      <c r="A352" s="33">
        <f t="shared" si="6"/>
        <v>347</v>
      </c>
      <c r="B352" s="34" t="s">
        <v>2897</v>
      </c>
      <c r="C352" s="35" t="s">
        <v>2898</v>
      </c>
      <c r="D352" s="36" t="s">
        <v>2899</v>
      </c>
      <c r="E352" s="36" t="s">
        <v>54</v>
      </c>
      <c r="F352" s="226" t="s">
        <v>2900</v>
      </c>
      <c r="G352" s="37" t="s">
        <v>377</v>
      </c>
      <c r="H352" s="37" t="s">
        <v>378</v>
      </c>
      <c r="I352" s="34" t="s">
        <v>2901</v>
      </c>
      <c r="J352" s="34" t="s">
        <v>41</v>
      </c>
      <c r="K352" s="39" t="s">
        <v>42</v>
      </c>
      <c r="L352" s="99" t="s">
        <v>2902</v>
      </c>
      <c r="M352" s="115"/>
      <c r="N352" s="115"/>
      <c r="O352" s="115"/>
      <c r="P352" s="115"/>
      <c r="Q352" s="115"/>
      <c r="R352" s="115"/>
      <c r="S352" s="115"/>
      <c r="T352" s="56"/>
      <c r="U352" s="56"/>
      <c r="V352" s="56"/>
      <c r="W352" s="56"/>
      <c r="X352" s="42" t="s">
        <v>2903</v>
      </c>
      <c r="Y352" s="58" t="s">
        <v>2904</v>
      </c>
      <c r="Z352" s="44" t="s">
        <v>61</v>
      </c>
      <c r="AA352" s="45">
        <v>40280</v>
      </c>
      <c r="AB352" s="101" t="s">
        <v>30</v>
      </c>
      <c r="AC352" s="36" t="s">
        <v>26</v>
      </c>
      <c r="AD352" s="47" t="s">
        <v>49</v>
      </c>
      <c r="AE352" s="48" t="s">
        <v>49</v>
      </c>
      <c r="AF352" s="48" t="s">
        <v>49</v>
      </c>
      <c r="AG352" s="48" t="s">
        <v>49</v>
      </c>
      <c r="AH352" s="48" t="s">
        <v>49</v>
      </c>
      <c r="AI352" s="48" t="s">
        <v>49</v>
      </c>
      <c r="AJ352" s="49" t="s">
        <v>49</v>
      </c>
      <c r="AK352" s="48" t="s">
        <v>49</v>
      </c>
      <c r="AL352" s="65" t="s">
        <v>32</v>
      </c>
      <c r="AM352" s="59"/>
      <c r="AN352" s="117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1"/>
    </row>
    <row r="353" spans="1:51" x14ac:dyDescent="0.2">
      <c r="A353" s="33">
        <f t="shared" si="6"/>
        <v>348</v>
      </c>
      <c r="B353" s="122" t="s">
        <v>2905</v>
      </c>
      <c r="C353" s="123" t="s">
        <v>2906</v>
      </c>
      <c r="D353" s="202" t="s">
        <v>2907</v>
      </c>
      <c r="E353" s="36" t="s">
        <v>54</v>
      </c>
      <c r="F353" s="125" t="s">
        <v>2908</v>
      </c>
      <c r="G353" s="126" t="s">
        <v>4605</v>
      </c>
      <c r="H353" s="126" t="s">
        <v>205</v>
      </c>
      <c r="I353" s="127" t="s">
        <v>2909</v>
      </c>
      <c r="J353" s="122" t="s">
        <v>41</v>
      </c>
      <c r="K353" s="128" t="s">
        <v>42</v>
      </c>
      <c r="L353" s="163" t="s">
        <v>2910</v>
      </c>
      <c r="M353" s="130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42" t="s">
        <v>2911</v>
      </c>
      <c r="Y353" s="52" t="s">
        <v>2912</v>
      </c>
      <c r="Z353" s="44" t="s">
        <v>2913</v>
      </c>
      <c r="AA353" s="131">
        <v>42325</v>
      </c>
      <c r="AB353" s="164" t="s">
        <v>30</v>
      </c>
      <c r="AC353" s="36" t="s">
        <v>26</v>
      </c>
      <c r="AD353" s="133" t="s">
        <v>49</v>
      </c>
      <c r="AE353" s="48" t="s">
        <v>49</v>
      </c>
      <c r="AF353" s="48" t="s">
        <v>49</v>
      </c>
      <c r="AG353" s="48" t="s">
        <v>49</v>
      </c>
      <c r="AH353" s="48" t="s">
        <v>49</v>
      </c>
      <c r="AI353" s="48" t="s">
        <v>49</v>
      </c>
      <c r="AJ353" s="49" t="s">
        <v>49</v>
      </c>
      <c r="AK353" s="48" t="s">
        <v>41</v>
      </c>
      <c r="AL353" s="65" t="s">
        <v>148</v>
      </c>
      <c r="AM353" s="59"/>
      <c r="AN353" s="117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1"/>
    </row>
    <row r="354" spans="1:51" x14ac:dyDescent="0.2">
      <c r="A354" s="33">
        <f t="shared" si="6"/>
        <v>349</v>
      </c>
      <c r="B354" s="122" t="s">
        <v>2914</v>
      </c>
      <c r="C354" s="123" t="s">
        <v>2915</v>
      </c>
      <c r="D354" s="202" t="s">
        <v>2916</v>
      </c>
      <c r="E354" s="36" t="s">
        <v>54</v>
      </c>
      <c r="F354" s="122" t="s">
        <v>2917</v>
      </c>
      <c r="G354" s="126" t="s">
        <v>252</v>
      </c>
      <c r="H354" s="126" t="s">
        <v>57</v>
      </c>
      <c r="I354" s="122" t="s">
        <v>2918</v>
      </c>
      <c r="J354" s="122" t="s">
        <v>41</v>
      </c>
      <c r="K354" s="128" t="s">
        <v>42</v>
      </c>
      <c r="L354" s="163" t="s">
        <v>2437</v>
      </c>
      <c r="M354" s="130"/>
      <c r="N354" s="130"/>
      <c r="O354" s="130"/>
      <c r="P354" s="130"/>
      <c r="Q354" s="130"/>
      <c r="R354" s="130"/>
      <c r="S354" s="130"/>
      <c r="T354" s="130"/>
      <c r="U354" s="130" t="s">
        <v>732</v>
      </c>
      <c r="V354" s="130"/>
      <c r="W354" s="130"/>
      <c r="X354" s="42" t="s">
        <v>2919</v>
      </c>
      <c r="Y354" s="52" t="s">
        <v>2920</v>
      </c>
      <c r="Z354" s="44" t="s">
        <v>61</v>
      </c>
      <c r="AA354" s="131">
        <v>40815</v>
      </c>
      <c r="AB354" s="164" t="s">
        <v>30</v>
      </c>
      <c r="AC354" s="36" t="s">
        <v>26</v>
      </c>
      <c r="AD354" s="133" t="s">
        <v>49</v>
      </c>
      <c r="AE354" s="48" t="s">
        <v>49</v>
      </c>
      <c r="AF354" s="48" t="s">
        <v>49</v>
      </c>
      <c r="AG354" s="48" t="s">
        <v>49</v>
      </c>
      <c r="AH354" s="48" t="s">
        <v>49</v>
      </c>
      <c r="AI354" s="48" t="s">
        <v>49</v>
      </c>
      <c r="AJ354" s="49" t="s">
        <v>49</v>
      </c>
      <c r="AK354" s="48" t="s">
        <v>49</v>
      </c>
      <c r="AL354" s="62" t="s">
        <v>32</v>
      </c>
      <c r="AM354" s="134"/>
      <c r="AN354" s="10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1"/>
    </row>
    <row r="355" spans="1:51" ht="18.75" customHeight="1" x14ac:dyDescent="0.2">
      <c r="A355" s="33">
        <f t="shared" si="6"/>
        <v>350</v>
      </c>
      <c r="B355" s="122" t="s">
        <v>2921</v>
      </c>
      <c r="C355" s="123" t="s">
        <v>2922</v>
      </c>
      <c r="D355" s="202" t="s">
        <v>2923</v>
      </c>
      <c r="E355" s="36" t="s">
        <v>54</v>
      </c>
      <c r="F355" s="122" t="s">
        <v>2924</v>
      </c>
      <c r="G355" s="126" t="s">
        <v>39</v>
      </c>
      <c r="H355" s="126" t="s">
        <v>39</v>
      </c>
      <c r="I355" s="122" t="s">
        <v>2925</v>
      </c>
      <c r="J355" s="122" t="s">
        <v>41</v>
      </c>
      <c r="K355" s="128" t="s">
        <v>42</v>
      </c>
      <c r="L355" s="163" t="s">
        <v>1218</v>
      </c>
      <c r="M355" s="130"/>
      <c r="N355" s="130"/>
      <c r="O355" s="130"/>
      <c r="P355" s="130"/>
      <c r="Q355" s="130"/>
      <c r="R355" s="130" t="s">
        <v>44</v>
      </c>
      <c r="S355" s="130"/>
      <c r="T355" s="130"/>
      <c r="U355" s="130"/>
      <c r="V355" s="130"/>
      <c r="W355" s="130"/>
      <c r="X355" s="42" t="s">
        <v>2926</v>
      </c>
      <c r="Y355" s="43" t="s">
        <v>2927</v>
      </c>
      <c r="Z355" s="211" t="s">
        <v>2928</v>
      </c>
      <c r="AA355" s="45">
        <v>44944</v>
      </c>
      <c r="AB355" s="164" t="s">
        <v>30</v>
      </c>
      <c r="AC355" s="36"/>
      <c r="AD355" s="133" t="s">
        <v>49</v>
      </c>
      <c r="AE355" s="48" t="s">
        <v>41</v>
      </c>
      <c r="AF355" s="48" t="s">
        <v>49</v>
      </c>
      <c r="AG355" s="48" t="s">
        <v>49</v>
      </c>
      <c r="AH355" s="48" t="s">
        <v>49</v>
      </c>
      <c r="AI355" s="48" t="s">
        <v>49</v>
      </c>
      <c r="AJ355" s="49" t="s">
        <v>41</v>
      </c>
      <c r="AK355" s="48" t="s">
        <v>41</v>
      </c>
      <c r="AL355" s="62" t="s">
        <v>276</v>
      </c>
      <c r="AM355" s="134"/>
      <c r="AN355" s="10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1"/>
    </row>
    <row r="356" spans="1:51" x14ac:dyDescent="0.2">
      <c r="A356" s="33">
        <f t="shared" si="6"/>
        <v>351</v>
      </c>
      <c r="B356" s="34" t="s">
        <v>2929</v>
      </c>
      <c r="C356" s="35" t="s">
        <v>2930</v>
      </c>
      <c r="D356" s="36" t="s">
        <v>2931</v>
      </c>
      <c r="E356" s="36" t="s">
        <v>54</v>
      </c>
      <c r="F356" s="34" t="s">
        <v>2932</v>
      </c>
      <c r="G356" s="37" t="s">
        <v>73</v>
      </c>
      <c r="H356" s="37" t="s">
        <v>73</v>
      </c>
      <c r="I356" s="34" t="s">
        <v>2933</v>
      </c>
      <c r="J356" s="34" t="s">
        <v>2933</v>
      </c>
      <c r="K356" s="39" t="s">
        <v>42</v>
      </c>
      <c r="L356" s="120">
        <v>31054</v>
      </c>
      <c r="M356" s="41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42" t="s">
        <v>2934</v>
      </c>
      <c r="Y356" s="69" t="s">
        <v>2935</v>
      </c>
      <c r="Z356" s="44" t="s">
        <v>61</v>
      </c>
      <c r="AA356" s="45">
        <v>42325</v>
      </c>
      <c r="AB356" s="101" t="s">
        <v>30</v>
      </c>
      <c r="AC356" s="36" t="s">
        <v>26</v>
      </c>
      <c r="AD356" s="47" t="s">
        <v>49</v>
      </c>
      <c r="AE356" s="48" t="s">
        <v>49</v>
      </c>
      <c r="AF356" s="48" t="s">
        <v>49</v>
      </c>
      <c r="AG356" s="48" t="s">
        <v>49</v>
      </c>
      <c r="AH356" s="48" t="s">
        <v>49</v>
      </c>
      <c r="AI356" s="48" t="s">
        <v>49</v>
      </c>
      <c r="AJ356" s="49" t="s">
        <v>49</v>
      </c>
      <c r="AK356" s="48" t="s">
        <v>49</v>
      </c>
      <c r="AL356" s="62" t="s">
        <v>32</v>
      </c>
      <c r="AM356" s="59"/>
      <c r="AN356" s="10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1"/>
    </row>
    <row r="357" spans="1:51" x14ac:dyDescent="0.2">
      <c r="A357" s="33">
        <f t="shared" si="6"/>
        <v>352</v>
      </c>
      <c r="B357" s="34" t="s">
        <v>2936</v>
      </c>
      <c r="C357" s="35" t="s">
        <v>2937</v>
      </c>
      <c r="D357" s="36" t="s">
        <v>2938</v>
      </c>
      <c r="E357" s="36" t="s">
        <v>36</v>
      </c>
      <c r="F357" s="34" t="s">
        <v>2939</v>
      </c>
      <c r="G357" s="37" t="s">
        <v>39</v>
      </c>
      <c r="H357" s="37" t="s">
        <v>39</v>
      </c>
      <c r="I357" s="38" t="s">
        <v>2940</v>
      </c>
      <c r="J357" s="34" t="s">
        <v>41</v>
      </c>
      <c r="K357" s="39" t="s">
        <v>42</v>
      </c>
      <c r="L357" s="120" t="s">
        <v>2941</v>
      </c>
      <c r="M357" s="41"/>
      <c r="N357" s="41"/>
      <c r="O357" s="41"/>
      <c r="P357" s="41"/>
      <c r="Q357" s="112"/>
      <c r="R357" s="112" t="s">
        <v>44</v>
      </c>
      <c r="S357" s="112"/>
      <c r="T357" s="41"/>
      <c r="U357" s="41"/>
      <c r="V357" s="41"/>
      <c r="W357" s="41"/>
      <c r="X357" s="42" t="s">
        <v>2942</v>
      </c>
      <c r="Y357" s="83" t="s">
        <v>2943</v>
      </c>
      <c r="Z357" s="84" t="s">
        <v>2944</v>
      </c>
      <c r="AA357" s="45">
        <v>44650</v>
      </c>
      <c r="AB357" s="101" t="s">
        <v>30</v>
      </c>
      <c r="AC357" s="36"/>
      <c r="AD357" s="47" t="s">
        <v>49</v>
      </c>
      <c r="AE357" s="48" t="s">
        <v>41</v>
      </c>
      <c r="AF357" s="48" t="s">
        <v>49</v>
      </c>
      <c r="AG357" s="48" t="s">
        <v>49</v>
      </c>
      <c r="AH357" s="48" t="s">
        <v>49</v>
      </c>
      <c r="AI357" s="48" t="s">
        <v>49</v>
      </c>
      <c r="AJ357" s="49" t="s">
        <v>49</v>
      </c>
      <c r="AK357" s="48" t="s">
        <v>49</v>
      </c>
      <c r="AL357" s="62" t="s">
        <v>32</v>
      </c>
      <c r="AM357" s="59"/>
      <c r="AN357" s="10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1"/>
    </row>
    <row r="358" spans="1:51" x14ac:dyDescent="0.2">
      <c r="A358" s="33">
        <f t="shared" si="6"/>
        <v>353</v>
      </c>
      <c r="B358" s="34" t="s">
        <v>2945</v>
      </c>
      <c r="C358" s="35" t="s">
        <v>2946</v>
      </c>
      <c r="D358" s="36" t="s">
        <v>2947</v>
      </c>
      <c r="E358" s="36" t="s">
        <v>54</v>
      </c>
      <c r="F358" s="34" t="s">
        <v>2948</v>
      </c>
      <c r="G358" s="37" t="s">
        <v>39</v>
      </c>
      <c r="H358" s="37" t="s">
        <v>39</v>
      </c>
      <c r="I358" s="107">
        <v>8562651324</v>
      </c>
      <c r="J358" s="34" t="s">
        <v>41</v>
      </c>
      <c r="K358" s="39" t="s">
        <v>42</v>
      </c>
      <c r="L358" s="99" t="s">
        <v>2742</v>
      </c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42" t="s">
        <v>2949</v>
      </c>
      <c r="Y358" s="52" t="s">
        <v>2950</v>
      </c>
      <c r="Z358" s="44" t="s">
        <v>2951</v>
      </c>
      <c r="AA358" s="45">
        <v>42935</v>
      </c>
      <c r="AB358" s="101" t="s">
        <v>30</v>
      </c>
      <c r="AC358" s="36" t="s">
        <v>26</v>
      </c>
      <c r="AD358" s="47" t="s">
        <v>49</v>
      </c>
      <c r="AE358" s="48" t="s">
        <v>49</v>
      </c>
      <c r="AF358" s="48" t="s">
        <v>49</v>
      </c>
      <c r="AG358" s="48" t="s">
        <v>49</v>
      </c>
      <c r="AH358" s="48" t="s">
        <v>49</v>
      </c>
      <c r="AI358" s="48" t="s">
        <v>49</v>
      </c>
      <c r="AJ358" s="49" t="s">
        <v>49</v>
      </c>
      <c r="AK358" s="48" t="s">
        <v>49</v>
      </c>
      <c r="AL358" s="62" t="s">
        <v>32</v>
      </c>
      <c r="AM358" s="59"/>
      <c r="AN358" s="10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1"/>
    </row>
    <row r="359" spans="1:51" x14ac:dyDescent="0.2">
      <c r="A359" s="33">
        <f t="shared" si="6"/>
        <v>354</v>
      </c>
      <c r="B359" s="34" t="s">
        <v>2952</v>
      </c>
      <c r="C359" s="35" t="s">
        <v>2953</v>
      </c>
      <c r="D359" s="36" t="s">
        <v>2954</v>
      </c>
      <c r="E359" s="36" t="s">
        <v>36</v>
      </c>
      <c r="F359" s="108" t="s">
        <v>2955</v>
      </c>
      <c r="G359" s="37" t="s">
        <v>73</v>
      </c>
      <c r="H359" s="37" t="s">
        <v>73</v>
      </c>
      <c r="I359" s="108" t="s">
        <v>2956</v>
      </c>
      <c r="J359" s="108" t="s">
        <v>41</v>
      </c>
      <c r="K359" s="39" t="s">
        <v>42</v>
      </c>
      <c r="L359" s="99" t="s">
        <v>2957</v>
      </c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42" t="s">
        <v>2958</v>
      </c>
      <c r="Y359" s="43" t="s">
        <v>2959</v>
      </c>
      <c r="Z359" s="43"/>
      <c r="AA359" s="43" t="s">
        <v>47</v>
      </c>
      <c r="AB359" s="101"/>
      <c r="AC359" s="36"/>
      <c r="AD359" s="47" t="s">
        <v>49</v>
      </c>
      <c r="AE359" s="48" t="s">
        <v>49</v>
      </c>
      <c r="AF359" s="48" t="s">
        <v>49</v>
      </c>
      <c r="AG359" s="48" t="s">
        <v>49</v>
      </c>
      <c r="AH359" s="48" t="s">
        <v>41</v>
      </c>
      <c r="AI359" s="48" t="s">
        <v>41</v>
      </c>
      <c r="AJ359" s="49" t="s">
        <v>41</v>
      </c>
      <c r="AK359" s="48" t="s">
        <v>41</v>
      </c>
      <c r="AL359" s="62" t="s">
        <v>139</v>
      </c>
      <c r="AM359" s="59"/>
      <c r="AN359" s="10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1"/>
    </row>
    <row r="360" spans="1:51" x14ac:dyDescent="0.2">
      <c r="A360" s="33">
        <f t="shared" si="6"/>
        <v>355</v>
      </c>
      <c r="B360" s="34" t="s">
        <v>2960</v>
      </c>
      <c r="C360" s="35" t="s">
        <v>2961</v>
      </c>
      <c r="D360" s="36" t="s">
        <v>2962</v>
      </c>
      <c r="E360" s="36" t="s">
        <v>36</v>
      </c>
      <c r="F360" s="34" t="s">
        <v>2963</v>
      </c>
      <c r="G360" s="37" t="s">
        <v>73</v>
      </c>
      <c r="H360" s="37" t="s">
        <v>73</v>
      </c>
      <c r="I360" s="38" t="s">
        <v>2964</v>
      </c>
      <c r="J360" s="34" t="s">
        <v>41</v>
      </c>
      <c r="K360" s="39" t="s">
        <v>42</v>
      </c>
      <c r="L360" s="120">
        <v>44812</v>
      </c>
      <c r="M360" s="56" t="s">
        <v>179</v>
      </c>
      <c r="N360" s="56" t="s">
        <v>179</v>
      </c>
      <c r="O360" s="56"/>
      <c r="P360" s="56">
        <v>2</v>
      </c>
      <c r="Q360" s="56"/>
      <c r="R360" s="56"/>
      <c r="S360" s="56" t="s">
        <v>44</v>
      </c>
      <c r="T360" s="56"/>
      <c r="U360" s="56"/>
      <c r="V360" s="56"/>
      <c r="W360" s="56"/>
      <c r="X360" s="38" t="s">
        <v>2965</v>
      </c>
      <c r="Y360" s="43" t="s">
        <v>2966</v>
      </c>
      <c r="Z360" s="44"/>
      <c r="AA360" s="45"/>
      <c r="AB360" s="101"/>
      <c r="AC360" s="36"/>
      <c r="AD360" s="47" t="s">
        <v>49</v>
      </c>
      <c r="AE360" s="48" t="s">
        <v>41</v>
      </c>
      <c r="AF360" s="48" t="s">
        <v>41</v>
      </c>
      <c r="AG360" s="48" t="s">
        <v>49</v>
      </c>
      <c r="AH360" s="48" t="s">
        <v>49</v>
      </c>
      <c r="AI360" s="48" t="s">
        <v>49</v>
      </c>
      <c r="AJ360" s="49" t="s">
        <v>49</v>
      </c>
      <c r="AK360" s="48" t="s">
        <v>41</v>
      </c>
      <c r="AL360" s="62" t="s">
        <v>148</v>
      </c>
      <c r="AM360" s="59"/>
      <c r="AN360" s="10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1"/>
    </row>
    <row r="361" spans="1:51" x14ac:dyDescent="0.2">
      <c r="A361" s="33">
        <f t="shared" si="6"/>
        <v>356</v>
      </c>
      <c r="B361" s="34" t="s">
        <v>2967</v>
      </c>
      <c r="C361" s="35" t="s">
        <v>2968</v>
      </c>
      <c r="D361" s="36" t="s">
        <v>2969</v>
      </c>
      <c r="E361" s="36" t="s">
        <v>54</v>
      </c>
      <c r="F361" s="34" t="s">
        <v>2970</v>
      </c>
      <c r="G361" s="37" t="s">
        <v>73</v>
      </c>
      <c r="H361" s="37" t="s">
        <v>73</v>
      </c>
      <c r="I361" s="38" t="s">
        <v>2971</v>
      </c>
      <c r="J361" s="34" t="s">
        <v>41</v>
      </c>
      <c r="K361" s="39" t="s">
        <v>42</v>
      </c>
      <c r="L361" s="120">
        <v>43687</v>
      </c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42" t="s">
        <v>2972</v>
      </c>
      <c r="Y361" s="58" t="s">
        <v>2973</v>
      </c>
      <c r="Z361" s="44" t="s">
        <v>2974</v>
      </c>
      <c r="AA361" s="45">
        <v>44041</v>
      </c>
      <c r="AB361" s="101" t="s">
        <v>30</v>
      </c>
      <c r="AC361" s="36"/>
      <c r="AD361" s="47" t="s">
        <v>49</v>
      </c>
      <c r="AE361" s="48" t="s">
        <v>41</v>
      </c>
      <c r="AF361" s="48" t="s">
        <v>49</v>
      </c>
      <c r="AG361" s="48" t="s">
        <v>49</v>
      </c>
      <c r="AH361" s="48" t="s">
        <v>49</v>
      </c>
      <c r="AI361" s="48" t="s">
        <v>49</v>
      </c>
      <c r="AJ361" s="49" t="s">
        <v>49</v>
      </c>
      <c r="AK361" s="48" t="s">
        <v>49</v>
      </c>
      <c r="AL361" s="65" t="s">
        <v>32</v>
      </c>
      <c r="AM361" s="59"/>
      <c r="AN361" s="10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1"/>
    </row>
    <row r="362" spans="1:51" x14ac:dyDescent="0.2">
      <c r="A362" s="33">
        <f t="shared" si="6"/>
        <v>357</v>
      </c>
      <c r="B362" s="34" t="s">
        <v>2975</v>
      </c>
      <c r="C362" s="35" t="s">
        <v>2976</v>
      </c>
      <c r="D362" s="36" t="s">
        <v>2977</v>
      </c>
      <c r="E362" s="36" t="s">
        <v>54</v>
      </c>
      <c r="F362" s="34" t="s">
        <v>2978</v>
      </c>
      <c r="G362" s="37" t="s">
        <v>39</v>
      </c>
      <c r="H362" s="37" t="s">
        <v>39</v>
      </c>
      <c r="I362" s="34" t="s">
        <v>2979</v>
      </c>
      <c r="J362" s="34" t="s">
        <v>41</v>
      </c>
      <c r="K362" s="39" t="s">
        <v>42</v>
      </c>
      <c r="L362" s="99" t="s">
        <v>273</v>
      </c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42" t="s">
        <v>2980</v>
      </c>
      <c r="Y362" s="69" t="s">
        <v>2981</v>
      </c>
      <c r="Z362" s="44" t="s">
        <v>61</v>
      </c>
      <c r="AA362" s="45">
        <v>40280</v>
      </c>
      <c r="AB362" s="101" t="s">
        <v>30</v>
      </c>
      <c r="AC362" s="36" t="s">
        <v>26</v>
      </c>
      <c r="AD362" s="47" t="s">
        <v>49</v>
      </c>
      <c r="AE362" s="48" t="s">
        <v>49</v>
      </c>
      <c r="AF362" s="48" t="s">
        <v>49</v>
      </c>
      <c r="AG362" s="48" t="s">
        <v>49</v>
      </c>
      <c r="AH362" s="48" t="s">
        <v>49</v>
      </c>
      <c r="AI362" s="48" t="s">
        <v>49</v>
      </c>
      <c r="AJ362" s="49" t="s">
        <v>49</v>
      </c>
      <c r="AK362" s="48" t="s">
        <v>49</v>
      </c>
      <c r="AL362" s="62" t="s">
        <v>32</v>
      </c>
      <c r="AM362" s="59"/>
      <c r="AN362" s="10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1"/>
    </row>
    <row r="363" spans="1:51" x14ac:dyDescent="0.2">
      <c r="A363" s="33">
        <f t="shared" si="6"/>
        <v>358</v>
      </c>
      <c r="B363" s="34" t="s">
        <v>2982</v>
      </c>
      <c r="C363" s="35" t="s">
        <v>2983</v>
      </c>
      <c r="D363" s="36" t="s">
        <v>2984</v>
      </c>
      <c r="E363" s="36" t="s">
        <v>54</v>
      </c>
      <c r="F363" s="34" t="s">
        <v>2985</v>
      </c>
      <c r="G363" s="37" t="s">
        <v>73</v>
      </c>
      <c r="H363" s="37" t="s">
        <v>73</v>
      </c>
      <c r="I363" s="38" t="s">
        <v>2986</v>
      </c>
      <c r="J363" s="34" t="s">
        <v>41</v>
      </c>
      <c r="K363" s="39" t="s">
        <v>42</v>
      </c>
      <c r="L363" s="99" t="s">
        <v>2987</v>
      </c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42" t="s">
        <v>2988</v>
      </c>
      <c r="Y363" s="69" t="s">
        <v>2989</v>
      </c>
      <c r="Z363" s="44" t="s">
        <v>2990</v>
      </c>
      <c r="AA363" s="45">
        <v>43200</v>
      </c>
      <c r="AB363" s="101" t="s">
        <v>30</v>
      </c>
      <c r="AC363" s="36" t="s">
        <v>26</v>
      </c>
      <c r="AD363" s="47" t="s">
        <v>49</v>
      </c>
      <c r="AE363" s="48" t="s">
        <v>49</v>
      </c>
      <c r="AF363" s="48" t="s">
        <v>49</v>
      </c>
      <c r="AG363" s="48" t="s">
        <v>49</v>
      </c>
      <c r="AH363" s="48" t="s">
        <v>49</v>
      </c>
      <c r="AI363" s="48" t="s">
        <v>49</v>
      </c>
      <c r="AJ363" s="49" t="s">
        <v>49</v>
      </c>
      <c r="AK363" s="48" t="s">
        <v>41</v>
      </c>
      <c r="AL363" s="62" t="s">
        <v>148</v>
      </c>
      <c r="AM363" s="59"/>
      <c r="AN363" s="10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1"/>
    </row>
    <row r="364" spans="1:51" x14ac:dyDescent="0.2">
      <c r="A364" s="33">
        <f t="shared" si="6"/>
        <v>359</v>
      </c>
      <c r="B364" s="34" t="s">
        <v>2991</v>
      </c>
      <c r="C364" s="35" t="s">
        <v>2992</v>
      </c>
      <c r="D364" s="36" t="s">
        <v>2993</v>
      </c>
      <c r="E364" s="36" t="s">
        <v>54</v>
      </c>
      <c r="F364" s="34" t="s">
        <v>2994</v>
      </c>
      <c r="G364" s="37" t="s">
        <v>252</v>
      </c>
      <c r="H364" s="37" t="s">
        <v>57</v>
      </c>
      <c r="I364" s="38" t="s">
        <v>2995</v>
      </c>
      <c r="J364" s="34" t="s">
        <v>41</v>
      </c>
      <c r="K364" s="39" t="s">
        <v>42</v>
      </c>
      <c r="L364" s="120">
        <v>45330</v>
      </c>
      <c r="M364" s="115"/>
      <c r="N364" s="115"/>
      <c r="O364" s="115"/>
      <c r="P364" s="115"/>
      <c r="Q364" s="115"/>
      <c r="R364" s="115"/>
      <c r="S364" s="115"/>
      <c r="T364" s="56"/>
      <c r="U364" s="56" t="s">
        <v>44</v>
      </c>
      <c r="V364" s="56"/>
      <c r="W364" s="56"/>
      <c r="X364" s="42" t="s">
        <v>2996</v>
      </c>
      <c r="Y364" s="58" t="s">
        <v>2997</v>
      </c>
      <c r="Z364" s="44"/>
      <c r="AA364" s="45"/>
      <c r="AB364" s="101"/>
      <c r="AC364" s="36"/>
      <c r="AD364" s="47" t="s">
        <v>49</v>
      </c>
      <c r="AE364" s="48" t="s">
        <v>41</v>
      </c>
      <c r="AF364" s="48" t="s">
        <v>41</v>
      </c>
      <c r="AG364" s="48" t="s">
        <v>41</v>
      </c>
      <c r="AH364" s="48" t="s">
        <v>41</v>
      </c>
      <c r="AI364" s="48" t="s">
        <v>49</v>
      </c>
      <c r="AJ364" s="49" t="s">
        <v>41</v>
      </c>
      <c r="AK364" s="48" t="s">
        <v>41</v>
      </c>
      <c r="AL364" s="62" t="s">
        <v>276</v>
      </c>
      <c r="AM364" s="59"/>
      <c r="AN364" s="10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1"/>
    </row>
    <row r="365" spans="1:51" ht="17.25" customHeight="1" x14ac:dyDescent="0.2">
      <c r="A365" s="33">
        <f t="shared" si="6"/>
        <v>360</v>
      </c>
      <c r="B365" s="34" t="s">
        <v>2998</v>
      </c>
      <c r="C365" s="35" t="s">
        <v>2999</v>
      </c>
      <c r="D365" s="36" t="s">
        <v>3000</v>
      </c>
      <c r="E365" s="36" t="s">
        <v>54</v>
      </c>
      <c r="F365" s="34" t="s">
        <v>3001</v>
      </c>
      <c r="G365" s="37" t="s">
        <v>398</v>
      </c>
      <c r="H365" s="37" t="s">
        <v>205</v>
      </c>
      <c r="I365" s="34" t="s">
        <v>3002</v>
      </c>
      <c r="J365" s="34" t="s">
        <v>41</v>
      </c>
      <c r="K365" s="39" t="s">
        <v>42</v>
      </c>
      <c r="L365" s="99" t="s">
        <v>3003</v>
      </c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42" t="s">
        <v>3004</v>
      </c>
      <c r="Y365" s="58" t="s">
        <v>3005</v>
      </c>
      <c r="Z365" s="44" t="s">
        <v>61</v>
      </c>
      <c r="AA365" s="45">
        <v>40278</v>
      </c>
      <c r="AB365" s="101" t="s">
        <v>30</v>
      </c>
      <c r="AC365" s="36" t="s">
        <v>26</v>
      </c>
      <c r="AD365" s="47" t="s">
        <v>49</v>
      </c>
      <c r="AE365" s="48" t="s">
        <v>49</v>
      </c>
      <c r="AF365" s="48" t="s">
        <v>49</v>
      </c>
      <c r="AG365" s="48" t="s">
        <v>49</v>
      </c>
      <c r="AH365" s="48" t="s">
        <v>49</v>
      </c>
      <c r="AI365" s="48" t="s">
        <v>49</v>
      </c>
      <c r="AJ365" s="49" t="s">
        <v>49</v>
      </c>
      <c r="AK365" s="48" t="s">
        <v>49</v>
      </c>
      <c r="AL365" s="65" t="s">
        <v>32</v>
      </c>
      <c r="AM365" s="103"/>
      <c r="AN365" s="10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1"/>
    </row>
    <row r="366" spans="1:51" ht="17.25" customHeight="1" x14ac:dyDescent="0.2">
      <c r="A366" s="33">
        <f t="shared" si="6"/>
        <v>361</v>
      </c>
      <c r="B366" s="34" t="s">
        <v>3006</v>
      </c>
      <c r="C366" s="35" t="s">
        <v>3007</v>
      </c>
      <c r="D366" s="36" t="s">
        <v>3008</v>
      </c>
      <c r="E366" s="36" t="s">
        <v>54</v>
      </c>
      <c r="F366" s="226" t="s">
        <v>3009</v>
      </c>
      <c r="G366" s="37" t="s">
        <v>73</v>
      </c>
      <c r="H366" s="37" t="s">
        <v>73</v>
      </c>
      <c r="I366" s="34" t="s">
        <v>3010</v>
      </c>
      <c r="J366" s="34" t="s">
        <v>3011</v>
      </c>
      <c r="K366" s="39" t="s">
        <v>42</v>
      </c>
      <c r="L366" s="99" t="s">
        <v>3012</v>
      </c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42" t="s">
        <v>3013</v>
      </c>
      <c r="Y366" s="58" t="s">
        <v>3014</v>
      </c>
      <c r="Z366" s="119" t="s">
        <v>61</v>
      </c>
      <c r="AA366" s="45" t="s">
        <v>3015</v>
      </c>
      <c r="AB366" s="101" t="s">
        <v>30</v>
      </c>
      <c r="AC366" s="36"/>
      <c r="AD366" s="47" t="s">
        <v>49</v>
      </c>
      <c r="AE366" s="48" t="s">
        <v>41</v>
      </c>
      <c r="AF366" s="48" t="s">
        <v>41</v>
      </c>
      <c r="AG366" s="48" t="s">
        <v>41</v>
      </c>
      <c r="AH366" s="48" t="s">
        <v>41</v>
      </c>
      <c r="AI366" s="48" t="s">
        <v>41</v>
      </c>
      <c r="AJ366" s="49" t="s">
        <v>41</v>
      </c>
      <c r="AK366" s="48" t="s">
        <v>41</v>
      </c>
      <c r="AL366" s="65" t="s">
        <v>4588</v>
      </c>
      <c r="AM366" s="59"/>
      <c r="AN366" s="10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1"/>
    </row>
    <row r="367" spans="1:51" ht="17.25" customHeight="1" x14ac:dyDescent="0.2">
      <c r="A367" s="33">
        <f t="shared" si="6"/>
        <v>362</v>
      </c>
      <c r="B367" s="34" t="s">
        <v>3016</v>
      </c>
      <c r="C367" s="35" t="s">
        <v>3017</v>
      </c>
      <c r="D367" s="36" t="s">
        <v>3018</v>
      </c>
      <c r="E367" s="36" t="s">
        <v>36</v>
      </c>
      <c r="F367" s="226" t="s">
        <v>3019</v>
      </c>
      <c r="G367" s="37" t="s">
        <v>350</v>
      </c>
      <c r="H367" s="37" t="s">
        <v>350</v>
      </c>
      <c r="I367" s="38" t="s">
        <v>3020</v>
      </c>
      <c r="J367" s="34" t="s">
        <v>41</v>
      </c>
      <c r="K367" s="39" t="s">
        <v>42</v>
      </c>
      <c r="L367" s="120">
        <v>44573</v>
      </c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42" t="s">
        <v>3021</v>
      </c>
      <c r="Y367" s="58" t="s">
        <v>3022</v>
      </c>
      <c r="Z367" s="207" t="s">
        <v>3023</v>
      </c>
      <c r="AA367" s="45">
        <v>44944</v>
      </c>
      <c r="AB367" s="101" t="s">
        <v>30</v>
      </c>
      <c r="AC367" s="36"/>
      <c r="AD367" s="47" t="s">
        <v>49</v>
      </c>
      <c r="AE367" s="48" t="s">
        <v>41</v>
      </c>
      <c r="AF367" s="48" t="s">
        <v>41</v>
      </c>
      <c r="AG367" s="48" t="s">
        <v>49</v>
      </c>
      <c r="AH367" s="48" t="s">
        <v>49</v>
      </c>
      <c r="AI367" s="48" t="s">
        <v>41</v>
      </c>
      <c r="AJ367" s="49" t="s">
        <v>41</v>
      </c>
      <c r="AK367" s="48" t="s">
        <v>41</v>
      </c>
      <c r="AL367" s="65" t="s">
        <v>4589</v>
      </c>
      <c r="AM367" s="59"/>
      <c r="AN367" s="10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1"/>
    </row>
    <row r="368" spans="1:51" ht="17.25" customHeight="1" x14ac:dyDescent="0.2">
      <c r="A368" s="33">
        <f t="shared" si="6"/>
        <v>363</v>
      </c>
      <c r="B368" s="34" t="s">
        <v>3024</v>
      </c>
      <c r="C368" s="35" t="s">
        <v>3025</v>
      </c>
      <c r="D368" s="36" t="s">
        <v>3026</v>
      </c>
      <c r="E368" s="36" t="s">
        <v>54</v>
      </c>
      <c r="F368" s="34" t="s">
        <v>3027</v>
      </c>
      <c r="G368" s="37" t="s">
        <v>252</v>
      </c>
      <c r="H368" s="37" t="s">
        <v>57</v>
      </c>
      <c r="I368" s="34" t="s">
        <v>3028</v>
      </c>
      <c r="J368" s="34" t="s">
        <v>3028</v>
      </c>
      <c r="K368" s="39" t="s">
        <v>42</v>
      </c>
      <c r="L368" s="99" t="s">
        <v>3029</v>
      </c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2" t="s">
        <v>3030</v>
      </c>
      <c r="Y368" s="58" t="s">
        <v>3031</v>
      </c>
      <c r="Z368" s="119" t="s">
        <v>61</v>
      </c>
      <c r="AA368" s="45">
        <v>40815</v>
      </c>
      <c r="AB368" s="101" t="s">
        <v>30</v>
      </c>
      <c r="AC368" s="36" t="s">
        <v>26</v>
      </c>
      <c r="AD368" s="47" t="s">
        <v>49</v>
      </c>
      <c r="AE368" s="48" t="s">
        <v>49</v>
      </c>
      <c r="AF368" s="48" t="s">
        <v>49</v>
      </c>
      <c r="AG368" s="48" t="s">
        <v>49</v>
      </c>
      <c r="AH368" s="48" t="s">
        <v>49</v>
      </c>
      <c r="AI368" s="48" t="s">
        <v>49</v>
      </c>
      <c r="AJ368" s="49" t="s">
        <v>49</v>
      </c>
      <c r="AK368" s="48" t="s">
        <v>49</v>
      </c>
      <c r="AL368" s="62" t="s">
        <v>32</v>
      </c>
      <c r="AM368" s="59"/>
      <c r="AN368" s="10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1"/>
    </row>
    <row r="369" spans="1:51" x14ac:dyDescent="0.2">
      <c r="A369" s="33">
        <f t="shared" si="6"/>
        <v>364</v>
      </c>
      <c r="B369" s="34" t="s">
        <v>3032</v>
      </c>
      <c r="C369" s="35" t="s">
        <v>3033</v>
      </c>
      <c r="D369" s="36" t="s">
        <v>3034</v>
      </c>
      <c r="E369" s="36" t="s">
        <v>54</v>
      </c>
      <c r="F369" s="34" t="s">
        <v>3035</v>
      </c>
      <c r="G369" s="37" t="s">
        <v>747</v>
      </c>
      <c r="H369" s="37" t="s">
        <v>378</v>
      </c>
      <c r="I369" s="38" t="s">
        <v>3036</v>
      </c>
      <c r="J369" s="34" t="s">
        <v>41</v>
      </c>
      <c r="K369" s="39" t="s">
        <v>42</v>
      </c>
      <c r="L369" s="120">
        <v>45798</v>
      </c>
      <c r="M369" s="41"/>
      <c r="N369" s="41"/>
      <c r="O369" s="41"/>
      <c r="P369" s="41"/>
      <c r="Q369" s="41"/>
      <c r="R369" s="41"/>
      <c r="S369" s="41"/>
      <c r="T369" s="41"/>
      <c r="U369" s="41"/>
      <c r="V369" s="41" t="s">
        <v>44</v>
      </c>
      <c r="W369" s="41"/>
      <c r="X369" s="38" t="s">
        <v>3037</v>
      </c>
      <c r="Y369" s="58" t="s">
        <v>3038</v>
      </c>
      <c r="Z369" s="224"/>
      <c r="AA369" s="45"/>
      <c r="AB369" s="101"/>
      <c r="AC369" s="36"/>
      <c r="AD369" s="47" t="s">
        <v>49</v>
      </c>
      <c r="AE369" s="48" t="s">
        <v>41</v>
      </c>
      <c r="AF369" s="48" t="s">
        <v>41</v>
      </c>
      <c r="AG369" s="48" t="s">
        <v>41</v>
      </c>
      <c r="AH369" s="48" t="s">
        <v>41</v>
      </c>
      <c r="AI369" s="48" t="s">
        <v>41</v>
      </c>
      <c r="AJ369" s="49" t="s">
        <v>49</v>
      </c>
      <c r="AK369" s="48" t="s">
        <v>49</v>
      </c>
      <c r="AL369" s="62" t="s">
        <v>32</v>
      </c>
      <c r="AM369" s="59"/>
      <c r="AN369" s="10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1"/>
    </row>
    <row r="370" spans="1:51" x14ac:dyDescent="0.2">
      <c r="A370" s="33">
        <f t="shared" si="6"/>
        <v>365</v>
      </c>
      <c r="B370" s="34" t="s">
        <v>3039</v>
      </c>
      <c r="C370" s="35" t="s">
        <v>3040</v>
      </c>
      <c r="D370" s="36" t="s">
        <v>3041</v>
      </c>
      <c r="E370" s="36" t="s">
        <v>36</v>
      </c>
      <c r="F370" s="87" t="s">
        <v>3042</v>
      </c>
      <c r="G370" s="37" t="s">
        <v>56</v>
      </c>
      <c r="H370" s="37" t="s">
        <v>57</v>
      </c>
      <c r="I370" s="183" t="s">
        <v>3043</v>
      </c>
      <c r="J370" s="34"/>
      <c r="K370" s="39" t="s">
        <v>42</v>
      </c>
      <c r="L370" s="99" t="s">
        <v>3044</v>
      </c>
      <c r="M370" s="41"/>
      <c r="N370" s="41"/>
      <c r="O370" s="41"/>
      <c r="P370" s="41"/>
      <c r="Q370" s="41"/>
      <c r="R370" s="41"/>
      <c r="S370" s="41" t="s">
        <v>44</v>
      </c>
      <c r="T370" s="41"/>
      <c r="U370" s="41"/>
      <c r="V370" s="41"/>
      <c r="W370" s="41"/>
      <c r="X370" s="42" t="s">
        <v>3045</v>
      </c>
      <c r="Y370" s="58" t="s">
        <v>3046</v>
      </c>
      <c r="Z370" s="121" t="s">
        <v>3047</v>
      </c>
      <c r="AA370" s="45">
        <v>44650</v>
      </c>
      <c r="AB370" s="101" t="s">
        <v>30</v>
      </c>
      <c r="AC370" s="36"/>
      <c r="AD370" s="47" t="s">
        <v>49</v>
      </c>
      <c r="AE370" s="48" t="s">
        <v>41</v>
      </c>
      <c r="AF370" s="48" t="s">
        <v>41</v>
      </c>
      <c r="AG370" s="48" t="s">
        <v>49</v>
      </c>
      <c r="AH370" s="48" t="s">
        <v>49</v>
      </c>
      <c r="AI370" s="48" t="s">
        <v>49</v>
      </c>
      <c r="AJ370" s="49" t="s">
        <v>49</v>
      </c>
      <c r="AK370" s="48" t="s">
        <v>41</v>
      </c>
      <c r="AL370" s="62" t="s">
        <v>148</v>
      </c>
      <c r="AM370" s="59"/>
      <c r="AN370" s="10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1"/>
    </row>
    <row r="371" spans="1:51" x14ac:dyDescent="0.2">
      <c r="A371" s="33">
        <f t="shared" si="6"/>
        <v>366</v>
      </c>
      <c r="B371" s="52" t="s">
        <v>3048</v>
      </c>
      <c r="C371" s="150" t="s">
        <v>3049</v>
      </c>
      <c r="D371" s="73" t="s">
        <v>3050</v>
      </c>
      <c r="E371" s="36" t="s">
        <v>54</v>
      </c>
      <c r="F371" s="52" t="s">
        <v>3051</v>
      </c>
      <c r="G371" s="37" t="s">
        <v>456</v>
      </c>
      <c r="H371" s="37" t="s">
        <v>187</v>
      </c>
      <c r="I371" s="52" t="s">
        <v>3052</v>
      </c>
      <c r="J371" s="34" t="s">
        <v>41</v>
      </c>
      <c r="K371" s="39" t="s">
        <v>42</v>
      </c>
      <c r="L371" s="227" t="s">
        <v>3053</v>
      </c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42" t="s">
        <v>3054</v>
      </c>
      <c r="Y371" s="58" t="s">
        <v>3055</v>
      </c>
      <c r="Z371" s="44" t="s">
        <v>3056</v>
      </c>
      <c r="AA371" s="153">
        <v>43200</v>
      </c>
      <c r="AB371" s="101" t="s">
        <v>30</v>
      </c>
      <c r="AC371" s="73" t="s">
        <v>26</v>
      </c>
      <c r="AD371" s="47" t="s">
        <v>49</v>
      </c>
      <c r="AE371" s="48" t="s">
        <v>49</v>
      </c>
      <c r="AF371" s="48" t="s">
        <v>49</v>
      </c>
      <c r="AG371" s="48" t="s">
        <v>49</v>
      </c>
      <c r="AH371" s="48" t="s">
        <v>49</v>
      </c>
      <c r="AI371" s="48" t="s">
        <v>49</v>
      </c>
      <c r="AJ371" s="49" t="s">
        <v>49</v>
      </c>
      <c r="AK371" s="48" t="s">
        <v>49</v>
      </c>
      <c r="AL371" s="62" t="s">
        <v>32</v>
      </c>
      <c r="AM371" s="59"/>
      <c r="AN371" s="10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1"/>
    </row>
    <row r="372" spans="1:51" x14ac:dyDescent="0.2">
      <c r="A372" s="33">
        <f t="shared" si="6"/>
        <v>367</v>
      </c>
      <c r="B372" s="34" t="s">
        <v>3057</v>
      </c>
      <c r="C372" s="35" t="s">
        <v>3058</v>
      </c>
      <c r="D372" s="36" t="s">
        <v>3059</v>
      </c>
      <c r="E372" s="36" t="s">
        <v>54</v>
      </c>
      <c r="F372" s="34" t="s">
        <v>3060</v>
      </c>
      <c r="G372" s="37" t="s">
        <v>252</v>
      </c>
      <c r="H372" s="37" t="s">
        <v>57</v>
      </c>
      <c r="I372" s="34" t="s">
        <v>3061</v>
      </c>
      <c r="J372" s="34" t="s">
        <v>41</v>
      </c>
      <c r="K372" s="39" t="s">
        <v>42</v>
      </c>
      <c r="L372" s="99" t="s">
        <v>2437</v>
      </c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42" t="s">
        <v>1896</v>
      </c>
      <c r="Y372" s="58" t="s">
        <v>3062</v>
      </c>
      <c r="Z372" s="44" t="s">
        <v>61</v>
      </c>
      <c r="AA372" s="45">
        <v>40815</v>
      </c>
      <c r="AB372" s="101" t="s">
        <v>30</v>
      </c>
      <c r="AC372" s="36" t="s">
        <v>26</v>
      </c>
      <c r="AD372" s="47" t="s">
        <v>49</v>
      </c>
      <c r="AE372" s="48" t="s">
        <v>49</v>
      </c>
      <c r="AF372" s="48" t="s">
        <v>49</v>
      </c>
      <c r="AG372" s="48" t="s">
        <v>49</v>
      </c>
      <c r="AH372" s="48" t="s">
        <v>49</v>
      </c>
      <c r="AI372" s="48" t="s">
        <v>49</v>
      </c>
      <c r="AJ372" s="49" t="s">
        <v>49</v>
      </c>
      <c r="AK372" s="48" t="s">
        <v>41</v>
      </c>
      <c r="AL372" s="62" t="s">
        <v>148</v>
      </c>
      <c r="AM372" s="59"/>
      <c r="AN372" s="10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1"/>
    </row>
    <row r="373" spans="1:51" x14ac:dyDescent="0.2">
      <c r="A373" s="33">
        <f t="shared" si="6"/>
        <v>368</v>
      </c>
      <c r="B373" s="34" t="s">
        <v>3063</v>
      </c>
      <c r="C373" s="35" t="s">
        <v>3064</v>
      </c>
      <c r="D373" s="36" t="s">
        <v>3065</v>
      </c>
      <c r="E373" s="36" t="s">
        <v>54</v>
      </c>
      <c r="F373" s="34" t="s">
        <v>3066</v>
      </c>
      <c r="G373" s="37" t="s">
        <v>38</v>
      </c>
      <c r="H373" s="37" t="s">
        <v>39</v>
      </c>
      <c r="I373" s="38" t="s">
        <v>3067</v>
      </c>
      <c r="J373" s="34" t="s">
        <v>41</v>
      </c>
      <c r="K373" s="39" t="s">
        <v>42</v>
      </c>
      <c r="L373" s="99" t="s">
        <v>1869</v>
      </c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42" t="s">
        <v>3068</v>
      </c>
      <c r="Y373" s="52" t="s">
        <v>3069</v>
      </c>
      <c r="Z373" s="44" t="s">
        <v>61</v>
      </c>
      <c r="AA373" s="45">
        <v>39286</v>
      </c>
      <c r="AB373" s="101" t="s">
        <v>30</v>
      </c>
      <c r="AC373" s="36" t="s">
        <v>26</v>
      </c>
      <c r="AD373" s="47" t="s">
        <v>49</v>
      </c>
      <c r="AE373" s="48" t="s">
        <v>49</v>
      </c>
      <c r="AF373" s="48" t="s">
        <v>49</v>
      </c>
      <c r="AG373" s="48" t="s">
        <v>49</v>
      </c>
      <c r="AH373" s="48" t="s">
        <v>49</v>
      </c>
      <c r="AI373" s="48" t="s">
        <v>49</v>
      </c>
      <c r="AJ373" s="49" t="s">
        <v>49</v>
      </c>
      <c r="AK373" s="48" t="s">
        <v>49</v>
      </c>
      <c r="AL373" s="62" t="s">
        <v>32</v>
      </c>
      <c r="AM373" s="59"/>
      <c r="AN373" s="10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1"/>
    </row>
    <row r="374" spans="1:51" x14ac:dyDescent="0.2">
      <c r="A374" s="33">
        <f t="shared" si="6"/>
        <v>369</v>
      </c>
      <c r="B374" s="34" t="s">
        <v>3070</v>
      </c>
      <c r="C374" s="35" t="s">
        <v>3071</v>
      </c>
      <c r="D374" s="36" t="s">
        <v>3072</v>
      </c>
      <c r="E374" s="36" t="s">
        <v>54</v>
      </c>
      <c r="F374" s="34" t="s">
        <v>3073</v>
      </c>
      <c r="G374" s="37" t="s">
        <v>39</v>
      </c>
      <c r="H374" s="37" t="s">
        <v>39</v>
      </c>
      <c r="I374" s="34" t="s">
        <v>3074</v>
      </c>
      <c r="J374" s="34" t="s">
        <v>3075</v>
      </c>
      <c r="K374" s="39" t="s">
        <v>42</v>
      </c>
      <c r="L374" s="99" t="s">
        <v>3076</v>
      </c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42" t="s">
        <v>3077</v>
      </c>
      <c r="Y374" s="58" t="s">
        <v>3078</v>
      </c>
      <c r="Z374" s="44" t="s">
        <v>3079</v>
      </c>
      <c r="AA374" s="45">
        <v>42325</v>
      </c>
      <c r="AB374" s="101" t="s">
        <v>30</v>
      </c>
      <c r="AC374" s="36" t="s">
        <v>26</v>
      </c>
      <c r="AD374" s="47" t="s">
        <v>49</v>
      </c>
      <c r="AE374" s="48" t="s">
        <v>49</v>
      </c>
      <c r="AF374" s="48" t="s">
        <v>49</v>
      </c>
      <c r="AG374" s="48" t="s">
        <v>49</v>
      </c>
      <c r="AH374" s="48" t="s">
        <v>41</v>
      </c>
      <c r="AI374" s="48" t="s">
        <v>41</v>
      </c>
      <c r="AJ374" s="49" t="s">
        <v>41</v>
      </c>
      <c r="AK374" s="48" t="s">
        <v>41</v>
      </c>
      <c r="AL374" s="65" t="s">
        <v>139</v>
      </c>
      <c r="AM374" s="59"/>
      <c r="AN374" s="10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1"/>
    </row>
    <row r="375" spans="1:51" x14ac:dyDescent="0.2">
      <c r="A375" s="33">
        <f t="shared" si="6"/>
        <v>370</v>
      </c>
      <c r="B375" s="34" t="s">
        <v>3080</v>
      </c>
      <c r="C375" s="35" t="s">
        <v>3081</v>
      </c>
      <c r="D375" s="36" t="s">
        <v>3082</v>
      </c>
      <c r="E375" s="36" t="s">
        <v>36</v>
      </c>
      <c r="F375" s="34" t="s">
        <v>3083</v>
      </c>
      <c r="G375" s="37" t="s">
        <v>73</v>
      </c>
      <c r="H375" s="37" t="s">
        <v>73</v>
      </c>
      <c r="I375" s="34" t="s">
        <v>3084</v>
      </c>
      <c r="J375" s="34" t="s">
        <v>3084</v>
      </c>
      <c r="K375" s="39" t="s">
        <v>42</v>
      </c>
      <c r="L375" s="99" t="s">
        <v>3085</v>
      </c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2" t="s">
        <v>3086</v>
      </c>
      <c r="Y375" s="58" t="s">
        <v>3087</v>
      </c>
      <c r="Z375" s="44" t="s">
        <v>61</v>
      </c>
      <c r="AA375" s="45">
        <v>36641</v>
      </c>
      <c r="AB375" s="101" t="s">
        <v>30</v>
      </c>
      <c r="AC375" s="36"/>
      <c r="AD375" s="47" t="s">
        <v>49</v>
      </c>
      <c r="AE375" s="48" t="s">
        <v>41</v>
      </c>
      <c r="AF375" s="48" t="s">
        <v>41</v>
      </c>
      <c r="AG375" s="48" t="s">
        <v>41</v>
      </c>
      <c r="AH375" s="48" t="s">
        <v>41</v>
      </c>
      <c r="AI375" s="48" t="s">
        <v>41</v>
      </c>
      <c r="AJ375" s="49" t="s">
        <v>41</v>
      </c>
      <c r="AK375" s="48" t="s">
        <v>41</v>
      </c>
      <c r="AL375" s="65" t="s">
        <v>4592</v>
      </c>
      <c r="AM375" s="59" t="s">
        <v>3088</v>
      </c>
      <c r="AN375" s="10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1"/>
    </row>
    <row r="376" spans="1:51" x14ac:dyDescent="0.2">
      <c r="A376" s="33">
        <f t="shared" si="6"/>
        <v>371</v>
      </c>
      <c r="B376" s="34" t="s">
        <v>3089</v>
      </c>
      <c r="C376" s="35" t="s">
        <v>3090</v>
      </c>
      <c r="D376" s="73" t="s">
        <v>3091</v>
      </c>
      <c r="E376" s="36" t="s">
        <v>54</v>
      </c>
      <c r="F376" s="98" t="s">
        <v>3092</v>
      </c>
      <c r="G376" s="37" t="s">
        <v>73</v>
      </c>
      <c r="H376" s="37" t="s">
        <v>73</v>
      </c>
      <c r="I376" s="34" t="s">
        <v>3093</v>
      </c>
      <c r="J376" s="34" t="s">
        <v>3093</v>
      </c>
      <c r="K376" s="39" t="s">
        <v>42</v>
      </c>
      <c r="L376" s="120">
        <v>30348</v>
      </c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2" t="s">
        <v>3094</v>
      </c>
      <c r="Y376" s="58" t="s">
        <v>3095</v>
      </c>
      <c r="Z376" s="44" t="s">
        <v>61</v>
      </c>
      <c r="AA376" s="45">
        <v>36641</v>
      </c>
      <c r="AB376" s="101" t="s">
        <v>30</v>
      </c>
      <c r="AC376" s="73"/>
      <c r="AD376" s="47" t="s">
        <v>49</v>
      </c>
      <c r="AE376" s="48" t="s">
        <v>41</v>
      </c>
      <c r="AF376" s="48" t="s">
        <v>41</v>
      </c>
      <c r="AG376" s="48" t="s">
        <v>41</v>
      </c>
      <c r="AH376" s="48" t="s">
        <v>41</v>
      </c>
      <c r="AI376" s="48" t="s">
        <v>41</v>
      </c>
      <c r="AJ376" s="49" t="s">
        <v>41</v>
      </c>
      <c r="AK376" s="48" t="s">
        <v>41</v>
      </c>
      <c r="AL376" s="65" t="s">
        <v>4591</v>
      </c>
      <c r="AM376" s="59" t="s">
        <v>2211</v>
      </c>
      <c r="AN376" s="10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1"/>
    </row>
    <row r="377" spans="1:51" x14ac:dyDescent="0.2">
      <c r="A377" s="33">
        <f t="shared" si="6"/>
        <v>372</v>
      </c>
      <c r="B377" s="72" t="s">
        <v>3096</v>
      </c>
      <c r="C377" s="35" t="s">
        <v>3097</v>
      </c>
      <c r="D377" s="154" t="s">
        <v>3098</v>
      </c>
      <c r="E377" s="36" t="s">
        <v>54</v>
      </c>
      <c r="F377" s="72" t="s">
        <v>3099</v>
      </c>
      <c r="G377" s="75" t="s">
        <v>73</v>
      </c>
      <c r="H377" s="75" t="s">
        <v>73</v>
      </c>
      <c r="I377" s="72" t="s">
        <v>3100</v>
      </c>
      <c r="J377" s="72" t="s">
        <v>41</v>
      </c>
      <c r="K377" s="77" t="s">
        <v>42</v>
      </c>
      <c r="L377" s="228" t="s">
        <v>59</v>
      </c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42" t="s">
        <v>3101</v>
      </c>
      <c r="Y377" s="58" t="s">
        <v>3102</v>
      </c>
      <c r="Z377" s="44" t="s">
        <v>3103</v>
      </c>
      <c r="AA377" s="45">
        <v>41793</v>
      </c>
      <c r="AB377" s="206" t="s">
        <v>30</v>
      </c>
      <c r="AC377" s="154" t="s">
        <v>26</v>
      </c>
      <c r="AD377" s="81" t="s">
        <v>49</v>
      </c>
      <c r="AE377" s="48" t="s">
        <v>49</v>
      </c>
      <c r="AF377" s="48" t="s">
        <v>49</v>
      </c>
      <c r="AG377" s="48" t="s">
        <v>49</v>
      </c>
      <c r="AH377" s="48" t="s">
        <v>49</v>
      </c>
      <c r="AI377" s="48" t="s">
        <v>49</v>
      </c>
      <c r="AJ377" s="49" t="s">
        <v>49</v>
      </c>
      <c r="AK377" s="48" t="s">
        <v>41</v>
      </c>
      <c r="AL377" s="62" t="s">
        <v>148</v>
      </c>
      <c r="AM377" s="59"/>
      <c r="AN377" s="10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1"/>
    </row>
    <row r="378" spans="1:51" x14ac:dyDescent="0.2">
      <c r="A378" s="33">
        <f t="shared" si="6"/>
        <v>373</v>
      </c>
      <c r="B378" s="34" t="s">
        <v>3104</v>
      </c>
      <c r="C378" s="35" t="s">
        <v>3105</v>
      </c>
      <c r="D378" s="36" t="s">
        <v>3106</v>
      </c>
      <c r="E378" s="36" t="s">
        <v>54</v>
      </c>
      <c r="F378" s="34" t="s">
        <v>3107</v>
      </c>
      <c r="G378" s="37" t="s">
        <v>73</v>
      </c>
      <c r="H378" s="37" t="s">
        <v>73</v>
      </c>
      <c r="I378" s="34" t="s">
        <v>3108</v>
      </c>
      <c r="J378" s="34" t="s">
        <v>41</v>
      </c>
      <c r="K378" s="39" t="s">
        <v>42</v>
      </c>
      <c r="L378" s="99" t="s">
        <v>3109</v>
      </c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2" t="s">
        <v>3110</v>
      </c>
      <c r="Y378" s="58" t="s">
        <v>3111</v>
      </c>
      <c r="Z378" s="44" t="s">
        <v>61</v>
      </c>
      <c r="AA378" s="45">
        <v>36641</v>
      </c>
      <c r="AB378" s="101" t="s">
        <v>30</v>
      </c>
      <c r="AC378" s="36" t="s">
        <v>26</v>
      </c>
      <c r="AD378" s="47" t="s">
        <v>49</v>
      </c>
      <c r="AE378" s="48" t="s">
        <v>49</v>
      </c>
      <c r="AF378" s="48" t="s">
        <v>49</v>
      </c>
      <c r="AG378" s="48" t="s">
        <v>49</v>
      </c>
      <c r="AH378" s="48" t="s">
        <v>49</v>
      </c>
      <c r="AI378" s="48" t="s">
        <v>49</v>
      </c>
      <c r="AJ378" s="49" t="s">
        <v>49</v>
      </c>
      <c r="AK378" s="48" t="s">
        <v>49</v>
      </c>
      <c r="AL378" s="62" t="s">
        <v>32</v>
      </c>
      <c r="AM378" s="59"/>
      <c r="AN378" s="10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1"/>
    </row>
    <row r="379" spans="1:51" x14ac:dyDescent="0.2">
      <c r="A379" s="33">
        <f t="shared" si="6"/>
        <v>374</v>
      </c>
      <c r="B379" s="34" t="s">
        <v>3112</v>
      </c>
      <c r="C379" s="35" t="s">
        <v>3113</v>
      </c>
      <c r="D379" s="36" t="s">
        <v>3114</v>
      </c>
      <c r="E379" s="36" t="s">
        <v>54</v>
      </c>
      <c r="F379" s="34" t="s">
        <v>3115</v>
      </c>
      <c r="G379" s="37" t="s">
        <v>73</v>
      </c>
      <c r="H379" s="37" t="s">
        <v>73</v>
      </c>
      <c r="I379" s="34" t="s">
        <v>3116</v>
      </c>
      <c r="J379" s="34" t="s">
        <v>3117</v>
      </c>
      <c r="K379" s="39" t="s">
        <v>42</v>
      </c>
      <c r="L379" s="99" t="s">
        <v>3118</v>
      </c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2" t="s">
        <v>3119</v>
      </c>
      <c r="Y379" s="58" t="s">
        <v>3120</v>
      </c>
      <c r="Z379" s="44" t="s">
        <v>61</v>
      </c>
      <c r="AA379" s="45">
        <v>36641</v>
      </c>
      <c r="AB379" s="101" t="s">
        <v>30</v>
      </c>
      <c r="AC379" s="36" t="s">
        <v>26</v>
      </c>
      <c r="AD379" s="61" t="s">
        <v>49</v>
      </c>
      <c r="AE379" s="48" t="s">
        <v>49</v>
      </c>
      <c r="AF379" s="48" t="s">
        <v>49</v>
      </c>
      <c r="AG379" s="48" t="s">
        <v>49</v>
      </c>
      <c r="AH379" s="48" t="s">
        <v>49</v>
      </c>
      <c r="AI379" s="48" t="s">
        <v>49</v>
      </c>
      <c r="AJ379" s="49" t="s">
        <v>49</v>
      </c>
      <c r="AK379" s="48" t="s">
        <v>49</v>
      </c>
      <c r="AL379" s="62" t="s">
        <v>32</v>
      </c>
      <c r="AM379" s="59"/>
      <c r="AN379" s="10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1"/>
    </row>
    <row r="380" spans="1:51" x14ac:dyDescent="0.2">
      <c r="A380" s="33">
        <f t="shared" si="6"/>
        <v>375</v>
      </c>
      <c r="B380" s="34" t="s">
        <v>3121</v>
      </c>
      <c r="C380" s="35" t="s">
        <v>3122</v>
      </c>
      <c r="D380" s="36" t="s">
        <v>3123</v>
      </c>
      <c r="E380" s="36" t="s">
        <v>54</v>
      </c>
      <c r="F380" s="34" t="s">
        <v>3124</v>
      </c>
      <c r="G380" s="37" t="s">
        <v>39</v>
      </c>
      <c r="H380" s="37" t="s">
        <v>39</v>
      </c>
      <c r="I380" s="34" t="s">
        <v>3125</v>
      </c>
      <c r="J380" s="34" t="s">
        <v>3126</v>
      </c>
      <c r="K380" s="39" t="s">
        <v>42</v>
      </c>
      <c r="L380" s="99" t="s">
        <v>1869</v>
      </c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2" t="s">
        <v>3127</v>
      </c>
      <c r="Y380" s="58" t="s">
        <v>3128</v>
      </c>
      <c r="Z380" s="44" t="s">
        <v>3129</v>
      </c>
      <c r="AA380" s="45">
        <v>42158</v>
      </c>
      <c r="AB380" s="101" t="s">
        <v>30</v>
      </c>
      <c r="AC380" s="36" t="s">
        <v>26</v>
      </c>
      <c r="AD380" s="47" t="s">
        <v>49</v>
      </c>
      <c r="AE380" s="48" t="s">
        <v>49</v>
      </c>
      <c r="AF380" s="48" t="s">
        <v>49</v>
      </c>
      <c r="AG380" s="48" t="s">
        <v>49</v>
      </c>
      <c r="AH380" s="48" t="s">
        <v>41</v>
      </c>
      <c r="AI380" s="48" t="s">
        <v>41</v>
      </c>
      <c r="AJ380" s="49" t="s">
        <v>41</v>
      </c>
      <c r="AK380" s="48" t="s">
        <v>41</v>
      </c>
      <c r="AL380" s="62" t="s">
        <v>139</v>
      </c>
      <c r="AM380" s="59"/>
      <c r="AN380" s="10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1"/>
    </row>
    <row r="381" spans="1:51" x14ac:dyDescent="0.2">
      <c r="A381" s="33">
        <f t="shared" si="6"/>
        <v>376</v>
      </c>
      <c r="B381" s="34" t="s">
        <v>3130</v>
      </c>
      <c r="C381" s="35" t="s">
        <v>3131</v>
      </c>
      <c r="D381" s="36" t="s">
        <v>3132</v>
      </c>
      <c r="E381" s="36" t="s">
        <v>54</v>
      </c>
      <c r="F381" s="34" t="s">
        <v>3133</v>
      </c>
      <c r="G381" s="37" t="s">
        <v>323</v>
      </c>
      <c r="H381" s="37" t="s">
        <v>39</v>
      </c>
      <c r="I381" s="38" t="s">
        <v>3134</v>
      </c>
      <c r="J381" s="34" t="s">
        <v>41</v>
      </c>
      <c r="K381" s="39" t="s">
        <v>42</v>
      </c>
      <c r="L381" s="120">
        <v>42249</v>
      </c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42" t="s">
        <v>3135</v>
      </c>
      <c r="Y381" s="52" t="s">
        <v>3136</v>
      </c>
      <c r="Z381" s="44" t="s">
        <v>3137</v>
      </c>
      <c r="AA381" s="45" t="s">
        <v>1130</v>
      </c>
      <c r="AB381" s="101" t="s">
        <v>30</v>
      </c>
      <c r="AC381" s="36" t="s">
        <v>26</v>
      </c>
      <c r="AD381" s="47" t="s">
        <v>49</v>
      </c>
      <c r="AE381" s="48" t="s">
        <v>49</v>
      </c>
      <c r="AF381" s="48" t="s">
        <v>49</v>
      </c>
      <c r="AG381" s="48" t="s">
        <v>49</v>
      </c>
      <c r="AH381" s="48" t="s">
        <v>49</v>
      </c>
      <c r="AI381" s="48" t="s">
        <v>49</v>
      </c>
      <c r="AJ381" s="49" t="s">
        <v>49</v>
      </c>
      <c r="AK381" s="48" t="s">
        <v>49</v>
      </c>
      <c r="AL381" s="62" t="s">
        <v>32</v>
      </c>
      <c r="AM381" s="59"/>
      <c r="AN381" s="10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1"/>
    </row>
    <row r="382" spans="1:51" x14ac:dyDescent="0.2">
      <c r="A382" s="33">
        <f t="shared" si="6"/>
        <v>377</v>
      </c>
      <c r="B382" s="34" t="s">
        <v>3138</v>
      </c>
      <c r="C382" s="35" t="s">
        <v>3139</v>
      </c>
      <c r="D382" s="36" t="s">
        <v>3140</v>
      </c>
      <c r="E382" s="36" t="s">
        <v>54</v>
      </c>
      <c r="F382" s="34" t="s">
        <v>3141</v>
      </c>
      <c r="G382" s="37" t="s">
        <v>38</v>
      </c>
      <c r="H382" s="37" t="s">
        <v>39</v>
      </c>
      <c r="I382" s="38" t="s">
        <v>3142</v>
      </c>
      <c r="J382" s="34" t="s">
        <v>41</v>
      </c>
      <c r="K382" s="39" t="s">
        <v>42</v>
      </c>
      <c r="L382" s="99" t="s">
        <v>3143</v>
      </c>
      <c r="M382" s="56"/>
      <c r="N382" s="56"/>
      <c r="O382" s="56"/>
      <c r="P382" s="56"/>
      <c r="Q382" s="56"/>
      <c r="R382" s="56"/>
      <c r="S382" s="56"/>
      <c r="T382" s="56"/>
      <c r="U382" s="56" t="s">
        <v>732</v>
      </c>
      <c r="V382" s="56"/>
      <c r="W382" s="56"/>
      <c r="X382" s="42" t="s">
        <v>3144</v>
      </c>
      <c r="Y382" s="58" t="s">
        <v>3145</v>
      </c>
      <c r="Z382" s="44" t="s">
        <v>61</v>
      </c>
      <c r="AA382" s="45">
        <v>36641</v>
      </c>
      <c r="AB382" s="101" t="s">
        <v>30</v>
      </c>
      <c r="AC382" s="36" t="s">
        <v>26</v>
      </c>
      <c r="AD382" s="47" t="s">
        <v>49</v>
      </c>
      <c r="AE382" s="48" t="s">
        <v>49</v>
      </c>
      <c r="AF382" s="48" t="s">
        <v>49</v>
      </c>
      <c r="AG382" s="48" t="s">
        <v>49</v>
      </c>
      <c r="AH382" s="48" t="s">
        <v>49</v>
      </c>
      <c r="AI382" s="48" t="s">
        <v>49</v>
      </c>
      <c r="AJ382" s="49" t="s">
        <v>49</v>
      </c>
      <c r="AK382" s="48" t="s">
        <v>49</v>
      </c>
      <c r="AL382" s="62" t="s">
        <v>32</v>
      </c>
      <c r="AM382" s="59"/>
      <c r="AN382" s="10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1"/>
    </row>
    <row r="383" spans="1:51" x14ac:dyDescent="0.2">
      <c r="A383" s="33">
        <f t="shared" si="6"/>
        <v>378</v>
      </c>
      <c r="B383" s="34" t="s">
        <v>3146</v>
      </c>
      <c r="C383" s="35" t="s">
        <v>3147</v>
      </c>
      <c r="D383" s="36" t="s">
        <v>3148</v>
      </c>
      <c r="E383" s="36" t="s">
        <v>36</v>
      </c>
      <c r="F383" s="34" t="s">
        <v>3149</v>
      </c>
      <c r="G383" s="37" t="s">
        <v>205</v>
      </c>
      <c r="H383" s="37" t="s">
        <v>205</v>
      </c>
      <c r="I383" s="38" t="s">
        <v>3150</v>
      </c>
      <c r="J383" s="107" t="s">
        <v>41</v>
      </c>
      <c r="K383" s="39" t="s">
        <v>42</v>
      </c>
      <c r="L383" s="120">
        <v>45805</v>
      </c>
      <c r="M383" s="56" t="s">
        <v>179</v>
      </c>
      <c r="N383" s="56"/>
      <c r="O383" s="56"/>
      <c r="P383" s="56"/>
      <c r="Q383" s="56" t="s">
        <v>179</v>
      </c>
      <c r="R383" s="56"/>
      <c r="S383" s="56"/>
      <c r="T383" s="56"/>
      <c r="U383" s="56"/>
      <c r="V383" s="56" t="s">
        <v>44</v>
      </c>
      <c r="W383" s="56"/>
      <c r="X383" s="38" t="s">
        <v>3151</v>
      </c>
      <c r="Y383" s="58" t="s">
        <v>3152</v>
      </c>
      <c r="Z383" s="44"/>
      <c r="AA383" s="45"/>
      <c r="AB383" s="101"/>
      <c r="AC383" s="36"/>
      <c r="AD383" s="47" t="s">
        <v>49</v>
      </c>
      <c r="AE383" s="48" t="s">
        <v>41</v>
      </c>
      <c r="AF383" s="48" t="s">
        <v>41</v>
      </c>
      <c r="AG383" s="48" t="s">
        <v>41</v>
      </c>
      <c r="AH383" s="48" t="s">
        <v>41</v>
      </c>
      <c r="AI383" s="48" t="s">
        <v>41</v>
      </c>
      <c r="AJ383" s="49" t="s">
        <v>49</v>
      </c>
      <c r="AK383" s="48" t="s">
        <v>41</v>
      </c>
      <c r="AL383" s="62" t="s">
        <v>148</v>
      </c>
      <c r="AM383" s="59"/>
      <c r="AN383" s="10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1"/>
    </row>
    <row r="384" spans="1:51" x14ac:dyDescent="0.2">
      <c r="A384" s="33">
        <f t="shared" si="6"/>
        <v>379</v>
      </c>
      <c r="B384" s="34" t="s">
        <v>3153</v>
      </c>
      <c r="C384" s="35" t="s">
        <v>3154</v>
      </c>
      <c r="D384" s="73" t="s">
        <v>3155</v>
      </c>
      <c r="E384" s="36" t="s">
        <v>36</v>
      </c>
      <c r="F384" s="98" t="s">
        <v>3156</v>
      </c>
      <c r="G384" s="37" t="s">
        <v>1417</v>
      </c>
      <c r="H384" s="37" t="s">
        <v>187</v>
      </c>
      <c r="I384" s="34" t="s">
        <v>3157</v>
      </c>
      <c r="J384" s="107"/>
      <c r="K384" s="39" t="s">
        <v>42</v>
      </c>
      <c r="L384" s="99" t="s">
        <v>3158</v>
      </c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229" t="s">
        <v>3159</v>
      </c>
      <c r="Y384" s="58" t="s">
        <v>3160</v>
      </c>
      <c r="Z384" s="44" t="s">
        <v>3161</v>
      </c>
      <c r="AA384" s="45">
        <v>41793</v>
      </c>
      <c r="AB384" s="101" t="s">
        <v>30</v>
      </c>
      <c r="AC384" s="73" t="s">
        <v>26</v>
      </c>
      <c r="AD384" s="47" t="s">
        <v>49</v>
      </c>
      <c r="AE384" s="48" t="s">
        <v>49</v>
      </c>
      <c r="AF384" s="48" t="s">
        <v>41</v>
      </c>
      <c r="AG384" s="48" t="s">
        <v>41</v>
      </c>
      <c r="AH384" s="48" t="s">
        <v>41</v>
      </c>
      <c r="AI384" s="48" t="s">
        <v>41</v>
      </c>
      <c r="AJ384" s="49" t="s">
        <v>41</v>
      </c>
      <c r="AK384" s="48" t="s">
        <v>41</v>
      </c>
      <c r="AL384" s="62" t="s">
        <v>4587</v>
      </c>
      <c r="AM384" s="59"/>
      <c r="AN384" s="117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1"/>
    </row>
    <row r="385" spans="1:51" x14ac:dyDescent="0.2">
      <c r="A385" s="33">
        <f t="shared" si="6"/>
        <v>380</v>
      </c>
      <c r="B385" s="34" t="s">
        <v>3162</v>
      </c>
      <c r="C385" s="35" t="s">
        <v>3163</v>
      </c>
      <c r="D385" s="73" t="s">
        <v>3164</v>
      </c>
      <c r="E385" s="36" t="s">
        <v>54</v>
      </c>
      <c r="F385" s="98" t="s">
        <v>3165</v>
      </c>
      <c r="G385" s="37" t="s">
        <v>73</v>
      </c>
      <c r="H385" s="37" t="s">
        <v>73</v>
      </c>
      <c r="I385" s="38" t="s">
        <v>3166</v>
      </c>
      <c r="J385" s="34"/>
      <c r="K385" s="39" t="s">
        <v>42</v>
      </c>
      <c r="L385" s="120">
        <v>45587</v>
      </c>
      <c r="M385" s="56"/>
      <c r="N385" s="56"/>
      <c r="O385" s="56"/>
      <c r="P385" s="56"/>
      <c r="Q385" s="56"/>
      <c r="R385" s="56"/>
      <c r="S385" s="56"/>
      <c r="T385" s="56"/>
      <c r="U385" s="56" t="s">
        <v>44</v>
      </c>
      <c r="V385" s="56"/>
      <c r="W385" s="56"/>
      <c r="X385" s="38" t="s">
        <v>3167</v>
      </c>
      <c r="Y385" s="58" t="s">
        <v>3168</v>
      </c>
      <c r="Z385" s="44"/>
      <c r="AA385" s="45"/>
      <c r="AB385" s="101"/>
      <c r="AC385" s="73"/>
      <c r="AD385" s="64" t="s">
        <v>120</v>
      </c>
      <c r="AE385" s="48" t="s">
        <v>41</v>
      </c>
      <c r="AF385" s="48" t="s">
        <v>41</v>
      </c>
      <c r="AG385" s="48" t="s">
        <v>41</v>
      </c>
      <c r="AH385" s="48" t="s">
        <v>41</v>
      </c>
      <c r="AI385" s="48" t="s">
        <v>41</v>
      </c>
      <c r="AJ385" s="49" t="s">
        <v>120</v>
      </c>
      <c r="AK385" s="48" t="s">
        <v>49</v>
      </c>
      <c r="AL385" s="62" t="s">
        <v>32</v>
      </c>
      <c r="AM385" s="59"/>
      <c r="AN385" s="117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1"/>
    </row>
    <row r="386" spans="1:51" x14ac:dyDescent="0.2">
      <c r="A386" s="33">
        <f t="shared" si="6"/>
        <v>381</v>
      </c>
      <c r="B386" s="34" t="s">
        <v>3169</v>
      </c>
      <c r="C386" s="35" t="s">
        <v>3170</v>
      </c>
      <c r="D386" s="36" t="s">
        <v>3171</v>
      </c>
      <c r="E386" s="36" t="s">
        <v>54</v>
      </c>
      <c r="F386" s="34" t="s">
        <v>3172</v>
      </c>
      <c r="G386" s="37" t="s">
        <v>323</v>
      </c>
      <c r="H386" s="37" t="s">
        <v>39</v>
      </c>
      <c r="I386" s="38" t="s">
        <v>3173</v>
      </c>
      <c r="J386" s="34" t="s">
        <v>41</v>
      </c>
      <c r="K386" s="39" t="s">
        <v>42</v>
      </c>
      <c r="L386" s="99" t="s">
        <v>3174</v>
      </c>
      <c r="M386" s="56"/>
      <c r="N386" s="56"/>
      <c r="O386" s="56"/>
      <c r="P386" s="56"/>
      <c r="Q386" s="56"/>
      <c r="R386" s="56"/>
      <c r="S386" s="56"/>
      <c r="T386" s="56" t="s">
        <v>44</v>
      </c>
      <c r="U386" s="56"/>
      <c r="V386" s="56"/>
      <c r="W386" s="56"/>
      <c r="X386" s="42" t="s">
        <v>3175</v>
      </c>
      <c r="Y386" s="83" t="s">
        <v>3176</v>
      </c>
      <c r="Z386" s="44"/>
      <c r="AA386" s="45">
        <v>45642</v>
      </c>
      <c r="AB386" s="101"/>
      <c r="AC386" s="36"/>
      <c r="AD386" s="47" t="s">
        <v>49</v>
      </c>
      <c r="AE386" s="48" t="s">
        <v>41</v>
      </c>
      <c r="AF386" s="48" t="s">
        <v>41</v>
      </c>
      <c r="AG386" s="48" t="s">
        <v>41</v>
      </c>
      <c r="AH386" s="48" t="s">
        <v>49</v>
      </c>
      <c r="AI386" s="48" t="s">
        <v>49</v>
      </c>
      <c r="AJ386" s="49" t="s">
        <v>49</v>
      </c>
      <c r="AK386" s="48" t="s">
        <v>49</v>
      </c>
      <c r="AL386" s="62" t="s">
        <v>32</v>
      </c>
      <c r="AM386" s="59"/>
      <c r="AN386" s="117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1"/>
    </row>
    <row r="387" spans="1:51" x14ac:dyDescent="0.2">
      <c r="A387" s="33">
        <f t="shared" si="6"/>
        <v>382</v>
      </c>
      <c r="B387" s="34" t="s">
        <v>3177</v>
      </c>
      <c r="C387" s="35" t="s">
        <v>3178</v>
      </c>
      <c r="D387" s="36" t="s">
        <v>3179</v>
      </c>
      <c r="E387" s="36" t="s">
        <v>54</v>
      </c>
      <c r="F387" s="87" t="s">
        <v>3180</v>
      </c>
      <c r="G387" s="37" t="s">
        <v>73</v>
      </c>
      <c r="H387" s="37" t="s">
        <v>73</v>
      </c>
      <c r="I387" s="38" t="s">
        <v>3181</v>
      </c>
      <c r="J387" s="113" t="s">
        <v>3182</v>
      </c>
      <c r="K387" s="39" t="s">
        <v>42</v>
      </c>
      <c r="L387" s="120">
        <v>34344</v>
      </c>
      <c r="M387" s="56"/>
      <c r="N387" s="56"/>
      <c r="O387" s="56"/>
      <c r="P387" s="56"/>
      <c r="Q387" s="56"/>
      <c r="R387" s="56"/>
      <c r="S387" s="56"/>
      <c r="T387" s="56" t="s">
        <v>468</v>
      </c>
      <c r="U387" s="56"/>
      <c r="V387" s="56"/>
      <c r="W387" s="56"/>
      <c r="X387" s="42" t="s">
        <v>3183</v>
      </c>
      <c r="Y387" s="100" t="s">
        <v>3184</v>
      </c>
      <c r="Z387" s="44"/>
      <c r="AA387" s="45" t="s">
        <v>47</v>
      </c>
      <c r="AB387" s="101"/>
      <c r="AC387" s="36" t="s">
        <v>26</v>
      </c>
      <c r="AD387" s="47" t="s">
        <v>49</v>
      </c>
      <c r="AE387" s="48" t="s">
        <v>49</v>
      </c>
      <c r="AF387" s="48" t="s">
        <v>49</v>
      </c>
      <c r="AG387" s="48" t="s">
        <v>49</v>
      </c>
      <c r="AH387" s="48" t="s">
        <v>49</v>
      </c>
      <c r="AI387" s="48" t="s">
        <v>49</v>
      </c>
      <c r="AJ387" s="49" t="s">
        <v>41</v>
      </c>
      <c r="AK387" s="48" t="s">
        <v>41</v>
      </c>
      <c r="AL387" s="62" t="s">
        <v>276</v>
      </c>
      <c r="AM387" s="59"/>
      <c r="AN387" s="10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1"/>
    </row>
    <row r="388" spans="1:51" x14ac:dyDescent="0.2">
      <c r="A388" s="33">
        <f t="shared" si="6"/>
        <v>383</v>
      </c>
      <c r="B388" s="34" t="s">
        <v>3185</v>
      </c>
      <c r="C388" s="35" t="s">
        <v>3186</v>
      </c>
      <c r="D388" s="36" t="s">
        <v>3187</v>
      </c>
      <c r="E388" s="36" t="s">
        <v>54</v>
      </c>
      <c r="F388" s="34" t="s">
        <v>3188</v>
      </c>
      <c r="G388" s="37" t="s">
        <v>398</v>
      </c>
      <c r="H388" s="37" t="s">
        <v>205</v>
      </c>
      <c r="I388" s="38" t="s">
        <v>3189</v>
      </c>
      <c r="J388" s="38" t="s">
        <v>3190</v>
      </c>
      <c r="K388" s="39" t="s">
        <v>42</v>
      </c>
      <c r="L388" s="120">
        <v>42499</v>
      </c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42" t="s">
        <v>3191</v>
      </c>
      <c r="Y388" s="100" t="s">
        <v>3192</v>
      </c>
      <c r="Z388" s="44" t="s">
        <v>3193</v>
      </c>
      <c r="AA388" s="45">
        <v>42935</v>
      </c>
      <c r="AB388" s="101" t="s">
        <v>30</v>
      </c>
      <c r="AC388" s="36" t="s">
        <v>26</v>
      </c>
      <c r="AD388" s="47" t="s">
        <v>49</v>
      </c>
      <c r="AE388" s="48" t="s">
        <v>49</v>
      </c>
      <c r="AF388" s="48" t="s">
        <v>49</v>
      </c>
      <c r="AG388" s="48" t="s">
        <v>49</v>
      </c>
      <c r="AH388" s="48" t="s">
        <v>49</v>
      </c>
      <c r="AI388" s="48" t="s">
        <v>41</v>
      </c>
      <c r="AJ388" s="49" t="s">
        <v>41</v>
      </c>
      <c r="AK388" s="48" t="s">
        <v>41</v>
      </c>
      <c r="AL388" s="62" t="s">
        <v>4589</v>
      </c>
      <c r="AM388" s="59"/>
      <c r="AN388" s="10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1"/>
    </row>
    <row r="389" spans="1:51" x14ac:dyDescent="0.2">
      <c r="A389" s="33">
        <f t="shared" si="6"/>
        <v>384</v>
      </c>
      <c r="B389" s="34" t="s">
        <v>3194</v>
      </c>
      <c r="C389" s="35" t="s">
        <v>3195</v>
      </c>
      <c r="D389" s="36" t="s">
        <v>3196</v>
      </c>
      <c r="E389" s="36" t="s">
        <v>54</v>
      </c>
      <c r="F389" s="108" t="s">
        <v>3197</v>
      </c>
      <c r="G389" s="37" t="s">
        <v>350</v>
      </c>
      <c r="H389" s="37" t="s">
        <v>350</v>
      </c>
      <c r="I389" s="38" t="s">
        <v>3198</v>
      </c>
      <c r="J389" s="34" t="s">
        <v>41</v>
      </c>
      <c r="K389" s="39" t="s">
        <v>42</v>
      </c>
      <c r="L389" s="99" t="s">
        <v>1254</v>
      </c>
      <c r="M389" s="56" t="s">
        <v>179</v>
      </c>
      <c r="N389" s="56"/>
      <c r="O389" s="56"/>
      <c r="P389" s="56">
        <v>5</v>
      </c>
      <c r="Q389" s="56"/>
      <c r="R389" s="56"/>
      <c r="S389" s="56"/>
      <c r="T389" s="56"/>
      <c r="U389" s="56"/>
      <c r="V389" s="56"/>
      <c r="W389" s="56"/>
      <c r="X389" s="42" t="s">
        <v>3199</v>
      </c>
      <c r="Y389" s="100" t="s">
        <v>3200</v>
      </c>
      <c r="Z389" s="44"/>
      <c r="AA389" s="45" t="s">
        <v>47</v>
      </c>
      <c r="AB389" s="101"/>
      <c r="AC389" s="36"/>
      <c r="AD389" s="47" t="s">
        <v>49</v>
      </c>
      <c r="AE389" s="48" t="s">
        <v>41</v>
      </c>
      <c r="AF389" s="48" t="s">
        <v>41</v>
      </c>
      <c r="AG389" s="48" t="s">
        <v>41</v>
      </c>
      <c r="AH389" s="48" t="s">
        <v>41</v>
      </c>
      <c r="AI389" s="48" t="s">
        <v>41</v>
      </c>
      <c r="AJ389" s="49" t="s">
        <v>41</v>
      </c>
      <c r="AK389" s="48" t="s">
        <v>41</v>
      </c>
      <c r="AL389" s="65" t="s">
        <v>4588</v>
      </c>
      <c r="AM389" s="59"/>
      <c r="AN389" s="10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1"/>
    </row>
    <row r="390" spans="1:51" x14ac:dyDescent="0.2">
      <c r="A390" s="33">
        <f t="shared" si="6"/>
        <v>385</v>
      </c>
      <c r="B390" s="34" t="s">
        <v>3201</v>
      </c>
      <c r="C390" s="35" t="s">
        <v>3202</v>
      </c>
      <c r="D390" s="73" t="s">
        <v>3203</v>
      </c>
      <c r="E390" s="36" t="s">
        <v>54</v>
      </c>
      <c r="F390" s="98" t="s">
        <v>3204</v>
      </c>
      <c r="G390" s="37" t="s">
        <v>252</v>
      </c>
      <c r="H390" s="37" t="s">
        <v>57</v>
      </c>
      <c r="I390" s="38" t="s">
        <v>3205</v>
      </c>
      <c r="J390" s="34"/>
      <c r="K390" s="39" t="s">
        <v>42</v>
      </c>
      <c r="L390" s="99" t="s">
        <v>3206</v>
      </c>
      <c r="M390" s="56"/>
      <c r="N390" s="56"/>
      <c r="O390" s="56"/>
      <c r="P390" s="56"/>
      <c r="Q390" s="56"/>
      <c r="R390" s="56"/>
      <c r="S390" s="56"/>
      <c r="T390" s="56" t="s">
        <v>44</v>
      </c>
      <c r="U390" s="56"/>
      <c r="V390" s="56"/>
      <c r="W390" s="56"/>
      <c r="X390" s="42" t="s">
        <v>3207</v>
      </c>
      <c r="Y390" s="58" t="s">
        <v>3208</v>
      </c>
      <c r="Z390" s="58"/>
      <c r="AA390" s="45">
        <v>45644</v>
      </c>
      <c r="AB390" s="101" t="s">
        <v>30</v>
      </c>
      <c r="AC390" s="73"/>
      <c r="AD390" s="47" t="s">
        <v>49</v>
      </c>
      <c r="AE390" s="48" t="s">
        <v>41</v>
      </c>
      <c r="AF390" s="48" t="s">
        <v>41</v>
      </c>
      <c r="AG390" s="48" t="s">
        <v>41</v>
      </c>
      <c r="AH390" s="48" t="s">
        <v>49</v>
      </c>
      <c r="AI390" s="48" t="s">
        <v>49</v>
      </c>
      <c r="AJ390" s="49" t="s">
        <v>49</v>
      </c>
      <c r="AK390" s="48" t="s">
        <v>41</v>
      </c>
      <c r="AL390" s="65" t="s">
        <v>148</v>
      </c>
      <c r="AM390" s="59"/>
      <c r="AN390" s="117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1"/>
    </row>
    <row r="391" spans="1:51" x14ac:dyDescent="0.2">
      <c r="A391" s="33">
        <f t="shared" ref="A391:A454" si="7">+A390+1</f>
        <v>386</v>
      </c>
      <c r="B391" s="34" t="s">
        <v>3209</v>
      </c>
      <c r="C391" s="35" t="s">
        <v>3210</v>
      </c>
      <c r="D391" s="36" t="s">
        <v>3211</v>
      </c>
      <c r="E391" s="36" t="s">
        <v>54</v>
      </c>
      <c r="F391" s="226" t="s">
        <v>3212</v>
      </c>
      <c r="G391" s="37" t="s">
        <v>39</v>
      </c>
      <c r="H391" s="37" t="s">
        <v>39</v>
      </c>
      <c r="I391" s="38" t="s">
        <v>3213</v>
      </c>
      <c r="J391" s="34" t="s">
        <v>41</v>
      </c>
      <c r="K391" s="39" t="s">
        <v>42</v>
      </c>
      <c r="L391" s="99" t="s">
        <v>1119</v>
      </c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42" t="s">
        <v>3214</v>
      </c>
      <c r="Y391" s="69" t="s">
        <v>3215</v>
      </c>
      <c r="Z391" s="44" t="s">
        <v>61</v>
      </c>
      <c r="AA391" s="45">
        <v>40280</v>
      </c>
      <c r="AB391" s="101" t="s">
        <v>30</v>
      </c>
      <c r="AC391" s="36" t="s">
        <v>26</v>
      </c>
      <c r="AD391" s="47" t="s">
        <v>49</v>
      </c>
      <c r="AE391" s="48" t="s">
        <v>49</v>
      </c>
      <c r="AF391" s="48" t="s">
        <v>49</v>
      </c>
      <c r="AG391" s="48" t="s">
        <v>49</v>
      </c>
      <c r="AH391" s="48" t="s">
        <v>49</v>
      </c>
      <c r="AI391" s="48" t="s">
        <v>49</v>
      </c>
      <c r="AJ391" s="49" t="s">
        <v>49</v>
      </c>
      <c r="AK391" s="48" t="s">
        <v>49</v>
      </c>
      <c r="AL391" s="62" t="s">
        <v>32</v>
      </c>
      <c r="AM391" s="103"/>
      <c r="AN391" s="10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1"/>
    </row>
    <row r="392" spans="1:51" x14ac:dyDescent="0.2">
      <c r="A392" s="33">
        <f t="shared" si="7"/>
        <v>387</v>
      </c>
      <c r="B392" s="34" t="s">
        <v>3216</v>
      </c>
      <c r="C392" s="35" t="s">
        <v>3217</v>
      </c>
      <c r="D392" s="36" t="s">
        <v>3218</v>
      </c>
      <c r="E392" s="36" t="s">
        <v>54</v>
      </c>
      <c r="F392" s="34" t="s">
        <v>3219</v>
      </c>
      <c r="G392" s="37" t="s">
        <v>323</v>
      </c>
      <c r="H392" s="37" t="s">
        <v>39</v>
      </c>
      <c r="I392" s="34" t="s">
        <v>3220</v>
      </c>
      <c r="J392" s="34" t="s">
        <v>41</v>
      </c>
      <c r="K392" s="39" t="s">
        <v>42</v>
      </c>
      <c r="L392" s="99" t="s">
        <v>3003</v>
      </c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2" t="s">
        <v>3221</v>
      </c>
      <c r="Y392" s="69" t="s">
        <v>3222</v>
      </c>
      <c r="Z392" s="44" t="s">
        <v>61</v>
      </c>
      <c r="AA392" s="45">
        <v>36803</v>
      </c>
      <c r="AB392" s="101" t="s">
        <v>30</v>
      </c>
      <c r="AC392" s="36" t="s">
        <v>26</v>
      </c>
      <c r="AD392" s="47" t="s">
        <v>49</v>
      </c>
      <c r="AE392" s="48" t="s">
        <v>49</v>
      </c>
      <c r="AF392" s="48" t="s">
        <v>49</v>
      </c>
      <c r="AG392" s="48" t="s">
        <v>49</v>
      </c>
      <c r="AH392" s="48" t="s">
        <v>49</v>
      </c>
      <c r="AI392" s="48" t="s">
        <v>49</v>
      </c>
      <c r="AJ392" s="49" t="s">
        <v>49</v>
      </c>
      <c r="AK392" s="48" t="s">
        <v>49</v>
      </c>
      <c r="AL392" s="62" t="s">
        <v>32</v>
      </c>
      <c r="AM392" s="59"/>
      <c r="AN392" s="10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1"/>
    </row>
    <row r="393" spans="1:51" x14ac:dyDescent="0.2">
      <c r="A393" s="33">
        <f t="shared" si="7"/>
        <v>388</v>
      </c>
      <c r="B393" s="34" t="s">
        <v>3223</v>
      </c>
      <c r="C393" s="35" t="s">
        <v>3224</v>
      </c>
      <c r="D393" s="36" t="s">
        <v>3225</v>
      </c>
      <c r="E393" s="36" t="s">
        <v>54</v>
      </c>
      <c r="F393" s="34" t="s">
        <v>3226</v>
      </c>
      <c r="G393" s="37" t="s">
        <v>73</v>
      </c>
      <c r="H393" s="37" t="s">
        <v>73</v>
      </c>
      <c r="I393" s="34" t="s">
        <v>3227</v>
      </c>
      <c r="J393" s="34" t="s">
        <v>3227</v>
      </c>
      <c r="K393" s="39" t="s">
        <v>42</v>
      </c>
      <c r="L393" s="120">
        <v>36594</v>
      </c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2" t="s">
        <v>3228</v>
      </c>
      <c r="Y393" s="100" t="s">
        <v>3229</v>
      </c>
      <c r="Z393" s="44" t="s">
        <v>61</v>
      </c>
      <c r="AA393" s="45">
        <v>36803</v>
      </c>
      <c r="AB393" s="101" t="s">
        <v>30</v>
      </c>
      <c r="AC393" s="36" t="s">
        <v>26</v>
      </c>
      <c r="AD393" s="47" t="s">
        <v>49</v>
      </c>
      <c r="AE393" s="48" t="s">
        <v>49</v>
      </c>
      <c r="AF393" s="48" t="s">
        <v>49</v>
      </c>
      <c r="AG393" s="48" t="s">
        <v>49</v>
      </c>
      <c r="AH393" s="48" t="s">
        <v>49</v>
      </c>
      <c r="AI393" s="48" t="s">
        <v>49</v>
      </c>
      <c r="AJ393" s="49" t="s">
        <v>49</v>
      </c>
      <c r="AK393" s="48" t="s">
        <v>49</v>
      </c>
      <c r="AL393" s="62" t="s">
        <v>32</v>
      </c>
      <c r="AM393" s="59"/>
      <c r="AN393" s="10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1"/>
    </row>
    <row r="394" spans="1:51" x14ac:dyDescent="0.2">
      <c r="A394" s="33">
        <f t="shared" si="7"/>
        <v>389</v>
      </c>
      <c r="B394" s="34" t="s">
        <v>3230</v>
      </c>
      <c r="C394" s="35" t="s">
        <v>3231</v>
      </c>
      <c r="D394" s="36" t="s">
        <v>3232</v>
      </c>
      <c r="E394" s="36" t="s">
        <v>54</v>
      </c>
      <c r="F394" s="34" t="s">
        <v>3233</v>
      </c>
      <c r="G394" s="37" t="s">
        <v>73</v>
      </c>
      <c r="H394" s="37" t="s">
        <v>73</v>
      </c>
      <c r="I394" s="34" t="s">
        <v>1679</v>
      </c>
      <c r="J394" s="34" t="s">
        <v>1877</v>
      </c>
      <c r="K394" s="39" t="s">
        <v>42</v>
      </c>
      <c r="L394" s="99" t="s">
        <v>3234</v>
      </c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42" t="s">
        <v>3235</v>
      </c>
      <c r="Y394" s="58" t="s">
        <v>3236</v>
      </c>
      <c r="Z394" s="44" t="s">
        <v>61</v>
      </c>
      <c r="AA394" s="45">
        <v>36803</v>
      </c>
      <c r="AB394" s="101" t="s">
        <v>30</v>
      </c>
      <c r="AC394" s="36" t="s">
        <v>26</v>
      </c>
      <c r="AD394" s="64" t="s">
        <v>120</v>
      </c>
      <c r="AE394" s="48" t="s">
        <v>120</v>
      </c>
      <c r="AF394" s="48" t="s">
        <v>120</v>
      </c>
      <c r="AG394" s="48" t="s">
        <v>120</v>
      </c>
      <c r="AH394" s="48" t="s">
        <v>120</v>
      </c>
      <c r="AI394" s="48" t="s">
        <v>120</v>
      </c>
      <c r="AJ394" s="49" t="s">
        <v>120</v>
      </c>
      <c r="AK394" s="48" t="s">
        <v>120</v>
      </c>
      <c r="AL394" s="65" t="s">
        <v>32</v>
      </c>
      <c r="AM394" s="59"/>
      <c r="AN394" s="10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1"/>
    </row>
    <row r="395" spans="1:51" x14ac:dyDescent="0.2">
      <c r="A395" s="33">
        <f t="shared" si="7"/>
        <v>390</v>
      </c>
      <c r="B395" s="34" t="s">
        <v>3237</v>
      </c>
      <c r="C395" s="35" t="s">
        <v>3238</v>
      </c>
      <c r="D395" s="36" t="s">
        <v>4607</v>
      </c>
      <c r="E395" s="36" t="s">
        <v>54</v>
      </c>
      <c r="F395" s="34" t="s">
        <v>4608</v>
      </c>
      <c r="G395" s="37" t="s">
        <v>73</v>
      </c>
      <c r="H395" s="37" t="s">
        <v>73</v>
      </c>
      <c r="I395" s="42" t="s">
        <v>4610</v>
      </c>
      <c r="J395" s="34" t="s">
        <v>41</v>
      </c>
      <c r="K395" s="39" t="s">
        <v>42</v>
      </c>
      <c r="L395" s="120">
        <v>37202</v>
      </c>
      <c r="M395" s="41" t="s">
        <v>179</v>
      </c>
      <c r="N395" s="41"/>
      <c r="O395" s="41"/>
      <c r="P395" s="41"/>
      <c r="Q395" s="41"/>
      <c r="R395" s="41"/>
      <c r="S395" s="41"/>
      <c r="T395" s="41"/>
      <c r="U395" s="41"/>
      <c r="V395" s="41"/>
      <c r="W395" s="41" t="s">
        <v>732</v>
      </c>
      <c r="X395" s="42" t="s">
        <v>4609</v>
      </c>
      <c r="Y395" s="58" t="s">
        <v>3239</v>
      </c>
      <c r="Z395" s="44" t="s">
        <v>61</v>
      </c>
      <c r="AA395" s="45">
        <v>40280</v>
      </c>
      <c r="AB395" s="101" t="s">
        <v>30</v>
      </c>
      <c r="AC395" s="36" t="s">
        <v>26</v>
      </c>
      <c r="AD395" s="47" t="s">
        <v>49</v>
      </c>
      <c r="AE395" s="48" t="s">
        <v>49</v>
      </c>
      <c r="AF395" s="48" t="s">
        <v>49</v>
      </c>
      <c r="AG395" s="48" t="s">
        <v>49</v>
      </c>
      <c r="AH395" s="48" t="s">
        <v>49</v>
      </c>
      <c r="AI395" s="48" t="s">
        <v>49</v>
      </c>
      <c r="AJ395" s="49" t="s">
        <v>49</v>
      </c>
      <c r="AK395" s="48" t="s">
        <v>49</v>
      </c>
      <c r="AL395" s="62" t="s">
        <v>32</v>
      </c>
      <c r="AM395" s="59"/>
      <c r="AN395" s="10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1"/>
    </row>
    <row r="396" spans="1:51" x14ac:dyDescent="0.2">
      <c r="A396" s="33">
        <f t="shared" si="7"/>
        <v>391</v>
      </c>
      <c r="B396" s="34" t="s">
        <v>3240</v>
      </c>
      <c r="C396" s="35" t="s">
        <v>3241</v>
      </c>
      <c r="D396" s="36" t="s">
        <v>3242</v>
      </c>
      <c r="E396" s="36" t="s">
        <v>36</v>
      </c>
      <c r="F396" s="34" t="s">
        <v>3243</v>
      </c>
      <c r="G396" s="37" t="s">
        <v>73</v>
      </c>
      <c r="H396" s="37" t="s">
        <v>73</v>
      </c>
      <c r="I396" s="34" t="s">
        <v>3244</v>
      </c>
      <c r="J396" s="34" t="s">
        <v>41</v>
      </c>
      <c r="K396" s="39" t="s">
        <v>42</v>
      </c>
      <c r="L396" s="120">
        <v>36895</v>
      </c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2" t="s">
        <v>3245</v>
      </c>
      <c r="Y396" s="52" t="s">
        <v>3246</v>
      </c>
      <c r="Z396" s="44" t="s">
        <v>61</v>
      </c>
      <c r="AA396" s="45">
        <v>36803</v>
      </c>
      <c r="AB396" s="101" t="s">
        <v>30</v>
      </c>
      <c r="AC396" s="36" t="s">
        <v>26</v>
      </c>
      <c r="AD396" s="47" t="s">
        <v>49</v>
      </c>
      <c r="AE396" s="48" t="s">
        <v>49</v>
      </c>
      <c r="AF396" s="48" t="s">
        <v>49</v>
      </c>
      <c r="AG396" s="48" t="s">
        <v>49</v>
      </c>
      <c r="AH396" s="48" t="s">
        <v>49</v>
      </c>
      <c r="AI396" s="48" t="s">
        <v>49</v>
      </c>
      <c r="AJ396" s="49" t="s">
        <v>49</v>
      </c>
      <c r="AK396" s="48" t="s">
        <v>49</v>
      </c>
      <c r="AL396" s="65" t="s">
        <v>32</v>
      </c>
      <c r="AM396" s="59"/>
      <c r="AN396" s="10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1"/>
    </row>
    <row r="397" spans="1:51" x14ac:dyDescent="0.2">
      <c r="A397" s="33">
        <f t="shared" si="7"/>
        <v>392</v>
      </c>
      <c r="B397" s="34" t="s">
        <v>3247</v>
      </c>
      <c r="C397" s="35" t="s">
        <v>3248</v>
      </c>
      <c r="D397" s="73" t="s">
        <v>3249</v>
      </c>
      <c r="E397" s="36" t="s">
        <v>54</v>
      </c>
      <c r="F397" s="98" t="s">
        <v>3250</v>
      </c>
      <c r="G397" s="37" t="s">
        <v>73</v>
      </c>
      <c r="H397" s="37" t="s">
        <v>73</v>
      </c>
      <c r="I397" s="34" t="s">
        <v>3251</v>
      </c>
      <c r="J397" s="34" t="s">
        <v>41</v>
      </c>
      <c r="K397" s="39" t="s">
        <v>42</v>
      </c>
      <c r="L397" s="120">
        <v>35681</v>
      </c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42" t="s">
        <v>3252</v>
      </c>
      <c r="Y397" s="58" t="s">
        <v>3253</v>
      </c>
      <c r="Z397" s="44" t="s">
        <v>3254</v>
      </c>
      <c r="AA397" s="45">
        <v>42325</v>
      </c>
      <c r="AB397" s="101" t="s">
        <v>30</v>
      </c>
      <c r="AC397" s="73"/>
      <c r="AD397" s="47" t="s">
        <v>49</v>
      </c>
      <c r="AE397" s="48" t="s">
        <v>41</v>
      </c>
      <c r="AF397" s="48" t="s">
        <v>41</v>
      </c>
      <c r="AG397" s="48" t="s">
        <v>41</v>
      </c>
      <c r="AH397" s="48" t="s">
        <v>41</v>
      </c>
      <c r="AI397" s="48" t="s">
        <v>41</v>
      </c>
      <c r="AJ397" s="49" t="s">
        <v>41</v>
      </c>
      <c r="AK397" s="48" t="s">
        <v>41</v>
      </c>
      <c r="AL397" s="65" t="s">
        <v>4590</v>
      </c>
      <c r="AM397" s="59"/>
      <c r="AN397" s="10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1"/>
    </row>
    <row r="398" spans="1:51" x14ac:dyDescent="0.2">
      <c r="A398" s="33">
        <f t="shared" si="7"/>
        <v>393</v>
      </c>
      <c r="B398" s="34" t="s">
        <v>3255</v>
      </c>
      <c r="C398" s="35" t="s">
        <v>3256</v>
      </c>
      <c r="D398" s="36" t="s">
        <v>3257</v>
      </c>
      <c r="E398" s="36" t="s">
        <v>36</v>
      </c>
      <c r="F398" s="34" t="s">
        <v>3258</v>
      </c>
      <c r="G398" s="37" t="s">
        <v>73</v>
      </c>
      <c r="H398" s="37" t="s">
        <v>73</v>
      </c>
      <c r="I398" s="34" t="s">
        <v>3259</v>
      </c>
      <c r="J398" s="34" t="s">
        <v>41</v>
      </c>
      <c r="K398" s="39" t="s">
        <v>42</v>
      </c>
      <c r="L398" s="120" t="s">
        <v>3260</v>
      </c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2" t="s">
        <v>3261</v>
      </c>
      <c r="Y398" s="58" t="s">
        <v>3262</v>
      </c>
      <c r="Z398" s="44" t="s">
        <v>3263</v>
      </c>
      <c r="AA398" s="45">
        <v>43200</v>
      </c>
      <c r="AB398" s="101" t="s">
        <v>30</v>
      </c>
      <c r="AC398" s="36" t="s">
        <v>26</v>
      </c>
      <c r="AD398" s="47" t="s">
        <v>49</v>
      </c>
      <c r="AE398" s="48" t="s">
        <v>49</v>
      </c>
      <c r="AF398" s="48" t="s">
        <v>49</v>
      </c>
      <c r="AG398" s="48" t="s">
        <v>49</v>
      </c>
      <c r="AH398" s="48" t="s">
        <v>49</v>
      </c>
      <c r="AI398" s="48" t="s">
        <v>49</v>
      </c>
      <c r="AJ398" s="49" t="s">
        <v>49</v>
      </c>
      <c r="AK398" s="48" t="s">
        <v>41</v>
      </c>
      <c r="AL398" s="65" t="s">
        <v>148</v>
      </c>
      <c r="AM398" s="59"/>
      <c r="AN398" s="10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1"/>
    </row>
    <row r="399" spans="1:51" x14ac:dyDescent="0.2">
      <c r="A399" s="33">
        <f t="shared" si="7"/>
        <v>394</v>
      </c>
      <c r="B399" s="34" t="s">
        <v>3264</v>
      </c>
      <c r="C399" s="35" t="s">
        <v>3265</v>
      </c>
      <c r="D399" s="36" t="s">
        <v>3266</v>
      </c>
      <c r="E399" s="36" t="s">
        <v>54</v>
      </c>
      <c r="F399" s="34" t="s">
        <v>3267</v>
      </c>
      <c r="G399" s="37" t="s">
        <v>73</v>
      </c>
      <c r="H399" s="37" t="s">
        <v>73</v>
      </c>
      <c r="I399" s="38" t="s">
        <v>3268</v>
      </c>
      <c r="J399" s="34" t="s">
        <v>41</v>
      </c>
      <c r="K399" s="39" t="s">
        <v>42</v>
      </c>
      <c r="L399" s="120" t="s">
        <v>3269</v>
      </c>
      <c r="M399" s="41"/>
      <c r="N399" s="41"/>
      <c r="O399" s="41"/>
      <c r="P399" s="41"/>
      <c r="Q399" s="41"/>
      <c r="R399" s="41"/>
      <c r="S399" s="41"/>
      <c r="T399" s="41" t="s">
        <v>44</v>
      </c>
      <c r="U399" s="41"/>
      <c r="V399" s="41"/>
      <c r="W399" s="41"/>
      <c r="X399" s="42" t="s">
        <v>3270</v>
      </c>
      <c r="Y399" s="83" t="s">
        <v>3271</v>
      </c>
      <c r="Z399" s="83"/>
      <c r="AA399" s="45">
        <v>45642</v>
      </c>
      <c r="AB399" s="101"/>
      <c r="AC399" s="36"/>
      <c r="AD399" s="47" t="s">
        <v>49</v>
      </c>
      <c r="AE399" s="48" t="s">
        <v>41</v>
      </c>
      <c r="AF399" s="48" t="s">
        <v>41</v>
      </c>
      <c r="AG399" s="48" t="s">
        <v>41</v>
      </c>
      <c r="AH399" s="48" t="s">
        <v>49</v>
      </c>
      <c r="AI399" s="48" t="s">
        <v>49</v>
      </c>
      <c r="AJ399" s="49" t="s">
        <v>49</v>
      </c>
      <c r="AK399" s="48" t="s">
        <v>41</v>
      </c>
      <c r="AL399" s="65" t="s">
        <v>148</v>
      </c>
      <c r="AM399" s="59"/>
      <c r="AN399" s="10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1"/>
    </row>
    <row r="400" spans="1:51" x14ac:dyDescent="0.2">
      <c r="A400" s="33">
        <f t="shared" si="7"/>
        <v>395</v>
      </c>
      <c r="B400" s="34" t="s">
        <v>3272</v>
      </c>
      <c r="C400" s="35" t="s">
        <v>3273</v>
      </c>
      <c r="D400" s="36" t="s">
        <v>3274</v>
      </c>
      <c r="E400" s="36" t="s">
        <v>54</v>
      </c>
      <c r="F400" s="34" t="s">
        <v>3275</v>
      </c>
      <c r="G400" s="37" t="s">
        <v>73</v>
      </c>
      <c r="H400" s="37" t="s">
        <v>73</v>
      </c>
      <c r="I400" s="34" t="s">
        <v>3276</v>
      </c>
      <c r="J400" s="34" t="s">
        <v>41</v>
      </c>
      <c r="K400" s="39" t="s">
        <v>42</v>
      </c>
      <c r="L400" s="120">
        <v>35531</v>
      </c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42" t="s">
        <v>3277</v>
      </c>
      <c r="Y400" s="100" t="s">
        <v>3278</v>
      </c>
      <c r="Z400" s="44" t="s">
        <v>3279</v>
      </c>
      <c r="AA400" s="45">
        <v>42935</v>
      </c>
      <c r="AB400" s="101" t="s">
        <v>30</v>
      </c>
      <c r="AC400" s="36" t="s">
        <v>26</v>
      </c>
      <c r="AD400" s="64" t="s">
        <v>120</v>
      </c>
      <c r="AE400" s="48" t="s">
        <v>120</v>
      </c>
      <c r="AF400" s="48" t="s">
        <v>120</v>
      </c>
      <c r="AG400" s="48" t="s">
        <v>120</v>
      </c>
      <c r="AH400" s="48" t="s">
        <v>120</v>
      </c>
      <c r="AI400" s="48" t="s">
        <v>120</v>
      </c>
      <c r="AJ400" s="49" t="s">
        <v>120</v>
      </c>
      <c r="AK400" s="48" t="s">
        <v>41</v>
      </c>
      <c r="AL400" s="65" t="s">
        <v>148</v>
      </c>
      <c r="AM400" s="59"/>
      <c r="AN400" s="10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1"/>
    </row>
    <row r="401" spans="1:51" x14ac:dyDescent="0.2">
      <c r="A401" s="33">
        <f t="shared" si="7"/>
        <v>396</v>
      </c>
      <c r="B401" s="34" t="s">
        <v>3280</v>
      </c>
      <c r="C401" s="35" t="s">
        <v>3281</v>
      </c>
      <c r="D401" s="36" t="s">
        <v>3282</v>
      </c>
      <c r="E401" s="36" t="s">
        <v>54</v>
      </c>
      <c r="F401" s="34" t="s">
        <v>3283</v>
      </c>
      <c r="G401" s="37" t="s">
        <v>73</v>
      </c>
      <c r="H401" s="37" t="s">
        <v>73</v>
      </c>
      <c r="I401" s="34" t="s">
        <v>3284</v>
      </c>
      <c r="J401" s="34" t="s">
        <v>41</v>
      </c>
      <c r="K401" s="39" t="s">
        <v>42</v>
      </c>
      <c r="L401" s="99" t="s">
        <v>3285</v>
      </c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42" t="s">
        <v>3286</v>
      </c>
      <c r="Y401" s="58" t="s">
        <v>3287</v>
      </c>
      <c r="Z401" s="44" t="s">
        <v>61</v>
      </c>
      <c r="AA401" s="45">
        <v>39286</v>
      </c>
      <c r="AB401" s="101" t="s">
        <v>30</v>
      </c>
      <c r="AC401" s="36"/>
      <c r="AD401" s="47" t="s">
        <v>49</v>
      </c>
      <c r="AE401" s="48" t="s">
        <v>41</v>
      </c>
      <c r="AF401" s="48" t="s">
        <v>41</v>
      </c>
      <c r="AG401" s="48" t="s">
        <v>41</v>
      </c>
      <c r="AH401" s="48" t="s">
        <v>41</v>
      </c>
      <c r="AI401" s="48" t="s">
        <v>41</v>
      </c>
      <c r="AJ401" s="49" t="s">
        <v>41</v>
      </c>
      <c r="AK401" s="48" t="s">
        <v>41</v>
      </c>
      <c r="AL401" s="65" t="s">
        <v>4588</v>
      </c>
      <c r="AM401" s="59"/>
      <c r="AN401" s="10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1"/>
    </row>
    <row r="402" spans="1:51" x14ac:dyDescent="0.2">
      <c r="A402" s="33">
        <f t="shared" si="7"/>
        <v>397</v>
      </c>
      <c r="B402" s="34" t="s">
        <v>3288</v>
      </c>
      <c r="C402" s="35" t="s">
        <v>3289</v>
      </c>
      <c r="D402" s="36" t="s">
        <v>3290</v>
      </c>
      <c r="E402" s="36" t="s">
        <v>241</v>
      </c>
      <c r="F402" s="34" t="s">
        <v>3291</v>
      </c>
      <c r="G402" s="37" t="s">
        <v>73</v>
      </c>
      <c r="H402" s="37" t="s">
        <v>73</v>
      </c>
      <c r="I402" s="34" t="s">
        <v>3292</v>
      </c>
      <c r="J402" s="34" t="s">
        <v>41</v>
      </c>
      <c r="K402" s="39" t="s">
        <v>42</v>
      </c>
      <c r="L402" s="99" t="s">
        <v>3293</v>
      </c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2" t="s">
        <v>3294</v>
      </c>
      <c r="Y402" s="58" t="s">
        <v>3295</v>
      </c>
      <c r="Z402" s="44" t="s">
        <v>61</v>
      </c>
      <c r="AA402" s="45">
        <v>34597</v>
      </c>
      <c r="AB402" s="101" t="s">
        <v>129</v>
      </c>
      <c r="AC402" s="36" t="s">
        <v>26</v>
      </c>
      <c r="AD402" s="47" t="s">
        <v>49</v>
      </c>
      <c r="AE402" s="48" t="s">
        <v>49</v>
      </c>
      <c r="AF402" s="48" t="s">
        <v>41</v>
      </c>
      <c r="AG402" s="48" t="s">
        <v>41</v>
      </c>
      <c r="AH402" s="48" t="s">
        <v>41</v>
      </c>
      <c r="AI402" s="48" t="s">
        <v>41</v>
      </c>
      <c r="AJ402" s="49" t="s">
        <v>41</v>
      </c>
      <c r="AK402" s="48" t="s">
        <v>41</v>
      </c>
      <c r="AL402" s="62" t="s">
        <v>4587</v>
      </c>
      <c r="AM402" s="59"/>
      <c r="AN402" s="117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1"/>
    </row>
    <row r="403" spans="1:51" x14ac:dyDescent="0.2">
      <c r="A403" s="33">
        <f t="shared" si="7"/>
        <v>398</v>
      </c>
      <c r="B403" s="108" t="s">
        <v>3296</v>
      </c>
      <c r="C403" s="35" t="s">
        <v>3297</v>
      </c>
      <c r="D403" s="73" t="s">
        <v>3298</v>
      </c>
      <c r="E403" s="36" t="s">
        <v>36</v>
      </c>
      <c r="F403" s="192" t="s">
        <v>3299</v>
      </c>
      <c r="G403" s="37" t="s">
        <v>398</v>
      </c>
      <c r="H403" s="37" t="s">
        <v>205</v>
      </c>
      <c r="I403" s="140" t="s">
        <v>3300</v>
      </c>
      <c r="J403" s="38" t="s">
        <v>41</v>
      </c>
      <c r="K403" s="39" t="s">
        <v>42</v>
      </c>
      <c r="L403" s="166" t="s">
        <v>3301</v>
      </c>
      <c r="M403" s="56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42" t="s">
        <v>3302</v>
      </c>
      <c r="Y403" s="58" t="s">
        <v>3303</v>
      </c>
      <c r="Z403" s="44" t="s">
        <v>3304</v>
      </c>
      <c r="AA403" s="45">
        <v>42325</v>
      </c>
      <c r="AB403" s="101" t="s">
        <v>30</v>
      </c>
      <c r="AC403" s="73" t="s">
        <v>26</v>
      </c>
      <c r="AD403" s="47" t="s">
        <v>49</v>
      </c>
      <c r="AE403" s="48" t="s">
        <v>49</v>
      </c>
      <c r="AF403" s="48" t="s">
        <v>49</v>
      </c>
      <c r="AG403" s="48" t="s">
        <v>49</v>
      </c>
      <c r="AH403" s="48" t="s">
        <v>49</v>
      </c>
      <c r="AI403" s="48" t="s">
        <v>49</v>
      </c>
      <c r="AJ403" s="49" t="s">
        <v>49</v>
      </c>
      <c r="AK403" s="48" t="s">
        <v>41</v>
      </c>
      <c r="AL403" s="65" t="s">
        <v>148</v>
      </c>
      <c r="AM403" s="59"/>
      <c r="AN403" s="10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1"/>
    </row>
    <row r="404" spans="1:51" x14ac:dyDescent="0.2">
      <c r="A404" s="33">
        <f t="shared" si="7"/>
        <v>399</v>
      </c>
      <c r="B404" s="34" t="s">
        <v>3305</v>
      </c>
      <c r="C404" s="35" t="s">
        <v>3306</v>
      </c>
      <c r="D404" s="36" t="s">
        <v>3307</v>
      </c>
      <c r="E404" s="36" t="s">
        <v>54</v>
      </c>
      <c r="F404" s="34" t="s">
        <v>3308</v>
      </c>
      <c r="G404" s="37" t="s">
        <v>73</v>
      </c>
      <c r="H404" s="37" t="s">
        <v>73</v>
      </c>
      <c r="I404" s="34" t="s">
        <v>3309</v>
      </c>
      <c r="J404" s="34" t="s">
        <v>41</v>
      </c>
      <c r="K404" s="39" t="s">
        <v>42</v>
      </c>
      <c r="L404" s="120">
        <v>36895</v>
      </c>
      <c r="M404" s="41"/>
      <c r="N404" s="177"/>
      <c r="O404" s="112"/>
      <c r="P404" s="177"/>
      <c r="Q404" s="112"/>
      <c r="R404" s="112"/>
      <c r="S404" s="112"/>
      <c r="T404" s="177"/>
      <c r="U404" s="112"/>
      <c r="V404" s="41"/>
      <c r="W404" s="41"/>
      <c r="X404" s="42" t="s">
        <v>3310</v>
      </c>
      <c r="Y404" s="52" t="s">
        <v>3311</v>
      </c>
      <c r="Z404" s="44" t="s">
        <v>61</v>
      </c>
      <c r="AA404" s="45">
        <v>39286</v>
      </c>
      <c r="AB404" s="101" t="s">
        <v>30</v>
      </c>
      <c r="AC404" s="36" t="s">
        <v>26</v>
      </c>
      <c r="AD404" s="61" t="s">
        <v>49</v>
      </c>
      <c r="AE404" s="48" t="s">
        <v>49</v>
      </c>
      <c r="AF404" s="48" t="s">
        <v>49</v>
      </c>
      <c r="AG404" s="48" t="s">
        <v>49</v>
      </c>
      <c r="AH404" s="48" t="s">
        <v>49</v>
      </c>
      <c r="AI404" s="48" t="s">
        <v>49</v>
      </c>
      <c r="AJ404" s="49" t="s">
        <v>49</v>
      </c>
      <c r="AK404" s="48" t="s">
        <v>41</v>
      </c>
      <c r="AL404" s="65" t="s">
        <v>148</v>
      </c>
      <c r="AM404" s="59"/>
      <c r="AN404" s="10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1"/>
    </row>
    <row r="405" spans="1:51" x14ac:dyDescent="0.2">
      <c r="A405" s="33">
        <f t="shared" si="7"/>
        <v>400</v>
      </c>
      <c r="B405" s="34" t="s">
        <v>3312</v>
      </c>
      <c r="C405" s="35" t="s">
        <v>3313</v>
      </c>
      <c r="D405" s="36" t="s">
        <v>3314</v>
      </c>
      <c r="E405" s="36" t="s">
        <v>54</v>
      </c>
      <c r="F405" s="87" t="s">
        <v>3315</v>
      </c>
      <c r="G405" s="37" t="s">
        <v>323</v>
      </c>
      <c r="H405" s="37" t="s">
        <v>39</v>
      </c>
      <c r="I405" s="34" t="s">
        <v>3316</v>
      </c>
      <c r="J405" s="34" t="s">
        <v>41</v>
      </c>
      <c r="K405" s="39" t="s">
        <v>42</v>
      </c>
      <c r="L405" s="120">
        <v>42254</v>
      </c>
      <c r="M405" s="56"/>
      <c r="N405" s="114"/>
      <c r="O405" s="115"/>
      <c r="P405" s="114"/>
      <c r="Q405" s="115"/>
      <c r="R405" s="115"/>
      <c r="S405" s="115"/>
      <c r="T405" s="114"/>
      <c r="U405" s="115"/>
      <c r="V405" s="56"/>
      <c r="W405" s="56"/>
      <c r="X405" s="42" t="s">
        <v>3317</v>
      </c>
      <c r="Y405" s="100" t="s">
        <v>3318</v>
      </c>
      <c r="Z405" s="44" t="s">
        <v>3319</v>
      </c>
      <c r="AA405" s="45">
        <v>42325</v>
      </c>
      <c r="AB405" s="101" t="s">
        <v>30</v>
      </c>
      <c r="AC405" s="36" t="s">
        <v>26</v>
      </c>
      <c r="AD405" s="47" t="s">
        <v>49</v>
      </c>
      <c r="AE405" s="48" t="s">
        <v>49</v>
      </c>
      <c r="AF405" s="48" t="s">
        <v>49</v>
      </c>
      <c r="AG405" s="48" t="s">
        <v>49</v>
      </c>
      <c r="AH405" s="48" t="s">
        <v>49</v>
      </c>
      <c r="AI405" s="48" t="s">
        <v>49</v>
      </c>
      <c r="AJ405" s="49" t="s">
        <v>49</v>
      </c>
      <c r="AK405" s="48" t="s">
        <v>49</v>
      </c>
      <c r="AL405" s="62" t="s">
        <v>32</v>
      </c>
      <c r="AM405" s="59"/>
      <c r="AN405" s="10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1"/>
    </row>
    <row r="406" spans="1:51" x14ac:dyDescent="0.2">
      <c r="A406" s="33">
        <f t="shared" si="7"/>
        <v>401</v>
      </c>
      <c r="B406" s="34" t="s">
        <v>3320</v>
      </c>
      <c r="C406" s="35" t="s">
        <v>3321</v>
      </c>
      <c r="D406" s="109" t="s">
        <v>3322</v>
      </c>
      <c r="E406" s="36" t="s">
        <v>54</v>
      </c>
      <c r="F406" s="108" t="s">
        <v>3323</v>
      </c>
      <c r="G406" s="37" t="s">
        <v>413</v>
      </c>
      <c r="H406" s="37" t="s">
        <v>378</v>
      </c>
      <c r="I406" s="108" t="s">
        <v>3324</v>
      </c>
      <c r="J406" s="38" t="s">
        <v>3325</v>
      </c>
      <c r="K406" s="39" t="s">
        <v>42</v>
      </c>
      <c r="L406" s="120">
        <v>40004</v>
      </c>
      <c r="M406" s="41"/>
      <c r="N406" s="111"/>
      <c r="O406" s="112"/>
      <c r="P406" s="111"/>
      <c r="Q406" s="112"/>
      <c r="R406" s="112"/>
      <c r="S406" s="112"/>
      <c r="T406" s="230"/>
      <c r="U406" s="112"/>
      <c r="V406" s="41"/>
      <c r="W406" s="41"/>
      <c r="X406" s="42" t="s">
        <v>3326</v>
      </c>
      <c r="Y406" s="52" t="s">
        <v>3327</v>
      </c>
      <c r="Z406" s="44" t="s">
        <v>61</v>
      </c>
      <c r="AA406" s="45">
        <v>39286</v>
      </c>
      <c r="AB406" s="101" t="s">
        <v>30</v>
      </c>
      <c r="AC406" s="36" t="s">
        <v>26</v>
      </c>
      <c r="AD406" s="47" t="s">
        <v>49</v>
      </c>
      <c r="AE406" s="48" t="s">
        <v>49</v>
      </c>
      <c r="AF406" s="48" t="s">
        <v>49</v>
      </c>
      <c r="AG406" s="48" t="s">
        <v>49</v>
      </c>
      <c r="AH406" s="48" t="s">
        <v>49</v>
      </c>
      <c r="AI406" s="48" t="s">
        <v>49</v>
      </c>
      <c r="AJ406" s="49" t="s">
        <v>49</v>
      </c>
      <c r="AK406" s="48" t="s">
        <v>41</v>
      </c>
      <c r="AL406" s="62" t="s">
        <v>148</v>
      </c>
      <c r="AM406" s="59"/>
      <c r="AN406" s="10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1"/>
    </row>
    <row r="407" spans="1:51" x14ac:dyDescent="0.2">
      <c r="A407" s="33">
        <f t="shared" si="7"/>
        <v>402</v>
      </c>
      <c r="B407" s="34" t="s">
        <v>3328</v>
      </c>
      <c r="C407" s="35" t="s">
        <v>3329</v>
      </c>
      <c r="D407" s="36" t="s">
        <v>3330</v>
      </c>
      <c r="E407" s="36" t="s">
        <v>54</v>
      </c>
      <c r="F407" s="34" t="s">
        <v>3331</v>
      </c>
      <c r="G407" s="37" t="s">
        <v>73</v>
      </c>
      <c r="H407" s="37" t="s">
        <v>73</v>
      </c>
      <c r="I407" s="34" t="s">
        <v>3332</v>
      </c>
      <c r="J407" s="34" t="s">
        <v>3333</v>
      </c>
      <c r="K407" s="39" t="s">
        <v>42</v>
      </c>
      <c r="L407" s="99" t="s">
        <v>3334</v>
      </c>
      <c r="M407" s="41"/>
      <c r="N407" s="41"/>
      <c r="O407" s="41"/>
      <c r="P407" s="41"/>
      <c r="Q407" s="112"/>
      <c r="R407" s="231"/>
      <c r="S407" s="112"/>
      <c r="T407" s="230"/>
      <c r="U407" s="112"/>
      <c r="V407" s="41"/>
      <c r="W407" s="41"/>
      <c r="X407" s="42" t="s">
        <v>3335</v>
      </c>
      <c r="Y407" s="43" t="s">
        <v>3336</v>
      </c>
      <c r="Z407" s="44" t="s">
        <v>61</v>
      </c>
      <c r="AA407" s="45">
        <v>34597</v>
      </c>
      <c r="AB407" s="101" t="s">
        <v>30</v>
      </c>
      <c r="AC407" s="36" t="s">
        <v>26</v>
      </c>
      <c r="AD407" s="47" t="s">
        <v>49</v>
      </c>
      <c r="AE407" s="48" t="s">
        <v>49</v>
      </c>
      <c r="AF407" s="48" t="s">
        <v>49</v>
      </c>
      <c r="AG407" s="48" t="s">
        <v>49</v>
      </c>
      <c r="AH407" s="48" t="s">
        <v>49</v>
      </c>
      <c r="AI407" s="48" t="s">
        <v>49</v>
      </c>
      <c r="AJ407" s="49" t="s">
        <v>49</v>
      </c>
      <c r="AK407" s="48" t="s">
        <v>49</v>
      </c>
      <c r="AL407" s="65" t="s">
        <v>32</v>
      </c>
      <c r="AM407" s="59"/>
      <c r="AN407" s="10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1"/>
    </row>
    <row r="408" spans="1:51" x14ac:dyDescent="0.2">
      <c r="A408" s="33">
        <f t="shared" si="7"/>
        <v>403</v>
      </c>
      <c r="B408" s="34" t="s">
        <v>3337</v>
      </c>
      <c r="C408" s="35" t="s">
        <v>3338</v>
      </c>
      <c r="D408" s="36" t="s">
        <v>3339</v>
      </c>
      <c r="E408" s="36" t="s">
        <v>54</v>
      </c>
      <c r="F408" s="34" t="s">
        <v>3340</v>
      </c>
      <c r="G408" s="37" t="s">
        <v>73</v>
      </c>
      <c r="H408" s="37" t="s">
        <v>73</v>
      </c>
      <c r="I408" s="34" t="s">
        <v>3341</v>
      </c>
      <c r="J408" s="34" t="s">
        <v>41</v>
      </c>
      <c r="K408" s="39" t="s">
        <v>42</v>
      </c>
      <c r="L408" s="99" t="s">
        <v>3342</v>
      </c>
      <c r="M408" s="41"/>
      <c r="N408" s="41"/>
      <c r="O408" s="41"/>
      <c r="P408" s="41"/>
      <c r="Q408" s="112"/>
      <c r="R408" s="231"/>
      <c r="S408" s="112"/>
      <c r="T408" s="177"/>
      <c r="U408" s="112"/>
      <c r="V408" s="41"/>
      <c r="W408" s="41"/>
      <c r="X408" s="42" t="s">
        <v>3343</v>
      </c>
      <c r="Y408" s="43" t="s">
        <v>3344</v>
      </c>
      <c r="Z408" s="84" t="s">
        <v>3345</v>
      </c>
      <c r="AA408" s="45">
        <v>44650</v>
      </c>
      <c r="AB408" s="101" t="s">
        <v>30</v>
      </c>
      <c r="AC408" s="36"/>
      <c r="AD408" s="47" t="s">
        <v>49</v>
      </c>
      <c r="AE408" s="48" t="s">
        <v>41</v>
      </c>
      <c r="AF408" s="48" t="s">
        <v>49</v>
      </c>
      <c r="AG408" s="48" t="s">
        <v>49</v>
      </c>
      <c r="AH408" s="48" t="s">
        <v>49</v>
      </c>
      <c r="AI408" s="48" t="s">
        <v>49</v>
      </c>
      <c r="AJ408" s="49" t="s">
        <v>49</v>
      </c>
      <c r="AK408" s="48" t="s">
        <v>49</v>
      </c>
      <c r="AL408" s="62" t="s">
        <v>32</v>
      </c>
      <c r="AM408" s="59"/>
      <c r="AN408" s="10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1"/>
    </row>
    <row r="409" spans="1:51" x14ac:dyDescent="0.2">
      <c r="A409" s="33">
        <f t="shared" si="7"/>
        <v>404</v>
      </c>
      <c r="B409" s="34" t="s">
        <v>3346</v>
      </c>
      <c r="C409" s="35" t="s">
        <v>3347</v>
      </c>
      <c r="D409" s="36" t="s">
        <v>3348</v>
      </c>
      <c r="E409" s="36" t="s">
        <v>54</v>
      </c>
      <c r="F409" s="34" t="s">
        <v>3349</v>
      </c>
      <c r="G409" s="37" t="s">
        <v>73</v>
      </c>
      <c r="H409" s="37" t="s">
        <v>73</v>
      </c>
      <c r="I409" s="38" t="s">
        <v>3350</v>
      </c>
      <c r="J409" s="34" t="s">
        <v>41</v>
      </c>
      <c r="K409" s="39" t="s">
        <v>42</v>
      </c>
      <c r="L409" s="99" t="s">
        <v>3351</v>
      </c>
      <c r="M409" s="41"/>
      <c r="N409" s="41"/>
      <c r="O409" s="41"/>
      <c r="P409" s="41"/>
      <c r="Q409" s="41"/>
      <c r="R409" s="41"/>
      <c r="S409" s="41"/>
      <c r="T409" s="177" t="s">
        <v>44</v>
      </c>
      <c r="U409" s="112" t="s">
        <v>732</v>
      </c>
      <c r="V409" s="41"/>
      <c r="W409" s="41"/>
      <c r="X409" s="42" t="s">
        <v>3352</v>
      </c>
      <c r="Y409" s="55" t="s">
        <v>3353</v>
      </c>
      <c r="Z409" s="44"/>
      <c r="AA409" s="45">
        <v>45642</v>
      </c>
      <c r="AB409" s="101"/>
      <c r="AC409" s="36"/>
      <c r="AD409" s="47" t="s">
        <v>49</v>
      </c>
      <c r="AE409" s="48" t="s">
        <v>41</v>
      </c>
      <c r="AF409" s="48" t="s">
        <v>41</v>
      </c>
      <c r="AG409" s="48" t="s">
        <v>41</v>
      </c>
      <c r="AH409" s="48" t="s">
        <v>49</v>
      </c>
      <c r="AI409" s="48" t="s">
        <v>49</v>
      </c>
      <c r="AJ409" s="49" t="s">
        <v>41</v>
      </c>
      <c r="AK409" s="48" t="s">
        <v>41</v>
      </c>
      <c r="AL409" s="62" t="s">
        <v>276</v>
      </c>
      <c r="AM409" s="59"/>
      <c r="AN409" s="10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1"/>
    </row>
    <row r="410" spans="1:51" x14ac:dyDescent="0.2">
      <c r="A410" s="33">
        <f t="shared" si="7"/>
        <v>405</v>
      </c>
      <c r="B410" s="34" t="s">
        <v>3354</v>
      </c>
      <c r="C410" s="35" t="s">
        <v>3355</v>
      </c>
      <c r="D410" s="36" t="s">
        <v>3356</v>
      </c>
      <c r="E410" s="36" t="s">
        <v>54</v>
      </c>
      <c r="F410" s="34" t="s">
        <v>3357</v>
      </c>
      <c r="G410" s="37" t="s">
        <v>73</v>
      </c>
      <c r="H410" s="37" t="s">
        <v>73</v>
      </c>
      <c r="I410" s="34" t="s">
        <v>3358</v>
      </c>
      <c r="J410" s="34" t="s">
        <v>41</v>
      </c>
      <c r="K410" s="39" t="s">
        <v>42</v>
      </c>
      <c r="L410" s="120">
        <v>40399</v>
      </c>
      <c r="M410" s="41"/>
      <c r="N410" s="41"/>
      <c r="O410" s="41"/>
      <c r="P410" s="41"/>
      <c r="Q410" s="41"/>
      <c r="R410" s="41"/>
      <c r="S410" s="41"/>
      <c r="T410" s="177"/>
      <c r="U410" s="112"/>
      <c r="V410" s="112"/>
      <c r="W410" s="112"/>
      <c r="X410" s="57" t="s">
        <v>3359</v>
      </c>
      <c r="Y410" s="69" t="s">
        <v>3360</v>
      </c>
      <c r="Z410" s="44" t="s">
        <v>3361</v>
      </c>
      <c r="AA410" s="45">
        <v>42936</v>
      </c>
      <c r="AB410" s="101" t="s">
        <v>30</v>
      </c>
      <c r="AC410" s="36" t="s">
        <v>26</v>
      </c>
      <c r="AD410" s="64" t="s">
        <v>120</v>
      </c>
      <c r="AE410" s="48" t="s">
        <v>120</v>
      </c>
      <c r="AF410" s="48" t="s">
        <v>120</v>
      </c>
      <c r="AG410" s="48" t="s">
        <v>120</v>
      </c>
      <c r="AH410" s="48" t="s">
        <v>41</v>
      </c>
      <c r="AI410" s="48" t="s">
        <v>41</v>
      </c>
      <c r="AJ410" s="49" t="s">
        <v>41</v>
      </c>
      <c r="AK410" s="48" t="s">
        <v>41</v>
      </c>
      <c r="AL410" s="62" t="s">
        <v>139</v>
      </c>
      <c r="AM410" s="59"/>
      <c r="AN410" s="10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1"/>
    </row>
    <row r="411" spans="1:51" x14ac:dyDescent="0.2">
      <c r="A411" s="33">
        <f t="shared" si="7"/>
        <v>406</v>
      </c>
      <c r="B411" s="34" t="s">
        <v>3362</v>
      </c>
      <c r="C411" s="35" t="s">
        <v>3363</v>
      </c>
      <c r="D411" s="36" t="s">
        <v>3364</v>
      </c>
      <c r="E411" s="36" t="s">
        <v>36</v>
      </c>
      <c r="F411" s="34" t="s">
        <v>3365</v>
      </c>
      <c r="G411" s="37" t="s">
        <v>73</v>
      </c>
      <c r="H411" s="37" t="s">
        <v>73</v>
      </c>
      <c r="I411" s="38" t="s">
        <v>3366</v>
      </c>
      <c r="J411" s="34" t="s">
        <v>41</v>
      </c>
      <c r="K411" s="39" t="s">
        <v>42</v>
      </c>
      <c r="L411" s="120">
        <v>43750</v>
      </c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42" t="s">
        <v>3367</v>
      </c>
      <c r="Y411" s="58" t="s">
        <v>3368</v>
      </c>
      <c r="Z411" s="44" t="s">
        <v>3369</v>
      </c>
      <c r="AA411" s="45">
        <v>44041</v>
      </c>
      <c r="AB411" s="101" t="s">
        <v>30</v>
      </c>
      <c r="AC411" s="36" t="s">
        <v>26</v>
      </c>
      <c r="AD411" s="47" t="s">
        <v>49</v>
      </c>
      <c r="AE411" s="48" t="s">
        <v>49</v>
      </c>
      <c r="AF411" s="48" t="s">
        <v>49</v>
      </c>
      <c r="AG411" s="48" t="s">
        <v>49</v>
      </c>
      <c r="AH411" s="48" t="s">
        <v>49</v>
      </c>
      <c r="AI411" s="48" t="s">
        <v>49</v>
      </c>
      <c r="AJ411" s="49" t="s">
        <v>49</v>
      </c>
      <c r="AK411" s="48" t="s">
        <v>49</v>
      </c>
      <c r="AL411" s="62" t="s">
        <v>32</v>
      </c>
      <c r="AM411" s="59"/>
      <c r="AN411" s="10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1"/>
    </row>
    <row r="412" spans="1:51" x14ac:dyDescent="0.2">
      <c r="A412" s="33">
        <f t="shared" si="7"/>
        <v>407</v>
      </c>
      <c r="B412" s="34" t="s">
        <v>3370</v>
      </c>
      <c r="C412" s="35" t="s">
        <v>3371</v>
      </c>
      <c r="D412" s="36" t="s">
        <v>3372</v>
      </c>
      <c r="E412" s="36" t="s">
        <v>54</v>
      </c>
      <c r="F412" s="34" t="s">
        <v>3373</v>
      </c>
      <c r="G412" s="37" t="s">
        <v>73</v>
      </c>
      <c r="H412" s="37" t="s">
        <v>73</v>
      </c>
      <c r="I412" s="34" t="s">
        <v>3374</v>
      </c>
      <c r="J412" s="34" t="s">
        <v>3375</v>
      </c>
      <c r="K412" s="39" t="s">
        <v>42</v>
      </c>
      <c r="L412" s="99" t="s">
        <v>3376</v>
      </c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2" t="s">
        <v>3377</v>
      </c>
      <c r="Y412" s="100" t="s">
        <v>3378</v>
      </c>
      <c r="Z412" s="44" t="s">
        <v>61</v>
      </c>
      <c r="AA412" s="45">
        <v>36641</v>
      </c>
      <c r="AB412" s="101" t="s">
        <v>30</v>
      </c>
      <c r="AC412" s="36" t="s">
        <v>26</v>
      </c>
      <c r="AD412" s="47" t="s">
        <v>49</v>
      </c>
      <c r="AE412" s="48" t="s">
        <v>49</v>
      </c>
      <c r="AF412" s="48" t="s">
        <v>49</v>
      </c>
      <c r="AG412" s="48" t="s">
        <v>49</v>
      </c>
      <c r="AH412" s="48" t="s">
        <v>49</v>
      </c>
      <c r="AI412" s="48" t="s">
        <v>49</v>
      </c>
      <c r="AJ412" s="49" t="s">
        <v>49</v>
      </c>
      <c r="AK412" s="48" t="s">
        <v>41</v>
      </c>
      <c r="AL412" s="65" t="s">
        <v>148</v>
      </c>
      <c r="AM412" s="59"/>
      <c r="AN412" s="10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1"/>
    </row>
    <row r="413" spans="1:51" x14ac:dyDescent="0.2">
      <c r="A413" s="33">
        <f t="shared" si="7"/>
        <v>408</v>
      </c>
      <c r="B413" s="34" t="s">
        <v>3379</v>
      </c>
      <c r="C413" s="35" t="s">
        <v>3380</v>
      </c>
      <c r="D413" s="36" t="s">
        <v>3381</v>
      </c>
      <c r="E413" s="36" t="s">
        <v>54</v>
      </c>
      <c r="F413" s="34" t="s">
        <v>3382</v>
      </c>
      <c r="G413" s="37" t="s">
        <v>456</v>
      </c>
      <c r="H413" s="37" t="s">
        <v>187</v>
      </c>
      <c r="I413" s="38" t="s">
        <v>3383</v>
      </c>
      <c r="J413" s="34" t="s">
        <v>41</v>
      </c>
      <c r="K413" s="39" t="s">
        <v>42</v>
      </c>
      <c r="L413" s="99" t="s">
        <v>3384</v>
      </c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7" t="s">
        <v>3385</v>
      </c>
      <c r="Y413" s="58" t="s">
        <v>3386</v>
      </c>
      <c r="Z413" s="44" t="s">
        <v>61</v>
      </c>
      <c r="AA413" s="45">
        <v>38593</v>
      </c>
      <c r="AB413" s="101" t="s">
        <v>30</v>
      </c>
      <c r="AC413" s="36" t="s">
        <v>26</v>
      </c>
      <c r="AD413" s="47" t="s">
        <v>49</v>
      </c>
      <c r="AE413" s="48" t="s">
        <v>49</v>
      </c>
      <c r="AF413" s="48" t="s">
        <v>49</v>
      </c>
      <c r="AG413" s="48" t="s">
        <v>49</v>
      </c>
      <c r="AH413" s="48" t="s">
        <v>49</v>
      </c>
      <c r="AI413" s="48" t="s">
        <v>49</v>
      </c>
      <c r="AJ413" s="49" t="s">
        <v>49</v>
      </c>
      <c r="AK413" s="48" t="s">
        <v>41</v>
      </c>
      <c r="AL413" s="65" t="s">
        <v>148</v>
      </c>
      <c r="AM413" s="59"/>
      <c r="AN413" s="10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1"/>
    </row>
    <row r="414" spans="1:51" x14ac:dyDescent="0.2">
      <c r="A414" s="33">
        <f t="shared" si="7"/>
        <v>409</v>
      </c>
      <c r="B414" s="34" t="s">
        <v>3387</v>
      </c>
      <c r="C414" s="35" t="s">
        <v>3388</v>
      </c>
      <c r="D414" s="36" t="s">
        <v>3389</v>
      </c>
      <c r="E414" s="36" t="s">
        <v>54</v>
      </c>
      <c r="F414" s="34" t="s">
        <v>3390</v>
      </c>
      <c r="G414" s="37" t="s">
        <v>176</v>
      </c>
      <c r="H414" s="37" t="s">
        <v>39</v>
      </c>
      <c r="I414" s="38" t="s">
        <v>3391</v>
      </c>
      <c r="J414" s="34"/>
      <c r="K414" s="39" t="s">
        <v>42</v>
      </c>
      <c r="L414" s="99" t="s">
        <v>3392</v>
      </c>
      <c r="M414" s="56"/>
      <c r="N414" s="56"/>
      <c r="O414" s="56"/>
      <c r="P414" s="56"/>
      <c r="Q414" s="56"/>
      <c r="R414" s="56"/>
      <c r="S414" s="56"/>
      <c r="T414" s="56" t="s">
        <v>44</v>
      </c>
      <c r="U414" s="56"/>
      <c r="V414" s="56"/>
      <c r="W414" s="56"/>
      <c r="X414" s="42" t="s">
        <v>3393</v>
      </c>
      <c r="Y414" s="58" t="s">
        <v>3394</v>
      </c>
      <c r="Z414" s="44"/>
      <c r="AA414" s="45">
        <v>45642</v>
      </c>
      <c r="AB414" s="101"/>
      <c r="AC414" s="36"/>
      <c r="AD414" s="47" t="s">
        <v>49</v>
      </c>
      <c r="AE414" s="48" t="s">
        <v>41</v>
      </c>
      <c r="AF414" s="48" t="s">
        <v>41</v>
      </c>
      <c r="AG414" s="48" t="s">
        <v>41</v>
      </c>
      <c r="AH414" s="48" t="s">
        <v>49</v>
      </c>
      <c r="AI414" s="48" t="s">
        <v>49</v>
      </c>
      <c r="AJ414" s="49" t="s">
        <v>49</v>
      </c>
      <c r="AK414" s="48" t="s">
        <v>49</v>
      </c>
      <c r="AL414" s="62" t="s">
        <v>32</v>
      </c>
      <c r="AM414" s="59"/>
      <c r="AN414" s="10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1"/>
    </row>
    <row r="415" spans="1:51" x14ac:dyDescent="0.2">
      <c r="A415" s="33">
        <f t="shared" si="7"/>
        <v>410</v>
      </c>
      <c r="B415" s="34" t="s">
        <v>3395</v>
      </c>
      <c r="C415" s="35" t="s">
        <v>3396</v>
      </c>
      <c r="D415" s="36" t="s">
        <v>3397</v>
      </c>
      <c r="E415" s="36" t="s">
        <v>54</v>
      </c>
      <c r="F415" s="34" t="s">
        <v>3398</v>
      </c>
      <c r="G415" s="37" t="s">
        <v>73</v>
      </c>
      <c r="H415" s="37" t="s">
        <v>73</v>
      </c>
      <c r="I415" s="38" t="s">
        <v>3399</v>
      </c>
      <c r="J415" s="34" t="s">
        <v>41</v>
      </c>
      <c r="K415" s="39" t="s">
        <v>42</v>
      </c>
      <c r="L415" s="120">
        <v>45355</v>
      </c>
      <c r="M415" s="41"/>
      <c r="N415" s="94"/>
      <c r="O415" s="94"/>
      <c r="P415" s="94"/>
      <c r="Q415" s="94"/>
      <c r="R415" s="94"/>
      <c r="S415" s="94"/>
      <c r="T415" s="94"/>
      <c r="U415" s="94" t="s">
        <v>44</v>
      </c>
      <c r="V415" s="94"/>
      <c r="W415" s="94"/>
      <c r="X415" s="54" t="s">
        <v>3400</v>
      </c>
      <c r="Y415" s="58" t="s">
        <v>3401</v>
      </c>
      <c r="Z415" s="44"/>
      <c r="AA415" s="45"/>
      <c r="AB415" s="101"/>
      <c r="AC415" s="36"/>
      <c r="AD415" s="61" t="s">
        <v>49</v>
      </c>
      <c r="AE415" s="48" t="s">
        <v>41</v>
      </c>
      <c r="AF415" s="48" t="s">
        <v>41</v>
      </c>
      <c r="AG415" s="48" t="s">
        <v>41</v>
      </c>
      <c r="AH415" s="48" t="s">
        <v>41</v>
      </c>
      <c r="AI415" s="48" t="s">
        <v>49</v>
      </c>
      <c r="AJ415" s="49" t="s">
        <v>41</v>
      </c>
      <c r="AK415" s="48" t="s">
        <v>41</v>
      </c>
      <c r="AL415" s="62" t="s">
        <v>276</v>
      </c>
      <c r="AM415" s="59"/>
      <c r="AN415" s="10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1"/>
    </row>
    <row r="416" spans="1:51" x14ac:dyDescent="0.2">
      <c r="A416" s="33">
        <f t="shared" si="7"/>
        <v>411</v>
      </c>
      <c r="B416" s="34" t="s">
        <v>3402</v>
      </c>
      <c r="C416" s="35" t="s">
        <v>3403</v>
      </c>
      <c r="D416" s="36" t="s">
        <v>3404</v>
      </c>
      <c r="E416" s="36" t="s">
        <v>54</v>
      </c>
      <c r="F416" s="34" t="s">
        <v>3405</v>
      </c>
      <c r="G416" s="37" t="s">
        <v>38</v>
      </c>
      <c r="H416" s="37" t="s">
        <v>39</v>
      </c>
      <c r="I416" s="38" t="s">
        <v>3325</v>
      </c>
      <c r="J416" s="34" t="s">
        <v>41</v>
      </c>
      <c r="K416" s="39" t="s">
        <v>42</v>
      </c>
      <c r="L416" s="99" t="s">
        <v>1824</v>
      </c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42" t="s">
        <v>3406</v>
      </c>
      <c r="Y416" s="58" t="s">
        <v>3407</v>
      </c>
      <c r="Z416" s="44" t="s">
        <v>61</v>
      </c>
      <c r="AA416" s="45">
        <v>39288</v>
      </c>
      <c r="AB416" s="101" t="s">
        <v>30</v>
      </c>
      <c r="AC416" s="36" t="s">
        <v>26</v>
      </c>
      <c r="AD416" s="47" t="s">
        <v>49</v>
      </c>
      <c r="AE416" s="48" t="s">
        <v>49</v>
      </c>
      <c r="AF416" s="48" t="s">
        <v>41</v>
      </c>
      <c r="AG416" s="48" t="s">
        <v>41</v>
      </c>
      <c r="AH416" s="48" t="s">
        <v>41</v>
      </c>
      <c r="AI416" s="48" t="s">
        <v>41</v>
      </c>
      <c r="AJ416" s="49" t="s">
        <v>41</v>
      </c>
      <c r="AK416" s="48" t="s">
        <v>41</v>
      </c>
      <c r="AL416" s="62" t="s">
        <v>4587</v>
      </c>
      <c r="AM416" s="59"/>
      <c r="AN416" s="10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1"/>
    </row>
    <row r="417" spans="1:51" x14ac:dyDescent="0.2">
      <c r="A417" s="33">
        <f t="shared" si="7"/>
        <v>412</v>
      </c>
      <c r="B417" s="34" t="s">
        <v>3408</v>
      </c>
      <c r="C417" s="35" t="s">
        <v>3409</v>
      </c>
      <c r="D417" s="36" t="s">
        <v>3410</v>
      </c>
      <c r="E417" s="36" t="s">
        <v>54</v>
      </c>
      <c r="F417" s="34" t="s">
        <v>3411</v>
      </c>
      <c r="G417" s="37" t="s">
        <v>73</v>
      </c>
      <c r="H417" s="37" t="s">
        <v>73</v>
      </c>
      <c r="I417" s="34" t="s">
        <v>3412</v>
      </c>
      <c r="J417" s="34" t="s">
        <v>3413</v>
      </c>
      <c r="K417" s="39" t="s">
        <v>42</v>
      </c>
      <c r="L417" s="120">
        <v>34761</v>
      </c>
      <c r="M417" s="41"/>
      <c r="N417" s="41"/>
      <c r="O417" s="41"/>
      <c r="P417" s="41"/>
      <c r="Q417" s="41"/>
      <c r="R417" s="41"/>
      <c r="S417" s="41"/>
      <c r="T417" s="41"/>
      <c r="U417" s="41" t="s">
        <v>732</v>
      </c>
      <c r="V417" s="41"/>
      <c r="W417" s="41"/>
      <c r="X417" s="42" t="s">
        <v>3414</v>
      </c>
      <c r="Y417" s="58" t="s">
        <v>3415</v>
      </c>
      <c r="Z417" s="44" t="s">
        <v>61</v>
      </c>
      <c r="AA417" s="45">
        <v>40815</v>
      </c>
      <c r="AB417" s="101" t="s">
        <v>30</v>
      </c>
      <c r="AC417" s="36" t="s">
        <v>26</v>
      </c>
      <c r="AD417" s="64" t="s">
        <v>120</v>
      </c>
      <c r="AE417" s="48" t="s">
        <v>120</v>
      </c>
      <c r="AF417" s="48" t="s">
        <v>120</v>
      </c>
      <c r="AG417" s="48" t="s">
        <v>120</v>
      </c>
      <c r="AH417" s="48" t="s">
        <v>120</v>
      </c>
      <c r="AI417" s="48" t="s">
        <v>120</v>
      </c>
      <c r="AJ417" s="49" t="s">
        <v>41</v>
      </c>
      <c r="AK417" s="48" t="s">
        <v>41</v>
      </c>
      <c r="AL417" s="62" t="s">
        <v>276</v>
      </c>
      <c r="AM417" s="59"/>
      <c r="AN417" s="10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1"/>
    </row>
    <row r="418" spans="1:51" x14ac:dyDescent="0.2">
      <c r="A418" s="33">
        <f t="shared" si="7"/>
        <v>413</v>
      </c>
      <c r="B418" s="34" t="s">
        <v>3416</v>
      </c>
      <c r="C418" s="35" t="s">
        <v>3417</v>
      </c>
      <c r="D418" s="36" t="s">
        <v>3418</v>
      </c>
      <c r="E418" s="36" t="s">
        <v>54</v>
      </c>
      <c r="F418" s="34" t="s">
        <v>3419</v>
      </c>
      <c r="G418" s="37" t="s">
        <v>176</v>
      </c>
      <c r="H418" s="37" t="s">
        <v>39</v>
      </c>
      <c r="I418" s="38" t="s">
        <v>3420</v>
      </c>
      <c r="J418" s="34" t="s">
        <v>41</v>
      </c>
      <c r="K418" s="39" t="s">
        <v>42</v>
      </c>
      <c r="L418" s="120">
        <v>45349</v>
      </c>
      <c r="M418" s="56"/>
      <c r="N418" s="56"/>
      <c r="O418" s="56"/>
      <c r="P418" s="56"/>
      <c r="Q418" s="56"/>
      <c r="R418" s="56"/>
      <c r="S418" s="56"/>
      <c r="T418" s="56"/>
      <c r="U418" s="56" t="s">
        <v>44</v>
      </c>
      <c r="V418" s="56"/>
      <c r="W418" s="56"/>
      <c r="X418" s="54" t="s">
        <v>3421</v>
      </c>
      <c r="Y418" s="83" t="s">
        <v>3422</v>
      </c>
      <c r="Z418" s="119"/>
      <c r="AA418" s="45"/>
      <c r="AB418" s="101"/>
      <c r="AC418" s="36"/>
      <c r="AD418" s="47" t="s">
        <v>49</v>
      </c>
      <c r="AE418" s="48" t="s">
        <v>41</v>
      </c>
      <c r="AF418" s="48" t="s">
        <v>41</v>
      </c>
      <c r="AG418" s="48" t="s">
        <v>41</v>
      </c>
      <c r="AH418" s="48" t="s">
        <v>41</v>
      </c>
      <c r="AI418" s="48" t="s">
        <v>49</v>
      </c>
      <c r="AJ418" s="49" t="s">
        <v>41</v>
      </c>
      <c r="AK418" s="48" t="s">
        <v>41</v>
      </c>
      <c r="AL418" s="62" t="s">
        <v>276</v>
      </c>
      <c r="AM418" s="59"/>
      <c r="AN418" s="10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1"/>
    </row>
    <row r="419" spans="1:51" x14ac:dyDescent="0.2">
      <c r="A419" s="33">
        <f t="shared" si="7"/>
        <v>414</v>
      </c>
      <c r="B419" s="34" t="s">
        <v>3423</v>
      </c>
      <c r="C419" s="35" t="s">
        <v>3424</v>
      </c>
      <c r="D419" s="36" t="s">
        <v>3425</v>
      </c>
      <c r="E419" s="36" t="s">
        <v>54</v>
      </c>
      <c r="F419" s="34" t="s">
        <v>3426</v>
      </c>
      <c r="G419" s="37" t="s">
        <v>176</v>
      </c>
      <c r="H419" s="37" t="s">
        <v>39</v>
      </c>
      <c r="I419" s="38" t="s">
        <v>3427</v>
      </c>
      <c r="J419" s="34" t="s">
        <v>41</v>
      </c>
      <c r="K419" s="39" t="s">
        <v>42</v>
      </c>
      <c r="L419" s="99" t="s">
        <v>3428</v>
      </c>
      <c r="M419" s="115"/>
      <c r="N419" s="115"/>
      <c r="O419" s="115"/>
      <c r="P419" s="115"/>
      <c r="Q419" s="115"/>
      <c r="R419" s="115"/>
      <c r="S419" s="115"/>
      <c r="T419" s="56"/>
      <c r="U419" s="56"/>
      <c r="V419" s="56"/>
      <c r="W419" s="56"/>
      <c r="X419" s="42" t="s">
        <v>3429</v>
      </c>
      <c r="Y419" s="58" t="s">
        <v>3430</v>
      </c>
      <c r="Z419" s="121" t="s">
        <v>3431</v>
      </c>
      <c r="AA419" s="45">
        <v>44650</v>
      </c>
      <c r="AB419" s="101" t="s">
        <v>30</v>
      </c>
      <c r="AC419" s="36" t="s">
        <v>26</v>
      </c>
      <c r="AD419" s="47" t="s">
        <v>49</v>
      </c>
      <c r="AE419" s="48" t="s">
        <v>49</v>
      </c>
      <c r="AF419" s="48" t="s">
        <v>49</v>
      </c>
      <c r="AG419" s="48" t="s">
        <v>49</v>
      </c>
      <c r="AH419" s="48" t="s">
        <v>49</v>
      </c>
      <c r="AI419" s="48" t="s">
        <v>49</v>
      </c>
      <c r="AJ419" s="49" t="s">
        <v>41</v>
      </c>
      <c r="AK419" s="48" t="s">
        <v>41</v>
      </c>
      <c r="AL419" s="62" t="s">
        <v>276</v>
      </c>
      <c r="AM419" s="59"/>
      <c r="AN419" s="10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1"/>
    </row>
    <row r="420" spans="1:51" x14ac:dyDescent="0.2">
      <c r="A420" s="33">
        <f t="shared" si="7"/>
        <v>415</v>
      </c>
      <c r="B420" s="34" t="s">
        <v>3432</v>
      </c>
      <c r="C420" s="35" t="s">
        <v>3433</v>
      </c>
      <c r="D420" s="36" t="s">
        <v>3434</v>
      </c>
      <c r="E420" s="36" t="s">
        <v>54</v>
      </c>
      <c r="F420" s="34" t="s">
        <v>3435</v>
      </c>
      <c r="G420" s="37" t="s">
        <v>205</v>
      </c>
      <c r="H420" s="37" t="s">
        <v>205</v>
      </c>
      <c r="I420" s="38" t="s">
        <v>3436</v>
      </c>
      <c r="J420" s="38" t="s">
        <v>3437</v>
      </c>
      <c r="K420" s="39" t="s">
        <v>42</v>
      </c>
      <c r="L420" s="99" t="s">
        <v>3438</v>
      </c>
      <c r="M420" s="115"/>
      <c r="N420" s="115"/>
      <c r="O420" s="115"/>
      <c r="P420" s="115"/>
      <c r="Q420" s="115"/>
      <c r="R420" s="115"/>
      <c r="S420" s="115"/>
      <c r="T420" s="56"/>
      <c r="U420" s="56"/>
      <c r="V420" s="56"/>
      <c r="W420" s="56"/>
      <c r="X420" s="42" t="s">
        <v>3439</v>
      </c>
      <c r="Y420" s="58" t="s">
        <v>3440</v>
      </c>
      <c r="Z420" s="44" t="s">
        <v>3441</v>
      </c>
      <c r="AA420" s="45">
        <v>44041</v>
      </c>
      <c r="AB420" s="101" t="s">
        <v>30</v>
      </c>
      <c r="AC420" s="36" t="s">
        <v>26</v>
      </c>
      <c r="AD420" s="47" t="s">
        <v>49</v>
      </c>
      <c r="AE420" s="48" t="s">
        <v>49</v>
      </c>
      <c r="AF420" s="48" t="s">
        <v>49</v>
      </c>
      <c r="AG420" s="48" t="s">
        <v>49</v>
      </c>
      <c r="AH420" s="48" t="s">
        <v>49</v>
      </c>
      <c r="AI420" s="48" t="s">
        <v>49</v>
      </c>
      <c r="AJ420" s="49" t="s">
        <v>49</v>
      </c>
      <c r="AK420" s="48" t="s">
        <v>49</v>
      </c>
      <c r="AL420" s="62" t="s">
        <v>32</v>
      </c>
      <c r="AM420" s="59"/>
      <c r="AN420" s="117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1"/>
    </row>
    <row r="421" spans="1:51" x14ac:dyDescent="0.2">
      <c r="A421" s="33">
        <f t="shared" si="7"/>
        <v>416</v>
      </c>
      <c r="B421" s="34" t="s">
        <v>3442</v>
      </c>
      <c r="C421" s="35" t="s">
        <v>3443</v>
      </c>
      <c r="D421" s="36" t="s">
        <v>3444</v>
      </c>
      <c r="E421" s="36" t="s">
        <v>36</v>
      </c>
      <c r="F421" s="34" t="s">
        <v>3445</v>
      </c>
      <c r="G421" s="37" t="s">
        <v>243</v>
      </c>
      <c r="H421" s="37" t="s">
        <v>205</v>
      </c>
      <c r="I421" s="38" t="s">
        <v>3446</v>
      </c>
      <c r="J421" s="38" t="s">
        <v>41</v>
      </c>
      <c r="K421" s="39" t="s">
        <v>42</v>
      </c>
      <c r="L421" s="99" t="s">
        <v>3447</v>
      </c>
      <c r="M421" s="115"/>
      <c r="N421" s="115"/>
      <c r="O421" s="115"/>
      <c r="P421" s="115"/>
      <c r="Q421" s="115"/>
      <c r="R421" s="115"/>
      <c r="S421" s="115" t="s">
        <v>44</v>
      </c>
      <c r="T421" s="56"/>
      <c r="U421" s="56"/>
      <c r="V421" s="56"/>
      <c r="W421" s="56"/>
      <c r="X421" s="42" t="s">
        <v>3448</v>
      </c>
      <c r="Y421" s="58" t="s">
        <v>3449</v>
      </c>
      <c r="Z421" s="58"/>
      <c r="AA421" s="223" t="s">
        <v>47</v>
      </c>
      <c r="AB421" s="101"/>
      <c r="AC421" s="36"/>
      <c r="AD421" s="47" t="s">
        <v>49</v>
      </c>
      <c r="AE421" s="48" t="s">
        <v>41</v>
      </c>
      <c r="AF421" s="48" t="s">
        <v>41</v>
      </c>
      <c r="AG421" s="48" t="s">
        <v>49</v>
      </c>
      <c r="AH421" s="48" t="s">
        <v>49</v>
      </c>
      <c r="AI421" s="48" t="s">
        <v>49</v>
      </c>
      <c r="AJ421" s="49" t="s">
        <v>49</v>
      </c>
      <c r="AK421" s="48" t="s">
        <v>41</v>
      </c>
      <c r="AL421" s="62" t="s">
        <v>148</v>
      </c>
      <c r="AM421" s="59"/>
      <c r="AN421" s="10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1"/>
    </row>
    <row r="422" spans="1:51" x14ac:dyDescent="0.2">
      <c r="A422" s="33">
        <f t="shared" si="7"/>
        <v>417</v>
      </c>
      <c r="B422" s="34" t="s">
        <v>3450</v>
      </c>
      <c r="C422" s="123" t="s">
        <v>3451</v>
      </c>
      <c r="D422" s="202" t="s">
        <v>3452</v>
      </c>
      <c r="E422" s="36" t="s">
        <v>54</v>
      </c>
      <c r="F422" s="34" t="s">
        <v>3453</v>
      </c>
      <c r="G422" s="126" t="s">
        <v>323</v>
      </c>
      <c r="H422" s="126" t="s">
        <v>39</v>
      </c>
      <c r="I422" s="34" t="s">
        <v>3454</v>
      </c>
      <c r="J422" s="34" t="s">
        <v>3455</v>
      </c>
      <c r="K422" s="128" t="s">
        <v>42</v>
      </c>
      <c r="L422" s="120">
        <v>37201</v>
      </c>
      <c r="M422" s="188"/>
      <c r="N422" s="188"/>
      <c r="O422" s="188"/>
      <c r="P422" s="188"/>
      <c r="Q422" s="188"/>
      <c r="R422" s="188"/>
      <c r="S422" s="188"/>
      <c r="T422" s="188"/>
      <c r="U422" s="188"/>
      <c r="V422" s="188"/>
      <c r="W422" s="188"/>
      <c r="X422" s="42" t="s">
        <v>3456</v>
      </c>
      <c r="Y422" s="100" t="s">
        <v>3457</v>
      </c>
      <c r="Z422" s="119" t="s">
        <v>61</v>
      </c>
      <c r="AA422" s="131">
        <v>39286</v>
      </c>
      <c r="AB422" s="164" t="s">
        <v>30</v>
      </c>
      <c r="AC422" s="36" t="s">
        <v>26</v>
      </c>
      <c r="AD422" s="133" t="s">
        <v>49</v>
      </c>
      <c r="AE422" s="48" t="s">
        <v>49</v>
      </c>
      <c r="AF422" s="48" t="s">
        <v>49</v>
      </c>
      <c r="AG422" s="48" t="s">
        <v>49</v>
      </c>
      <c r="AH422" s="48" t="s">
        <v>49</v>
      </c>
      <c r="AI422" s="48" t="s">
        <v>49</v>
      </c>
      <c r="AJ422" s="49" t="s">
        <v>49</v>
      </c>
      <c r="AK422" s="48" t="s">
        <v>49</v>
      </c>
      <c r="AL422" s="62" t="s">
        <v>32</v>
      </c>
      <c r="AM422" s="134"/>
      <c r="AN422" s="10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1"/>
    </row>
    <row r="423" spans="1:51" x14ac:dyDescent="0.2">
      <c r="A423" s="33">
        <f t="shared" si="7"/>
        <v>418</v>
      </c>
      <c r="B423" s="34" t="s">
        <v>3458</v>
      </c>
      <c r="C423" s="123" t="s">
        <v>3459</v>
      </c>
      <c r="D423" s="202" t="s">
        <v>3460</v>
      </c>
      <c r="E423" s="36" t="s">
        <v>54</v>
      </c>
      <c r="F423" s="34" t="s">
        <v>3461</v>
      </c>
      <c r="G423" s="126" t="s">
        <v>349</v>
      </c>
      <c r="H423" s="126" t="s">
        <v>350</v>
      </c>
      <c r="I423" s="38" t="s">
        <v>3462</v>
      </c>
      <c r="J423" s="34" t="s">
        <v>41</v>
      </c>
      <c r="K423" s="128" t="s">
        <v>42</v>
      </c>
      <c r="L423" s="163" t="s">
        <v>3463</v>
      </c>
      <c r="M423" s="130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42" t="s">
        <v>3464</v>
      </c>
      <c r="Y423" s="58" t="s">
        <v>3465</v>
      </c>
      <c r="Z423" s="44" t="s">
        <v>3466</v>
      </c>
      <c r="AA423" s="131">
        <v>42935</v>
      </c>
      <c r="AB423" s="101" t="s">
        <v>30</v>
      </c>
      <c r="AC423" s="36" t="s">
        <v>26</v>
      </c>
      <c r="AD423" s="133" t="s">
        <v>49</v>
      </c>
      <c r="AE423" s="48" t="s">
        <v>49</v>
      </c>
      <c r="AF423" s="48" t="s">
        <v>41</v>
      </c>
      <c r="AG423" s="48" t="s">
        <v>41</v>
      </c>
      <c r="AH423" s="48" t="s">
        <v>41</v>
      </c>
      <c r="AI423" s="48" t="s">
        <v>41</v>
      </c>
      <c r="AJ423" s="49" t="s">
        <v>41</v>
      </c>
      <c r="AK423" s="48" t="s">
        <v>41</v>
      </c>
      <c r="AL423" s="232" t="s">
        <v>4587</v>
      </c>
      <c r="AM423" s="134"/>
      <c r="AN423" s="117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1"/>
    </row>
    <row r="424" spans="1:51" x14ac:dyDescent="0.2">
      <c r="A424" s="33">
        <f t="shared" si="7"/>
        <v>419</v>
      </c>
      <c r="B424" s="122" t="s">
        <v>3467</v>
      </c>
      <c r="C424" s="123" t="s">
        <v>3468</v>
      </c>
      <c r="D424" s="202" t="s">
        <v>3469</v>
      </c>
      <c r="E424" s="36" t="s">
        <v>54</v>
      </c>
      <c r="F424" s="122" t="s">
        <v>3470</v>
      </c>
      <c r="G424" s="126" t="s">
        <v>73</v>
      </c>
      <c r="H424" s="126" t="s">
        <v>73</v>
      </c>
      <c r="I424" s="127" t="s">
        <v>3471</v>
      </c>
      <c r="J424" s="122"/>
      <c r="K424" s="128" t="s">
        <v>42</v>
      </c>
      <c r="L424" s="163" t="s">
        <v>3472</v>
      </c>
      <c r="M424" s="130" t="s">
        <v>179</v>
      </c>
      <c r="N424" s="130" t="s">
        <v>341</v>
      </c>
      <c r="O424" s="130" t="s">
        <v>3473</v>
      </c>
      <c r="P424" s="130">
        <v>2</v>
      </c>
      <c r="Q424" s="130"/>
      <c r="R424" s="130"/>
      <c r="S424" s="130" t="s">
        <v>44</v>
      </c>
      <c r="T424" s="130"/>
      <c r="U424" s="130"/>
      <c r="V424" s="130"/>
      <c r="W424" s="130"/>
      <c r="X424" s="42" t="s">
        <v>3474</v>
      </c>
      <c r="Y424" s="58" t="s">
        <v>3475</v>
      </c>
      <c r="Z424" s="121" t="s">
        <v>3476</v>
      </c>
      <c r="AA424" s="45">
        <v>44650</v>
      </c>
      <c r="AB424" s="101" t="s">
        <v>30</v>
      </c>
      <c r="AC424" s="36"/>
      <c r="AD424" s="133" t="s">
        <v>49</v>
      </c>
      <c r="AE424" s="48" t="s">
        <v>41</v>
      </c>
      <c r="AF424" s="48" t="s">
        <v>41</v>
      </c>
      <c r="AG424" s="48" t="s">
        <v>49</v>
      </c>
      <c r="AH424" s="48" t="s">
        <v>49</v>
      </c>
      <c r="AI424" s="48" t="s">
        <v>49</v>
      </c>
      <c r="AJ424" s="49" t="s">
        <v>49</v>
      </c>
      <c r="AK424" s="48" t="s">
        <v>41</v>
      </c>
      <c r="AL424" s="65" t="s">
        <v>148</v>
      </c>
      <c r="AM424" s="134"/>
      <c r="AN424" s="117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1"/>
    </row>
    <row r="425" spans="1:51" x14ac:dyDescent="0.2">
      <c r="A425" s="33">
        <f t="shared" si="7"/>
        <v>420</v>
      </c>
      <c r="B425" s="34" t="s">
        <v>3477</v>
      </c>
      <c r="C425" s="35" t="s">
        <v>3478</v>
      </c>
      <c r="D425" s="36" t="s">
        <v>3479</v>
      </c>
      <c r="E425" s="36" t="s">
        <v>36</v>
      </c>
      <c r="F425" s="34" t="s">
        <v>3480</v>
      </c>
      <c r="G425" s="37" t="s">
        <v>38</v>
      </c>
      <c r="H425" s="37" t="s">
        <v>39</v>
      </c>
      <c r="I425" s="38" t="s">
        <v>3481</v>
      </c>
      <c r="J425" s="34" t="s">
        <v>41</v>
      </c>
      <c r="K425" s="39" t="s">
        <v>42</v>
      </c>
      <c r="L425" s="120">
        <v>38295</v>
      </c>
      <c r="M425" s="56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42" t="s">
        <v>3482</v>
      </c>
      <c r="Y425" s="58" t="s">
        <v>3483</v>
      </c>
      <c r="Z425" s="44" t="s">
        <v>61</v>
      </c>
      <c r="AA425" s="45">
        <v>39286</v>
      </c>
      <c r="AB425" s="101" t="s">
        <v>30</v>
      </c>
      <c r="AC425" s="36"/>
      <c r="AD425" s="47" t="s">
        <v>49</v>
      </c>
      <c r="AE425" s="48" t="s">
        <v>41</v>
      </c>
      <c r="AF425" s="48" t="s">
        <v>41</v>
      </c>
      <c r="AG425" s="48" t="s">
        <v>41</v>
      </c>
      <c r="AH425" s="48" t="s">
        <v>41</v>
      </c>
      <c r="AI425" s="48" t="s">
        <v>41</v>
      </c>
      <c r="AJ425" s="49" t="s">
        <v>41</v>
      </c>
      <c r="AK425" s="48" t="s">
        <v>41</v>
      </c>
      <c r="AL425" s="65" t="s">
        <v>4588</v>
      </c>
      <c r="AM425" s="59" t="s">
        <v>451</v>
      </c>
      <c r="AN425" s="117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1"/>
    </row>
    <row r="426" spans="1:51" x14ac:dyDescent="0.2">
      <c r="A426" s="33">
        <f t="shared" si="7"/>
        <v>421</v>
      </c>
      <c r="B426" s="34" t="s">
        <v>3484</v>
      </c>
      <c r="C426" s="35" t="s">
        <v>3485</v>
      </c>
      <c r="D426" s="73" t="s">
        <v>3486</v>
      </c>
      <c r="E426" s="36" t="s">
        <v>54</v>
      </c>
      <c r="F426" s="98" t="s">
        <v>3487</v>
      </c>
      <c r="G426" s="37" t="s">
        <v>747</v>
      </c>
      <c r="H426" s="37" t="s">
        <v>378</v>
      </c>
      <c r="I426" s="34" t="s">
        <v>3488</v>
      </c>
      <c r="J426" s="34" t="s">
        <v>41</v>
      </c>
      <c r="K426" s="39" t="s">
        <v>42</v>
      </c>
      <c r="L426" s="120" t="s">
        <v>3489</v>
      </c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2" t="s">
        <v>3490</v>
      </c>
      <c r="Y426" s="58" t="s">
        <v>3491</v>
      </c>
      <c r="Z426" s="44" t="s">
        <v>61</v>
      </c>
      <c r="AA426" s="45">
        <v>36641</v>
      </c>
      <c r="AB426" s="101" t="s">
        <v>30</v>
      </c>
      <c r="AC426" s="73"/>
      <c r="AD426" s="47" t="s">
        <v>49</v>
      </c>
      <c r="AE426" s="48" t="s">
        <v>41</v>
      </c>
      <c r="AF426" s="48" t="s">
        <v>41</v>
      </c>
      <c r="AG426" s="48" t="s">
        <v>41</v>
      </c>
      <c r="AH426" s="48" t="s">
        <v>41</v>
      </c>
      <c r="AI426" s="48" t="s">
        <v>41</v>
      </c>
      <c r="AJ426" s="49" t="s">
        <v>41</v>
      </c>
      <c r="AK426" s="48" t="s">
        <v>41</v>
      </c>
      <c r="AL426" s="65" t="s">
        <v>4588</v>
      </c>
      <c r="AM426" s="59" t="s">
        <v>192</v>
      </c>
      <c r="AN426" s="117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1"/>
    </row>
    <row r="427" spans="1:51" x14ac:dyDescent="0.2">
      <c r="A427" s="33">
        <f t="shared" si="7"/>
        <v>422</v>
      </c>
      <c r="B427" s="34" t="s">
        <v>3492</v>
      </c>
      <c r="C427" s="35" t="s">
        <v>3493</v>
      </c>
      <c r="D427" s="36" t="s">
        <v>3494</v>
      </c>
      <c r="E427" s="36" t="s">
        <v>36</v>
      </c>
      <c r="F427" s="34" t="s">
        <v>3495</v>
      </c>
      <c r="G427" s="37" t="s">
        <v>39</v>
      </c>
      <c r="H427" s="37" t="s">
        <v>39</v>
      </c>
      <c r="I427" s="183" t="s">
        <v>3496</v>
      </c>
      <c r="J427" s="34" t="s">
        <v>41</v>
      </c>
      <c r="K427" s="39" t="s">
        <v>42</v>
      </c>
      <c r="L427" s="120" t="s">
        <v>3497</v>
      </c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2" t="s">
        <v>3498</v>
      </c>
      <c r="Y427" s="100" t="s">
        <v>3499</v>
      </c>
      <c r="Z427" s="44" t="s">
        <v>3500</v>
      </c>
      <c r="AA427" s="131">
        <v>44041</v>
      </c>
      <c r="AB427" s="101" t="s">
        <v>30</v>
      </c>
      <c r="AC427" s="36" t="s">
        <v>26</v>
      </c>
      <c r="AD427" s="47" t="s">
        <v>49</v>
      </c>
      <c r="AE427" s="48" t="s">
        <v>49</v>
      </c>
      <c r="AF427" s="48" t="s">
        <v>49</v>
      </c>
      <c r="AG427" s="48" t="s">
        <v>49</v>
      </c>
      <c r="AH427" s="48" t="s">
        <v>49</v>
      </c>
      <c r="AI427" s="48" t="s">
        <v>49</v>
      </c>
      <c r="AJ427" s="49" t="s">
        <v>49</v>
      </c>
      <c r="AK427" s="48" t="s">
        <v>49</v>
      </c>
      <c r="AL427" s="65" t="s">
        <v>32</v>
      </c>
      <c r="AM427" s="59"/>
      <c r="AN427" s="10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1"/>
    </row>
    <row r="428" spans="1:51" x14ac:dyDescent="0.2">
      <c r="A428" s="33">
        <f t="shared" si="7"/>
        <v>423</v>
      </c>
      <c r="B428" s="34" t="s">
        <v>3501</v>
      </c>
      <c r="C428" s="35" t="s">
        <v>3502</v>
      </c>
      <c r="D428" s="73" t="s">
        <v>3503</v>
      </c>
      <c r="E428" s="36" t="s">
        <v>54</v>
      </c>
      <c r="F428" s="226" t="s">
        <v>3504</v>
      </c>
      <c r="G428" s="37" t="s">
        <v>73</v>
      </c>
      <c r="H428" s="37" t="s">
        <v>73</v>
      </c>
      <c r="I428" s="108" t="s">
        <v>3505</v>
      </c>
      <c r="J428" s="34" t="s">
        <v>41</v>
      </c>
      <c r="K428" s="39" t="s">
        <v>42</v>
      </c>
      <c r="L428" s="99" t="s">
        <v>3506</v>
      </c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42" t="s">
        <v>3507</v>
      </c>
      <c r="Y428" s="58" t="s">
        <v>3508</v>
      </c>
      <c r="Z428" s="44" t="s">
        <v>61</v>
      </c>
      <c r="AA428" s="45">
        <v>38593</v>
      </c>
      <c r="AB428" s="101" t="s">
        <v>30</v>
      </c>
      <c r="AC428" s="73" t="s">
        <v>26</v>
      </c>
      <c r="AD428" s="47" t="s">
        <v>49</v>
      </c>
      <c r="AE428" s="48" t="s">
        <v>49</v>
      </c>
      <c r="AF428" s="48" t="s">
        <v>49</v>
      </c>
      <c r="AG428" s="48" t="s">
        <v>49</v>
      </c>
      <c r="AH428" s="48" t="s">
        <v>49</v>
      </c>
      <c r="AI428" s="48" t="s">
        <v>49</v>
      </c>
      <c r="AJ428" s="49" t="s">
        <v>49</v>
      </c>
      <c r="AK428" s="48" t="s">
        <v>49</v>
      </c>
      <c r="AL428" s="62" t="s">
        <v>32</v>
      </c>
      <c r="AM428" s="59"/>
      <c r="AN428" s="117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1"/>
    </row>
    <row r="429" spans="1:51" x14ac:dyDescent="0.2">
      <c r="A429" s="33">
        <f t="shared" si="7"/>
        <v>424</v>
      </c>
      <c r="B429" s="34" t="s">
        <v>3509</v>
      </c>
      <c r="C429" s="35" t="s">
        <v>3510</v>
      </c>
      <c r="D429" s="36" t="s">
        <v>3511</v>
      </c>
      <c r="E429" s="36" t="s">
        <v>54</v>
      </c>
      <c r="F429" s="34" t="s">
        <v>3512</v>
      </c>
      <c r="G429" s="37" t="s">
        <v>243</v>
      </c>
      <c r="H429" s="37" t="s">
        <v>205</v>
      </c>
      <c r="I429" s="34" t="s">
        <v>3513</v>
      </c>
      <c r="J429" s="34" t="s">
        <v>3514</v>
      </c>
      <c r="K429" s="39" t="s">
        <v>42</v>
      </c>
      <c r="L429" s="99" t="s">
        <v>3515</v>
      </c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2" t="s">
        <v>3516</v>
      </c>
      <c r="Y429" s="43" t="s">
        <v>3517</v>
      </c>
      <c r="Z429" s="44" t="s">
        <v>61</v>
      </c>
      <c r="AA429" s="45">
        <v>40280</v>
      </c>
      <c r="AB429" s="101" t="s">
        <v>30</v>
      </c>
      <c r="AC429" s="36" t="s">
        <v>26</v>
      </c>
      <c r="AD429" s="47" t="s">
        <v>49</v>
      </c>
      <c r="AE429" s="48" t="s">
        <v>49</v>
      </c>
      <c r="AF429" s="48" t="s">
        <v>49</v>
      </c>
      <c r="AG429" s="48" t="s">
        <v>49</v>
      </c>
      <c r="AH429" s="48" t="s">
        <v>49</v>
      </c>
      <c r="AI429" s="48" t="s">
        <v>49</v>
      </c>
      <c r="AJ429" s="49" t="s">
        <v>49</v>
      </c>
      <c r="AK429" s="48" t="s">
        <v>49</v>
      </c>
      <c r="AL429" s="65" t="s">
        <v>32</v>
      </c>
      <c r="AM429" s="59"/>
      <c r="AN429" s="117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1"/>
    </row>
    <row r="430" spans="1:51" x14ac:dyDescent="0.2">
      <c r="A430" s="33">
        <f t="shared" si="7"/>
        <v>425</v>
      </c>
      <c r="B430" s="34" t="s">
        <v>3518</v>
      </c>
      <c r="C430" s="35" t="s">
        <v>3519</v>
      </c>
      <c r="D430" s="36" t="s">
        <v>3520</v>
      </c>
      <c r="E430" s="36" t="s">
        <v>54</v>
      </c>
      <c r="F430" s="34" t="s">
        <v>3521</v>
      </c>
      <c r="G430" s="37" t="s">
        <v>39</v>
      </c>
      <c r="H430" s="37" t="s">
        <v>39</v>
      </c>
      <c r="I430" s="34" t="s">
        <v>3522</v>
      </c>
      <c r="J430" s="34" t="s">
        <v>3523</v>
      </c>
      <c r="K430" s="39" t="s">
        <v>42</v>
      </c>
      <c r="L430" s="120">
        <v>33918</v>
      </c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2" t="s">
        <v>3524</v>
      </c>
      <c r="Y430" s="58" t="s">
        <v>3525</v>
      </c>
      <c r="Z430" s="44" t="s">
        <v>61</v>
      </c>
      <c r="AA430" s="131">
        <v>39286</v>
      </c>
      <c r="AB430" s="101" t="s">
        <v>30</v>
      </c>
      <c r="AC430" s="36"/>
      <c r="AD430" s="47" t="s">
        <v>49</v>
      </c>
      <c r="AE430" s="48" t="s">
        <v>41</v>
      </c>
      <c r="AF430" s="48" t="s">
        <v>41</v>
      </c>
      <c r="AG430" s="48" t="s">
        <v>41</v>
      </c>
      <c r="AH430" s="48" t="s">
        <v>41</v>
      </c>
      <c r="AI430" s="48" t="s">
        <v>41</v>
      </c>
      <c r="AJ430" s="49" t="s">
        <v>41</v>
      </c>
      <c r="AK430" s="48" t="s">
        <v>41</v>
      </c>
      <c r="AL430" s="65" t="s">
        <v>4591</v>
      </c>
      <c r="AM430" s="59" t="s">
        <v>1230</v>
      </c>
      <c r="AN430" s="10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1"/>
    </row>
    <row r="431" spans="1:51" x14ac:dyDescent="0.2">
      <c r="A431" s="33">
        <f t="shared" si="7"/>
        <v>426</v>
      </c>
      <c r="B431" s="34" t="s">
        <v>3526</v>
      </c>
      <c r="C431" s="35" t="s">
        <v>3527</v>
      </c>
      <c r="D431" s="36" t="s">
        <v>3528</v>
      </c>
      <c r="E431" s="36" t="s">
        <v>54</v>
      </c>
      <c r="F431" s="34" t="s">
        <v>3529</v>
      </c>
      <c r="G431" s="37" t="s">
        <v>73</v>
      </c>
      <c r="H431" s="37" t="s">
        <v>73</v>
      </c>
      <c r="I431" s="34" t="s">
        <v>3530</v>
      </c>
      <c r="J431" s="34" t="s">
        <v>3531</v>
      </c>
      <c r="K431" s="39" t="s">
        <v>42</v>
      </c>
      <c r="L431" s="120" t="s">
        <v>2817</v>
      </c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2" t="s">
        <v>3532</v>
      </c>
      <c r="Y431" s="83" t="s">
        <v>3533</v>
      </c>
      <c r="Z431" s="44" t="s">
        <v>61</v>
      </c>
      <c r="AA431" s="45">
        <v>40280</v>
      </c>
      <c r="AB431" s="101" t="s">
        <v>30</v>
      </c>
      <c r="AC431" s="36" t="s">
        <v>26</v>
      </c>
      <c r="AD431" s="47" t="s">
        <v>49</v>
      </c>
      <c r="AE431" s="48" t="s">
        <v>49</v>
      </c>
      <c r="AF431" s="48" t="s">
        <v>49</v>
      </c>
      <c r="AG431" s="48" t="s">
        <v>49</v>
      </c>
      <c r="AH431" s="48" t="s">
        <v>49</v>
      </c>
      <c r="AI431" s="48" t="s">
        <v>49</v>
      </c>
      <c r="AJ431" s="49" t="s">
        <v>49</v>
      </c>
      <c r="AK431" s="48" t="s">
        <v>41</v>
      </c>
      <c r="AL431" s="62" t="s">
        <v>148</v>
      </c>
      <c r="AM431" s="59"/>
      <c r="AN431" s="10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1"/>
    </row>
    <row r="432" spans="1:51" x14ac:dyDescent="0.2">
      <c r="A432" s="33">
        <f t="shared" si="7"/>
        <v>427</v>
      </c>
      <c r="B432" s="34" t="s">
        <v>3534</v>
      </c>
      <c r="C432" s="35" t="s">
        <v>3535</v>
      </c>
      <c r="D432" s="36" t="s">
        <v>3536</v>
      </c>
      <c r="E432" s="36" t="s">
        <v>54</v>
      </c>
      <c r="F432" s="34" t="s">
        <v>3537</v>
      </c>
      <c r="G432" s="37" t="s">
        <v>205</v>
      </c>
      <c r="H432" s="37" t="s">
        <v>205</v>
      </c>
      <c r="I432" s="38" t="s">
        <v>3538</v>
      </c>
      <c r="J432" s="34" t="s">
        <v>41</v>
      </c>
      <c r="K432" s="39" t="s">
        <v>42</v>
      </c>
      <c r="L432" s="120">
        <v>44167</v>
      </c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2" t="s">
        <v>3539</v>
      </c>
      <c r="Y432" s="43" t="s">
        <v>3540</v>
      </c>
      <c r="Z432" s="44" t="s">
        <v>2487</v>
      </c>
      <c r="AA432" s="45">
        <v>44041</v>
      </c>
      <c r="AB432" s="101" t="s">
        <v>30</v>
      </c>
      <c r="AC432" s="36" t="s">
        <v>26</v>
      </c>
      <c r="AD432" s="47" t="s">
        <v>49</v>
      </c>
      <c r="AE432" s="48" t="s">
        <v>49</v>
      </c>
      <c r="AF432" s="48" t="s">
        <v>49</v>
      </c>
      <c r="AG432" s="48" t="s">
        <v>49</v>
      </c>
      <c r="AH432" s="48" t="s">
        <v>49</v>
      </c>
      <c r="AI432" s="48" t="s">
        <v>49</v>
      </c>
      <c r="AJ432" s="49" t="s">
        <v>49</v>
      </c>
      <c r="AK432" s="48" t="s">
        <v>49</v>
      </c>
      <c r="AL432" s="62" t="s">
        <v>32</v>
      </c>
      <c r="AM432" s="59"/>
      <c r="AN432" s="102"/>
      <c r="AO432" s="32">
        <f>38-17</f>
        <v>21</v>
      </c>
      <c r="AP432" s="32"/>
      <c r="AQ432" s="32"/>
      <c r="AR432" s="32"/>
      <c r="AS432" s="32"/>
      <c r="AT432" s="32"/>
      <c r="AU432" s="32"/>
      <c r="AV432" s="32"/>
      <c r="AW432" s="32"/>
      <c r="AX432" s="32"/>
      <c r="AY432" s="31"/>
    </row>
    <row r="433" spans="1:51" x14ac:dyDescent="0.2">
      <c r="A433" s="33">
        <f t="shared" si="7"/>
        <v>428</v>
      </c>
      <c r="B433" s="34" t="s">
        <v>3541</v>
      </c>
      <c r="C433" s="35" t="s">
        <v>3542</v>
      </c>
      <c r="D433" s="36" t="s">
        <v>3543</v>
      </c>
      <c r="E433" s="36" t="s">
        <v>36</v>
      </c>
      <c r="F433" s="87" t="s">
        <v>3544</v>
      </c>
      <c r="G433" s="37" t="s">
        <v>252</v>
      </c>
      <c r="H433" s="37" t="s">
        <v>57</v>
      </c>
      <c r="I433" s="34" t="s">
        <v>3545</v>
      </c>
      <c r="J433" s="107" t="s">
        <v>41</v>
      </c>
      <c r="K433" s="39" t="s">
        <v>42</v>
      </c>
      <c r="L433" s="120">
        <v>37381</v>
      </c>
      <c r="M433" s="41" t="s">
        <v>179</v>
      </c>
      <c r="N433" s="41" t="s">
        <v>3546</v>
      </c>
      <c r="O433" s="41"/>
      <c r="P433" s="41">
        <v>1</v>
      </c>
      <c r="Q433" s="41"/>
      <c r="R433" s="41"/>
      <c r="S433" s="41"/>
      <c r="T433" s="41"/>
      <c r="U433" s="41" t="s">
        <v>732</v>
      </c>
      <c r="V433" s="41"/>
      <c r="W433" s="41"/>
      <c r="X433" s="42" t="s">
        <v>3547</v>
      </c>
      <c r="Y433" s="58" t="s">
        <v>3548</v>
      </c>
      <c r="Z433" s="44"/>
      <c r="AA433" s="45" t="s">
        <v>47</v>
      </c>
      <c r="AB433" s="101"/>
      <c r="AC433" s="36" t="s">
        <v>26</v>
      </c>
      <c r="AD433" s="47" t="s">
        <v>49</v>
      </c>
      <c r="AE433" s="48" t="s">
        <v>49</v>
      </c>
      <c r="AF433" s="48" t="s">
        <v>49</v>
      </c>
      <c r="AG433" s="48" t="s">
        <v>49</v>
      </c>
      <c r="AH433" s="48" t="s">
        <v>49</v>
      </c>
      <c r="AI433" s="48" t="s">
        <v>49</v>
      </c>
      <c r="AJ433" s="49" t="s">
        <v>41</v>
      </c>
      <c r="AK433" s="48" t="s">
        <v>41</v>
      </c>
      <c r="AL433" s="62" t="s">
        <v>276</v>
      </c>
      <c r="AM433" s="59"/>
      <c r="AN433" s="10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1"/>
    </row>
    <row r="434" spans="1:51" x14ac:dyDescent="0.2">
      <c r="A434" s="33">
        <f t="shared" si="7"/>
        <v>429</v>
      </c>
      <c r="B434" s="34" t="s">
        <v>3549</v>
      </c>
      <c r="C434" s="35" t="s">
        <v>3550</v>
      </c>
      <c r="D434" s="36" t="s">
        <v>3551</v>
      </c>
      <c r="E434" s="36" t="s">
        <v>54</v>
      </c>
      <c r="F434" s="34" t="s">
        <v>3552</v>
      </c>
      <c r="G434" s="37" t="s">
        <v>73</v>
      </c>
      <c r="H434" s="37" t="s">
        <v>73</v>
      </c>
      <c r="I434" s="107" t="s">
        <v>3553</v>
      </c>
      <c r="J434" s="34" t="s">
        <v>3554</v>
      </c>
      <c r="K434" s="39" t="s">
        <v>42</v>
      </c>
      <c r="L434" s="120">
        <v>35952</v>
      </c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42" t="s">
        <v>3555</v>
      </c>
      <c r="Y434" s="52" t="s">
        <v>3556</v>
      </c>
      <c r="Z434" s="44" t="s">
        <v>3557</v>
      </c>
      <c r="AA434" s="45">
        <v>44041</v>
      </c>
      <c r="AB434" s="101" t="s">
        <v>30</v>
      </c>
      <c r="AC434" s="36" t="s">
        <v>26</v>
      </c>
      <c r="AD434" s="47" t="s">
        <v>49</v>
      </c>
      <c r="AE434" s="48" t="s">
        <v>49</v>
      </c>
      <c r="AF434" s="48" t="s">
        <v>49</v>
      </c>
      <c r="AG434" s="48" t="s">
        <v>49</v>
      </c>
      <c r="AH434" s="48" t="s">
        <v>49</v>
      </c>
      <c r="AI434" s="48" t="s">
        <v>49</v>
      </c>
      <c r="AJ434" s="49" t="s">
        <v>49</v>
      </c>
      <c r="AK434" s="48" t="s">
        <v>49</v>
      </c>
      <c r="AL434" s="62" t="s">
        <v>32</v>
      </c>
      <c r="AM434" s="59"/>
      <c r="AN434" s="10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1"/>
    </row>
    <row r="435" spans="1:51" ht="15" customHeight="1" x14ac:dyDescent="0.2">
      <c r="A435" s="33">
        <f t="shared" si="7"/>
        <v>430</v>
      </c>
      <c r="B435" s="34" t="s">
        <v>3558</v>
      </c>
      <c r="C435" s="35" t="s">
        <v>3559</v>
      </c>
      <c r="D435" s="36" t="s">
        <v>3560</v>
      </c>
      <c r="E435" s="36" t="s">
        <v>54</v>
      </c>
      <c r="F435" s="226" t="s">
        <v>3561</v>
      </c>
      <c r="G435" s="37" t="s">
        <v>186</v>
      </c>
      <c r="H435" s="37" t="s">
        <v>187</v>
      </c>
      <c r="I435" s="136" t="s">
        <v>3562</v>
      </c>
      <c r="J435" s="34" t="s">
        <v>41</v>
      </c>
      <c r="K435" s="39" t="s">
        <v>42</v>
      </c>
      <c r="L435" s="99" t="s">
        <v>3563</v>
      </c>
      <c r="M435" s="41"/>
      <c r="N435" s="41"/>
      <c r="O435" s="41"/>
      <c r="P435" s="41"/>
      <c r="Q435" s="41"/>
      <c r="R435" s="41"/>
      <c r="S435" s="41" t="s">
        <v>44</v>
      </c>
      <c r="T435" s="41"/>
      <c r="U435" s="41"/>
      <c r="V435" s="41"/>
      <c r="W435" s="41"/>
      <c r="X435" s="42" t="s">
        <v>3564</v>
      </c>
      <c r="Y435" s="43" t="s">
        <v>3565</v>
      </c>
      <c r="Z435" s="211" t="s">
        <v>3566</v>
      </c>
      <c r="AA435" s="45">
        <v>44944</v>
      </c>
      <c r="AB435" s="101" t="s">
        <v>30</v>
      </c>
      <c r="AC435" s="36"/>
      <c r="AD435" s="47" t="s">
        <v>49</v>
      </c>
      <c r="AE435" s="48" t="s">
        <v>41</v>
      </c>
      <c r="AF435" s="48" t="s">
        <v>41</v>
      </c>
      <c r="AG435" s="48" t="s">
        <v>49</v>
      </c>
      <c r="AH435" s="48" t="s">
        <v>41</v>
      </c>
      <c r="AI435" s="48" t="s">
        <v>41</v>
      </c>
      <c r="AJ435" s="49" t="s">
        <v>41</v>
      </c>
      <c r="AK435" s="48" t="s">
        <v>41</v>
      </c>
      <c r="AL435" s="62" t="s">
        <v>139</v>
      </c>
      <c r="AM435" s="59"/>
      <c r="AN435" s="10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1"/>
    </row>
    <row r="436" spans="1:51" ht="15" customHeight="1" x14ac:dyDescent="0.2">
      <c r="A436" s="33">
        <f t="shared" si="7"/>
        <v>431</v>
      </c>
      <c r="B436" s="34" t="s">
        <v>3567</v>
      </c>
      <c r="C436" s="35" t="s">
        <v>3568</v>
      </c>
      <c r="D436" s="36" t="s">
        <v>3569</v>
      </c>
      <c r="E436" s="36" t="s">
        <v>54</v>
      </c>
      <c r="F436" s="226" t="s">
        <v>3570</v>
      </c>
      <c r="G436" s="37" t="s">
        <v>360</v>
      </c>
      <c r="H436" s="37" t="s">
        <v>350</v>
      </c>
      <c r="I436" s="140" t="s">
        <v>3571</v>
      </c>
      <c r="J436" s="34" t="s">
        <v>41</v>
      </c>
      <c r="K436" s="39" t="s">
        <v>42</v>
      </c>
      <c r="L436" s="99" t="s">
        <v>1409</v>
      </c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2" t="s">
        <v>3572</v>
      </c>
      <c r="Y436" s="52" t="s">
        <v>3573</v>
      </c>
      <c r="Z436" s="119" t="s">
        <v>61</v>
      </c>
      <c r="AA436" s="45">
        <v>40280</v>
      </c>
      <c r="AB436" s="101" t="s">
        <v>30</v>
      </c>
      <c r="AC436" s="36" t="s">
        <v>26</v>
      </c>
      <c r="AD436" s="47" t="s">
        <v>49</v>
      </c>
      <c r="AE436" s="48" t="s">
        <v>49</v>
      </c>
      <c r="AF436" s="48" t="s">
        <v>41</v>
      </c>
      <c r="AG436" s="48" t="s">
        <v>41</v>
      </c>
      <c r="AH436" s="48" t="s">
        <v>41</v>
      </c>
      <c r="AI436" s="48" t="s">
        <v>41</v>
      </c>
      <c r="AJ436" s="49" t="s">
        <v>41</v>
      </c>
      <c r="AK436" s="48" t="s">
        <v>41</v>
      </c>
      <c r="AL436" s="62" t="s">
        <v>4587</v>
      </c>
      <c r="AM436" s="59"/>
      <c r="AN436" s="10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1"/>
    </row>
    <row r="437" spans="1:51" ht="15" customHeight="1" x14ac:dyDescent="0.2">
      <c r="A437" s="33">
        <f t="shared" si="7"/>
        <v>432</v>
      </c>
      <c r="B437" s="34" t="s">
        <v>3574</v>
      </c>
      <c r="C437" s="35" t="s">
        <v>3575</v>
      </c>
      <c r="D437" s="36" t="s">
        <v>3576</v>
      </c>
      <c r="E437" s="36" t="s">
        <v>36</v>
      </c>
      <c r="F437" s="226" t="s">
        <v>3577</v>
      </c>
      <c r="G437" s="37" t="s">
        <v>252</v>
      </c>
      <c r="H437" s="37" t="s">
        <v>57</v>
      </c>
      <c r="I437" s="140" t="s">
        <v>3578</v>
      </c>
      <c r="J437" s="34"/>
      <c r="K437" s="39" t="s">
        <v>42</v>
      </c>
      <c r="L437" s="120">
        <v>45699</v>
      </c>
      <c r="M437" s="41"/>
      <c r="N437" s="41"/>
      <c r="O437" s="41"/>
      <c r="P437" s="41"/>
      <c r="Q437" s="41"/>
      <c r="R437" s="41"/>
      <c r="S437" s="41"/>
      <c r="T437" s="41"/>
      <c r="U437" s="41"/>
      <c r="V437" s="41" t="s">
        <v>44</v>
      </c>
      <c r="W437" s="41"/>
      <c r="X437" s="140" t="s">
        <v>3579</v>
      </c>
      <c r="Y437" s="43" t="s">
        <v>3580</v>
      </c>
      <c r="Z437" s="119"/>
      <c r="AA437" s="45"/>
      <c r="AB437" s="101"/>
      <c r="AC437" s="36"/>
      <c r="AD437" s="47" t="s">
        <v>49</v>
      </c>
      <c r="AE437" s="48" t="s">
        <v>41</v>
      </c>
      <c r="AF437" s="48" t="s">
        <v>41</v>
      </c>
      <c r="AG437" s="48" t="s">
        <v>41</v>
      </c>
      <c r="AH437" s="48" t="s">
        <v>41</v>
      </c>
      <c r="AI437" s="48" t="s">
        <v>41</v>
      </c>
      <c r="AJ437" s="49" t="s">
        <v>49</v>
      </c>
      <c r="AK437" s="48" t="s">
        <v>41</v>
      </c>
      <c r="AL437" s="62" t="s">
        <v>148</v>
      </c>
      <c r="AM437" s="59"/>
      <c r="AN437" s="10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1"/>
    </row>
    <row r="438" spans="1:51" ht="15" customHeight="1" x14ac:dyDescent="0.2">
      <c r="A438" s="33">
        <f t="shared" si="7"/>
        <v>433</v>
      </c>
      <c r="B438" s="34" t="s">
        <v>3581</v>
      </c>
      <c r="C438" s="35" t="s">
        <v>3582</v>
      </c>
      <c r="D438" s="36" t="s">
        <v>3583</v>
      </c>
      <c r="E438" s="36" t="s">
        <v>54</v>
      </c>
      <c r="F438" s="226" t="s">
        <v>3584</v>
      </c>
      <c r="G438" s="37" t="s">
        <v>377</v>
      </c>
      <c r="H438" s="37" t="s">
        <v>378</v>
      </c>
      <c r="I438" s="140" t="s">
        <v>3585</v>
      </c>
      <c r="J438" s="34" t="s">
        <v>41</v>
      </c>
      <c r="K438" s="39" t="s">
        <v>42</v>
      </c>
      <c r="L438" s="99" t="s">
        <v>3586</v>
      </c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42" t="s">
        <v>3587</v>
      </c>
      <c r="Y438" s="52" t="s">
        <v>3588</v>
      </c>
      <c r="Z438" s="211" t="s">
        <v>3589</v>
      </c>
      <c r="AA438" s="45">
        <v>44944</v>
      </c>
      <c r="AB438" s="101" t="s">
        <v>30</v>
      </c>
      <c r="AC438" s="36" t="s">
        <v>26</v>
      </c>
      <c r="AD438" s="47" t="s">
        <v>49</v>
      </c>
      <c r="AE438" s="48" t="s">
        <v>49</v>
      </c>
      <c r="AF438" s="48" t="s">
        <v>49</v>
      </c>
      <c r="AG438" s="48" t="s">
        <v>49</v>
      </c>
      <c r="AH438" s="48" t="s">
        <v>49</v>
      </c>
      <c r="AI438" s="48" t="s">
        <v>49</v>
      </c>
      <c r="AJ438" s="49" t="s">
        <v>49</v>
      </c>
      <c r="AK438" s="48" t="s">
        <v>41</v>
      </c>
      <c r="AL438" s="62" t="s">
        <v>148</v>
      </c>
      <c r="AM438" s="59"/>
      <c r="AN438" s="10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1"/>
    </row>
    <row r="439" spans="1:51" ht="15" customHeight="1" x14ac:dyDescent="0.2">
      <c r="A439" s="33">
        <f t="shared" si="7"/>
        <v>434</v>
      </c>
      <c r="B439" s="34" t="s">
        <v>3590</v>
      </c>
      <c r="C439" s="35" t="s">
        <v>3591</v>
      </c>
      <c r="D439" s="36" t="s">
        <v>3592</v>
      </c>
      <c r="E439" s="36" t="s">
        <v>36</v>
      </c>
      <c r="F439" s="226" t="s">
        <v>3593</v>
      </c>
      <c r="G439" s="37" t="s">
        <v>1354</v>
      </c>
      <c r="H439" s="37" t="s">
        <v>57</v>
      </c>
      <c r="I439" s="140" t="s">
        <v>3594</v>
      </c>
      <c r="J439" s="34" t="s">
        <v>41</v>
      </c>
      <c r="K439" s="39" t="s">
        <v>42</v>
      </c>
      <c r="L439" s="120">
        <v>44689</v>
      </c>
      <c r="M439" s="115"/>
      <c r="N439" s="115"/>
      <c r="O439" s="115"/>
      <c r="P439" s="115"/>
      <c r="Q439" s="115"/>
      <c r="R439" s="115"/>
      <c r="S439" s="115" t="s">
        <v>44</v>
      </c>
      <c r="T439" s="56"/>
      <c r="U439" s="56"/>
      <c r="V439" s="56"/>
      <c r="W439" s="56"/>
      <c r="X439" s="42" t="s">
        <v>3595</v>
      </c>
      <c r="Y439" s="43" t="s">
        <v>3596</v>
      </c>
      <c r="Z439" s="207" t="s">
        <v>3597</v>
      </c>
      <c r="AA439" s="45">
        <v>44944</v>
      </c>
      <c r="AB439" s="101" t="s">
        <v>30</v>
      </c>
      <c r="AC439" s="36"/>
      <c r="AD439" s="47" t="s">
        <v>49</v>
      </c>
      <c r="AE439" s="48" t="s">
        <v>41</v>
      </c>
      <c r="AF439" s="48" t="s">
        <v>41</v>
      </c>
      <c r="AG439" s="48" t="s">
        <v>49</v>
      </c>
      <c r="AH439" s="48" t="s">
        <v>49</v>
      </c>
      <c r="AI439" s="48" t="s">
        <v>49</v>
      </c>
      <c r="AJ439" s="49" t="s">
        <v>49</v>
      </c>
      <c r="AK439" s="48" t="s">
        <v>49</v>
      </c>
      <c r="AL439" s="62" t="s">
        <v>32</v>
      </c>
      <c r="AM439" s="59"/>
      <c r="AN439" s="10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1"/>
    </row>
    <row r="440" spans="1:51" ht="15" customHeight="1" x14ac:dyDescent="0.2">
      <c r="A440" s="33">
        <f t="shared" si="7"/>
        <v>435</v>
      </c>
      <c r="B440" s="122" t="s">
        <v>3598</v>
      </c>
      <c r="C440" s="123" t="s">
        <v>3599</v>
      </c>
      <c r="D440" s="202" t="s">
        <v>3600</v>
      </c>
      <c r="E440" s="36" t="s">
        <v>54</v>
      </c>
      <c r="F440" s="122" t="s">
        <v>3601</v>
      </c>
      <c r="G440" s="126" t="s">
        <v>323</v>
      </c>
      <c r="H440" s="126" t="s">
        <v>39</v>
      </c>
      <c r="I440" s="122" t="s">
        <v>3602</v>
      </c>
      <c r="J440" s="122" t="s">
        <v>41</v>
      </c>
      <c r="K440" s="128" t="s">
        <v>42</v>
      </c>
      <c r="L440" s="163" t="s">
        <v>3603</v>
      </c>
      <c r="M440" s="112"/>
      <c r="N440" s="112"/>
      <c r="O440" s="112"/>
      <c r="P440" s="112"/>
      <c r="Q440" s="112"/>
      <c r="R440" s="112"/>
      <c r="S440" s="112"/>
      <c r="T440" s="41"/>
      <c r="U440" s="41"/>
      <c r="V440" s="41"/>
      <c r="W440" s="41"/>
      <c r="X440" s="42" t="s">
        <v>3604</v>
      </c>
      <c r="Y440" s="52" t="s">
        <v>3605</v>
      </c>
      <c r="Z440" s="233" t="s">
        <v>61</v>
      </c>
      <c r="AA440" s="45">
        <v>40280</v>
      </c>
      <c r="AB440" s="164" t="s">
        <v>30</v>
      </c>
      <c r="AC440" s="36" t="s">
        <v>26</v>
      </c>
      <c r="AD440" s="133" t="s">
        <v>49</v>
      </c>
      <c r="AE440" s="48" t="s">
        <v>49</v>
      </c>
      <c r="AF440" s="48" t="s">
        <v>49</v>
      </c>
      <c r="AG440" s="48" t="s">
        <v>49</v>
      </c>
      <c r="AH440" s="48" t="s">
        <v>49</v>
      </c>
      <c r="AI440" s="48" t="s">
        <v>49</v>
      </c>
      <c r="AJ440" s="49" t="s">
        <v>49</v>
      </c>
      <c r="AK440" s="48" t="s">
        <v>49</v>
      </c>
      <c r="AL440" s="62" t="s">
        <v>32</v>
      </c>
      <c r="AM440" s="134"/>
      <c r="AN440" s="10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1"/>
    </row>
    <row r="441" spans="1:51" ht="15" customHeight="1" x14ac:dyDescent="0.2">
      <c r="A441" s="33">
        <f t="shared" si="7"/>
        <v>436</v>
      </c>
      <c r="B441" s="122" t="s">
        <v>3606</v>
      </c>
      <c r="C441" s="123" t="s">
        <v>3607</v>
      </c>
      <c r="D441" s="202" t="s">
        <v>3608</v>
      </c>
      <c r="E441" s="36" t="s">
        <v>54</v>
      </c>
      <c r="F441" s="122" t="s">
        <v>3609</v>
      </c>
      <c r="G441" s="126" t="s">
        <v>747</v>
      </c>
      <c r="H441" s="126" t="s">
        <v>378</v>
      </c>
      <c r="I441" s="122" t="s">
        <v>3610</v>
      </c>
      <c r="J441" s="122" t="s">
        <v>3611</v>
      </c>
      <c r="K441" s="128" t="s">
        <v>42</v>
      </c>
      <c r="L441" s="163" t="s">
        <v>3612</v>
      </c>
      <c r="M441" s="41"/>
      <c r="N441" s="188"/>
      <c r="O441" s="188"/>
      <c r="P441" s="188"/>
      <c r="Q441" s="188"/>
      <c r="R441" s="188"/>
      <c r="S441" s="188"/>
      <c r="T441" s="188"/>
      <c r="U441" s="188"/>
      <c r="V441" s="188"/>
      <c r="W441" s="188"/>
      <c r="X441" s="42" t="s">
        <v>3613</v>
      </c>
      <c r="Y441" s="52" t="s">
        <v>3614</v>
      </c>
      <c r="Z441" s="44" t="s">
        <v>61</v>
      </c>
      <c r="AA441" s="45">
        <v>38593</v>
      </c>
      <c r="AB441" s="164" t="s">
        <v>30</v>
      </c>
      <c r="AC441" s="36" t="s">
        <v>26</v>
      </c>
      <c r="AD441" s="133" t="s">
        <v>49</v>
      </c>
      <c r="AE441" s="48" t="s">
        <v>49</v>
      </c>
      <c r="AF441" s="48" t="s">
        <v>49</v>
      </c>
      <c r="AG441" s="48" t="s">
        <v>49</v>
      </c>
      <c r="AH441" s="48" t="s">
        <v>49</v>
      </c>
      <c r="AI441" s="48" t="s">
        <v>49</v>
      </c>
      <c r="AJ441" s="49" t="s">
        <v>49</v>
      </c>
      <c r="AK441" s="48" t="s">
        <v>41</v>
      </c>
      <c r="AL441" s="62" t="s">
        <v>148</v>
      </c>
      <c r="AM441" s="134"/>
      <c r="AN441" s="10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1"/>
    </row>
    <row r="442" spans="1:51" ht="15" customHeight="1" x14ac:dyDescent="0.2">
      <c r="A442" s="33">
        <f t="shared" si="7"/>
        <v>437</v>
      </c>
      <c r="B442" s="34" t="s">
        <v>3615</v>
      </c>
      <c r="C442" s="35" t="s">
        <v>3616</v>
      </c>
      <c r="D442" s="36" t="s">
        <v>3617</v>
      </c>
      <c r="E442" s="36" t="s">
        <v>54</v>
      </c>
      <c r="F442" s="34" t="s">
        <v>3618</v>
      </c>
      <c r="G442" s="37" t="s">
        <v>186</v>
      </c>
      <c r="H442" s="37" t="s">
        <v>187</v>
      </c>
      <c r="I442" s="34" t="s">
        <v>3619</v>
      </c>
      <c r="J442" s="122" t="s">
        <v>41</v>
      </c>
      <c r="K442" s="39" t="s">
        <v>42</v>
      </c>
      <c r="L442" s="99" t="s">
        <v>3158</v>
      </c>
      <c r="M442" s="56"/>
      <c r="N442" s="137"/>
      <c r="O442" s="137"/>
      <c r="P442" s="137"/>
      <c r="Q442" s="137"/>
      <c r="R442" s="137"/>
      <c r="S442" s="137"/>
      <c r="T442" s="137" t="s">
        <v>468</v>
      </c>
      <c r="U442" s="137"/>
      <c r="V442" s="137"/>
      <c r="W442" s="137"/>
      <c r="X442" s="42" t="s">
        <v>3620</v>
      </c>
      <c r="Y442" s="58" t="s">
        <v>3621</v>
      </c>
      <c r="Z442" s="44"/>
      <c r="AA442" s="45">
        <v>45642</v>
      </c>
      <c r="AB442" s="101"/>
      <c r="AC442" s="36" t="s">
        <v>26</v>
      </c>
      <c r="AD442" s="47" t="s">
        <v>49</v>
      </c>
      <c r="AE442" s="48" t="s">
        <v>49</v>
      </c>
      <c r="AF442" s="48" t="s">
        <v>49</v>
      </c>
      <c r="AG442" s="48" t="s">
        <v>49</v>
      </c>
      <c r="AH442" s="48" t="s">
        <v>49</v>
      </c>
      <c r="AI442" s="48" t="s">
        <v>49</v>
      </c>
      <c r="AJ442" s="49" t="s">
        <v>49</v>
      </c>
      <c r="AK442" s="48" t="s">
        <v>49</v>
      </c>
      <c r="AL442" s="62" t="s">
        <v>32</v>
      </c>
      <c r="AM442" s="59"/>
      <c r="AN442" s="10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1"/>
    </row>
    <row r="443" spans="1:51" ht="15" customHeight="1" x14ac:dyDescent="0.2">
      <c r="A443" s="33">
        <f t="shared" si="7"/>
        <v>438</v>
      </c>
      <c r="B443" s="34" t="s">
        <v>3622</v>
      </c>
      <c r="C443" s="35" t="s">
        <v>3623</v>
      </c>
      <c r="D443" s="36" t="s">
        <v>3624</v>
      </c>
      <c r="E443" s="36" t="s">
        <v>54</v>
      </c>
      <c r="F443" s="34" t="s">
        <v>3625</v>
      </c>
      <c r="G443" s="37" t="s">
        <v>858</v>
      </c>
      <c r="H443" s="37" t="s">
        <v>57</v>
      </c>
      <c r="I443" s="34" t="s">
        <v>3626</v>
      </c>
      <c r="J443" s="34" t="s">
        <v>41</v>
      </c>
      <c r="K443" s="39" t="s">
        <v>42</v>
      </c>
      <c r="L443" s="120">
        <v>31057</v>
      </c>
      <c r="M443" s="56"/>
      <c r="N443" s="114"/>
      <c r="O443" s="114"/>
      <c r="P443" s="114"/>
      <c r="Q443" s="115"/>
      <c r="R443" s="115"/>
      <c r="S443" s="114"/>
      <c r="T443" s="115"/>
      <c r="U443" s="115"/>
      <c r="V443" s="115"/>
      <c r="W443" s="115"/>
      <c r="X443" s="57" t="s">
        <v>3627</v>
      </c>
      <c r="Y443" s="43" t="s">
        <v>3628</v>
      </c>
      <c r="Z443" s="44" t="s">
        <v>3629</v>
      </c>
      <c r="AA443" s="45">
        <v>42325</v>
      </c>
      <c r="AB443" s="101" t="s">
        <v>30</v>
      </c>
      <c r="AC443" s="36" t="s">
        <v>26</v>
      </c>
      <c r="AD443" s="47" t="s">
        <v>49</v>
      </c>
      <c r="AE443" s="48" t="s">
        <v>49</v>
      </c>
      <c r="AF443" s="48" t="s">
        <v>49</v>
      </c>
      <c r="AG443" s="48" t="s">
        <v>49</v>
      </c>
      <c r="AH443" s="48" t="s">
        <v>49</v>
      </c>
      <c r="AI443" s="48" t="s">
        <v>49</v>
      </c>
      <c r="AJ443" s="49" t="s">
        <v>49</v>
      </c>
      <c r="AK443" s="48" t="s">
        <v>41</v>
      </c>
      <c r="AL443" s="65" t="s">
        <v>148</v>
      </c>
      <c r="AM443" s="59"/>
      <c r="AN443" s="10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1"/>
    </row>
    <row r="444" spans="1:51" ht="15" customHeight="1" x14ac:dyDescent="0.2">
      <c r="A444" s="33">
        <f t="shared" si="7"/>
        <v>439</v>
      </c>
      <c r="B444" s="34" t="s">
        <v>3630</v>
      </c>
      <c r="C444" s="35" t="s">
        <v>3631</v>
      </c>
      <c r="D444" s="36" t="s">
        <v>3632</v>
      </c>
      <c r="E444" s="36" t="s">
        <v>241</v>
      </c>
      <c r="F444" s="34" t="s">
        <v>3633</v>
      </c>
      <c r="G444" s="37" t="s">
        <v>858</v>
      </c>
      <c r="H444" s="37" t="s">
        <v>57</v>
      </c>
      <c r="I444" s="34" t="s">
        <v>3634</v>
      </c>
      <c r="J444" s="38" t="s">
        <v>3635</v>
      </c>
      <c r="K444" s="39" t="s">
        <v>42</v>
      </c>
      <c r="L444" s="99" t="s">
        <v>3636</v>
      </c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2" t="s">
        <v>3637</v>
      </c>
      <c r="Y444" s="83" t="s">
        <v>3638</v>
      </c>
      <c r="Z444" s="44" t="s">
        <v>61</v>
      </c>
      <c r="AA444" s="131">
        <v>36803</v>
      </c>
      <c r="AB444" s="101" t="s">
        <v>30</v>
      </c>
      <c r="AC444" s="36" t="s">
        <v>26</v>
      </c>
      <c r="AD444" s="47" t="s">
        <v>49</v>
      </c>
      <c r="AE444" s="48" t="s">
        <v>49</v>
      </c>
      <c r="AF444" s="48" t="s">
        <v>49</v>
      </c>
      <c r="AG444" s="48" t="s">
        <v>49</v>
      </c>
      <c r="AH444" s="48" t="s">
        <v>49</v>
      </c>
      <c r="AI444" s="48" t="s">
        <v>49</v>
      </c>
      <c r="AJ444" s="49" t="s">
        <v>49</v>
      </c>
      <c r="AK444" s="48" t="s">
        <v>49</v>
      </c>
      <c r="AL444" s="62" t="s">
        <v>32</v>
      </c>
      <c r="AM444" s="59"/>
      <c r="AN444" s="10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1"/>
    </row>
    <row r="445" spans="1:51" ht="15" customHeight="1" x14ac:dyDescent="0.2">
      <c r="A445" s="33">
        <f t="shared" si="7"/>
        <v>440</v>
      </c>
      <c r="B445" s="34" t="s">
        <v>3639</v>
      </c>
      <c r="C445" s="35" t="s">
        <v>3640</v>
      </c>
      <c r="D445" s="36" t="s">
        <v>3641</v>
      </c>
      <c r="E445" s="36" t="s">
        <v>54</v>
      </c>
      <c r="F445" s="34" t="s">
        <v>3642</v>
      </c>
      <c r="G445" s="37" t="s">
        <v>73</v>
      </c>
      <c r="H445" s="37" t="s">
        <v>73</v>
      </c>
      <c r="I445" s="34" t="s">
        <v>3643</v>
      </c>
      <c r="J445" s="34" t="s">
        <v>3644</v>
      </c>
      <c r="K445" s="39" t="s">
        <v>42</v>
      </c>
      <c r="L445" s="99" t="s">
        <v>3645</v>
      </c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42" t="s">
        <v>3646</v>
      </c>
      <c r="Y445" s="100" t="s">
        <v>3647</v>
      </c>
      <c r="Z445" s="44" t="s">
        <v>61</v>
      </c>
      <c r="AA445" s="45">
        <v>38593</v>
      </c>
      <c r="AB445" s="101" t="s">
        <v>30</v>
      </c>
      <c r="AC445" s="36" t="s">
        <v>26</v>
      </c>
      <c r="AD445" s="47" t="s">
        <v>49</v>
      </c>
      <c r="AE445" s="48" t="s">
        <v>49</v>
      </c>
      <c r="AF445" s="48" t="s">
        <v>49</v>
      </c>
      <c r="AG445" s="48" t="s">
        <v>49</v>
      </c>
      <c r="AH445" s="48" t="s">
        <v>41</v>
      </c>
      <c r="AI445" s="48" t="s">
        <v>41</v>
      </c>
      <c r="AJ445" s="49" t="s">
        <v>41</v>
      </c>
      <c r="AK445" s="48" t="s">
        <v>41</v>
      </c>
      <c r="AL445" s="62" t="s">
        <v>139</v>
      </c>
      <c r="AM445" s="59"/>
      <c r="AN445" s="10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1"/>
    </row>
    <row r="446" spans="1:51" ht="15" customHeight="1" x14ac:dyDescent="0.2">
      <c r="A446" s="33">
        <f t="shared" si="7"/>
        <v>441</v>
      </c>
      <c r="B446" s="34" t="s">
        <v>3648</v>
      </c>
      <c r="C446" s="35" t="s">
        <v>3649</v>
      </c>
      <c r="D446" s="36" t="s">
        <v>3650</v>
      </c>
      <c r="E446" s="36" t="s">
        <v>54</v>
      </c>
      <c r="F446" s="34" t="s">
        <v>3651</v>
      </c>
      <c r="G446" s="37" t="s">
        <v>205</v>
      </c>
      <c r="H446" s="37" t="s">
        <v>205</v>
      </c>
      <c r="I446" s="38" t="s">
        <v>3652</v>
      </c>
      <c r="J446" s="34" t="s">
        <v>41</v>
      </c>
      <c r="K446" s="39" t="s">
        <v>42</v>
      </c>
      <c r="L446" s="120">
        <v>45803</v>
      </c>
      <c r="M446" s="56" t="s">
        <v>179</v>
      </c>
      <c r="N446" s="56"/>
      <c r="O446" s="56"/>
      <c r="P446" s="56"/>
      <c r="Q446" s="56"/>
      <c r="R446" s="56"/>
      <c r="S446" s="56"/>
      <c r="T446" s="56"/>
      <c r="U446" s="56"/>
      <c r="V446" s="56" t="s">
        <v>44</v>
      </c>
      <c r="W446" s="56"/>
      <c r="X446" s="38" t="s">
        <v>3653</v>
      </c>
      <c r="Y446" s="146" t="s">
        <v>3654</v>
      </c>
      <c r="Z446" s="224"/>
      <c r="AA446" s="45"/>
      <c r="AB446" s="101"/>
      <c r="AC446" s="36"/>
      <c r="AD446" s="47" t="s">
        <v>49</v>
      </c>
      <c r="AE446" s="48" t="s">
        <v>41</v>
      </c>
      <c r="AF446" s="48" t="s">
        <v>41</v>
      </c>
      <c r="AG446" s="48" t="s">
        <v>41</v>
      </c>
      <c r="AH446" s="48" t="s">
        <v>41</v>
      </c>
      <c r="AI446" s="48" t="s">
        <v>41</v>
      </c>
      <c r="AJ446" s="49" t="s">
        <v>49</v>
      </c>
      <c r="AK446" s="48" t="s">
        <v>41</v>
      </c>
      <c r="AL446" s="62" t="s">
        <v>148</v>
      </c>
      <c r="AM446" s="59"/>
      <c r="AN446" s="10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1"/>
    </row>
    <row r="447" spans="1:51" ht="15" customHeight="1" x14ac:dyDescent="0.2">
      <c r="A447" s="33">
        <f t="shared" si="7"/>
        <v>442</v>
      </c>
      <c r="B447" s="34" t="s">
        <v>3655</v>
      </c>
      <c r="C447" s="35" t="s">
        <v>3656</v>
      </c>
      <c r="D447" s="36" t="s">
        <v>3657</v>
      </c>
      <c r="E447" s="36" t="s">
        <v>54</v>
      </c>
      <c r="F447" s="34" t="s">
        <v>3658</v>
      </c>
      <c r="G447" s="37" t="s">
        <v>1285</v>
      </c>
      <c r="H447" s="37" t="s">
        <v>350</v>
      </c>
      <c r="I447" s="34" t="s">
        <v>3659</v>
      </c>
      <c r="J447" s="34" t="s">
        <v>41</v>
      </c>
      <c r="K447" s="39" t="s">
        <v>42</v>
      </c>
      <c r="L447" s="120">
        <v>36739</v>
      </c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2" t="s">
        <v>3660</v>
      </c>
      <c r="Y447" s="52" t="s">
        <v>3661</v>
      </c>
      <c r="Z447" s="119" t="s">
        <v>61</v>
      </c>
      <c r="AA447" s="45">
        <v>40280</v>
      </c>
      <c r="AB447" s="101" t="s">
        <v>30</v>
      </c>
      <c r="AC447" s="36" t="s">
        <v>26</v>
      </c>
      <c r="AD447" s="47" t="s">
        <v>49</v>
      </c>
      <c r="AE447" s="48" t="s">
        <v>49</v>
      </c>
      <c r="AF447" s="48" t="s">
        <v>49</v>
      </c>
      <c r="AG447" s="48" t="s">
        <v>49</v>
      </c>
      <c r="AH447" s="48" t="s">
        <v>49</v>
      </c>
      <c r="AI447" s="48" t="s">
        <v>49</v>
      </c>
      <c r="AJ447" s="49" t="s">
        <v>49</v>
      </c>
      <c r="AK447" s="48" t="s">
        <v>41</v>
      </c>
      <c r="AL447" s="62" t="s">
        <v>148</v>
      </c>
      <c r="AM447" s="59"/>
      <c r="AN447" s="10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1"/>
    </row>
    <row r="448" spans="1:51" ht="15" customHeight="1" x14ac:dyDescent="0.2">
      <c r="A448" s="33">
        <f t="shared" si="7"/>
        <v>443</v>
      </c>
      <c r="B448" s="34" t="s">
        <v>3662</v>
      </c>
      <c r="C448" s="35" t="s">
        <v>3663</v>
      </c>
      <c r="D448" s="36" t="s">
        <v>3664</v>
      </c>
      <c r="E448" s="36" t="s">
        <v>54</v>
      </c>
      <c r="F448" s="34" t="s">
        <v>3665</v>
      </c>
      <c r="G448" s="37" t="s">
        <v>350</v>
      </c>
      <c r="H448" s="37" t="s">
        <v>350</v>
      </c>
      <c r="I448" s="38" t="s">
        <v>3666</v>
      </c>
      <c r="J448" s="34" t="s">
        <v>41</v>
      </c>
      <c r="K448" s="39" t="s">
        <v>42</v>
      </c>
      <c r="L448" s="120" t="s">
        <v>3667</v>
      </c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2" t="s">
        <v>3668</v>
      </c>
      <c r="Y448" s="43" t="s">
        <v>3669</v>
      </c>
      <c r="Z448" s="84" t="s">
        <v>3670</v>
      </c>
      <c r="AA448" s="45">
        <v>44650</v>
      </c>
      <c r="AB448" s="101" t="s">
        <v>30</v>
      </c>
      <c r="AC448" s="36" t="s">
        <v>26</v>
      </c>
      <c r="AD448" s="47" t="s">
        <v>49</v>
      </c>
      <c r="AE448" s="48" t="s">
        <v>49</v>
      </c>
      <c r="AF448" s="48" t="s">
        <v>49</v>
      </c>
      <c r="AG448" s="48" t="s">
        <v>49</v>
      </c>
      <c r="AH448" s="48" t="s">
        <v>41</v>
      </c>
      <c r="AI448" s="48" t="s">
        <v>41</v>
      </c>
      <c r="AJ448" s="49" t="s">
        <v>41</v>
      </c>
      <c r="AK448" s="48" t="s">
        <v>41</v>
      </c>
      <c r="AL448" s="62" t="s">
        <v>139</v>
      </c>
      <c r="AM448" s="59"/>
      <c r="AN448" s="10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1"/>
    </row>
    <row r="449" spans="1:51" ht="15" customHeight="1" x14ac:dyDescent="0.2">
      <c r="A449" s="33">
        <f t="shared" si="7"/>
        <v>444</v>
      </c>
      <c r="B449" s="34" t="s">
        <v>3671</v>
      </c>
      <c r="C449" s="35" t="s">
        <v>3672</v>
      </c>
      <c r="D449" s="36" t="s">
        <v>3673</v>
      </c>
      <c r="E449" s="36" t="s">
        <v>54</v>
      </c>
      <c r="F449" s="34" t="s">
        <v>3674</v>
      </c>
      <c r="G449" s="37" t="s">
        <v>73</v>
      </c>
      <c r="H449" s="37" t="s">
        <v>73</v>
      </c>
      <c r="I449" s="38" t="s">
        <v>3675</v>
      </c>
      <c r="J449" s="34" t="s">
        <v>41</v>
      </c>
      <c r="K449" s="39" t="s">
        <v>42</v>
      </c>
      <c r="L449" s="120">
        <v>44844</v>
      </c>
      <c r="M449" s="41"/>
      <c r="N449" s="94"/>
      <c r="O449" s="94"/>
      <c r="P449" s="94"/>
      <c r="Q449" s="94"/>
      <c r="R449" s="94"/>
      <c r="S449" s="94" t="s">
        <v>44</v>
      </c>
      <c r="T449" s="94"/>
      <c r="U449" s="94"/>
      <c r="V449" s="94"/>
      <c r="W449" s="94"/>
      <c r="X449" s="42" t="s">
        <v>3676</v>
      </c>
      <c r="Y449" s="43" t="s">
        <v>3677</v>
      </c>
      <c r="Z449" s="207" t="s">
        <v>3678</v>
      </c>
      <c r="AA449" s="45">
        <v>44944</v>
      </c>
      <c r="AB449" s="101" t="s">
        <v>30</v>
      </c>
      <c r="AC449" s="36"/>
      <c r="AD449" s="47" t="s">
        <v>49</v>
      </c>
      <c r="AE449" s="48" t="s">
        <v>41</v>
      </c>
      <c r="AF449" s="48" t="s">
        <v>41</v>
      </c>
      <c r="AG449" s="48" t="s">
        <v>49</v>
      </c>
      <c r="AH449" s="48" t="s">
        <v>49</v>
      </c>
      <c r="AI449" s="48" t="s">
        <v>49</v>
      </c>
      <c r="AJ449" s="49" t="s">
        <v>41</v>
      </c>
      <c r="AK449" s="48" t="s">
        <v>41</v>
      </c>
      <c r="AL449" s="62" t="s">
        <v>276</v>
      </c>
      <c r="AM449" s="59"/>
      <c r="AN449" s="10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1"/>
    </row>
    <row r="450" spans="1:51" x14ac:dyDescent="0.2">
      <c r="A450" s="33">
        <f t="shared" si="7"/>
        <v>445</v>
      </c>
      <c r="B450" s="34" t="s">
        <v>3679</v>
      </c>
      <c r="C450" s="35" t="s">
        <v>3680</v>
      </c>
      <c r="D450" s="36" t="s">
        <v>3681</v>
      </c>
      <c r="E450" s="36" t="s">
        <v>54</v>
      </c>
      <c r="F450" s="34" t="s">
        <v>3682</v>
      </c>
      <c r="G450" s="37" t="s">
        <v>73</v>
      </c>
      <c r="H450" s="37" t="s">
        <v>73</v>
      </c>
      <c r="I450" s="34" t="s">
        <v>3683</v>
      </c>
      <c r="J450" s="34" t="s">
        <v>3683</v>
      </c>
      <c r="K450" s="39" t="s">
        <v>42</v>
      </c>
      <c r="L450" s="120" t="s">
        <v>3684</v>
      </c>
      <c r="M450" s="41"/>
      <c r="N450" s="41"/>
      <c r="O450" s="41"/>
      <c r="P450" s="41"/>
      <c r="Q450" s="112"/>
      <c r="R450" s="41"/>
      <c r="S450" s="41"/>
      <c r="T450" s="41"/>
      <c r="U450" s="41"/>
      <c r="V450" s="41"/>
      <c r="W450" s="41"/>
      <c r="X450" s="42" t="s">
        <v>3685</v>
      </c>
      <c r="Y450" s="58" t="s">
        <v>3686</v>
      </c>
      <c r="Z450" s="84" t="s">
        <v>3687</v>
      </c>
      <c r="AA450" s="45">
        <v>44650</v>
      </c>
      <c r="AB450" s="101" t="s">
        <v>30</v>
      </c>
      <c r="AC450" s="36" t="s">
        <v>26</v>
      </c>
      <c r="AD450" s="61" t="s">
        <v>49</v>
      </c>
      <c r="AE450" s="48" t="s">
        <v>49</v>
      </c>
      <c r="AF450" s="48" t="s">
        <v>49</v>
      </c>
      <c r="AG450" s="48" t="s">
        <v>49</v>
      </c>
      <c r="AH450" s="48" t="s">
        <v>49</v>
      </c>
      <c r="AI450" s="48" t="s">
        <v>49</v>
      </c>
      <c r="AJ450" s="49" t="s">
        <v>49</v>
      </c>
      <c r="AK450" s="48" t="s">
        <v>49</v>
      </c>
      <c r="AL450" s="62" t="s">
        <v>32</v>
      </c>
      <c r="AM450" s="59"/>
      <c r="AN450" s="10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1"/>
    </row>
    <row r="451" spans="1:51" x14ac:dyDescent="0.2">
      <c r="A451" s="33">
        <f t="shared" si="7"/>
        <v>446</v>
      </c>
      <c r="B451" s="34" t="s">
        <v>3688</v>
      </c>
      <c r="C451" s="35" t="s">
        <v>3689</v>
      </c>
      <c r="D451" s="36" t="s">
        <v>3690</v>
      </c>
      <c r="E451" s="36" t="s">
        <v>36</v>
      </c>
      <c r="F451" s="34" t="s">
        <v>3552</v>
      </c>
      <c r="G451" s="37" t="s">
        <v>73</v>
      </c>
      <c r="H451" s="37" t="s">
        <v>73</v>
      </c>
      <c r="I451" s="34" t="s">
        <v>3553</v>
      </c>
      <c r="J451" s="34" t="s">
        <v>3691</v>
      </c>
      <c r="K451" s="39" t="s">
        <v>42</v>
      </c>
      <c r="L451" s="120">
        <v>30353</v>
      </c>
      <c r="M451" s="41" t="s">
        <v>179</v>
      </c>
      <c r="N451" s="41"/>
      <c r="O451" s="41"/>
      <c r="P451" s="41">
        <v>1</v>
      </c>
      <c r="Q451" s="41"/>
      <c r="R451" s="41"/>
      <c r="S451" s="41"/>
      <c r="T451" s="41"/>
      <c r="U451" s="41" t="s">
        <v>732</v>
      </c>
      <c r="V451" s="41"/>
      <c r="W451" s="41"/>
      <c r="X451" s="42" t="s">
        <v>3692</v>
      </c>
      <c r="Y451" s="58" t="s">
        <v>3693</v>
      </c>
      <c r="Z451" s="44" t="s">
        <v>61</v>
      </c>
      <c r="AA451" s="45">
        <v>40815</v>
      </c>
      <c r="AB451" s="101" t="s">
        <v>30</v>
      </c>
      <c r="AC451" s="36" t="s">
        <v>26</v>
      </c>
      <c r="AD451" s="64" t="s">
        <v>120</v>
      </c>
      <c r="AE451" s="48" t="s">
        <v>120</v>
      </c>
      <c r="AF451" s="48" t="s">
        <v>130</v>
      </c>
      <c r="AG451" s="48" t="s">
        <v>120</v>
      </c>
      <c r="AH451" s="48" t="s">
        <v>120</v>
      </c>
      <c r="AI451" s="48" t="s">
        <v>120</v>
      </c>
      <c r="AJ451" s="49" t="s">
        <v>120</v>
      </c>
      <c r="AK451" s="48" t="s">
        <v>120</v>
      </c>
      <c r="AL451" s="62" t="s">
        <v>32</v>
      </c>
      <c r="AM451" s="59"/>
      <c r="AN451" s="10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1"/>
    </row>
    <row r="452" spans="1:51" x14ac:dyDescent="0.2">
      <c r="A452" s="33">
        <f t="shared" si="7"/>
        <v>447</v>
      </c>
      <c r="B452" s="34" t="s">
        <v>3694</v>
      </c>
      <c r="C452" s="35" t="s">
        <v>3695</v>
      </c>
      <c r="D452" s="36" t="s">
        <v>3696</v>
      </c>
      <c r="E452" s="36" t="s">
        <v>54</v>
      </c>
      <c r="F452" s="34" t="s">
        <v>3697</v>
      </c>
      <c r="G452" s="37" t="s">
        <v>39</v>
      </c>
      <c r="H452" s="37" t="s">
        <v>39</v>
      </c>
      <c r="I452" s="34" t="s">
        <v>3698</v>
      </c>
      <c r="J452" s="34" t="s">
        <v>3699</v>
      </c>
      <c r="K452" s="39" t="s">
        <v>42</v>
      </c>
      <c r="L452" s="120">
        <v>37439</v>
      </c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2" t="s">
        <v>3700</v>
      </c>
      <c r="Y452" s="58" t="s">
        <v>3701</v>
      </c>
      <c r="Z452" s="44" t="s">
        <v>61</v>
      </c>
      <c r="AA452" s="45">
        <v>37877</v>
      </c>
      <c r="AB452" s="101" t="s">
        <v>30</v>
      </c>
      <c r="AC452" s="36" t="s">
        <v>26</v>
      </c>
      <c r="AD452" s="47" t="s">
        <v>49</v>
      </c>
      <c r="AE452" s="48" t="s">
        <v>49</v>
      </c>
      <c r="AF452" s="48" t="s">
        <v>49</v>
      </c>
      <c r="AG452" s="48" t="s">
        <v>49</v>
      </c>
      <c r="AH452" s="48" t="s">
        <v>49</v>
      </c>
      <c r="AI452" s="48" t="s">
        <v>49</v>
      </c>
      <c r="AJ452" s="49" t="s">
        <v>41</v>
      </c>
      <c r="AK452" s="48" t="s">
        <v>41</v>
      </c>
      <c r="AL452" s="62" t="s">
        <v>276</v>
      </c>
      <c r="AM452" s="59"/>
      <c r="AN452" s="10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1"/>
    </row>
    <row r="453" spans="1:51" x14ac:dyDescent="0.2">
      <c r="A453" s="33">
        <f t="shared" si="7"/>
        <v>448</v>
      </c>
      <c r="B453" s="34" t="s">
        <v>3702</v>
      </c>
      <c r="C453" s="35" t="s">
        <v>3703</v>
      </c>
      <c r="D453" s="36" t="s">
        <v>3704</v>
      </c>
      <c r="E453" s="36" t="s">
        <v>54</v>
      </c>
      <c r="F453" s="34" t="s">
        <v>3705</v>
      </c>
      <c r="G453" s="37" t="s">
        <v>73</v>
      </c>
      <c r="H453" s="37" t="s">
        <v>73</v>
      </c>
      <c r="I453" s="34" t="s">
        <v>3292</v>
      </c>
      <c r="J453" s="34" t="s">
        <v>41</v>
      </c>
      <c r="K453" s="39" t="s">
        <v>42</v>
      </c>
      <c r="L453" s="99" t="s">
        <v>3706</v>
      </c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2" t="s">
        <v>3707</v>
      </c>
      <c r="Y453" s="58" t="s">
        <v>3708</v>
      </c>
      <c r="Z453" s="119" t="s">
        <v>61</v>
      </c>
      <c r="AA453" s="45">
        <v>34597</v>
      </c>
      <c r="AB453" s="101" t="s">
        <v>30</v>
      </c>
      <c r="AC453" s="36"/>
      <c r="AD453" s="47" t="s">
        <v>49</v>
      </c>
      <c r="AE453" s="48" t="s">
        <v>41</v>
      </c>
      <c r="AF453" s="48" t="s">
        <v>41</v>
      </c>
      <c r="AG453" s="48" t="s">
        <v>41</v>
      </c>
      <c r="AH453" s="48" t="s">
        <v>41</v>
      </c>
      <c r="AI453" s="48" t="s">
        <v>41</v>
      </c>
      <c r="AJ453" s="49" t="s">
        <v>41</v>
      </c>
      <c r="AK453" s="48" t="s">
        <v>41</v>
      </c>
      <c r="AL453" s="65" t="s">
        <v>4588</v>
      </c>
      <c r="AM453" s="59"/>
      <c r="AN453" s="117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1"/>
    </row>
    <row r="454" spans="1:51" x14ac:dyDescent="0.2">
      <c r="A454" s="33">
        <f t="shared" si="7"/>
        <v>449</v>
      </c>
      <c r="B454" s="34" t="s">
        <v>3709</v>
      </c>
      <c r="C454" s="35" t="s">
        <v>3710</v>
      </c>
      <c r="D454" s="36" t="s">
        <v>3711</v>
      </c>
      <c r="E454" s="36" t="s">
        <v>54</v>
      </c>
      <c r="F454" s="34" t="s">
        <v>3712</v>
      </c>
      <c r="G454" s="37" t="s">
        <v>528</v>
      </c>
      <c r="H454" s="37" t="s">
        <v>57</v>
      </c>
      <c r="I454" s="38" t="s">
        <v>3713</v>
      </c>
      <c r="J454" s="34" t="s">
        <v>41</v>
      </c>
      <c r="K454" s="39" t="s">
        <v>42</v>
      </c>
      <c r="L454" s="120">
        <v>44409</v>
      </c>
      <c r="M454" s="41"/>
      <c r="N454" s="41"/>
      <c r="O454" s="41"/>
      <c r="P454" s="41"/>
      <c r="Q454" s="112"/>
      <c r="R454" s="41" t="s">
        <v>44</v>
      </c>
      <c r="S454" s="41"/>
      <c r="T454" s="41"/>
      <c r="U454" s="41"/>
      <c r="V454" s="41"/>
      <c r="W454" s="41"/>
      <c r="X454" s="42" t="s">
        <v>3714</v>
      </c>
      <c r="Y454" s="58" t="s">
        <v>3715</v>
      </c>
      <c r="Z454" s="144" t="s">
        <v>3716</v>
      </c>
      <c r="AA454" s="45">
        <v>44650</v>
      </c>
      <c r="AB454" s="101" t="s">
        <v>30</v>
      </c>
      <c r="AC454" s="36"/>
      <c r="AD454" s="47" t="s">
        <v>49</v>
      </c>
      <c r="AE454" s="48" t="s">
        <v>41</v>
      </c>
      <c r="AF454" s="48" t="s">
        <v>49</v>
      </c>
      <c r="AG454" s="48" t="s">
        <v>41</v>
      </c>
      <c r="AH454" s="48" t="s">
        <v>41</v>
      </c>
      <c r="AI454" s="48" t="s">
        <v>41</v>
      </c>
      <c r="AJ454" s="49" t="s">
        <v>41</v>
      </c>
      <c r="AK454" s="48" t="s">
        <v>41</v>
      </c>
      <c r="AL454" s="62" t="s">
        <v>110</v>
      </c>
      <c r="AM454" s="59"/>
      <c r="AN454" s="117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1"/>
    </row>
    <row r="455" spans="1:51" x14ac:dyDescent="0.2">
      <c r="A455" s="33">
        <f t="shared" ref="A455:A518" si="8">+A454+1</f>
        <v>450</v>
      </c>
      <c r="B455" s="34" t="s">
        <v>3717</v>
      </c>
      <c r="C455" s="35" t="s">
        <v>3718</v>
      </c>
      <c r="D455" s="36" t="s">
        <v>3719</v>
      </c>
      <c r="E455" s="36" t="s">
        <v>54</v>
      </c>
      <c r="F455" s="34" t="s">
        <v>3720</v>
      </c>
      <c r="G455" s="37" t="s">
        <v>1285</v>
      </c>
      <c r="H455" s="37" t="s">
        <v>350</v>
      </c>
      <c r="I455" s="34" t="s">
        <v>3721</v>
      </c>
      <c r="J455" s="34" t="s">
        <v>41</v>
      </c>
      <c r="K455" s="39" t="s">
        <v>42</v>
      </c>
      <c r="L455" s="99" t="s">
        <v>3722</v>
      </c>
      <c r="M455" s="56"/>
      <c r="N455" s="186"/>
      <c r="O455" s="186"/>
      <c r="P455" s="186"/>
      <c r="Q455" s="115"/>
      <c r="R455" s="115"/>
      <c r="S455" s="115"/>
      <c r="T455" s="56"/>
      <c r="U455" s="56"/>
      <c r="V455" s="56"/>
      <c r="W455" s="56"/>
      <c r="X455" s="42" t="s">
        <v>3723</v>
      </c>
      <c r="Y455" s="69" t="s">
        <v>3724</v>
      </c>
      <c r="Z455" s="44" t="s">
        <v>61</v>
      </c>
      <c r="AA455" s="45">
        <v>36803</v>
      </c>
      <c r="AB455" s="101" t="s">
        <v>30</v>
      </c>
      <c r="AC455" s="36" t="s">
        <v>26</v>
      </c>
      <c r="AD455" s="47" t="s">
        <v>49</v>
      </c>
      <c r="AE455" s="48" t="s">
        <v>49</v>
      </c>
      <c r="AF455" s="48" t="s">
        <v>49</v>
      </c>
      <c r="AG455" s="48" t="s">
        <v>49</v>
      </c>
      <c r="AH455" s="48" t="s">
        <v>49</v>
      </c>
      <c r="AI455" s="48" t="s">
        <v>49</v>
      </c>
      <c r="AJ455" s="49" t="s">
        <v>49</v>
      </c>
      <c r="AK455" s="48" t="s">
        <v>49</v>
      </c>
      <c r="AL455" s="62" t="s">
        <v>32</v>
      </c>
      <c r="AM455" s="59"/>
      <c r="AN455" s="10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1"/>
    </row>
    <row r="456" spans="1:51" x14ac:dyDescent="0.2">
      <c r="A456" s="33">
        <f t="shared" si="8"/>
        <v>451</v>
      </c>
      <c r="B456" s="34" t="s">
        <v>3725</v>
      </c>
      <c r="C456" s="35" t="s">
        <v>3726</v>
      </c>
      <c r="D456" s="36" t="s">
        <v>3727</v>
      </c>
      <c r="E456" s="36" t="s">
        <v>36</v>
      </c>
      <c r="F456" s="34" t="s">
        <v>3728</v>
      </c>
      <c r="G456" s="37" t="s">
        <v>73</v>
      </c>
      <c r="H456" s="37" t="s">
        <v>73</v>
      </c>
      <c r="I456" s="34" t="s">
        <v>3729</v>
      </c>
      <c r="J456" s="34" t="s">
        <v>41</v>
      </c>
      <c r="K456" s="39" t="s">
        <v>42</v>
      </c>
      <c r="L456" s="120">
        <v>35106</v>
      </c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42" t="s">
        <v>3730</v>
      </c>
      <c r="Y456" s="52" t="s">
        <v>3731</v>
      </c>
      <c r="Z456" s="44" t="s">
        <v>3732</v>
      </c>
      <c r="AA456" s="45">
        <v>42325</v>
      </c>
      <c r="AB456" s="101" t="s">
        <v>30</v>
      </c>
      <c r="AC456" s="36" t="s">
        <v>26</v>
      </c>
      <c r="AD456" s="47" t="s">
        <v>49</v>
      </c>
      <c r="AE456" s="48" t="s">
        <v>49</v>
      </c>
      <c r="AF456" s="48" t="s">
        <v>49</v>
      </c>
      <c r="AG456" s="48" t="s">
        <v>49</v>
      </c>
      <c r="AH456" s="48" t="s">
        <v>49</v>
      </c>
      <c r="AI456" s="48" t="s">
        <v>49</v>
      </c>
      <c r="AJ456" s="49" t="s">
        <v>49</v>
      </c>
      <c r="AK456" s="48" t="s">
        <v>41</v>
      </c>
      <c r="AL456" s="62" t="s">
        <v>148</v>
      </c>
      <c r="AM456" s="59"/>
      <c r="AN456" s="10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1"/>
    </row>
    <row r="457" spans="1:51" x14ac:dyDescent="0.2">
      <c r="A457" s="33">
        <f t="shared" si="8"/>
        <v>452</v>
      </c>
      <c r="B457" s="34" t="s">
        <v>3733</v>
      </c>
      <c r="C457" s="35" t="s">
        <v>3734</v>
      </c>
      <c r="D457" s="36" t="s">
        <v>3735</v>
      </c>
      <c r="E457" s="36" t="s">
        <v>54</v>
      </c>
      <c r="F457" s="34" t="s">
        <v>3736</v>
      </c>
      <c r="G457" s="37" t="s">
        <v>73</v>
      </c>
      <c r="H457" s="37" t="s">
        <v>73</v>
      </c>
      <c r="I457" s="34" t="s">
        <v>3737</v>
      </c>
      <c r="J457" s="34" t="s">
        <v>41</v>
      </c>
      <c r="K457" s="39" t="s">
        <v>42</v>
      </c>
      <c r="L457" s="120">
        <v>43807</v>
      </c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42" t="s">
        <v>3738</v>
      </c>
      <c r="Y457" s="58" t="s">
        <v>3739</v>
      </c>
      <c r="Z457" s="44" t="s">
        <v>3740</v>
      </c>
      <c r="AA457" s="45">
        <v>42325</v>
      </c>
      <c r="AB457" s="101" t="s">
        <v>30</v>
      </c>
      <c r="AC457" s="36" t="s">
        <v>26</v>
      </c>
      <c r="AD457" s="47" t="s">
        <v>49</v>
      </c>
      <c r="AE457" s="48" t="s">
        <v>49</v>
      </c>
      <c r="AF457" s="48" t="s">
        <v>49</v>
      </c>
      <c r="AG457" s="48" t="s">
        <v>49</v>
      </c>
      <c r="AH457" s="48" t="s">
        <v>49</v>
      </c>
      <c r="AI457" s="48" t="s">
        <v>49</v>
      </c>
      <c r="AJ457" s="49" t="s">
        <v>49</v>
      </c>
      <c r="AK457" s="48" t="s">
        <v>49</v>
      </c>
      <c r="AL457" s="62" t="s">
        <v>32</v>
      </c>
      <c r="AM457" s="59"/>
      <c r="AN457" s="10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1"/>
    </row>
    <row r="458" spans="1:51" x14ac:dyDescent="0.2">
      <c r="A458" s="33">
        <f t="shared" si="8"/>
        <v>453</v>
      </c>
      <c r="B458" s="34" t="s">
        <v>3741</v>
      </c>
      <c r="C458" s="35" t="s">
        <v>3742</v>
      </c>
      <c r="D458" s="36" t="s">
        <v>3743</v>
      </c>
      <c r="E458" s="36" t="s">
        <v>36</v>
      </c>
      <c r="F458" s="34" t="s">
        <v>3744</v>
      </c>
      <c r="G458" s="37" t="s">
        <v>73</v>
      </c>
      <c r="H458" s="37" t="s">
        <v>73</v>
      </c>
      <c r="I458" s="34" t="s">
        <v>3745</v>
      </c>
      <c r="J458" s="34" t="s">
        <v>3746</v>
      </c>
      <c r="K458" s="39" t="s">
        <v>42</v>
      </c>
      <c r="L458" s="99" t="s">
        <v>3747</v>
      </c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42" t="s">
        <v>3748</v>
      </c>
      <c r="Y458" s="69" t="s">
        <v>3749</v>
      </c>
      <c r="Z458" s="44" t="s">
        <v>61</v>
      </c>
      <c r="AA458" s="45">
        <v>42325</v>
      </c>
      <c r="AB458" s="101" t="s">
        <v>30</v>
      </c>
      <c r="AC458" s="36" t="s">
        <v>26</v>
      </c>
      <c r="AD458" s="64" t="s">
        <v>120</v>
      </c>
      <c r="AE458" s="48" t="s">
        <v>120</v>
      </c>
      <c r="AF458" s="48" t="s">
        <v>120</v>
      </c>
      <c r="AG458" s="48" t="s">
        <v>120</v>
      </c>
      <c r="AH458" s="48" t="s">
        <v>120</v>
      </c>
      <c r="AI458" s="48" t="s">
        <v>120</v>
      </c>
      <c r="AJ458" s="49" t="s">
        <v>120</v>
      </c>
      <c r="AK458" s="48" t="s">
        <v>41</v>
      </c>
      <c r="AL458" s="65" t="s">
        <v>148</v>
      </c>
      <c r="AM458" s="59"/>
      <c r="AN458" s="10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1"/>
    </row>
    <row r="459" spans="1:51" x14ac:dyDescent="0.2">
      <c r="A459" s="33">
        <f t="shared" si="8"/>
        <v>454</v>
      </c>
      <c r="B459" s="34" t="s">
        <v>3750</v>
      </c>
      <c r="C459" s="35" t="s">
        <v>3751</v>
      </c>
      <c r="D459" s="36" t="s">
        <v>3752</v>
      </c>
      <c r="E459" s="36" t="s">
        <v>54</v>
      </c>
      <c r="F459" s="34" t="s">
        <v>3753</v>
      </c>
      <c r="G459" s="37" t="s">
        <v>73</v>
      </c>
      <c r="H459" s="37" t="s">
        <v>73</v>
      </c>
      <c r="I459" s="34" t="s">
        <v>3754</v>
      </c>
      <c r="J459" s="38" t="s">
        <v>3755</v>
      </c>
      <c r="K459" s="39" t="s">
        <v>42</v>
      </c>
      <c r="L459" s="120">
        <v>34430</v>
      </c>
      <c r="M459" s="41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42" t="s">
        <v>3756</v>
      </c>
      <c r="Y459" s="69" t="s">
        <v>3757</v>
      </c>
      <c r="Z459" s="44" t="s">
        <v>61</v>
      </c>
      <c r="AA459" s="45">
        <v>34597</v>
      </c>
      <c r="AB459" s="101" t="s">
        <v>30</v>
      </c>
      <c r="AC459" s="36" t="s">
        <v>26</v>
      </c>
      <c r="AD459" s="47" t="s">
        <v>49</v>
      </c>
      <c r="AE459" s="48" t="s">
        <v>49</v>
      </c>
      <c r="AF459" s="48" t="s">
        <v>49</v>
      </c>
      <c r="AG459" s="48" t="s">
        <v>49</v>
      </c>
      <c r="AH459" s="48" t="s">
        <v>41</v>
      </c>
      <c r="AI459" s="48" t="s">
        <v>41</v>
      </c>
      <c r="AJ459" s="49" t="s">
        <v>41</v>
      </c>
      <c r="AK459" s="48" t="s">
        <v>41</v>
      </c>
      <c r="AL459" s="62" t="s">
        <v>139</v>
      </c>
      <c r="AM459" s="59"/>
      <c r="AN459" s="10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1"/>
    </row>
    <row r="460" spans="1:51" x14ac:dyDescent="0.2">
      <c r="A460" s="33">
        <f t="shared" si="8"/>
        <v>455</v>
      </c>
      <c r="B460" s="34" t="s">
        <v>3758</v>
      </c>
      <c r="C460" s="35" t="s">
        <v>3759</v>
      </c>
      <c r="D460" s="36" t="s">
        <v>3760</v>
      </c>
      <c r="E460" s="36" t="s">
        <v>54</v>
      </c>
      <c r="F460" s="34" t="s">
        <v>3761</v>
      </c>
      <c r="G460" s="37" t="s">
        <v>323</v>
      </c>
      <c r="H460" s="37" t="s">
        <v>39</v>
      </c>
      <c r="I460" s="38" t="s">
        <v>3762</v>
      </c>
      <c r="J460" s="38"/>
      <c r="K460" s="39" t="s">
        <v>42</v>
      </c>
      <c r="L460" s="120">
        <v>45357</v>
      </c>
      <c r="M460" s="41"/>
      <c r="N460" s="41"/>
      <c r="O460" s="41"/>
      <c r="P460" s="41"/>
      <c r="Q460" s="41"/>
      <c r="R460" s="41"/>
      <c r="S460" s="41"/>
      <c r="T460" s="41"/>
      <c r="U460" s="41" t="s">
        <v>44</v>
      </c>
      <c r="V460" s="41"/>
      <c r="W460" s="41"/>
      <c r="X460" s="54" t="s">
        <v>3763</v>
      </c>
      <c r="Y460" s="58" t="s">
        <v>3764</v>
      </c>
      <c r="Z460" s="44"/>
      <c r="AA460" s="45"/>
      <c r="AB460" s="101"/>
      <c r="AC460" s="36"/>
      <c r="AD460" s="47" t="s">
        <v>49</v>
      </c>
      <c r="AE460" s="48" t="s">
        <v>41</v>
      </c>
      <c r="AF460" s="48" t="s">
        <v>41</v>
      </c>
      <c r="AG460" s="48" t="s">
        <v>41</v>
      </c>
      <c r="AH460" s="48" t="s">
        <v>41</v>
      </c>
      <c r="AI460" s="48" t="s">
        <v>49</v>
      </c>
      <c r="AJ460" s="49" t="s">
        <v>49</v>
      </c>
      <c r="AK460" s="48" t="s">
        <v>41</v>
      </c>
      <c r="AL460" s="65" t="s">
        <v>148</v>
      </c>
      <c r="AM460" s="103"/>
      <c r="AN460" s="10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1"/>
    </row>
    <row r="461" spans="1:51" x14ac:dyDescent="0.2">
      <c r="A461" s="33">
        <f t="shared" si="8"/>
        <v>456</v>
      </c>
      <c r="B461" s="34" t="s">
        <v>3765</v>
      </c>
      <c r="C461" s="35" t="s">
        <v>3766</v>
      </c>
      <c r="D461" s="36" t="s">
        <v>3767</v>
      </c>
      <c r="E461" s="36" t="s">
        <v>54</v>
      </c>
      <c r="F461" s="34" t="s">
        <v>3768</v>
      </c>
      <c r="G461" s="37" t="s">
        <v>1417</v>
      </c>
      <c r="H461" s="37" t="s">
        <v>187</v>
      </c>
      <c r="I461" s="38" t="s">
        <v>3769</v>
      </c>
      <c r="J461" s="34" t="s">
        <v>41</v>
      </c>
      <c r="K461" s="39" t="s">
        <v>42</v>
      </c>
      <c r="L461" s="120">
        <v>42562</v>
      </c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7" t="s">
        <v>3770</v>
      </c>
      <c r="Y461" s="58" t="s">
        <v>3771</v>
      </c>
      <c r="Z461" s="44" t="s">
        <v>3772</v>
      </c>
      <c r="AA461" s="45">
        <v>44041</v>
      </c>
      <c r="AB461" s="101" t="s">
        <v>30</v>
      </c>
      <c r="AC461" s="36" t="s">
        <v>26</v>
      </c>
      <c r="AD461" s="47" t="s">
        <v>49</v>
      </c>
      <c r="AE461" s="48" t="s">
        <v>49</v>
      </c>
      <c r="AF461" s="48" t="s">
        <v>41</v>
      </c>
      <c r="AG461" s="48" t="s">
        <v>41</v>
      </c>
      <c r="AH461" s="48" t="s">
        <v>41</v>
      </c>
      <c r="AI461" s="48" t="s">
        <v>41</v>
      </c>
      <c r="AJ461" s="49" t="s">
        <v>41</v>
      </c>
      <c r="AK461" s="48" t="s">
        <v>41</v>
      </c>
      <c r="AL461" s="62" t="s">
        <v>4587</v>
      </c>
      <c r="AM461" s="59"/>
      <c r="AN461" s="10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1"/>
    </row>
    <row r="462" spans="1:51" x14ac:dyDescent="0.2">
      <c r="A462" s="33">
        <f t="shared" si="8"/>
        <v>457</v>
      </c>
      <c r="B462" s="34" t="s">
        <v>3773</v>
      </c>
      <c r="C462" s="35" t="s">
        <v>3774</v>
      </c>
      <c r="D462" s="36" t="s">
        <v>3775</v>
      </c>
      <c r="E462" s="36" t="s">
        <v>54</v>
      </c>
      <c r="F462" s="34" t="s">
        <v>3776</v>
      </c>
      <c r="G462" s="37" t="s">
        <v>1417</v>
      </c>
      <c r="H462" s="37" t="s">
        <v>187</v>
      </c>
      <c r="I462" s="38" t="s">
        <v>3777</v>
      </c>
      <c r="J462" s="34" t="s">
        <v>41</v>
      </c>
      <c r="K462" s="39" t="s">
        <v>42</v>
      </c>
      <c r="L462" s="120">
        <v>43227</v>
      </c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42" t="s">
        <v>3778</v>
      </c>
      <c r="Y462" s="69" t="s">
        <v>3779</v>
      </c>
      <c r="Z462" s="44" t="s">
        <v>3780</v>
      </c>
      <c r="AA462" s="45">
        <v>44041</v>
      </c>
      <c r="AB462" s="101" t="s">
        <v>30</v>
      </c>
      <c r="AC462" s="36" t="s">
        <v>26</v>
      </c>
      <c r="AD462" s="47" t="s">
        <v>49</v>
      </c>
      <c r="AE462" s="48" t="s">
        <v>49</v>
      </c>
      <c r="AF462" s="48" t="s">
        <v>49</v>
      </c>
      <c r="AG462" s="48" t="s">
        <v>49</v>
      </c>
      <c r="AH462" s="48" t="s">
        <v>49</v>
      </c>
      <c r="AI462" s="48" t="s">
        <v>41</v>
      </c>
      <c r="AJ462" s="49" t="s">
        <v>41</v>
      </c>
      <c r="AK462" s="48" t="s">
        <v>41</v>
      </c>
      <c r="AL462" s="62" t="s">
        <v>4589</v>
      </c>
      <c r="AM462" s="59"/>
      <c r="AN462" s="117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1"/>
    </row>
    <row r="463" spans="1:51" ht="15" customHeight="1" x14ac:dyDescent="0.2">
      <c r="A463" s="33">
        <f t="shared" si="8"/>
        <v>458</v>
      </c>
      <c r="B463" s="34" t="s">
        <v>3781</v>
      </c>
      <c r="C463" s="35" t="s">
        <v>3782</v>
      </c>
      <c r="D463" s="36" t="s">
        <v>3783</v>
      </c>
      <c r="E463" s="36" t="s">
        <v>54</v>
      </c>
      <c r="F463" s="34" t="s">
        <v>3784</v>
      </c>
      <c r="G463" s="37" t="s">
        <v>323</v>
      </c>
      <c r="H463" s="37" t="s">
        <v>39</v>
      </c>
      <c r="I463" s="38" t="s">
        <v>3785</v>
      </c>
      <c r="J463" s="34" t="s">
        <v>41</v>
      </c>
      <c r="K463" s="39" t="s">
        <v>42</v>
      </c>
      <c r="L463" s="120" t="s">
        <v>3786</v>
      </c>
      <c r="M463" s="56"/>
      <c r="N463" s="56"/>
      <c r="O463" s="56"/>
      <c r="P463" s="56"/>
      <c r="Q463" s="56"/>
      <c r="R463" s="56" t="s">
        <v>44</v>
      </c>
      <c r="S463" s="56"/>
      <c r="T463" s="56"/>
      <c r="U463" s="56"/>
      <c r="V463" s="56"/>
      <c r="W463" s="56"/>
      <c r="X463" s="42" t="s">
        <v>3787</v>
      </c>
      <c r="Y463" s="58" t="s">
        <v>3788</v>
      </c>
      <c r="Z463" s="207" t="s">
        <v>3789</v>
      </c>
      <c r="AA463" s="45">
        <v>44944</v>
      </c>
      <c r="AB463" s="101" t="s">
        <v>30</v>
      </c>
      <c r="AC463" s="36"/>
      <c r="AD463" s="47" t="s">
        <v>49</v>
      </c>
      <c r="AE463" s="48" t="s">
        <v>41</v>
      </c>
      <c r="AF463" s="48" t="s">
        <v>49</v>
      </c>
      <c r="AG463" s="48" t="s">
        <v>49</v>
      </c>
      <c r="AH463" s="48" t="s">
        <v>49</v>
      </c>
      <c r="AI463" s="48" t="s">
        <v>49</v>
      </c>
      <c r="AJ463" s="49" t="s">
        <v>49</v>
      </c>
      <c r="AK463" s="48" t="s">
        <v>49</v>
      </c>
      <c r="AL463" s="65" t="s">
        <v>32</v>
      </c>
      <c r="AM463" s="59"/>
      <c r="AN463" s="10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1"/>
    </row>
    <row r="464" spans="1:51" ht="15" customHeight="1" x14ac:dyDescent="0.2">
      <c r="A464" s="33">
        <f t="shared" si="8"/>
        <v>459</v>
      </c>
      <c r="B464" s="34" t="s">
        <v>3790</v>
      </c>
      <c r="C464" s="35" t="s">
        <v>3791</v>
      </c>
      <c r="D464" s="36" t="s">
        <v>3792</v>
      </c>
      <c r="E464" s="36" t="s">
        <v>241</v>
      </c>
      <c r="F464" s="34" t="s">
        <v>3793</v>
      </c>
      <c r="G464" s="37" t="s">
        <v>252</v>
      </c>
      <c r="H464" s="37" t="s">
        <v>57</v>
      </c>
      <c r="I464" s="34" t="s">
        <v>3794</v>
      </c>
      <c r="J464" s="34" t="s">
        <v>41</v>
      </c>
      <c r="K464" s="39" t="s">
        <v>42</v>
      </c>
      <c r="L464" s="120">
        <v>30353</v>
      </c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2" t="s">
        <v>3795</v>
      </c>
      <c r="Y464" s="43" t="s">
        <v>3796</v>
      </c>
      <c r="Z464" s="119" t="s">
        <v>61</v>
      </c>
      <c r="AA464" s="45">
        <v>34597</v>
      </c>
      <c r="AB464" s="101" t="s">
        <v>30</v>
      </c>
      <c r="AC464" s="36" t="s">
        <v>26</v>
      </c>
      <c r="AD464" s="47" t="s">
        <v>49</v>
      </c>
      <c r="AE464" s="48" t="s">
        <v>49</v>
      </c>
      <c r="AF464" s="48" t="s">
        <v>49</v>
      </c>
      <c r="AG464" s="48" t="s">
        <v>49</v>
      </c>
      <c r="AH464" s="48" t="s">
        <v>49</v>
      </c>
      <c r="AI464" s="48" t="s">
        <v>49</v>
      </c>
      <c r="AJ464" s="49" t="s">
        <v>49</v>
      </c>
      <c r="AK464" s="48" t="s">
        <v>41</v>
      </c>
      <c r="AL464" s="65" t="s">
        <v>148</v>
      </c>
      <c r="AM464" s="59"/>
      <c r="AN464" s="10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1"/>
    </row>
    <row r="465" spans="1:51" ht="15" customHeight="1" x14ac:dyDescent="0.2">
      <c r="A465" s="33">
        <f t="shared" si="8"/>
        <v>460</v>
      </c>
      <c r="B465" s="34" t="s">
        <v>3797</v>
      </c>
      <c r="C465" s="35" t="s">
        <v>3798</v>
      </c>
      <c r="D465" s="36" t="s">
        <v>3799</v>
      </c>
      <c r="E465" s="36" t="s">
        <v>54</v>
      </c>
      <c r="F465" s="34" t="s">
        <v>3800</v>
      </c>
      <c r="G465" s="37" t="s">
        <v>73</v>
      </c>
      <c r="H465" s="37" t="s">
        <v>73</v>
      </c>
      <c r="I465" s="34" t="s">
        <v>3801</v>
      </c>
      <c r="J465" s="38" t="s">
        <v>41</v>
      </c>
      <c r="K465" s="39" t="s">
        <v>42</v>
      </c>
      <c r="L465" s="120">
        <v>33795</v>
      </c>
      <c r="M465" s="56" t="s">
        <v>179</v>
      </c>
      <c r="N465" s="56" t="s">
        <v>341</v>
      </c>
      <c r="O465" s="56" t="s">
        <v>1878</v>
      </c>
      <c r="P465" s="56"/>
      <c r="Q465" s="56"/>
      <c r="R465" s="56"/>
      <c r="S465" s="56"/>
      <c r="T465" s="56"/>
      <c r="U465" s="56" t="s">
        <v>732</v>
      </c>
      <c r="V465" s="56"/>
      <c r="W465" s="56"/>
      <c r="X465" s="42" t="s">
        <v>3802</v>
      </c>
      <c r="Y465" s="69" t="s">
        <v>3803</v>
      </c>
      <c r="Z465" s="44" t="s">
        <v>3804</v>
      </c>
      <c r="AA465" s="45">
        <v>44041</v>
      </c>
      <c r="AB465" s="101" t="s">
        <v>30</v>
      </c>
      <c r="AC465" s="36" t="s">
        <v>26</v>
      </c>
      <c r="AD465" s="47" t="s">
        <v>49</v>
      </c>
      <c r="AE465" s="48" t="s">
        <v>49</v>
      </c>
      <c r="AF465" s="48" t="s">
        <v>49</v>
      </c>
      <c r="AG465" s="48" t="s">
        <v>49</v>
      </c>
      <c r="AH465" s="48" t="s">
        <v>49</v>
      </c>
      <c r="AI465" s="48" t="s">
        <v>49</v>
      </c>
      <c r="AJ465" s="49" t="s">
        <v>41</v>
      </c>
      <c r="AK465" s="48" t="s">
        <v>41</v>
      </c>
      <c r="AL465" s="62" t="s">
        <v>276</v>
      </c>
      <c r="AM465" s="59"/>
      <c r="AN465" s="10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1"/>
    </row>
    <row r="466" spans="1:51" ht="15" customHeight="1" x14ac:dyDescent="0.2">
      <c r="A466" s="33">
        <f t="shared" si="8"/>
        <v>461</v>
      </c>
      <c r="B466" s="34" t="s">
        <v>3805</v>
      </c>
      <c r="C466" s="35" t="s">
        <v>3806</v>
      </c>
      <c r="D466" s="174" t="s">
        <v>3807</v>
      </c>
      <c r="E466" s="36" t="s">
        <v>54</v>
      </c>
      <c r="F466" s="34" t="s">
        <v>3808</v>
      </c>
      <c r="G466" s="37" t="s">
        <v>73</v>
      </c>
      <c r="H466" s="37" t="s">
        <v>73</v>
      </c>
      <c r="I466" s="38" t="s">
        <v>3809</v>
      </c>
      <c r="J466" s="38" t="s">
        <v>41</v>
      </c>
      <c r="K466" s="39" t="s">
        <v>42</v>
      </c>
      <c r="L466" s="120" t="s">
        <v>3810</v>
      </c>
      <c r="M466" s="56"/>
      <c r="N466" s="56"/>
      <c r="O466" s="56"/>
      <c r="P466" s="56"/>
      <c r="Q466" s="56"/>
      <c r="R466" s="56" t="s">
        <v>44</v>
      </c>
      <c r="S466" s="56"/>
      <c r="T466" s="56"/>
      <c r="U466" s="56" t="s">
        <v>732</v>
      </c>
      <c r="V466" s="56"/>
      <c r="W466" s="56"/>
      <c r="X466" s="42" t="s">
        <v>3811</v>
      </c>
      <c r="Y466" s="58" t="s">
        <v>3812</v>
      </c>
      <c r="Z466" s="121"/>
      <c r="AA466" s="45"/>
      <c r="AB466" s="101"/>
      <c r="AC466" s="36"/>
      <c r="AD466" s="47" t="s">
        <v>49</v>
      </c>
      <c r="AE466" s="48" t="s">
        <v>41</v>
      </c>
      <c r="AF466" s="48" t="s">
        <v>49</v>
      </c>
      <c r="AG466" s="48" t="s">
        <v>49</v>
      </c>
      <c r="AH466" s="48" t="s">
        <v>49</v>
      </c>
      <c r="AI466" s="48" t="s">
        <v>49</v>
      </c>
      <c r="AJ466" s="49" t="s">
        <v>49</v>
      </c>
      <c r="AK466" s="48" t="s">
        <v>49</v>
      </c>
      <c r="AL466" s="62" t="s">
        <v>32</v>
      </c>
      <c r="AM466" s="59"/>
      <c r="AN466" s="10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1"/>
    </row>
    <row r="467" spans="1:51" ht="15" customHeight="1" x14ac:dyDescent="0.2">
      <c r="A467" s="33">
        <f t="shared" si="8"/>
        <v>462</v>
      </c>
      <c r="B467" s="34" t="s">
        <v>3813</v>
      </c>
      <c r="C467" s="35" t="s">
        <v>3814</v>
      </c>
      <c r="D467" s="104" t="s">
        <v>3815</v>
      </c>
      <c r="E467" s="36" t="s">
        <v>54</v>
      </c>
      <c r="F467" s="34" t="s">
        <v>3816</v>
      </c>
      <c r="G467" s="37" t="s">
        <v>73</v>
      </c>
      <c r="H467" s="37" t="s">
        <v>73</v>
      </c>
      <c r="I467" s="34" t="s">
        <v>3746</v>
      </c>
      <c r="J467" s="34" t="s">
        <v>41</v>
      </c>
      <c r="K467" s="39" t="s">
        <v>42</v>
      </c>
      <c r="L467" s="99" t="s">
        <v>3817</v>
      </c>
      <c r="M467" s="56"/>
      <c r="N467" s="56"/>
      <c r="O467" s="56"/>
      <c r="P467" s="56"/>
      <c r="Q467" s="56"/>
      <c r="R467" s="56"/>
      <c r="S467" s="56"/>
      <c r="T467" s="56" t="s">
        <v>468</v>
      </c>
      <c r="U467" s="56"/>
      <c r="V467" s="56"/>
      <c r="W467" s="56"/>
      <c r="X467" s="42" t="s">
        <v>3818</v>
      </c>
      <c r="Y467" s="52" t="s">
        <v>3819</v>
      </c>
      <c r="Z467" s="119"/>
      <c r="AA467" s="45">
        <v>45642</v>
      </c>
      <c r="AB467" s="101"/>
      <c r="AC467" s="36" t="s">
        <v>26</v>
      </c>
      <c r="AD467" s="47" t="s">
        <v>49</v>
      </c>
      <c r="AE467" s="48" t="s">
        <v>49</v>
      </c>
      <c r="AF467" s="48" t="s">
        <v>49</v>
      </c>
      <c r="AG467" s="48" t="s">
        <v>49</v>
      </c>
      <c r="AH467" s="48" t="s">
        <v>49</v>
      </c>
      <c r="AI467" s="48" t="s">
        <v>49</v>
      </c>
      <c r="AJ467" s="49" t="s">
        <v>49</v>
      </c>
      <c r="AK467" s="48" t="s">
        <v>41</v>
      </c>
      <c r="AL467" s="65" t="s">
        <v>148</v>
      </c>
      <c r="AM467" s="59"/>
      <c r="AN467" s="10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1"/>
    </row>
    <row r="468" spans="1:51" ht="15" customHeight="1" x14ac:dyDescent="0.2">
      <c r="A468" s="33">
        <f t="shared" si="8"/>
        <v>463</v>
      </c>
      <c r="B468" s="34" t="s">
        <v>3820</v>
      </c>
      <c r="C468" s="35" t="s">
        <v>3821</v>
      </c>
      <c r="D468" s="36" t="s">
        <v>3822</v>
      </c>
      <c r="E468" s="36" t="s">
        <v>54</v>
      </c>
      <c r="F468" s="34" t="s">
        <v>3808</v>
      </c>
      <c r="G468" s="37" t="s">
        <v>73</v>
      </c>
      <c r="H468" s="37" t="s">
        <v>73</v>
      </c>
      <c r="I468" s="34" t="s">
        <v>3823</v>
      </c>
      <c r="J468" s="34" t="s">
        <v>41</v>
      </c>
      <c r="K468" s="39" t="s">
        <v>42</v>
      </c>
      <c r="L468" s="99" t="s">
        <v>3824</v>
      </c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42" t="s">
        <v>3825</v>
      </c>
      <c r="Y468" s="58" t="s">
        <v>3826</v>
      </c>
      <c r="Z468" s="44" t="s">
        <v>3827</v>
      </c>
      <c r="AA468" s="45">
        <v>44041</v>
      </c>
      <c r="AB468" s="101" t="s">
        <v>30</v>
      </c>
      <c r="AC468" s="36" t="s">
        <v>26</v>
      </c>
      <c r="AD468" s="47" t="s">
        <v>49</v>
      </c>
      <c r="AE468" s="48" t="s">
        <v>49</v>
      </c>
      <c r="AF468" s="48" t="s">
        <v>49</v>
      </c>
      <c r="AG468" s="48" t="s">
        <v>49</v>
      </c>
      <c r="AH468" s="48" t="s">
        <v>49</v>
      </c>
      <c r="AI468" s="48" t="s">
        <v>49</v>
      </c>
      <c r="AJ468" s="49" t="s">
        <v>49</v>
      </c>
      <c r="AK468" s="48" t="s">
        <v>49</v>
      </c>
      <c r="AL468" s="62" t="s">
        <v>32</v>
      </c>
      <c r="AM468" s="59"/>
      <c r="AN468" s="10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1"/>
    </row>
    <row r="469" spans="1:51" ht="15" customHeight="1" x14ac:dyDescent="0.2">
      <c r="A469" s="33">
        <f t="shared" si="8"/>
        <v>464</v>
      </c>
      <c r="B469" s="34" t="s">
        <v>3828</v>
      </c>
      <c r="C469" s="35" t="s">
        <v>3829</v>
      </c>
      <c r="D469" s="36" t="s">
        <v>3830</v>
      </c>
      <c r="E469" s="36" t="s">
        <v>54</v>
      </c>
      <c r="F469" s="34" t="s">
        <v>3831</v>
      </c>
      <c r="G469" s="37" t="s">
        <v>176</v>
      </c>
      <c r="H469" s="37" t="s">
        <v>39</v>
      </c>
      <c r="I469" s="38" t="s">
        <v>3832</v>
      </c>
      <c r="J469" s="34" t="s">
        <v>41</v>
      </c>
      <c r="K469" s="39" t="s">
        <v>42</v>
      </c>
      <c r="L469" s="99" t="s">
        <v>3833</v>
      </c>
      <c r="M469" s="56"/>
      <c r="N469" s="56"/>
      <c r="O469" s="56"/>
      <c r="P469" s="56"/>
      <c r="Q469" s="56"/>
      <c r="R469" s="56"/>
      <c r="S469" s="56"/>
      <c r="T469" s="56" t="s">
        <v>732</v>
      </c>
      <c r="U469" s="56"/>
      <c r="V469" s="56"/>
      <c r="W469" s="56"/>
      <c r="X469" s="42" t="s">
        <v>3834</v>
      </c>
      <c r="Y469" s="58" t="s">
        <v>3835</v>
      </c>
      <c r="Z469" s="58"/>
      <c r="AA469" s="58" t="s">
        <v>47</v>
      </c>
      <c r="AB469" s="101"/>
      <c r="AC469" s="36" t="s">
        <v>26</v>
      </c>
      <c r="AD469" s="47" t="s">
        <v>49</v>
      </c>
      <c r="AE469" s="48" t="s">
        <v>49</v>
      </c>
      <c r="AF469" s="48" t="s">
        <v>49</v>
      </c>
      <c r="AG469" s="48" t="s">
        <v>49</v>
      </c>
      <c r="AH469" s="48" t="s">
        <v>49</v>
      </c>
      <c r="AI469" s="48" t="s">
        <v>41</v>
      </c>
      <c r="AJ469" s="49" t="s">
        <v>41</v>
      </c>
      <c r="AK469" s="48" t="s">
        <v>41</v>
      </c>
      <c r="AL469" s="62" t="s">
        <v>4589</v>
      </c>
      <c r="AM469" s="59"/>
      <c r="AN469" s="10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1"/>
    </row>
    <row r="470" spans="1:51" ht="15" customHeight="1" x14ac:dyDescent="0.2">
      <c r="A470" s="33">
        <f t="shared" si="8"/>
        <v>465</v>
      </c>
      <c r="B470" s="34" t="s">
        <v>3836</v>
      </c>
      <c r="C470" s="35" t="s">
        <v>3837</v>
      </c>
      <c r="D470" s="36" t="s">
        <v>3838</v>
      </c>
      <c r="E470" s="36" t="s">
        <v>54</v>
      </c>
      <c r="F470" s="34" t="s">
        <v>3839</v>
      </c>
      <c r="G470" s="37" t="s">
        <v>252</v>
      </c>
      <c r="H470" s="37" t="s">
        <v>57</v>
      </c>
      <c r="I470" s="38" t="s">
        <v>3840</v>
      </c>
      <c r="J470" s="34" t="s">
        <v>41</v>
      </c>
      <c r="K470" s="39" t="s">
        <v>42</v>
      </c>
      <c r="L470" s="120">
        <v>45322</v>
      </c>
      <c r="M470" s="41"/>
      <c r="N470" s="41"/>
      <c r="O470" s="41"/>
      <c r="P470" s="41"/>
      <c r="Q470" s="41"/>
      <c r="R470" s="41"/>
      <c r="S470" s="41"/>
      <c r="T470" s="41"/>
      <c r="U470" s="41" t="s">
        <v>44</v>
      </c>
      <c r="V470" s="41"/>
      <c r="W470" s="41"/>
      <c r="X470" s="42" t="s">
        <v>3841</v>
      </c>
      <c r="Y470" s="58" t="s">
        <v>3842</v>
      </c>
      <c r="Z470" s="121"/>
      <c r="AA470" s="45"/>
      <c r="AB470" s="101"/>
      <c r="AC470" s="36"/>
      <c r="AD470" s="47" t="s">
        <v>49</v>
      </c>
      <c r="AE470" s="48" t="s">
        <v>41</v>
      </c>
      <c r="AF470" s="48" t="s">
        <v>41</v>
      </c>
      <c r="AG470" s="48" t="s">
        <v>41</v>
      </c>
      <c r="AH470" s="48" t="s">
        <v>41</v>
      </c>
      <c r="AI470" s="48" t="s">
        <v>49</v>
      </c>
      <c r="AJ470" s="49" t="s">
        <v>49</v>
      </c>
      <c r="AK470" s="48" t="s">
        <v>49</v>
      </c>
      <c r="AL470" s="65" t="s">
        <v>32</v>
      </c>
      <c r="AM470" s="59"/>
      <c r="AN470" s="117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1"/>
    </row>
    <row r="471" spans="1:51" ht="15" customHeight="1" x14ac:dyDescent="0.2">
      <c r="A471" s="33">
        <f t="shared" si="8"/>
        <v>466</v>
      </c>
      <c r="B471" s="34" t="s">
        <v>3843</v>
      </c>
      <c r="C471" s="35" t="s">
        <v>3844</v>
      </c>
      <c r="D471" s="36" t="s">
        <v>3845</v>
      </c>
      <c r="E471" s="36" t="s">
        <v>54</v>
      </c>
      <c r="F471" s="34" t="s">
        <v>3846</v>
      </c>
      <c r="G471" s="37" t="s">
        <v>360</v>
      </c>
      <c r="H471" s="37" t="s">
        <v>350</v>
      </c>
      <c r="I471" s="34" t="s">
        <v>3847</v>
      </c>
      <c r="J471" s="34"/>
      <c r="K471" s="39" t="s">
        <v>42</v>
      </c>
      <c r="L471" s="99" t="s">
        <v>3848</v>
      </c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2" t="s">
        <v>3849</v>
      </c>
      <c r="Y471" s="52" t="s">
        <v>3850</v>
      </c>
      <c r="Z471" s="44" t="s">
        <v>61</v>
      </c>
      <c r="AA471" s="45">
        <v>37877</v>
      </c>
      <c r="AB471" s="101" t="s">
        <v>30</v>
      </c>
      <c r="AC471" s="36"/>
      <c r="AD471" s="47" t="s">
        <v>49</v>
      </c>
      <c r="AE471" s="48" t="s">
        <v>41</v>
      </c>
      <c r="AF471" s="48" t="s">
        <v>41</v>
      </c>
      <c r="AG471" s="48" t="s">
        <v>41</v>
      </c>
      <c r="AH471" s="48" t="s">
        <v>41</v>
      </c>
      <c r="AI471" s="48" t="s">
        <v>41</v>
      </c>
      <c r="AJ471" s="49" t="s">
        <v>41</v>
      </c>
      <c r="AK471" s="48" t="s">
        <v>41</v>
      </c>
      <c r="AL471" s="65" t="s">
        <v>4590</v>
      </c>
      <c r="AM471" s="59" t="s">
        <v>3851</v>
      </c>
      <c r="AN471" s="117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1"/>
    </row>
    <row r="472" spans="1:51" ht="15" customHeight="1" x14ac:dyDescent="0.2">
      <c r="A472" s="33">
        <f t="shared" si="8"/>
        <v>467</v>
      </c>
      <c r="B472" s="34" t="s">
        <v>3852</v>
      </c>
      <c r="C472" s="35" t="s">
        <v>3853</v>
      </c>
      <c r="D472" s="36" t="s">
        <v>3854</v>
      </c>
      <c r="E472" s="36" t="s">
        <v>54</v>
      </c>
      <c r="F472" s="34" t="s">
        <v>3855</v>
      </c>
      <c r="G472" s="37" t="s">
        <v>73</v>
      </c>
      <c r="H472" s="37" t="s">
        <v>73</v>
      </c>
      <c r="I472" s="34" t="s">
        <v>3856</v>
      </c>
      <c r="J472" s="34" t="s">
        <v>41</v>
      </c>
      <c r="K472" s="39" t="s">
        <v>42</v>
      </c>
      <c r="L472" s="99" t="s">
        <v>3857</v>
      </c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42" t="s">
        <v>3858</v>
      </c>
      <c r="Y472" s="52" t="s">
        <v>3859</v>
      </c>
      <c r="Z472" s="44" t="s">
        <v>61</v>
      </c>
      <c r="AA472" s="45">
        <v>38593</v>
      </c>
      <c r="AB472" s="101" t="s">
        <v>30</v>
      </c>
      <c r="AC472" s="36" t="s">
        <v>26</v>
      </c>
      <c r="AD472" s="47" t="s">
        <v>49</v>
      </c>
      <c r="AE472" s="48" t="s">
        <v>49</v>
      </c>
      <c r="AF472" s="48" t="s">
        <v>49</v>
      </c>
      <c r="AG472" s="48" t="s">
        <v>49</v>
      </c>
      <c r="AH472" s="48" t="s">
        <v>49</v>
      </c>
      <c r="AI472" s="48" t="s">
        <v>41</v>
      </c>
      <c r="AJ472" s="49" t="s">
        <v>41</v>
      </c>
      <c r="AK472" s="48" t="s">
        <v>41</v>
      </c>
      <c r="AL472" s="62" t="s">
        <v>4589</v>
      </c>
      <c r="AM472" s="59"/>
      <c r="AN472" s="10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1"/>
    </row>
    <row r="473" spans="1:51" ht="15" customHeight="1" x14ac:dyDescent="0.2">
      <c r="A473" s="33">
        <f t="shared" si="8"/>
        <v>468</v>
      </c>
      <c r="B473" s="34" t="s">
        <v>3860</v>
      </c>
      <c r="C473" s="35" t="s">
        <v>3861</v>
      </c>
      <c r="D473" s="36" t="s">
        <v>3862</v>
      </c>
      <c r="E473" s="36" t="s">
        <v>54</v>
      </c>
      <c r="F473" s="34" t="s">
        <v>3863</v>
      </c>
      <c r="G473" s="37" t="s">
        <v>176</v>
      </c>
      <c r="H473" s="37" t="s">
        <v>39</v>
      </c>
      <c r="I473" s="34" t="s">
        <v>3864</v>
      </c>
      <c r="J473" s="34" t="s">
        <v>41</v>
      </c>
      <c r="K473" s="39" t="s">
        <v>42</v>
      </c>
      <c r="L473" s="99" t="s">
        <v>3865</v>
      </c>
      <c r="M473" s="56" t="s">
        <v>179</v>
      </c>
      <c r="N473" s="56" t="s">
        <v>179</v>
      </c>
      <c r="O473" s="56"/>
      <c r="P473" s="56">
        <v>2</v>
      </c>
      <c r="Q473" s="56"/>
      <c r="R473" s="56"/>
      <c r="S473" s="56"/>
      <c r="T473" s="56" t="s">
        <v>732</v>
      </c>
      <c r="U473" s="56"/>
      <c r="V473" s="56"/>
      <c r="W473" s="56"/>
      <c r="X473" s="57" t="s">
        <v>3866</v>
      </c>
      <c r="Y473" s="55" t="s">
        <v>3867</v>
      </c>
      <c r="Z473" s="224" t="s">
        <v>3868</v>
      </c>
      <c r="AA473" s="45">
        <v>42325</v>
      </c>
      <c r="AB473" s="101" t="s">
        <v>30</v>
      </c>
      <c r="AC473" s="36" t="s">
        <v>26</v>
      </c>
      <c r="AD473" s="47" t="s">
        <v>49</v>
      </c>
      <c r="AE473" s="48" t="s">
        <v>49</v>
      </c>
      <c r="AF473" s="48" t="s">
        <v>49</v>
      </c>
      <c r="AG473" s="48" t="s">
        <v>49</v>
      </c>
      <c r="AH473" s="48" t="s">
        <v>49</v>
      </c>
      <c r="AI473" s="48" t="s">
        <v>49</v>
      </c>
      <c r="AJ473" s="49" t="s">
        <v>41</v>
      </c>
      <c r="AK473" s="48" t="s">
        <v>41</v>
      </c>
      <c r="AL473" s="62" t="s">
        <v>276</v>
      </c>
      <c r="AM473" s="59"/>
      <c r="AN473" s="10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1"/>
    </row>
    <row r="474" spans="1:51" ht="15" customHeight="1" x14ac:dyDescent="0.2">
      <c r="A474" s="33">
        <f t="shared" si="8"/>
        <v>469</v>
      </c>
      <c r="B474" s="34" t="s">
        <v>3869</v>
      </c>
      <c r="C474" s="35" t="s">
        <v>3870</v>
      </c>
      <c r="D474" s="36" t="s">
        <v>3871</v>
      </c>
      <c r="E474" s="36" t="s">
        <v>54</v>
      </c>
      <c r="F474" s="34" t="s">
        <v>3872</v>
      </c>
      <c r="G474" s="37" t="s">
        <v>252</v>
      </c>
      <c r="H474" s="37" t="s">
        <v>57</v>
      </c>
      <c r="I474" s="38" t="s">
        <v>3873</v>
      </c>
      <c r="J474" s="34" t="s">
        <v>41</v>
      </c>
      <c r="K474" s="39" t="s">
        <v>42</v>
      </c>
      <c r="L474" s="120">
        <v>45322</v>
      </c>
      <c r="M474" s="56"/>
      <c r="N474" s="56"/>
      <c r="O474" s="56"/>
      <c r="P474" s="56"/>
      <c r="Q474" s="56"/>
      <c r="R474" s="56"/>
      <c r="S474" s="56"/>
      <c r="T474" s="56"/>
      <c r="U474" s="56" t="s">
        <v>44</v>
      </c>
      <c r="V474" s="56"/>
      <c r="W474" s="56"/>
      <c r="X474" s="54" t="s">
        <v>3874</v>
      </c>
      <c r="Y474" s="43" t="s">
        <v>3875</v>
      </c>
      <c r="Z474" s="119"/>
      <c r="AA474" s="45"/>
      <c r="AB474" s="101"/>
      <c r="AC474" s="36"/>
      <c r="AD474" s="47" t="s">
        <v>49</v>
      </c>
      <c r="AE474" s="48" t="s">
        <v>41</v>
      </c>
      <c r="AF474" s="48" t="s">
        <v>41</v>
      </c>
      <c r="AG474" s="48" t="s">
        <v>41</v>
      </c>
      <c r="AH474" s="48" t="s">
        <v>41</v>
      </c>
      <c r="AI474" s="48" t="s">
        <v>49</v>
      </c>
      <c r="AJ474" s="49" t="s">
        <v>49</v>
      </c>
      <c r="AK474" s="48" t="s">
        <v>49</v>
      </c>
      <c r="AL474" s="62" t="s">
        <v>32</v>
      </c>
      <c r="AM474" s="59"/>
      <c r="AN474" s="10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1"/>
    </row>
    <row r="475" spans="1:51" ht="15" customHeight="1" x14ac:dyDescent="0.2">
      <c r="A475" s="33">
        <f t="shared" si="8"/>
        <v>470</v>
      </c>
      <c r="B475" s="34" t="s">
        <v>3876</v>
      </c>
      <c r="C475" s="35" t="s">
        <v>3877</v>
      </c>
      <c r="D475" s="36" t="s">
        <v>3878</v>
      </c>
      <c r="E475" s="36" t="s">
        <v>54</v>
      </c>
      <c r="F475" s="34" t="s">
        <v>3879</v>
      </c>
      <c r="G475" s="37" t="s">
        <v>176</v>
      </c>
      <c r="H475" s="37" t="s">
        <v>39</v>
      </c>
      <c r="I475" s="34" t="s">
        <v>3864</v>
      </c>
      <c r="J475" s="34" t="s">
        <v>41</v>
      </c>
      <c r="K475" s="39" t="s">
        <v>42</v>
      </c>
      <c r="L475" s="99" t="s">
        <v>3865</v>
      </c>
      <c r="M475" s="56"/>
      <c r="N475" s="56"/>
      <c r="O475" s="56"/>
      <c r="P475" s="56"/>
      <c r="Q475" s="56"/>
      <c r="R475" s="56"/>
      <c r="S475" s="56"/>
      <c r="T475" s="56" t="s">
        <v>44</v>
      </c>
      <c r="U475" s="56"/>
      <c r="V475" s="56"/>
      <c r="W475" s="56"/>
      <c r="X475" s="42" t="s">
        <v>3880</v>
      </c>
      <c r="Y475" s="43" t="s">
        <v>3881</v>
      </c>
      <c r="Z475" s="207" t="s">
        <v>3882</v>
      </c>
      <c r="AA475" s="45">
        <v>44944</v>
      </c>
      <c r="AB475" s="101" t="s">
        <v>30</v>
      </c>
      <c r="AC475" s="36"/>
      <c r="AD475" s="47" t="s">
        <v>49</v>
      </c>
      <c r="AE475" s="48" t="s">
        <v>41</v>
      </c>
      <c r="AF475" s="48" t="s">
        <v>41</v>
      </c>
      <c r="AG475" s="48" t="s">
        <v>41</v>
      </c>
      <c r="AH475" s="48" t="s">
        <v>49</v>
      </c>
      <c r="AI475" s="48" t="s">
        <v>49</v>
      </c>
      <c r="AJ475" s="49" t="s">
        <v>49</v>
      </c>
      <c r="AK475" s="48" t="s">
        <v>49</v>
      </c>
      <c r="AL475" s="62" t="s">
        <v>32</v>
      </c>
      <c r="AM475" s="59"/>
      <c r="AN475" s="10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1"/>
    </row>
    <row r="476" spans="1:51" x14ac:dyDescent="0.2">
      <c r="A476" s="33">
        <f t="shared" si="8"/>
        <v>471</v>
      </c>
      <c r="B476" s="34" t="s">
        <v>3883</v>
      </c>
      <c r="C476" s="35" t="s">
        <v>3884</v>
      </c>
      <c r="D476" s="36" t="s">
        <v>3885</v>
      </c>
      <c r="E476" s="36" t="s">
        <v>36</v>
      </c>
      <c r="F476" s="34" t="s">
        <v>3886</v>
      </c>
      <c r="G476" s="37" t="s">
        <v>73</v>
      </c>
      <c r="H476" s="37" t="s">
        <v>73</v>
      </c>
      <c r="I476" s="38" t="s">
        <v>3887</v>
      </c>
      <c r="J476" s="38" t="s">
        <v>41</v>
      </c>
      <c r="K476" s="39" t="s">
        <v>42</v>
      </c>
      <c r="L476" s="120" t="s">
        <v>3888</v>
      </c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42" t="s">
        <v>3889</v>
      </c>
      <c r="Y476" s="58" t="s">
        <v>3890</v>
      </c>
      <c r="Z476" s="119" t="s">
        <v>3891</v>
      </c>
      <c r="AA476" s="45">
        <v>43200</v>
      </c>
      <c r="AB476" s="101" t="s">
        <v>30</v>
      </c>
      <c r="AC476" s="36" t="s">
        <v>26</v>
      </c>
      <c r="AD476" s="64" t="s">
        <v>120</v>
      </c>
      <c r="AE476" s="48" t="s">
        <v>120</v>
      </c>
      <c r="AF476" s="48" t="s">
        <v>120</v>
      </c>
      <c r="AG476" s="48" t="s">
        <v>120</v>
      </c>
      <c r="AH476" s="48" t="s">
        <v>120</v>
      </c>
      <c r="AI476" s="48" t="s">
        <v>120</v>
      </c>
      <c r="AJ476" s="49" t="s">
        <v>41</v>
      </c>
      <c r="AK476" s="48" t="s">
        <v>41</v>
      </c>
      <c r="AL476" s="62" t="s">
        <v>276</v>
      </c>
      <c r="AM476" s="59"/>
      <c r="AN476" s="102"/>
      <c r="AO476" s="32"/>
      <c r="AP476" s="32"/>
      <c r="AQ476" s="32"/>
      <c r="AR476" s="32"/>
      <c r="AS476" s="32"/>
      <c r="AT476" s="32"/>
      <c r="AU476" s="220"/>
      <c r="AV476" s="220"/>
      <c r="AW476" s="220"/>
      <c r="AX476" s="220"/>
      <c r="AY476" s="31"/>
    </row>
    <row r="477" spans="1:51" x14ac:dyDescent="0.2">
      <c r="A477" s="33">
        <f t="shared" si="8"/>
        <v>472</v>
      </c>
      <c r="B477" s="34" t="s">
        <v>3892</v>
      </c>
      <c r="C477" s="35" t="s">
        <v>3893</v>
      </c>
      <c r="D477" s="36" t="s">
        <v>3894</v>
      </c>
      <c r="E477" s="36" t="s">
        <v>36</v>
      </c>
      <c r="F477" s="34" t="s">
        <v>3895</v>
      </c>
      <c r="G477" s="37" t="s">
        <v>73</v>
      </c>
      <c r="H477" s="37" t="s">
        <v>73</v>
      </c>
      <c r="I477" s="38" t="s">
        <v>3896</v>
      </c>
      <c r="J477" s="38" t="s">
        <v>41</v>
      </c>
      <c r="K477" s="39" t="s">
        <v>42</v>
      </c>
      <c r="L477" s="120" t="s">
        <v>3897</v>
      </c>
      <c r="M477" s="56"/>
      <c r="N477" s="56"/>
      <c r="O477" s="56"/>
      <c r="P477" s="56"/>
      <c r="Q477" s="56"/>
      <c r="R477" s="56" t="s">
        <v>44</v>
      </c>
      <c r="S477" s="56"/>
      <c r="T477" s="56"/>
      <c r="U477" s="56"/>
      <c r="V477" s="56"/>
      <c r="W477" s="56"/>
      <c r="X477" s="42" t="s">
        <v>3898</v>
      </c>
      <c r="Y477" s="83" t="s">
        <v>3899</v>
      </c>
      <c r="Z477" s="121" t="s">
        <v>3900</v>
      </c>
      <c r="AA477" s="45">
        <v>44650</v>
      </c>
      <c r="AB477" s="101" t="s">
        <v>30</v>
      </c>
      <c r="AC477" s="36"/>
      <c r="AD477" s="61" t="s">
        <v>49</v>
      </c>
      <c r="AE477" s="48" t="s">
        <v>41</v>
      </c>
      <c r="AF477" s="48" t="s">
        <v>49</v>
      </c>
      <c r="AG477" s="48" t="s">
        <v>49</v>
      </c>
      <c r="AH477" s="48" t="s">
        <v>49</v>
      </c>
      <c r="AI477" s="48" t="s">
        <v>41</v>
      </c>
      <c r="AJ477" s="49" t="s">
        <v>41</v>
      </c>
      <c r="AK477" s="48" t="s">
        <v>41</v>
      </c>
      <c r="AL477" s="62" t="s">
        <v>4589</v>
      </c>
      <c r="AM477" s="59"/>
      <c r="AN477" s="117"/>
      <c r="AO477" s="32"/>
      <c r="AP477" s="32"/>
      <c r="AQ477" s="32"/>
      <c r="AR477" s="32"/>
      <c r="AS477" s="32"/>
      <c r="AT477" s="32"/>
      <c r="AU477" s="220"/>
      <c r="AV477" s="220"/>
      <c r="AW477" s="220"/>
      <c r="AX477" s="220"/>
      <c r="AY477" s="31"/>
    </row>
    <row r="478" spans="1:51" x14ac:dyDescent="0.2">
      <c r="A478" s="33">
        <f t="shared" si="8"/>
        <v>473</v>
      </c>
      <c r="B478" s="34" t="s">
        <v>3901</v>
      </c>
      <c r="C478" s="35" t="s">
        <v>3902</v>
      </c>
      <c r="D478" s="36" t="s">
        <v>3903</v>
      </c>
      <c r="E478" s="36" t="s">
        <v>54</v>
      </c>
      <c r="F478" s="34" t="s">
        <v>3904</v>
      </c>
      <c r="G478" s="37" t="s">
        <v>73</v>
      </c>
      <c r="H478" s="37" t="s">
        <v>73</v>
      </c>
      <c r="I478" s="34" t="s">
        <v>3905</v>
      </c>
      <c r="J478" s="34" t="s">
        <v>3906</v>
      </c>
      <c r="K478" s="39" t="s">
        <v>42</v>
      </c>
      <c r="L478" s="120">
        <v>30353</v>
      </c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2" t="s">
        <v>3907</v>
      </c>
      <c r="Y478" s="52" t="s">
        <v>3908</v>
      </c>
      <c r="Z478" s="44" t="s">
        <v>61</v>
      </c>
      <c r="AA478" s="45">
        <v>34597</v>
      </c>
      <c r="AB478" s="101" t="s">
        <v>30</v>
      </c>
      <c r="AC478" s="36" t="s">
        <v>26</v>
      </c>
      <c r="AD478" s="47" t="s">
        <v>49</v>
      </c>
      <c r="AE478" s="48" t="s">
        <v>49</v>
      </c>
      <c r="AF478" s="48" t="s">
        <v>49</v>
      </c>
      <c r="AG478" s="48" t="s">
        <v>49</v>
      </c>
      <c r="AH478" s="48" t="s">
        <v>49</v>
      </c>
      <c r="AI478" s="48" t="s">
        <v>49</v>
      </c>
      <c r="AJ478" s="49" t="s">
        <v>49</v>
      </c>
      <c r="AK478" s="48" t="s">
        <v>41</v>
      </c>
      <c r="AL478" s="65" t="s">
        <v>148</v>
      </c>
      <c r="AM478" s="59"/>
      <c r="AN478" s="102"/>
      <c r="AO478" s="32"/>
      <c r="AP478" s="32"/>
      <c r="AQ478" s="32"/>
      <c r="AR478" s="32"/>
      <c r="AS478" s="32"/>
      <c r="AT478" s="32"/>
      <c r="AU478" s="234"/>
      <c r="AV478" s="234"/>
      <c r="AW478" s="234"/>
      <c r="AX478" s="234"/>
      <c r="AY478" s="31"/>
    </row>
    <row r="479" spans="1:51" x14ac:dyDescent="0.2">
      <c r="A479" s="33">
        <f t="shared" si="8"/>
        <v>474</v>
      </c>
      <c r="B479" s="34" t="s">
        <v>3909</v>
      </c>
      <c r="C479" s="35" t="s">
        <v>3910</v>
      </c>
      <c r="D479" s="36" t="s">
        <v>3911</v>
      </c>
      <c r="E479" s="36" t="s">
        <v>36</v>
      </c>
      <c r="F479" s="34" t="s">
        <v>3912</v>
      </c>
      <c r="G479" s="37" t="s">
        <v>360</v>
      </c>
      <c r="H479" s="37" t="s">
        <v>350</v>
      </c>
      <c r="I479" s="38" t="s">
        <v>3913</v>
      </c>
      <c r="J479" s="38" t="s">
        <v>41</v>
      </c>
      <c r="K479" s="39" t="s">
        <v>42</v>
      </c>
      <c r="L479" s="120">
        <v>42499</v>
      </c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2" t="s">
        <v>3914</v>
      </c>
      <c r="Y479" s="69" t="s">
        <v>3915</v>
      </c>
      <c r="Z479" s="119" t="s">
        <v>3916</v>
      </c>
      <c r="AA479" s="45">
        <v>42935</v>
      </c>
      <c r="AB479" s="101" t="s">
        <v>30</v>
      </c>
      <c r="AC479" s="36" t="s">
        <v>26</v>
      </c>
      <c r="AD479" s="47" t="s">
        <v>49</v>
      </c>
      <c r="AE479" s="48" t="s">
        <v>49</v>
      </c>
      <c r="AF479" s="48" t="s">
        <v>49</v>
      </c>
      <c r="AG479" s="48" t="s">
        <v>49</v>
      </c>
      <c r="AH479" s="48" t="s">
        <v>49</v>
      </c>
      <c r="AI479" s="48" t="s">
        <v>49</v>
      </c>
      <c r="AJ479" s="49" t="s">
        <v>49</v>
      </c>
      <c r="AK479" s="48" t="s">
        <v>49</v>
      </c>
      <c r="AL479" s="62" t="s">
        <v>32</v>
      </c>
      <c r="AM479" s="59"/>
      <c r="AN479" s="10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1"/>
    </row>
    <row r="480" spans="1:51" ht="20.25" customHeight="1" x14ac:dyDescent="0.2">
      <c r="A480" s="33">
        <f t="shared" si="8"/>
        <v>475</v>
      </c>
      <c r="B480" s="34" t="s">
        <v>3917</v>
      </c>
      <c r="C480" s="35" t="s">
        <v>3918</v>
      </c>
      <c r="D480" s="36" t="s">
        <v>3919</v>
      </c>
      <c r="E480" s="36" t="s">
        <v>54</v>
      </c>
      <c r="F480" s="34" t="s">
        <v>3920</v>
      </c>
      <c r="G480" s="37" t="s">
        <v>73</v>
      </c>
      <c r="H480" s="37" t="s">
        <v>73</v>
      </c>
      <c r="I480" s="34" t="s">
        <v>3921</v>
      </c>
      <c r="J480" s="34" t="s">
        <v>3921</v>
      </c>
      <c r="K480" s="39" t="s">
        <v>42</v>
      </c>
      <c r="L480" s="120" t="s">
        <v>3922</v>
      </c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42" t="s">
        <v>3923</v>
      </c>
      <c r="Y480" s="58" t="s">
        <v>3924</v>
      </c>
      <c r="Z480" s="207" t="s">
        <v>3925</v>
      </c>
      <c r="AA480" s="45">
        <v>44944</v>
      </c>
      <c r="AB480" s="101" t="s">
        <v>30</v>
      </c>
      <c r="AC480" s="36" t="s">
        <v>26</v>
      </c>
      <c r="AD480" s="47" t="s">
        <v>49</v>
      </c>
      <c r="AE480" s="48" t="s">
        <v>49</v>
      </c>
      <c r="AF480" s="48" t="s">
        <v>49</v>
      </c>
      <c r="AG480" s="48" t="s">
        <v>49</v>
      </c>
      <c r="AH480" s="48" t="s">
        <v>49</v>
      </c>
      <c r="AI480" s="48" t="s">
        <v>41</v>
      </c>
      <c r="AJ480" s="49" t="s">
        <v>41</v>
      </c>
      <c r="AK480" s="48" t="s">
        <v>41</v>
      </c>
      <c r="AL480" s="62" t="s">
        <v>4589</v>
      </c>
      <c r="AM480" s="59"/>
      <c r="AN480" s="10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1"/>
    </row>
    <row r="481" spans="1:51" x14ac:dyDescent="0.2">
      <c r="A481" s="33">
        <f t="shared" si="8"/>
        <v>476</v>
      </c>
      <c r="B481" s="34" t="s">
        <v>3926</v>
      </c>
      <c r="C481" s="35" t="s">
        <v>3927</v>
      </c>
      <c r="D481" s="36" t="s">
        <v>3928</v>
      </c>
      <c r="E481" s="36" t="s">
        <v>36</v>
      </c>
      <c r="F481" s="34" t="s">
        <v>3929</v>
      </c>
      <c r="G481" s="37" t="s">
        <v>73</v>
      </c>
      <c r="H481" s="37" t="s">
        <v>73</v>
      </c>
      <c r="I481" s="34" t="s">
        <v>3930</v>
      </c>
      <c r="J481" s="34" t="s">
        <v>3931</v>
      </c>
      <c r="K481" s="39" t="s">
        <v>42</v>
      </c>
      <c r="L481" s="99" t="s">
        <v>3932</v>
      </c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42" t="s">
        <v>3933</v>
      </c>
      <c r="Y481" s="52" t="s">
        <v>3934</v>
      </c>
      <c r="Z481" s="44" t="s">
        <v>3935</v>
      </c>
      <c r="AA481" s="45">
        <v>42935</v>
      </c>
      <c r="AB481" s="101" t="s">
        <v>30</v>
      </c>
      <c r="AC481" s="36" t="s">
        <v>26</v>
      </c>
      <c r="AD481" s="64" t="s">
        <v>120</v>
      </c>
      <c r="AE481" s="48" t="s">
        <v>120</v>
      </c>
      <c r="AF481" s="48" t="s">
        <v>120</v>
      </c>
      <c r="AG481" s="48" t="s">
        <v>120</v>
      </c>
      <c r="AH481" s="48" t="s">
        <v>120</v>
      </c>
      <c r="AI481" s="48" t="s">
        <v>120</v>
      </c>
      <c r="AJ481" s="49" t="s">
        <v>120</v>
      </c>
      <c r="AK481" s="48" t="s">
        <v>120</v>
      </c>
      <c r="AL481" s="62" t="s">
        <v>32</v>
      </c>
      <c r="AM481" s="59"/>
      <c r="AN481" s="10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1"/>
    </row>
    <row r="482" spans="1:51" x14ac:dyDescent="0.2">
      <c r="A482" s="33">
        <f t="shared" si="8"/>
        <v>477</v>
      </c>
      <c r="B482" s="34" t="s">
        <v>3936</v>
      </c>
      <c r="C482" s="35" t="s">
        <v>3937</v>
      </c>
      <c r="D482" s="36" t="s">
        <v>2845</v>
      </c>
      <c r="E482" s="36" t="s">
        <v>54</v>
      </c>
      <c r="F482" s="34" t="s">
        <v>3938</v>
      </c>
      <c r="G482" s="37" t="s">
        <v>73</v>
      </c>
      <c r="H482" s="37" t="s">
        <v>73</v>
      </c>
      <c r="I482" s="34" t="s">
        <v>3939</v>
      </c>
      <c r="J482" s="34" t="s">
        <v>3940</v>
      </c>
      <c r="K482" s="39" t="s">
        <v>42</v>
      </c>
      <c r="L482" s="159" t="s">
        <v>3941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42" t="s">
        <v>3942</v>
      </c>
      <c r="Y482" s="52" t="s">
        <v>3943</v>
      </c>
      <c r="Z482" s="44" t="s">
        <v>3944</v>
      </c>
      <c r="AA482" s="45">
        <v>42935</v>
      </c>
      <c r="AB482" s="160" t="s">
        <v>30</v>
      </c>
      <c r="AC482" s="36" t="s">
        <v>26</v>
      </c>
      <c r="AD482" s="47" t="s">
        <v>49</v>
      </c>
      <c r="AE482" s="48" t="s">
        <v>49</v>
      </c>
      <c r="AF482" s="48" t="s">
        <v>49</v>
      </c>
      <c r="AG482" s="48" t="s">
        <v>49</v>
      </c>
      <c r="AH482" s="48" t="s">
        <v>49</v>
      </c>
      <c r="AI482" s="48" t="s">
        <v>49</v>
      </c>
      <c r="AJ482" s="49" t="s">
        <v>41</v>
      </c>
      <c r="AK482" s="48" t="s">
        <v>41</v>
      </c>
      <c r="AL482" s="62" t="s">
        <v>276</v>
      </c>
      <c r="AM482" s="59"/>
      <c r="AN482" s="10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1"/>
    </row>
    <row r="483" spans="1:51" x14ac:dyDescent="0.2">
      <c r="A483" s="33">
        <f t="shared" si="8"/>
        <v>478</v>
      </c>
      <c r="B483" s="34" t="s">
        <v>3945</v>
      </c>
      <c r="C483" s="35" t="s">
        <v>3946</v>
      </c>
      <c r="D483" s="73" t="s">
        <v>3947</v>
      </c>
      <c r="E483" s="36" t="s">
        <v>54</v>
      </c>
      <c r="F483" s="98" t="s">
        <v>3948</v>
      </c>
      <c r="G483" s="37" t="s">
        <v>73</v>
      </c>
      <c r="H483" s="37" t="s">
        <v>73</v>
      </c>
      <c r="I483" s="38" t="s">
        <v>3949</v>
      </c>
      <c r="J483" s="38" t="s">
        <v>41</v>
      </c>
      <c r="K483" s="39" t="s">
        <v>42</v>
      </c>
      <c r="L483" s="235" t="s">
        <v>3950</v>
      </c>
      <c r="M483" s="68"/>
      <c r="N483" s="68"/>
      <c r="O483" s="68"/>
      <c r="P483" s="68"/>
      <c r="Q483" s="68"/>
      <c r="R483" s="68" t="s">
        <v>44</v>
      </c>
      <c r="S483" s="68"/>
      <c r="T483" s="68"/>
      <c r="U483" s="68"/>
      <c r="V483" s="68"/>
      <c r="W483" s="68"/>
      <c r="X483" s="42" t="s">
        <v>3951</v>
      </c>
      <c r="Y483" s="58" t="s">
        <v>3952</v>
      </c>
      <c r="Z483" s="84" t="s">
        <v>3953</v>
      </c>
      <c r="AA483" s="45">
        <v>44650</v>
      </c>
      <c r="AB483" s="160" t="s">
        <v>30</v>
      </c>
      <c r="AC483" s="73"/>
      <c r="AD483" s="47" t="s">
        <v>49</v>
      </c>
      <c r="AE483" s="48" t="s">
        <v>41</v>
      </c>
      <c r="AF483" s="48" t="s">
        <v>49</v>
      </c>
      <c r="AG483" s="48" t="s">
        <v>41</v>
      </c>
      <c r="AH483" s="48" t="s">
        <v>41</v>
      </c>
      <c r="AI483" s="48" t="s">
        <v>41</v>
      </c>
      <c r="AJ483" s="49" t="s">
        <v>41</v>
      </c>
      <c r="AK483" s="48" t="s">
        <v>41</v>
      </c>
      <c r="AL483" s="62" t="s">
        <v>110</v>
      </c>
      <c r="AM483" s="59"/>
      <c r="AN483" s="10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1"/>
    </row>
    <row r="484" spans="1:51" x14ac:dyDescent="0.2">
      <c r="A484" s="33">
        <f t="shared" si="8"/>
        <v>479</v>
      </c>
      <c r="B484" s="34" t="s">
        <v>3954</v>
      </c>
      <c r="C484" s="35" t="s">
        <v>3955</v>
      </c>
      <c r="D484" s="73" t="s">
        <v>3956</v>
      </c>
      <c r="E484" s="36" t="s">
        <v>54</v>
      </c>
      <c r="F484" s="98" t="s">
        <v>3957</v>
      </c>
      <c r="G484" s="37" t="s">
        <v>73</v>
      </c>
      <c r="H484" s="37" t="s">
        <v>73</v>
      </c>
      <c r="I484" s="38" t="s">
        <v>3958</v>
      </c>
      <c r="J484" s="38" t="s">
        <v>41</v>
      </c>
      <c r="K484" s="39" t="s">
        <v>42</v>
      </c>
      <c r="L484" s="159" t="s">
        <v>3959</v>
      </c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42" t="s">
        <v>3960</v>
      </c>
      <c r="Y484" s="58" t="s">
        <v>3961</v>
      </c>
      <c r="Z484" s="119" t="s">
        <v>3962</v>
      </c>
      <c r="AA484" s="45">
        <v>42325</v>
      </c>
      <c r="AB484" s="160" t="s">
        <v>30</v>
      </c>
      <c r="AC484" s="73"/>
      <c r="AD484" s="47" t="s">
        <v>49</v>
      </c>
      <c r="AE484" s="48" t="s">
        <v>41</v>
      </c>
      <c r="AF484" s="48" t="s">
        <v>41</v>
      </c>
      <c r="AG484" s="48" t="s">
        <v>41</v>
      </c>
      <c r="AH484" s="48" t="s">
        <v>41</v>
      </c>
      <c r="AI484" s="48" t="s">
        <v>41</v>
      </c>
      <c r="AJ484" s="49" t="s">
        <v>41</v>
      </c>
      <c r="AK484" s="48" t="s">
        <v>41</v>
      </c>
      <c r="AL484" s="65" t="s">
        <v>4588</v>
      </c>
      <c r="AM484" s="59"/>
      <c r="AN484" s="10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1"/>
    </row>
    <row r="485" spans="1:51" x14ac:dyDescent="0.2">
      <c r="A485" s="33">
        <f t="shared" si="8"/>
        <v>480</v>
      </c>
      <c r="B485" s="34" t="s">
        <v>3963</v>
      </c>
      <c r="C485" s="35" t="s">
        <v>3964</v>
      </c>
      <c r="D485" s="36" t="s">
        <v>3965</v>
      </c>
      <c r="E485" s="36" t="s">
        <v>54</v>
      </c>
      <c r="F485" s="98" t="s">
        <v>3966</v>
      </c>
      <c r="G485" s="37" t="s">
        <v>1354</v>
      </c>
      <c r="H485" s="37" t="s">
        <v>57</v>
      </c>
      <c r="I485" s="38" t="s">
        <v>3967</v>
      </c>
      <c r="J485" s="38" t="s">
        <v>41</v>
      </c>
      <c r="K485" s="39" t="s">
        <v>42</v>
      </c>
      <c r="L485" s="161">
        <v>44198</v>
      </c>
      <c r="M485" s="68"/>
      <c r="N485" s="68"/>
      <c r="O485" s="68"/>
      <c r="P485" s="68"/>
      <c r="Q485" s="68"/>
      <c r="R485" s="68" t="s">
        <v>44</v>
      </c>
      <c r="S485" s="68"/>
      <c r="T485" s="68"/>
      <c r="U485" s="68"/>
      <c r="V485" s="68"/>
      <c r="W485" s="68"/>
      <c r="X485" s="42" t="s">
        <v>3968</v>
      </c>
      <c r="Y485" s="58" t="s">
        <v>3969</v>
      </c>
      <c r="Z485" s="121" t="s">
        <v>3970</v>
      </c>
      <c r="AA485" s="45">
        <v>44650</v>
      </c>
      <c r="AB485" s="160" t="s">
        <v>30</v>
      </c>
      <c r="AC485" s="73"/>
      <c r="AD485" s="47" t="s">
        <v>49</v>
      </c>
      <c r="AE485" s="48" t="s">
        <v>41</v>
      </c>
      <c r="AF485" s="48" t="s">
        <v>49</v>
      </c>
      <c r="AG485" s="48" t="s">
        <v>49</v>
      </c>
      <c r="AH485" s="48" t="s">
        <v>49</v>
      </c>
      <c r="AI485" s="48" t="s">
        <v>49</v>
      </c>
      <c r="AJ485" s="49" t="s">
        <v>41</v>
      </c>
      <c r="AK485" s="48" t="s">
        <v>41</v>
      </c>
      <c r="AL485" s="62" t="s">
        <v>276</v>
      </c>
      <c r="AM485" s="59"/>
      <c r="AN485" s="10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1"/>
    </row>
    <row r="486" spans="1:51" x14ac:dyDescent="0.2">
      <c r="A486" s="33">
        <f t="shared" si="8"/>
        <v>481</v>
      </c>
      <c r="B486" s="34" t="s">
        <v>3971</v>
      </c>
      <c r="C486" s="35" t="s">
        <v>3972</v>
      </c>
      <c r="D486" s="36" t="s">
        <v>3973</v>
      </c>
      <c r="E486" s="36" t="s">
        <v>54</v>
      </c>
      <c r="F486" s="98" t="s">
        <v>3974</v>
      </c>
      <c r="G486" s="37" t="s">
        <v>377</v>
      </c>
      <c r="H486" s="37" t="s">
        <v>378</v>
      </c>
      <c r="I486" s="38" t="s">
        <v>3975</v>
      </c>
      <c r="J486" s="38" t="s">
        <v>41</v>
      </c>
      <c r="K486" s="39" t="s">
        <v>42</v>
      </c>
      <c r="L486" s="120" t="s">
        <v>3976</v>
      </c>
      <c r="M486" s="56"/>
      <c r="N486" s="56"/>
      <c r="O486" s="56"/>
      <c r="P486" s="56"/>
      <c r="Q486" s="56"/>
      <c r="R486" s="56"/>
      <c r="S486" s="56"/>
      <c r="T486" s="56" t="s">
        <v>44</v>
      </c>
      <c r="U486" s="56"/>
      <c r="V486" s="56"/>
      <c r="W486" s="56"/>
      <c r="X486" s="42" t="s">
        <v>3977</v>
      </c>
      <c r="Y486" s="58" t="s">
        <v>3978</v>
      </c>
      <c r="Z486" s="58"/>
      <c r="AA486" s="45">
        <v>45642</v>
      </c>
      <c r="AB486" s="101"/>
      <c r="AC486" s="73"/>
      <c r="AD486" s="47" t="s">
        <v>49</v>
      </c>
      <c r="AE486" s="48" t="s">
        <v>41</v>
      </c>
      <c r="AF486" s="48" t="s">
        <v>41</v>
      </c>
      <c r="AG486" s="48" t="s">
        <v>41</v>
      </c>
      <c r="AH486" s="48" t="s">
        <v>49</v>
      </c>
      <c r="AI486" s="48" t="s">
        <v>49</v>
      </c>
      <c r="AJ486" s="49" t="s">
        <v>49</v>
      </c>
      <c r="AK486" s="48" t="s">
        <v>41</v>
      </c>
      <c r="AL486" s="62" t="s">
        <v>148</v>
      </c>
      <c r="AM486" s="59"/>
      <c r="AN486" s="10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1"/>
    </row>
    <row r="487" spans="1:51" x14ac:dyDescent="0.2">
      <c r="A487" s="33">
        <f t="shared" si="8"/>
        <v>482</v>
      </c>
      <c r="B487" s="34" t="s">
        <v>3979</v>
      </c>
      <c r="C487" s="35" t="s">
        <v>3980</v>
      </c>
      <c r="D487" s="36" t="s">
        <v>3981</v>
      </c>
      <c r="E487" s="36" t="s">
        <v>54</v>
      </c>
      <c r="F487" s="34" t="s">
        <v>3982</v>
      </c>
      <c r="G487" s="37" t="s">
        <v>73</v>
      </c>
      <c r="H487" s="37" t="s">
        <v>73</v>
      </c>
      <c r="I487" s="34" t="s">
        <v>3983</v>
      </c>
      <c r="J487" s="236" t="s">
        <v>3984</v>
      </c>
      <c r="K487" s="39" t="s">
        <v>42</v>
      </c>
      <c r="L487" s="99" t="s">
        <v>3985</v>
      </c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42" t="s">
        <v>3986</v>
      </c>
      <c r="Y487" s="43" t="s">
        <v>3987</v>
      </c>
      <c r="Z487" s="119" t="s">
        <v>3988</v>
      </c>
      <c r="AA487" s="45">
        <v>41793</v>
      </c>
      <c r="AB487" s="101" t="s">
        <v>30</v>
      </c>
      <c r="AC487" s="36" t="s">
        <v>26</v>
      </c>
      <c r="AD487" s="47" t="s">
        <v>49</v>
      </c>
      <c r="AE487" s="48" t="s">
        <v>49</v>
      </c>
      <c r="AF487" s="48" t="s">
        <v>49</v>
      </c>
      <c r="AG487" s="48" t="s">
        <v>49</v>
      </c>
      <c r="AH487" s="48" t="s">
        <v>41</v>
      </c>
      <c r="AI487" s="48" t="s">
        <v>41</v>
      </c>
      <c r="AJ487" s="49" t="s">
        <v>41</v>
      </c>
      <c r="AK487" s="48" t="s">
        <v>41</v>
      </c>
      <c r="AL487" s="62" t="s">
        <v>139</v>
      </c>
      <c r="AM487" s="59"/>
      <c r="AN487" s="10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1"/>
    </row>
    <row r="488" spans="1:51" x14ac:dyDescent="0.2">
      <c r="A488" s="33">
        <f t="shared" si="8"/>
        <v>483</v>
      </c>
      <c r="B488" s="34" t="s">
        <v>3989</v>
      </c>
      <c r="C488" s="35" t="s">
        <v>3990</v>
      </c>
      <c r="D488" s="36" t="s">
        <v>3991</v>
      </c>
      <c r="E488" s="36" t="s">
        <v>54</v>
      </c>
      <c r="F488" s="98" t="s">
        <v>3992</v>
      </c>
      <c r="G488" s="37" t="s">
        <v>205</v>
      </c>
      <c r="H488" s="37" t="s">
        <v>205</v>
      </c>
      <c r="I488" s="38" t="s">
        <v>3993</v>
      </c>
      <c r="J488" s="34" t="s">
        <v>41</v>
      </c>
      <c r="K488" s="39" t="s">
        <v>42</v>
      </c>
      <c r="L488" s="99" t="s">
        <v>3994</v>
      </c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42" t="s">
        <v>3995</v>
      </c>
      <c r="Y488" s="52" t="s">
        <v>3996</v>
      </c>
      <c r="Z488" s="44" t="s">
        <v>3997</v>
      </c>
      <c r="AA488" s="45">
        <v>41793</v>
      </c>
      <c r="AB488" s="101" t="s">
        <v>30</v>
      </c>
      <c r="AC488" s="36" t="s">
        <v>26</v>
      </c>
      <c r="AD488" s="47" t="s">
        <v>49</v>
      </c>
      <c r="AE488" s="48" t="s">
        <v>49</v>
      </c>
      <c r="AF488" s="48" t="s">
        <v>49</v>
      </c>
      <c r="AG488" s="48" t="s">
        <v>49</v>
      </c>
      <c r="AH488" s="48" t="s">
        <v>49</v>
      </c>
      <c r="AI488" s="48" t="s">
        <v>49</v>
      </c>
      <c r="AJ488" s="49" t="s">
        <v>41</v>
      </c>
      <c r="AK488" s="48" t="s">
        <v>41</v>
      </c>
      <c r="AL488" s="62" t="s">
        <v>276</v>
      </c>
      <c r="AM488" s="59"/>
      <c r="AN488" s="10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1"/>
    </row>
    <row r="489" spans="1:51" x14ac:dyDescent="0.2">
      <c r="A489" s="33">
        <f t="shared" si="8"/>
        <v>484</v>
      </c>
      <c r="B489" s="34" t="s">
        <v>3998</v>
      </c>
      <c r="C489" s="35" t="s">
        <v>3999</v>
      </c>
      <c r="D489" s="36" t="s">
        <v>4000</v>
      </c>
      <c r="E489" s="36" t="s">
        <v>54</v>
      </c>
      <c r="F489" s="98" t="s">
        <v>4001</v>
      </c>
      <c r="G489" s="37" t="s">
        <v>73</v>
      </c>
      <c r="H489" s="37" t="s">
        <v>73</v>
      </c>
      <c r="I489" s="38" t="s">
        <v>4002</v>
      </c>
      <c r="J489" s="107" t="s">
        <v>41</v>
      </c>
      <c r="K489" s="39" t="s">
        <v>42</v>
      </c>
      <c r="L489" s="99" t="s">
        <v>4003</v>
      </c>
      <c r="M489" s="56"/>
      <c r="N489" s="56"/>
      <c r="O489" s="56"/>
      <c r="P489" s="56"/>
      <c r="Q489" s="56"/>
      <c r="R489" s="56"/>
      <c r="S489" s="56" t="s">
        <v>44</v>
      </c>
      <c r="T489" s="56"/>
      <c r="U489" s="56"/>
      <c r="V489" s="56"/>
      <c r="W489" s="56"/>
      <c r="X489" s="42" t="s">
        <v>4004</v>
      </c>
      <c r="Y489" s="43" t="s">
        <v>4005</v>
      </c>
      <c r="Z489" s="121" t="s">
        <v>4006</v>
      </c>
      <c r="AA489" s="45">
        <v>44650</v>
      </c>
      <c r="AB489" s="101" t="s">
        <v>30</v>
      </c>
      <c r="AC489" s="36"/>
      <c r="AD489" s="47" t="s">
        <v>49</v>
      </c>
      <c r="AE489" s="48" t="s">
        <v>41</v>
      </c>
      <c r="AF489" s="48" t="s">
        <v>41</v>
      </c>
      <c r="AG489" s="48" t="s">
        <v>49</v>
      </c>
      <c r="AH489" s="48" t="s">
        <v>49</v>
      </c>
      <c r="AI489" s="48" t="s">
        <v>49</v>
      </c>
      <c r="AJ489" s="49" t="s">
        <v>49</v>
      </c>
      <c r="AK489" s="48" t="s">
        <v>49</v>
      </c>
      <c r="AL489" s="65" t="s">
        <v>32</v>
      </c>
      <c r="AM489" s="59"/>
      <c r="AN489" s="10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1"/>
    </row>
    <row r="490" spans="1:51" x14ac:dyDescent="0.2">
      <c r="A490" s="33">
        <f t="shared" si="8"/>
        <v>485</v>
      </c>
      <c r="B490" s="34" t="s">
        <v>4007</v>
      </c>
      <c r="C490" s="35" t="s">
        <v>4008</v>
      </c>
      <c r="D490" s="73" t="s">
        <v>4009</v>
      </c>
      <c r="E490" s="36" t="s">
        <v>54</v>
      </c>
      <c r="F490" s="98" t="s">
        <v>4010</v>
      </c>
      <c r="G490" s="37" t="s">
        <v>73</v>
      </c>
      <c r="H490" s="37" t="s">
        <v>73</v>
      </c>
      <c r="I490" s="34" t="s">
        <v>4011</v>
      </c>
      <c r="J490" s="34" t="s">
        <v>41</v>
      </c>
      <c r="K490" s="39" t="s">
        <v>42</v>
      </c>
      <c r="L490" s="163" t="s">
        <v>4012</v>
      </c>
      <c r="M490" s="130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42" t="s">
        <v>4013</v>
      </c>
      <c r="Y490" s="52" t="s">
        <v>4014</v>
      </c>
      <c r="Z490" s="44" t="s">
        <v>4015</v>
      </c>
      <c r="AA490" s="45">
        <v>42935</v>
      </c>
      <c r="AB490" s="164" t="s">
        <v>30</v>
      </c>
      <c r="AC490" s="73" t="s">
        <v>26</v>
      </c>
      <c r="AD490" s="47" t="s">
        <v>49</v>
      </c>
      <c r="AE490" s="48" t="s">
        <v>49</v>
      </c>
      <c r="AF490" s="48" t="s">
        <v>49</v>
      </c>
      <c r="AG490" s="48" t="s">
        <v>49</v>
      </c>
      <c r="AH490" s="48" t="s">
        <v>49</v>
      </c>
      <c r="AI490" s="48" t="s">
        <v>49</v>
      </c>
      <c r="AJ490" s="49" t="s">
        <v>49</v>
      </c>
      <c r="AK490" s="48" t="s">
        <v>41</v>
      </c>
      <c r="AL490" s="62" t="s">
        <v>148</v>
      </c>
      <c r="AM490" s="59"/>
      <c r="AN490" s="10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1"/>
    </row>
    <row r="491" spans="1:51" x14ac:dyDescent="0.2">
      <c r="A491" s="33">
        <f t="shared" si="8"/>
        <v>486</v>
      </c>
      <c r="B491" s="34" t="s">
        <v>4016</v>
      </c>
      <c r="C491" s="35" t="s">
        <v>4017</v>
      </c>
      <c r="D491" s="73" t="s">
        <v>4018</v>
      </c>
      <c r="E491" s="36" t="s">
        <v>36</v>
      </c>
      <c r="F491" s="34" t="s">
        <v>4019</v>
      </c>
      <c r="G491" s="37" t="s">
        <v>205</v>
      </c>
      <c r="H491" s="37" t="s">
        <v>205</v>
      </c>
      <c r="I491" s="34" t="s">
        <v>4020</v>
      </c>
      <c r="J491" s="34" t="s">
        <v>4021</v>
      </c>
      <c r="K491" s="39" t="s">
        <v>42</v>
      </c>
      <c r="L491" s="165">
        <v>40706</v>
      </c>
      <c r="M491" s="188"/>
      <c r="N491" s="112"/>
      <c r="O491" s="112"/>
      <c r="P491" s="112"/>
      <c r="Q491" s="112"/>
      <c r="R491" s="41"/>
      <c r="S491" s="41"/>
      <c r="T491" s="41"/>
      <c r="U491" s="41"/>
      <c r="V491" s="41"/>
      <c r="W491" s="41"/>
      <c r="X491" s="57" t="s">
        <v>4022</v>
      </c>
      <c r="Y491" s="58" t="s">
        <v>4023</v>
      </c>
      <c r="Z491" s="44" t="s">
        <v>4024</v>
      </c>
      <c r="AA491" s="45">
        <v>41793</v>
      </c>
      <c r="AB491" s="164" t="s">
        <v>30</v>
      </c>
      <c r="AC491" s="73"/>
      <c r="AD491" s="47" t="s">
        <v>49</v>
      </c>
      <c r="AE491" s="48" t="s">
        <v>41</v>
      </c>
      <c r="AF491" s="48" t="s">
        <v>41</v>
      </c>
      <c r="AG491" s="48" t="s">
        <v>41</v>
      </c>
      <c r="AH491" s="48" t="s">
        <v>41</v>
      </c>
      <c r="AI491" s="48" t="s">
        <v>41</v>
      </c>
      <c r="AJ491" s="49" t="s">
        <v>41</v>
      </c>
      <c r="AK491" s="48" t="s">
        <v>41</v>
      </c>
      <c r="AL491" s="65" t="s">
        <v>4588</v>
      </c>
      <c r="AM491" s="59"/>
      <c r="AN491" s="117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1"/>
    </row>
    <row r="492" spans="1:51" x14ac:dyDescent="0.2">
      <c r="A492" s="33">
        <f t="shared" si="8"/>
        <v>487</v>
      </c>
      <c r="B492" s="34" t="s">
        <v>4025</v>
      </c>
      <c r="C492" s="35" t="s">
        <v>4026</v>
      </c>
      <c r="D492" s="73" t="s">
        <v>4027</v>
      </c>
      <c r="E492" s="36" t="s">
        <v>54</v>
      </c>
      <c r="F492" s="34" t="s">
        <v>4028</v>
      </c>
      <c r="G492" s="37" t="s">
        <v>360</v>
      </c>
      <c r="H492" s="37" t="s">
        <v>350</v>
      </c>
      <c r="I492" s="38" t="s">
        <v>4029</v>
      </c>
      <c r="J492" s="34" t="s">
        <v>41</v>
      </c>
      <c r="K492" s="39" t="s">
        <v>42</v>
      </c>
      <c r="L492" s="120" t="s">
        <v>4030</v>
      </c>
      <c r="M492" s="41"/>
      <c r="N492" s="41"/>
      <c r="O492" s="41"/>
      <c r="P492" s="41"/>
      <c r="Q492" s="41"/>
      <c r="R492" s="41"/>
      <c r="S492" s="41"/>
      <c r="T492" s="41" t="s">
        <v>44</v>
      </c>
      <c r="U492" s="41"/>
      <c r="V492" s="41"/>
      <c r="W492" s="41"/>
      <c r="X492" s="54" t="s">
        <v>4031</v>
      </c>
      <c r="Y492" s="58" t="s">
        <v>4032</v>
      </c>
      <c r="Z492" s="44"/>
      <c r="AA492" s="45">
        <v>45642</v>
      </c>
      <c r="AB492" s="101"/>
      <c r="AC492" s="73"/>
      <c r="AD492" s="47" t="s">
        <v>49</v>
      </c>
      <c r="AE492" s="48" t="s">
        <v>41</v>
      </c>
      <c r="AF492" s="48" t="s">
        <v>41</v>
      </c>
      <c r="AG492" s="48" t="s">
        <v>41</v>
      </c>
      <c r="AH492" s="48" t="s">
        <v>49</v>
      </c>
      <c r="AI492" s="48" t="s">
        <v>49</v>
      </c>
      <c r="AJ492" s="49" t="s">
        <v>49</v>
      </c>
      <c r="AK492" s="48" t="s">
        <v>49</v>
      </c>
      <c r="AL492" s="62" t="s">
        <v>32</v>
      </c>
      <c r="AM492" s="59"/>
      <c r="AN492" s="10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1"/>
    </row>
    <row r="493" spans="1:51" x14ac:dyDescent="0.2">
      <c r="A493" s="33">
        <f t="shared" si="8"/>
        <v>488</v>
      </c>
      <c r="B493" s="34" t="s">
        <v>4033</v>
      </c>
      <c r="C493" s="35" t="s">
        <v>4034</v>
      </c>
      <c r="D493" s="36" t="s">
        <v>4035</v>
      </c>
      <c r="E493" s="36" t="s">
        <v>54</v>
      </c>
      <c r="F493" s="34" t="s">
        <v>4036</v>
      </c>
      <c r="G493" s="37" t="s">
        <v>39</v>
      </c>
      <c r="H493" s="37" t="s">
        <v>39</v>
      </c>
      <c r="I493" s="34" t="s">
        <v>4037</v>
      </c>
      <c r="J493" s="38" t="s">
        <v>4038</v>
      </c>
      <c r="K493" s="39" t="s">
        <v>42</v>
      </c>
      <c r="L493" s="120">
        <v>41924</v>
      </c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42" t="s">
        <v>4039</v>
      </c>
      <c r="Y493" s="83" t="s">
        <v>4040</v>
      </c>
      <c r="Z493" s="44" t="s">
        <v>4041</v>
      </c>
      <c r="AA493" s="45">
        <v>42325</v>
      </c>
      <c r="AB493" s="101" t="s">
        <v>30</v>
      </c>
      <c r="AC493" s="36" t="s">
        <v>26</v>
      </c>
      <c r="AD493" s="47" t="s">
        <v>49</v>
      </c>
      <c r="AE493" s="48" t="s">
        <v>49</v>
      </c>
      <c r="AF493" s="48" t="s">
        <v>49</v>
      </c>
      <c r="AG493" s="48" t="s">
        <v>49</v>
      </c>
      <c r="AH493" s="48" t="s">
        <v>49</v>
      </c>
      <c r="AI493" s="48" t="s">
        <v>49</v>
      </c>
      <c r="AJ493" s="49" t="s">
        <v>49</v>
      </c>
      <c r="AK493" s="48" t="s">
        <v>49</v>
      </c>
      <c r="AL493" s="62" t="s">
        <v>32</v>
      </c>
      <c r="AM493" s="59"/>
      <c r="AN493" s="10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1"/>
    </row>
    <row r="494" spans="1:51" x14ac:dyDescent="0.2">
      <c r="A494" s="33">
        <f t="shared" si="8"/>
        <v>489</v>
      </c>
      <c r="B494" s="34" t="s">
        <v>4042</v>
      </c>
      <c r="C494" s="35" t="s">
        <v>4043</v>
      </c>
      <c r="D494" s="36" t="s">
        <v>4044</v>
      </c>
      <c r="E494" s="36" t="s">
        <v>54</v>
      </c>
      <c r="F494" s="34" t="s">
        <v>4045</v>
      </c>
      <c r="G494" s="37" t="s">
        <v>73</v>
      </c>
      <c r="H494" s="37" t="s">
        <v>73</v>
      </c>
      <c r="I494" s="34" t="s">
        <v>3939</v>
      </c>
      <c r="J494" s="34" t="s">
        <v>4046</v>
      </c>
      <c r="K494" s="39" t="s">
        <v>42</v>
      </c>
      <c r="L494" s="120">
        <v>34761</v>
      </c>
      <c r="M494" s="41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42" t="s">
        <v>4047</v>
      </c>
      <c r="Y494" s="69" t="s">
        <v>4048</v>
      </c>
      <c r="Z494" s="44" t="s">
        <v>4049</v>
      </c>
      <c r="AA494" s="45">
        <v>42325</v>
      </c>
      <c r="AB494" s="101" t="s">
        <v>30</v>
      </c>
      <c r="AC494" s="36" t="s">
        <v>26</v>
      </c>
      <c r="AD494" s="47" t="s">
        <v>49</v>
      </c>
      <c r="AE494" s="48" t="s">
        <v>49</v>
      </c>
      <c r="AF494" s="48" t="s">
        <v>49</v>
      </c>
      <c r="AG494" s="48" t="s">
        <v>49</v>
      </c>
      <c r="AH494" s="48" t="s">
        <v>49</v>
      </c>
      <c r="AI494" s="48" t="s">
        <v>41</v>
      </c>
      <c r="AJ494" s="49" t="s">
        <v>41</v>
      </c>
      <c r="AK494" s="48" t="s">
        <v>41</v>
      </c>
      <c r="AL494" s="62" t="s">
        <v>4589</v>
      </c>
      <c r="AM494" s="59"/>
      <c r="AN494" s="10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1"/>
    </row>
    <row r="495" spans="1:51" x14ac:dyDescent="0.2">
      <c r="A495" s="33">
        <f t="shared" si="8"/>
        <v>490</v>
      </c>
      <c r="B495" s="34" t="s">
        <v>4050</v>
      </c>
      <c r="C495" s="35" t="s">
        <v>4051</v>
      </c>
      <c r="D495" s="73" t="s">
        <v>4052</v>
      </c>
      <c r="E495" s="36" t="s">
        <v>54</v>
      </c>
      <c r="F495" s="98" t="s">
        <v>4053</v>
      </c>
      <c r="G495" s="37" t="s">
        <v>73</v>
      </c>
      <c r="H495" s="37" t="s">
        <v>73</v>
      </c>
      <c r="I495" s="38" t="s">
        <v>4054</v>
      </c>
      <c r="J495" s="34" t="s">
        <v>41</v>
      </c>
      <c r="K495" s="39" t="s">
        <v>42</v>
      </c>
      <c r="L495" s="99" t="s">
        <v>3438</v>
      </c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42" t="s">
        <v>4055</v>
      </c>
      <c r="Y495" s="100" t="s">
        <v>4056</v>
      </c>
      <c r="Z495" s="44" t="s">
        <v>4057</v>
      </c>
      <c r="AA495" s="45">
        <v>44041</v>
      </c>
      <c r="AB495" s="101" t="s">
        <v>30</v>
      </c>
      <c r="AC495" s="73" t="s">
        <v>26</v>
      </c>
      <c r="AD495" s="47" t="s">
        <v>49</v>
      </c>
      <c r="AE495" s="48" t="s">
        <v>49</v>
      </c>
      <c r="AF495" s="48" t="s">
        <v>49</v>
      </c>
      <c r="AG495" s="48" t="s">
        <v>49</v>
      </c>
      <c r="AH495" s="48" t="s">
        <v>49</v>
      </c>
      <c r="AI495" s="48" t="s">
        <v>49</v>
      </c>
      <c r="AJ495" s="49" t="s">
        <v>49</v>
      </c>
      <c r="AK495" s="48" t="s">
        <v>41</v>
      </c>
      <c r="AL495" s="65" t="s">
        <v>148</v>
      </c>
      <c r="AM495" s="59"/>
      <c r="AN495" s="10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1"/>
    </row>
    <row r="496" spans="1:51" x14ac:dyDescent="0.2">
      <c r="A496" s="33">
        <f t="shared" si="8"/>
        <v>491</v>
      </c>
      <c r="B496" s="34" t="s">
        <v>4058</v>
      </c>
      <c r="C496" s="35" t="s">
        <v>4059</v>
      </c>
      <c r="D496" s="73" t="s">
        <v>4060</v>
      </c>
      <c r="E496" s="36" t="s">
        <v>54</v>
      </c>
      <c r="F496" s="98" t="s">
        <v>4061</v>
      </c>
      <c r="G496" s="37" t="s">
        <v>349</v>
      </c>
      <c r="H496" s="37" t="s">
        <v>350</v>
      </c>
      <c r="I496" s="38" t="s">
        <v>4062</v>
      </c>
      <c r="J496" s="34" t="s">
        <v>41</v>
      </c>
      <c r="K496" s="39" t="s">
        <v>42</v>
      </c>
      <c r="L496" s="99" t="s">
        <v>4063</v>
      </c>
      <c r="M496" s="56"/>
      <c r="N496" s="56"/>
      <c r="O496" s="56"/>
      <c r="P496" s="56"/>
      <c r="Q496" s="56"/>
      <c r="R496" s="56" t="s">
        <v>44</v>
      </c>
      <c r="S496" s="56"/>
      <c r="T496" s="56"/>
      <c r="U496" s="56"/>
      <c r="V496" s="56"/>
      <c r="W496" s="56"/>
      <c r="X496" s="42" t="s">
        <v>4064</v>
      </c>
      <c r="Y496" s="100" t="s">
        <v>4065</v>
      </c>
      <c r="Z496" s="84" t="s">
        <v>4066</v>
      </c>
      <c r="AA496" s="45">
        <v>44650</v>
      </c>
      <c r="AB496" s="101" t="s">
        <v>30</v>
      </c>
      <c r="AC496" s="73"/>
      <c r="AD496" s="47" t="s">
        <v>49</v>
      </c>
      <c r="AE496" s="48" t="s">
        <v>41</v>
      </c>
      <c r="AF496" s="48" t="s">
        <v>49</v>
      </c>
      <c r="AG496" s="48" t="s">
        <v>49</v>
      </c>
      <c r="AH496" s="48" t="s">
        <v>49</v>
      </c>
      <c r="AI496" s="48" t="s">
        <v>49</v>
      </c>
      <c r="AJ496" s="49" t="s">
        <v>49</v>
      </c>
      <c r="AK496" s="48" t="s">
        <v>41</v>
      </c>
      <c r="AL496" s="65" t="s">
        <v>148</v>
      </c>
      <c r="AM496" s="59"/>
      <c r="AN496" s="10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1"/>
    </row>
    <row r="497" spans="1:51" x14ac:dyDescent="0.2">
      <c r="A497" s="33">
        <f t="shared" si="8"/>
        <v>492</v>
      </c>
      <c r="B497" s="34" t="s">
        <v>4067</v>
      </c>
      <c r="C497" s="35" t="s">
        <v>4068</v>
      </c>
      <c r="D497" s="73" t="s">
        <v>4069</v>
      </c>
      <c r="E497" s="36" t="s">
        <v>54</v>
      </c>
      <c r="F497" s="98" t="s">
        <v>4070</v>
      </c>
      <c r="G497" s="37" t="s">
        <v>349</v>
      </c>
      <c r="H497" s="37" t="s">
        <v>350</v>
      </c>
      <c r="I497" s="38" t="s">
        <v>4071</v>
      </c>
      <c r="J497" s="34" t="s">
        <v>41</v>
      </c>
      <c r="K497" s="39" t="s">
        <v>42</v>
      </c>
      <c r="L497" s="99" t="s">
        <v>4072</v>
      </c>
      <c r="M497" s="56"/>
      <c r="N497" s="56"/>
      <c r="O497" s="56"/>
      <c r="P497" s="56"/>
      <c r="Q497" s="56"/>
      <c r="R497" s="56" t="s">
        <v>44</v>
      </c>
      <c r="S497" s="56"/>
      <c r="T497" s="56"/>
      <c r="U497" s="56"/>
      <c r="V497" s="56"/>
      <c r="W497" s="56"/>
      <c r="X497" s="42" t="s">
        <v>4073</v>
      </c>
      <c r="Y497" s="100" t="s">
        <v>4074</v>
      </c>
      <c r="Z497" s="84" t="s">
        <v>4075</v>
      </c>
      <c r="AA497" s="45">
        <v>44650</v>
      </c>
      <c r="AB497" s="101" t="s">
        <v>30</v>
      </c>
      <c r="AC497" s="73"/>
      <c r="AD497" s="47" t="s">
        <v>49</v>
      </c>
      <c r="AE497" s="48" t="s">
        <v>41</v>
      </c>
      <c r="AF497" s="48" t="s">
        <v>49</v>
      </c>
      <c r="AG497" s="48" t="s">
        <v>49</v>
      </c>
      <c r="AH497" s="48" t="s">
        <v>49</v>
      </c>
      <c r="AI497" s="48" t="s">
        <v>49</v>
      </c>
      <c r="AJ497" s="49" t="s">
        <v>49</v>
      </c>
      <c r="AK497" s="48" t="s">
        <v>49</v>
      </c>
      <c r="AL497" s="62" t="s">
        <v>32</v>
      </c>
      <c r="AM497" s="59"/>
      <c r="AN497" s="10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1"/>
    </row>
    <row r="498" spans="1:51" x14ac:dyDescent="0.2">
      <c r="A498" s="33">
        <f t="shared" si="8"/>
        <v>493</v>
      </c>
      <c r="B498" s="34" t="s">
        <v>4076</v>
      </c>
      <c r="C498" s="35" t="s">
        <v>4077</v>
      </c>
      <c r="D498" s="36" t="s">
        <v>4078</v>
      </c>
      <c r="E498" s="36" t="s">
        <v>54</v>
      </c>
      <c r="F498" s="34" t="s">
        <v>4079</v>
      </c>
      <c r="G498" s="37" t="s">
        <v>38</v>
      </c>
      <c r="H498" s="37" t="s">
        <v>39</v>
      </c>
      <c r="I498" s="34" t="s">
        <v>4080</v>
      </c>
      <c r="J498" s="34" t="s">
        <v>41</v>
      </c>
      <c r="K498" s="39" t="s">
        <v>42</v>
      </c>
      <c r="L498" s="99" t="s">
        <v>4081</v>
      </c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42" t="s">
        <v>4082</v>
      </c>
      <c r="Y498" s="58" t="s">
        <v>4083</v>
      </c>
      <c r="Z498" s="119" t="s">
        <v>61</v>
      </c>
      <c r="AA498" s="45">
        <v>39286</v>
      </c>
      <c r="AB498" s="101" t="s">
        <v>30</v>
      </c>
      <c r="AC498" s="36" t="s">
        <v>26</v>
      </c>
      <c r="AD498" s="47" t="s">
        <v>49</v>
      </c>
      <c r="AE498" s="48" t="s">
        <v>49</v>
      </c>
      <c r="AF498" s="48" t="s">
        <v>49</v>
      </c>
      <c r="AG498" s="48" t="s">
        <v>49</v>
      </c>
      <c r="AH498" s="48" t="s">
        <v>49</v>
      </c>
      <c r="AI498" s="48" t="s">
        <v>49</v>
      </c>
      <c r="AJ498" s="49" t="s">
        <v>49</v>
      </c>
      <c r="AK498" s="48" t="s">
        <v>41</v>
      </c>
      <c r="AL498" s="65" t="s">
        <v>148</v>
      </c>
      <c r="AM498" s="59"/>
      <c r="AN498" s="10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1"/>
    </row>
    <row r="499" spans="1:51" x14ac:dyDescent="0.2">
      <c r="A499" s="33">
        <f t="shared" si="8"/>
        <v>494</v>
      </c>
      <c r="B499" s="34" t="s">
        <v>4084</v>
      </c>
      <c r="C499" s="35" t="s">
        <v>4085</v>
      </c>
      <c r="D499" s="36" t="s">
        <v>4086</v>
      </c>
      <c r="E499" s="36" t="s">
        <v>54</v>
      </c>
      <c r="F499" s="34" t="s">
        <v>4087</v>
      </c>
      <c r="G499" s="37" t="s">
        <v>243</v>
      </c>
      <c r="H499" s="37" t="s">
        <v>205</v>
      </c>
      <c r="I499" s="34" t="s">
        <v>4088</v>
      </c>
      <c r="J499" s="34" t="s">
        <v>41</v>
      </c>
      <c r="K499" s="39" t="s">
        <v>42</v>
      </c>
      <c r="L499" s="99" t="s">
        <v>4089</v>
      </c>
      <c r="M499" s="56" t="s">
        <v>179</v>
      </c>
      <c r="N499" s="56" t="s">
        <v>179</v>
      </c>
      <c r="O499" s="56"/>
      <c r="P499" s="56">
        <v>2</v>
      </c>
      <c r="Q499" s="56"/>
      <c r="R499" s="56"/>
      <c r="S499" s="56"/>
      <c r="T499" s="56"/>
      <c r="U499" s="56" t="s">
        <v>732</v>
      </c>
      <c r="V499" s="56"/>
      <c r="W499" s="56"/>
      <c r="X499" s="42" t="s">
        <v>4090</v>
      </c>
      <c r="Y499" s="58" t="s">
        <v>4091</v>
      </c>
      <c r="Z499" s="44"/>
      <c r="AA499" s="45"/>
      <c r="AB499" s="101"/>
      <c r="AC499" s="73" t="s">
        <v>26</v>
      </c>
      <c r="AD499" s="47" t="s">
        <v>49</v>
      </c>
      <c r="AE499" s="48" t="s">
        <v>49</v>
      </c>
      <c r="AF499" s="48" t="s">
        <v>49</v>
      </c>
      <c r="AG499" s="48" t="s">
        <v>49</v>
      </c>
      <c r="AH499" s="48" t="s">
        <v>49</v>
      </c>
      <c r="AI499" s="48" t="s">
        <v>49</v>
      </c>
      <c r="AJ499" s="49" t="s">
        <v>41</v>
      </c>
      <c r="AK499" s="48" t="s">
        <v>41</v>
      </c>
      <c r="AL499" s="62" t="s">
        <v>276</v>
      </c>
      <c r="AM499" s="59"/>
      <c r="AN499" s="10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1"/>
    </row>
    <row r="500" spans="1:51" x14ac:dyDescent="0.2">
      <c r="A500" s="33">
        <f t="shared" si="8"/>
        <v>495</v>
      </c>
      <c r="B500" s="34" t="s">
        <v>4092</v>
      </c>
      <c r="C500" s="35" t="s">
        <v>4093</v>
      </c>
      <c r="D500" s="73" t="s">
        <v>4094</v>
      </c>
      <c r="E500" s="36" t="s">
        <v>54</v>
      </c>
      <c r="F500" s="98" t="s">
        <v>4095</v>
      </c>
      <c r="G500" s="37" t="s">
        <v>73</v>
      </c>
      <c r="H500" s="37" t="s">
        <v>73</v>
      </c>
      <c r="I500" s="38" t="s">
        <v>4096</v>
      </c>
      <c r="J500" s="34" t="s">
        <v>41</v>
      </c>
      <c r="K500" s="39" t="s">
        <v>42</v>
      </c>
      <c r="L500" s="99" t="s">
        <v>4097</v>
      </c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42" t="s">
        <v>4098</v>
      </c>
      <c r="Y500" s="100" t="s">
        <v>4099</v>
      </c>
      <c r="Z500" s="121" t="s">
        <v>4100</v>
      </c>
      <c r="AA500" s="45">
        <v>44650</v>
      </c>
      <c r="AB500" s="101" t="s">
        <v>30</v>
      </c>
      <c r="AC500" s="73" t="s">
        <v>26</v>
      </c>
      <c r="AD500" s="47" t="s">
        <v>49</v>
      </c>
      <c r="AE500" s="48" t="s">
        <v>49</v>
      </c>
      <c r="AF500" s="48" t="s">
        <v>49</v>
      </c>
      <c r="AG500" s="48" t="s">
        <v>49</v>
      </c>
      <c r="AH500" s="48" t="s">
        <v>49</v>
      </c>
      <c r="AI500" s="48" t="s">
        <v>49</v>
      </c>
      <c r="AJ500" s="49" t="s">
        <v>49</v>
      </c>
      <c r="AK500" s="48" t="s">
        <v>49</v>
      </c>
      <c r="AL500" s="65" t="s">
        <v>32</v>
      </c>
      <c r="AM500" s="59"/>
      <c r="AN500" s="10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1"/>
    </row>
    <row r="501" spans="1:51" x14ac:dyDescent="0.2">
      <c r="A501" s="33">
        <f t="shared" si="8"/>
        <v>496</v>
      </c>
      <c r="B501" s="34" t="s">
        <v>4101</v>
      </c>
      <c r="C501" s="35" t="s">
        <v>4102</v>
      </c>
      <c r="D501" s="36" t="s">
        <v>4103</v>
      </c>
      <c r="E501" s="36" t="s">
        <v>54</v>
      </c>
      <c r="F501" s="34" t="s">
        <v>4104</v>
      </c>
      <c r="G501" s="37" t="s">
        <v>73</v>
      </c>
      <c r="H501" s="37" t="s">
        <v>73</v>
      </c>
      <c r="I501" s="34" t="s">
        <v>4105</v>
      </c>
      <c r="J501" s="34" t="s">
        <v>4106</v>
      </c>
      <c r="K501" s="39" t="s">
        <v>42</v>
      </c>
      <c r="L501" s="99" t="s">
        <v>4107</v>
      </c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42" t="s">
        <v>4108</v>
      </c>
      <c r="Y501" s="43" t="s">
        <v>4109</v>
      </c>
      <c r="Z501" s="44" t="s">
        <v>4110</v>
      </c>
      <c r="AA501" s="45">
        <v>42935</v>
      </c>
      <c r="AB501" s="101" t="s">
        <v>30</v>
      </c>
      <c r="AC501" s="36" t="s">
        <v>26</v>
      </c>
      <c r="AD501" s="47" t="s">
        <v>49</v>
      </c>
      <c r="AE501" s="48" t="s">
        <v>49</v>
      </c>
      <c r="AF501" s="48" t="s">
        <v>49</v>
      </c>
      <c r="AG501" s="48" t="s">
        <v>49</v>
      </c>
      <c r="AH501" s="48" t="s">
        <v>49</v>
      </c>
      <c r="AI501" s="48" t="s">
        <v>49</v>
      </c>
      <c r="AJ501" s="49" t="s">
        <v>49</v>
      </c>
      <c r="AK501" s="48" t="s">
        <v>49</v>
      </c>
      <c r="AL501" s="65" t="s">
        <v>32</v>
      </c>
      <c r="AM501" s="59"/>
      <c r="AN501" s="10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1"/>
    </row>
    <row r="502" spans="1:51" x14ac:dyDescent="0.2">
      <c r="A502" s="33">
        <f t="shared" si="8"/>
        <v>497</v>
      </c>
      <c r="B502" s="34" t="s">
        <v>4111</v>
      </c>
      <c r="C502" s="35" t="s">
        <v>4112</v>
      </c>
      <c r="D502" s="36" t="s">
        <v>4113</v>
      </c>
      <c r="E502" s="36" t="s">
        <v>54</v>
      </c>
      <c r="F502" s="237" t="s">
        <v>4114</v>
      </c>
      <c r="G502" s="37" t="s">
        <v>73</v>
      </c>
      <c r="H502" s="37" t="s">
        <v>73</v>
      </c>
      <c r="I502" s="34" t="s">
        <v>4115</v>
      </c>
      <c r="J502" s="34" t="s">
        <v>41</v>
      </c>
      <c r="K502" s="39" t="s">
        <v>42</v>
      </c>
      <c r="L502" s="120">
        <v>30353</v>
      </c>
      <c r="M502" s="56" t="s">
        <v>179</v>
      </c>
      <c r="N502" s="56"/>
      <c r="O502" s="56"/>
      <c r="P502" s="56">
        <v>2</v>
      </c>
      <c r="Q502" s="56" t="s">
        <v>4116</v>
      </c>
      <c r="R502" s="56"/>
      <c r="S502" s="56"/>
      <c r="T502" s="56"/>
      <c r="U502" s="56"/>
      <c r="V502" s="56"/>
      <c r="W502" s="56"/>
      <c r="X502" s="42" t="s">
        <v>4117</v>
      </c>
      <c r="Y502" s="58" t="s">
        <v>4118</v>
      </c>
      <c r="Z502" s="44"/>
      <c r="AA502" s="45" t="s">
        <v>47</v>
      </c>
      <c r="AB502" s="101"/>
      <c r="AC502" s="36" t="s">
        <v>26</v>
      </c>
      <c r="AD502" s="66" t="s">
        <v>130</v>
      </c>
      <c r="AE502" s="48" t="s">
        <v>130</v>
      </c>
      <c r="AF502" s="48" t="s">
        <v>41</v>
      </c>
      <c r="AG502" s="48" t="s">
        <v>41</v>
      </c>
      <c r="AH502" s="48" t="s">
        <v>41</v>
      </c>
      <c r="AI502" s="48" t="s">
        <v>41</v>
      </c>
      <c r="AJ502" s="49" t="s">
        <v>41</v>
      </c>
      <c r="AK502" s="48" t="s">
        <v>41</v>
      </c>
      <c r="AL502" s="62" t="s">
        <v>4587</v>
      </c>
      <c r="AM502" s="59"/>
      <c r="AN502" s="10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1"/>
    </row>
    <row r="503" spans="1:51" x14ac:dyDescent="0.2">
      <c r="A503" s="33">
        <f t="shared" si="8"/>
        <v>498</v>
      </c>
      <c r="B503" s="107" t="s">
        <v>4119</v>
      </c>
      <c r="C503" s="35" t="s">
        <v>4120</v>
      </c>
      <c r="D503" s="36" t="s">
        <v>4121</v>
      </c>
      <c r="E503" s="36" t="s">
        <v>54</v>
      </c>
      <c r="F503" s="34" t="s">
        <v>4122</v>
      </c>
      <c r="G503" s="37" t="s">
        <v>1354</v>
      </c>
      <c r="H503" s="37" t="s">
        <v>57</v>
      </c>
      <c r="I503" s="34" t="s">
        <v>4123</v>
      </c>
      <c r="J503" s="34" t="s">
        <v>41</v>
      </c>
      <c r="K503" s="39" t="s">
        <v>42</v>
      </c>
      <c r="L503" s="228" t="s">
        <v>4124</v>
      </c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42" t="s">
        <v>4125</v>
      </c>
      <c r="Y503" s="58" t="s">
        <v>4126</v>
      </c>
      <c r="Z503" s="44" t="s">
        <v>4127</v>
      </c>
      <c r="AA503" s="45">
        <v>42325</v>
      </c>
      <c r="AB503" s="101"/>
      <c r="AC503" s="36" t="s">
        <v>26</v>
      </c>
      <c r="AD503" s="47" t="s">
        <v>49</v>
      </c>
      <c r="AE503" s="48" t="s">
        <v>49</v>
      </c>
      <c r="AF503" s="48" t="s">
        <v>49</v>
      </c>
      <c r="AG503" s="48" t="s">
        <v>49</v>
      </c>
      <c r="AH503" s="48" t="s">
        <v>49</v>
      </c>
      <c r="AI503" s="48" t="s">
        <v>49</v>
      </c>
      <c r="AJ503" s="49" t="s">
        <v>49</v>
      </c>
      <c r="AK503" s="48" t="s">
        <v>41</v>
      </c>
      <c r="AL503" s="65" t="s">
        <v>148</v>
      </c>
      <c r="AM503" s="59"/>
      <c r="AN503" s="10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1"/>
    </row>
    <row r="504" spans="1:51" x14ac:dyDescent="0.2">
      <c r="A504" s="33">
        <f t="shared" si="8"/>
        <v>499</v>
      </c>
      <c r="B504" s="34" t="s">
        <v>4128</v>
      </c>
      <c r="C504" s="35" t="s">
        <v>4129</v>
      </c>
      <c r="D504" s="36" t="s">
        <v>4130</v>
      </c>
      <c r="E504" s="36" t="s">
        <v>54</v>
      </c>
      <c r="F504" s="52" t="s">
        <v>4131</v>
      </c>
      <c r="G504" s="37" t="s">
        <v>323</v>
      </c>
      <c r="H504" s="37" t="s">
        <v>39</v>
      </c>
      <c r="I504" s="34" t="s">
        <v>4132</v>
      </c>
      <c r="J504" s="34" t="s">
        <v>41</v>
      </c>
      <c r="K504" s="39" t="s">
        <v>42</v>
      </c>
      <c r="L504" s="99" t="s">
        <v>4133</v>
      </c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42" t="s">
        <v>4134</v>
      </c>
      <c r="Y504" s="58" t="s">
        <v>4135</v>
      </c>
      <c r="Z504" s="44" t="s">
        <v>61</v>
      </c>
      <c r="AA504" s="45">
        <v>40280</v>
      </c>
      <c r="AB504" s="101" t="s">
        <v>30</v>
      </c>
      <c r="AC504" s="36" t="s">
        <v>26</v>
      </c>
      <c r="AD504" s="47" t="s">
        <v>49</v>
      </c>
      <c r="AE504" s="48" t="s">
        <v>49</v>
      </c>
      <c r="AF504" s="48" t="s">
        <v>49</v>
      </c>
      <c r="AG504" s="48" t="s">
        <v>49</v>
      </c>
      <c r="AH504" s="48" t="s">
        <v>49</v>
      </c>
      <c r="AI504" s="48" t="s">
        <v>49</v>
      </c>
      <c r="AJ504" s="49" t="s">
        <v>49</v>
      </c>
      <c r="AK504" s="48" t="s">
        <v>41</v>
      </c>
      <c r="AL504" s="65" t="s">
        <v>148</v>
      </c>
      <c r="AM504" s="59"/>
      <c r="AN504" s="10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1"/>
    </row>
    <row r="505" spans="1:51" x14ac:dyDescent="0.2">
      <c r="A505" s="33">
        <f t="shared" si="8"/>
        <v>500</v>
      </c>
      <c r="B505" s="107" t="s">
        <v>4136</v>
      </c>
      <c r="C505" s="35" t="s">
        <v>4137</v>
      </c>
      <c r="D505" s="154" t="s">
        <v>4138</v>
      </c>
      <c r="E505" s="36" t="s">
        <v>36</v>
      </c>
      <c r="F505" s="238" t="s">
        <v>4139</v>
      </c>
      <c r="G505" s="75" t="s">
        <v>243</v>
      </c>
      <c r="H505" s="75" t="s">
        <v>205</v>
      </c>
      <c r="I505" s="239" t="s">
        <v>4140</v>
      </c>
      <c r="J505" s="72" t="s">
        <v>41</v>
      </c>
      <c r="K505" s="77" t="s">
        <v>42</v>
      </c>
      <c r="L505" s="228" t="s">
        <v>4141</v>
      </c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42" t="s">
        <v>4142</v>
      </c>
      <c r="Y505" s="58" t="s">
        <v>4143</v>
      </c>
      <c r="Z505" s="44" t="s">
        <v>61</v>
      </c>
      <c r="AA505" s="45">
        <v>40280</v>
      </c>
      <c r="AB505" s="206" t="s">
        <v>30</v>
      </c>
      <c r="AC505" s="154" t="s">
        <v>26</v>
      </c>
      <c r="AD505" s="81" t="s">
        <v>49</v>
      </c>
      <c r="AE505" s="48" t="s">
        <v>49</v>
      </c>
      <c r="AF505" s="48" t="s">
        <v>49</v>
      </c>
      <c r="AG505" s="48" t="s">
        <v>49</v>
      </c>
      <c r="AH505" s="48" t="s">
        <v>49</v>
      </c>
      <c r="AI505" s="48" t="s">
        <v>49</v>
      </c>
      <c r="AJ505" s="49" t="s">
        <v>41</v>
      </c>
      <c r="AK505" s="48" t="s">
        <v>41</v>
      </c>
      <c r="AL505" s="62" t="s">
        <v>276</v>
      </c>
      <c r="AM505" s="59"/>
      <c r="AN505" s="10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1"/>
    </row>
    <row r="506" spans="1:51" x14ac:dyDescent="0.2">
      <c r="A506" s="33">
        <f t="shared" si="8"/>
        <v>501</v>
      </c>
      <c r="B506" s="34" t="s">
        <v>4144</v>
      </c>
      <c r="C506" s="35" t="s">
        <v>4145</v>
      </c>
      <c r="D506" s="36" t="s">
        <v>4146</v>
      </c>
      <c r="E506" s="36" t="s">
        <v>54</v>
      </c>
      <c r="F506" s="60" t="s">
        <v>4147</v>
      </c>
      <c r="G506" s="37" t="s">
        <v>176</v>
      </c>
      <c r="H506" s="37" t="s">
        <v>39</v>
      </c>
      <c r="I506" s="240" t="s">
        <v>4148</v>
      </c>
      <c r="J506" s="34" t="s">
        <v>41</v>
      </c>
      <c r="K506" s="39" t="s">
        <v>42</v>
      </c>
      <c r="L506" s="99" t="s">
        <v>1955</v>
      </c>
      <c r="M506" s="56"/>
      <c r="N506" s="56"/>
      <c r="O506" s="56"/>
      <c r="P506" s="56"/>
      <c r="Q506" s="56"/>
      <c r="R506" s="56"/>
      <c r="S506" s="56" t="s">
        <v>44</v>
      </c>
      <c r="T506" s="56"/>
      <c r="U506" s="56"/>
      <c r="V506" s="56"/>
      <c r="W506" s="56"/>
      <c r="X506" s="42" t="s">
        <v>4149</v>
      </c>
      <c r="Y506" s="58" t="s">
        <v>4150</v>
      </c>
      <c r="Z506" s="44"/>
      <c r="AA506" s="45">
        <v>45642</v>
      </c>
      <c r="AB506" s="101"/>
      <c r="AC506" s="36"/>
      <c r="AD506" s="47" t="s">
        <v>49</v>
      </c>
      <c r="AE506" s="48" t="s">
        <v>41</v>
      </c>
      <c r="AF506" s="48" t="s">
        <v>41</v>
      </c>
      <c r="AG506" s="48" t="s">
        <v>49</v>
      </c>
      <c r="AH506" s="48" t="s">
        <v>49</v>
      </c>
      <c r="AI506" s="48" t="s">
        <v>49</v>
      </c>
      <c r="AJ506" s="49" t="s">
        <v>41</v>
      </c>
      <c r="AK506" s="48" t="s">
        <v>41</v>
      </c>
      <c r="AL506" s="62" t="s">
        <v>276</v>
      </c>
      <c r="AM506" s="59"/>
      <c r="AN506" s="10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1"/>
    </row>
    <row r="507" spans="1:51" x14ac:dyDescent="0.2">
      <c r="A507" s="33">
        <f t="shared" si="8"/>
        <v>502</v>
      </c>
      <c r="B507" s="34" t="s">
        <v>4151</v>
      </c>
      <c r="C507" s="35" t="s">
        <v>4152</v>
      </c>
      <c r="D507" s="36" t="s">
        <v>4153</v>
      </c>
      <c r="E507" s="36" t="s">
        <v>54</v>
      </c>
      <c r="F507" s="108" t="s">
        <v>4154</v>
      </c>
      <c r="G507" s="37" t="s">
        <v>413</v>
      </c>
      <c r="H507" s="37" t="s">
        <v>378</v>
      </c>
      <c r="I507" s="108" t="s">
        <v>4155</v>
      </c>
      <c r="J507" s="34" t="s">
        <v>41</v>
      </c>
      <c r="K507" s="39" t="s">
        <v>42</v>
      </c>
      <c r="L507" s="99" t="s">
        <v>4156</v>
      </c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2" t="s">
        <v>4157</v>
      </c>
      <c r="Y507" s="58" t="s">
        <v>4158</v>
      </c>
      <c r="Z507" s="44" t="s">
        <v>61</v>
      </c>
      <c r="AA507" s="45">
        <v>37877</v>
      </c>
      <c r="AB507" s="101" t="s">
        <v>30</v>
      </c>
      <c r="AC507" s="36"/>
      <c r="AD507" s="47" t="s">
        <v>49</v>
      </c>
      <c r="AE507" s="48" t="s">
        <v>41</v>
      </c>
      <c r="AF507" s="48" t="s">
        <v>41</v>
      </c>
      <c r="AG507" s="48" t="s">
        <v>41</v>
      </c>
      <c r="AH507" s="48" t="s">
        <v>41</v>
      </c>
      <c r="AI507" s="48" t="s">
        <v>41</v>
      </c>
      <c r="AJ507" s="49" t="s">
        <v>41</v>
      </c>
      <c r="AK507" s="48" t="s">
        <v>41</v>
      </c>
      <c r="AL507" s="241" t="s">
        <v>4588</v>
      </c>
      <c r="AM507" s="59" t="s">
        <v>1230</v>
      </c>
      <c r="AN507" s="117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1"/>
    </row>
    <row r="508" spans="1:51" x14ac:dyDescent="0.2">
      <c r="A508" s="33">
        <f t="shared" si="8"/>
        <v>503</v>
      </c>
      <c r="B508" s="34" t="s">
        <v>4159</v>
      </c>
      <c r="C508" s="35" t="s">
        <v>4160</v>
      </c>
      <c r="D508" s="36" t="s">
        <v>4161</v>
      </c>
      <c r="E508" s="36" t="s">
        <v>241</v>
      </c>
      <c r="F508" s="34" t="s">
        <v>4162</v>
      </c>
      <c r="G508" s="37" t="s">
        <v>456</v>
      </c>
      <c r="H508" s="37" t="s">
        <v>187</v>
      </c>
      <c r="I508" s="34" t="s">
        <v>4163</v>
      </c>
      <c r="J508" s="34" t="s">
        <v>41</v>
      </c>
      <c r="K508" s="39" t="s">
        <v>42</v>
      </c>
      <c r="L508" s="99" t="s">
        <v>4164</v>
      </c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2" t="s">
        <v>1145</v>
      </c>
      <c r="Y508" s="58" t="s">
        <v>4165</v>
      </c>
      <c r="Z508" s="44" t="s">
        <v>61</v>
      </c>
      <c r="AA508" s="45">
        <v>36641</v>
      </c>
      <c r="AB508" s="101" t="s">
        <v>30</v>
      </c>
      <c r="AC508" s="36"/>
      <c r="AD508" s="47" t="s">
        <v>49</v>
      </c>
      <c r="AE508" s="48" t="s">
        <v>41</v>
      </c>
      <c r="AF508" s="48" t="s">
        <v>41</v>
      </c>
      <c r="AG508" s="48" t="s">
        <v>41</v>
      </c>
      <c r="AH508" s="48" t="s">
        <v>41</v>
      </c>
      <c r="AI508" s="48" t="s">
        <v>41</v>
      </c>
      <c r="AJ508" s="49" t="s">
        <v>41</v>
      </c>
      <c r="AK508" s="48" t="s">
        <v>41</v>
      </c>
      <c r="AL508" s="241" t="s">
        <v>4591</v>
      </c>
      <c r="AM508" s="59" t="s">
        <v>460</v>
      </c>
      <c r="AN508" s="10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1"/>
    </row>
    <row r="509" spans="1:51" x14ac:dyDescent="0.2">
      <c r="A509" s="33">
        <f t="shared" si="8"/>
        <v>504</v>
      </c>
      <c r="B509" s="34" t="s">
        <v>4166</v>
      </c>
      <c r="C509" s="35" t="s">
        <v>4167</v>
      </c>
      <c r="D509" s="36" t="s">
        <v>4168</v>
      </c>
      <c r="E509" s="36" t="s">
        <v>4169</v>
      </c>
      <c r="F509" s="34" t="s">
        <v>4170</v>
      </c>
      <c r="G509" s="37" t="s">
        <v>73</v>
      </c>
      <c r="H509" s="37" t="s">
        <v>73</v>
      </c>
      <c r="I509" s="42" t="s">
        <v>4171</v>
      </c>
      <c r="J509" s="34" t="s">
        <v>41</v>
      </c>
      <c r="K509" s="39" t="s">
        <v>42</v>
      </c>
      <c r="L509" s="120">
        <v>45933</v>
      </c>
      <c r="M509" s="41" t="s">
        <v>179</v>
      </c>
      <c r="N509" s="41"/>
      <c r="O509" s="41"/>
      <c r="P509" s="41"/>
      <c r="Q509" s="112"/>
      <c r="R509" s="41"/>
      <c r="S509" s="41"/>
      <c r="T509" s="41"/>
      <c r="U509" s="41"/>
      <c r="V509" s="41" t="s">
        <v>44</v>
      </c>
      <c r="W509" s="41"/>
      <c r="X509" s="42" t="s">
        <v>4172</v>
      </c>
      <c r="Y509" s="58" t="s">
        <v>4173</v>
      </c>
      <c r="Z509" s="44"/>
      <c r="AA509" s="45"/>
      <c r="AB509" s="101"/>
      <c r="AC509" s="36"/>
      <c r="AD509" s="47" t="s">
        <v>49</v>
      </c>
      <c r="AE509" s="48" t="s">
        <v>41</v>
      </c>
      <c r="AF509" s="48" t="s">
        <v>41</v>
      </c>
      <c r="AG509" s="48" t="s">
        <v>41</v>
      </c>
      <c r="AH509" s="48" t="s">
        <v>41</v>
      </c>
      <c r="AI509" s="48" t="s">
        <v>41</v>
      </c>
      <c r="AJ509" s="49" t="s">
        <v>49</v>
      </c>
      <c r="AK509" s="48" t="s">
        <v>41</v>
      </c>
      <c r="AL509" s="241" t="s">
        <v>148</v>
      </c>
      <c r="AM509" s="59"/>
      <c r="AN509" s="10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1"/>
    </row>
    <row r="510" spans="1:51" x14ac:dyDescent="0.2">
      <c r="A510" s="33">
        <f t="shared" si="8"/>
        <v>505</v>
      </c>
      <c r="B510" s="34" t="s">
        <v>4174</v>
      </c>
      <c r="C510" s="35" t="s">
        <v>4175</v>
      </c>
      <c r="D510" s="36" t="s">
        <v>4176</v>
      </c>
      <c r="E510" s="36" t="s">
        <v>54</v>
      </c>
      <c r="F510" s="34" t="s">
        <v>4177</v>
      </c>
      <c r="G510" s="37" t="s">
        <v>39</v>
      </c>
      <c r="H510" s="37" t="s">
        <v>39</v>
      </c>
      <c r="I510" s="38" t="s">
        <v>4178</v>
      </c>
      <c r="J510" s="34" t="s">
        <v>41</v>
      </c>
      <c r="K510" s="39" t="s">
        <v>42</v>
      </c>
      <c r="L510" s="99" t="s">
        <v>282</v>
      </c>
      <c r="M510" s="41"/>
      <c r="N510" s="112"/>
      <c r="O510" s="111"/>
      <c r="P510" s="112"/>
      <c r="Q510" s="111"/>
      <c r="R510" s="112"/>
      <c r="S510" s="112"/>
      <c r="T510" s="41"/>
      <c r="U510" s="41"/>
      <c r="V510" s="41"/>
      <c r="W510" s="41"/>
      <c r="X510" s="42" t="s">
        <v>4179</v>
      </c>
      <c r="Y510" s="69" t="s">
        <v>4180</v>
      </c>
      <c r="Z510" s="44" t="s">
        <v>4181</v>
      </c>
      <c r="AA510" s="45">
        <v>42935</v>
      </c>
      <c r="AB510" s="101" t="s">
        <v>30</v>
      </c>
      <c r="AC510" s="36" t="s">
        <v>26</v>
      </c>
      <c r="AD510" s="47" t="s">
        <v>49</v>
      </c>
      <c r="AE510" s="48" t="s">
        <v>49</v>
      </c>
      <c r="AF510" s="48" t="s">
        <v>49</v>
      </c>
      <c r="AG510" s="48" t="s">
        <v>49</v>
      </c>
      <c r="AH510" s="48" t="s">
        <v>49</v>
      </c>
      <c r="AI510" s="48" t="s">
        <v>49</v>
      </c>
      <c r="AJ510" s="49" t="s">
        <v>49</v>
      </c>
      <c r="AK510" s="48" t="s">
        <v>49</v>
      </c>
      <c r="AL510" s="213">
        <v>0</v>
      </c>
      <c r="AM510" s="59"/>
      <c r="AN510" s="10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1"/>
    </row>
    <row r="511" spans="1:51" x14ac:dyDescent="0.2">
      <c r="A511" s="33">
        <f t="shared" si="8"/>
        <v>506</v>
      </c>
      <c r="B511" s="34" t="s">
        <v>4182</v>
      </c>
      <c r="C511" s="35" t="s">
        <v>4183</v>
      </c>
      <c r="D511" s="36" t="s">
        <v>4184</v>
      </c>
      <c r="E511" s="36" t="s">
        <v>54</v>
      </c>
      <c r="F511" s="34" t="s">
        <v>4185</v>
      </c>
      <c r="G511" s="37" t="s">
        <v>377</v>
      </c>
      <c r="H511" s="37" t="s">
        <v>378</v>
      </c>
      <c r="I511" s="34" t="s">
        <v>41</v>
      </c>
      <c r="J511" s="34" t="s">
        <v>41</v>
      </c>
      <c r="K511" s="39" t="s">
        <v>42</v>
      </c>
      <c r="L511" s="99" t="s">
        <v>4186</v>
      </c>
      <c r="M511" s="41" t="s">
        <v>179</v>
      </c>
      <c r="N511" s="41" t="s">
        <v>179</v>
      </c>
      <c r="O511" s="41"/>
      <c r="P511" s="41">
        <v>1</v>
      </c>
      <c r="Q511" s="41"/>
      <c r="R511" s="41"/>
      <c r="S511" s="41"/>
      <c r="T511" s="41"/>
      <c r="U511" s="41" t="s">
        <v>732</v>
      </c>
      <c r="V511" s="41"/>
      <c r="W511" s="41"/>
      <c r="X511" s="42" t="s">
        <v>4187</v>
      </c>
      <c r="Y511" s="52" t="s">
        <v>4188</v>
      </c>
      <c r="Z511" s="44"/>
      <c r="AA511" s="45"/>
      <c r="AB511" s="101" t="s">
        <v>30</v>
      </c>
      <c r="AC511" s="36" t="s">
        <v>26</v>
      </c>
      <c r="AD511" s="47" t="s">
        <v>49</v>
      </c>
      <c r="AE511" s="48" t="s">
        <v>49</v>
      </c>
      <c r="AF511" s="48" t="s">
        <v>49</v>
      </c>
      <c r="AG511" s="48" t="s">
        <v>49</v>
      </c>
      <c r="AH511" s="48" t="s">
        <v>49</v>
      </c>
      <c r="AI511" s="48" t="s">
        <v>49</v>
      </c>
      <c r="AJ511" s="49" t="s">
        <v>41</v>
      </c>
      <c r="AK511" s="48" t="s">
        <v>41</v>
      </c>
      <c r="AL511" s="62" t="s">
        <v>276</v>
      </c>
      <c r="AM511" s="59"/>
      <c r="AN511" s="10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1"/>
    </row>
    <row r="512" spans="1:51" x14ac:dyDescent="0.2">
      <c r="A512" s="33">
        <f t="shared" si="8"/>
        <v>507</v>
      </c>
      <c r="B512" s="34" t="s">
        <v>4189</v>
      </c>
      <c r="C512" s="35" t="s">
        <v>4190</v>
      </c>
      <c r="D512" s="36" t="s">
        <v>4191</v>
      </c>
      <c r="E512" s="36" t="s">
        <v>54</v>
      </c>
      <c r="F512" s="34" t="s">
        <v>4192</v>
      </c>
      <c r="G512" s="37" t="s">
        <v>73</v>
      </c>
      <c r="H512" s="37" t="s">
        <v>73</v>
      </c>
      <c r="I512" s="38" t="s">
        <v>4193</v>
      </c>
      <c r="J512" s="34" t="s">
        <v>41</v>
      </c>
      <c r="K512" s="39" t="s">
        <v>42</v>
      </c>
      <c r="L512" s="99" t="s">
        <v>1887</v>
      </c>
      <c r="M512" s="41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42" t="s">
        <v>4194</v>
      </c>
      <c r="Y512" s="43" t="s">
        <v>4195</v>
      </c>
      <c r="Z512" s="44" t="s">
        <v>4196</v>
      </c>
      <c r="AA512" s="45">
        <v>44041</v>
      </c>
      <c r="AB512" s="101" t="s">
        <v>30</v>
      </c>
      <c r="AC512" s="36" t="s">
        <v>26</v>
      </c>
      <c r="AD512" s="47" t="s">
        <v>49</v>
      </c>
      <c r="AE512" s="48" t="s">
        <v>49</v>
      </c>
      <c r="AF512" s="48" t="s">
        <v>49</v>
      </c>
      <c r="AG512" s="48" t="s">
        <v>49</v>
      </c>
      <c r="AH512" s="48" t="s">
        <v>49</v>
      </c>
      <c r="AI512" s="48" t="s">
        <v>41</v>
      </c>
      <c r="AJ512" s="49" t="s">
        <v>41</v>
      </c>
      <c r="AK512" s="48" t="s">
        <v>41</v>
      </c>
      <c r="AL512" s="62" t="s">
        <v>4589</v>
      </c>
      <c r="AM512" s="59"/>
      <c r="AN512" s="10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1"/>
    </row>
    <row r="513" spans="1:51" x14ac:dyDescent="0.2">
      <c r="A513" s="33">
        <f t="shared" si="8"/>
        <v>508</v>
      </c>
      <c r="B513" s="34" t="s">
        <v>4197</v>
      </c>
      <c r="C513" s="35" t="s">
        <v>4198</v>
      </c>
      <c r="D513" s="36" t="s">
        <v>4199</v>
      </c>
      <c r="E513" s="36" t="s">
        <v>54</v>
      </c>
      <c r="F513" s="34" t="s">
        <v>4200</v>
      </c>
      <c r="G513" s="37" t="s">
        <v>73</v>
      </c>
      <c r="H513" s="37" t="s">
        <v>73</v>
      </c>
      <c r="I513" s="34" t="s">
        <v>3116</v>
      </c>
      <c r="J513" s="34" t="s">
        <v>3117</v>
      </c>
      <c r="K513" s="39" t="s">
        <v>42</v>
      </c>
      <c r="L513" s="120">
        <v>36591</v>
      </c>
      <c r="M513" s="41"/>
      <c r="N513" s="41"/>
      <c r="O513" s="41"/>
      <c r="P513" s="41"/>
      <c r="Q513" s="112"/>
      <c r="R513" s="112"/>
      <c r="S513" s="112"/>
      <c r="T513" s="41"/>
      <c r="U513" s="41"/>
      <c r="V513" s="41"/>
      <c r="W513" s="41"/>
      <c r="X513" s="42" t="s">
        <v>4201</v>
      </c>
      <c r="Y513" s="100" t="s">
        <v>4202</v>
      </c>
      <c r="Z513" s="119" t="s">
        <v>61</v>
      </c>
      <c r="AA513" s="45">
        <v>37208</v>
      </c>
      <c r="AB513" s="101" t="s">
        <v>30</v>
      </c>
      <c r="AC513" s="36"/>
      <c r="AD513" s="47" t="s">
        <v>49</v>
      </c>
      <c r="AE513" s="48" t="s">
        <v>41</v>
      </c>
      <c r="AF513" s="48" t="s">
        <v>41</v>
      </c>
      <c r="AG513" s="48" t="s">
        <v>41</v>
      </c>
      <c r="AH513" s="48" t="s">
        <v>41</v>
      </c>
      <c r="AI513" s="48" t="s">
        <v>41</v>
      </c>
      <c r="AJ513" s="49" t="s">
        <v>41</v>
      </c>
      <c r="AK513" s="48" t="s">
        <v>41</v>
      </c>
      <c r="AL513" s="65" t="s">
        <v>4592</v>
      </c>
      <c r="AM513" s="59" t="s">
        <v>192</v>
      </c>
      <c r="AN513" s="10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1"/>
    </row>
    <row r="514" spans="1:51" x14ac:dyDescent="0.2">
      <c r="A514" s="33">
        <f t="shared" si="8"/>
        <v>509</v>
      </c>
      <c r="B514" s="34" t="s">
        <v>4203</v>
      </c>
      <c r="C514" s="35" t="s">
        <v>4204</v>
      </c>
      <c r="D514" s="36" t="s">
        <v>4205</v>
      </c>
      <c r="E514" s="36" t="s">
        <v>54</v>
      </c>
      <c r="F514" s="226" t="s">
        <v>4206</v>
      </c>
      <c r="G514" s="37" t="s">
        <v>73</v>
      </c>
      <c r="H514" s="37" t="s">
        <v>73</v>
      </c>
      <c r="I514" s="34" t="s">
        <v>4207</v>
      </c>
      <c r="J514" s="34" t="s">
        <v>41</v>
      </c>
      <c r="K514" s="39" t="s">
        <v>42</v>
      </c>
      <c r="L514" s="99" t="s">
        <v>235</v>
      </c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2" t="s">
        <v>4208</v>
      </c>
      <c r="Y514" s="58" t="s">
        <v>4209</v>
      </c>
      <c r="Z514" s="44" t="s">
        <v>61</v>
      </c>
      <c r="AA514" s="45">
        <v>40280</v>
      </c>
      <c r="AB514" s="101" t="s">
        <v>30</v>
      </c>
      <c r="AC514" s="36" t="s">
        <v>26</v>
      </c>
      <c r="AD514" s="47" t="s">
        <v>49</v>
      </c>
      <c r="AE514" s="48" t="s">
        <v>49</v>
      </c>
      <c r="AF514" s="48" t="s">
        <v>41</v>
      </c>
      <c r="AG514" s="48" t="s">
        <v>41</v>
      </c>
      <c r="AH514" s="48" t="s">
        <v>41</v>
      </c>
      <c r="AI514" s="48" t="s">
        <v>41</v>
      </c>
      <c r="AJ514" s="49" t="s">
        <v>41</v>
      </c>
      <c r="AK514" s="48" t="s">
        <v>41</v>
      </c>
      <c r="AL514" s="62" t="s">
        <v>4587</v>
      </c>
      <c r="AM514" s="59"/>
      <c r="AN514" s="10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1"/>
    </row>
    <row r="515" spans="1:51" x14ac:dyDescent="0.2">
      <c r="A515" s="33">
        <f t="shared" si="8"/>
        <v>510</v>
      </c>
      <c r="B515" s="34" t="s">
        <v>4210</v>
      </c>
      <c r="C515" s="35" t="s">
        <v>4211</v>
      </c>
      <c r="D515" s="36" t="s">
        <v>4212</v>
      </c>
      <c r="E515" s="36" t="s">
        <v>54</v>
      </c>
      <c r="F515" s="98" t="s">
        <v>4213</v>
      </c>
      <c r="G515" s="37" t="s">
        <v>73</v>
      </c>
      <c r="H515" s="37" t="s">
        <v>73</v>
      </c>
      <c r="I515" s="34" t="s">
        <v>4214</v>
      </c>
      <c r="J515" s="34" t="s">
        <v>4214</v>
      </c>
      <c r="K515" s="39" t="s">
        <v>42</v>
      </c>
      <c r="L515" s="120">
        <v>37110</v>
      </c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2" t="s">
        <v>4215</v>
      </c>
      <c r="Y515" s="58" t="s">
        <v>4216</v>
      </c>
      <c r="Z515" s="44" t="s">
        <v>4217</v>
      </c>
      <c r="AA515" s="45">
        <v>41793</v>
      </c>
      <c r="AB515" s="101" t="s">
        <v>30</v>
      </c>
      <c r="AC515" s="36" t="s">
        <v>26</v>
      </c>
      <c r="AD515" s="47" t="s">
        <v>49</v>
      </c>
      <c r="AE515" s="48" t="s">
        <v>49</v>
      </c>
      <c r="AF515" s="48" t="s">
        <v>49</v>
      </c>
      <c r="AG515" s="48" t="s">
        <v>49</v>
      </c>
      <c r="AH515" s="48" t="s">
        <v>41</v>
      </c>
      <c r="AI515" s="48" t="s">
        <v>41</v>
      </c>
      <c r="AJ515" s="49" t="s">
        <v>41</v>
      </c>
      <c r="AK515" s="48" t="s">
        <v>41</v>
      </c>
      <c r="AL515" s="62" t="s">
        <v>139</v>
      </c>
      <c r="AM515" s="59"/>
      <c r="AN515" s="10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1"/>
    </row>
    <row r="516" spans="1:51" x14ac:dyDescent="0.2">
      <c r="A516" s="33">
        <f t="shared" si="8"/>
        <v>511</v>
      </c>
      <c r="B516" s="34" t="s">
        <v>4218</v>
      </c>
      <c r="C516" s="35" t="s">
        <v>4219</v>
      </c>
      <c r="D516" s="36" t="s">
        <v>4220</v>
      </c>
      <c r="E516" s="36" t="s">
        <v>36</v>
      </c>
      <c r="F516" s="237" t="s">
        <v>4221</v>
      </c>
      <c r="G516" s="37" t="s">
        <v>252</v>
      </c>
      <c r="H516" s="37" t="s">
        <v>57</v>
      </c>
      <c r="I516" s="34" t="s">
        <v>4222</v>
      </c>
      <c r="J516" s="34" t="s">
        <v>41</v>
      </c>
      <c r="K516" s="39" t="s">
        <v>42</v>
      </c>
      <c r="L516" s="120">
        <v>30353</v>
      </c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42" t="s">
        <v>4223</v>
      </c>
      <c r="Y516" s="58" t="s">
        <v>4224</v>
      </c>
      <c r="Z516" s="44" t="s">
        <v>4225</v>
      </c>
      <c r="AA516" s="45">
        <v>43200</v>
      </c>
      <c r="AB516" s="101" t="s">
        <v>30</v>
      </c>
      <c r="AC516" s="36" t="s">
        <v>26</v>
      </c>
      <c r="AD516" s="47" t="s">
        <v>49</v>
      </c>
      <c r="AE516" s="48" t="s">
        <v>49</v>
      </c>
      <c r="AF516" s="48" t="s">
        <v>49</v>
      </c>
      <c r="AG516" s="48" t="s">
        <v>49</v>
      </c>
      <c r="AH516" s="48" t="s">
        <v>49</v>
      </c>
      <c r="AI516" s="48" t="s">
        <v>49</v>
      </c>
      <c r="AJ516" s="49" t="s">
        <v>49</v>
      </c>
      <c r="AK516" s="48" t="s">
        <v>49</v>
      </c>
      <c r="AL516" s="62" t="s">
        <v>32</v>
      </c>
      <c r="AM516" s="59"/>
      <c r="AN516" s="10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1"/>
    </row>
    <row r="517" spans="1:51" x14ac:dyDescent="0.2">
      <c r="A517" s="33">
        <f t="shared" si="8"/>
        <v>512</v>
      </c>
      <c r="B517" s="34" t="s">
        <v>4226</v>
      </c>
      <c r="C517" s="35" t="s">
        <v>4227</v>
      </c>
      <c r="D517" s="36" t="s">
        <v>4228</v>
      </c>
      <c r="E517" s="36" t="s">
        <v>54</v>
      </c>
      <c r="F517" s="34" t="s">
        <v>4229</v>
      </c>
      <c r="G517" s="37" t="s">
        <v>73</v>
      </c>
      <c r="H517" s="37" t="s">
        <v>73</v>
      </c>
      <c r="I517" s="34" t="s">
        <v>4230</v>
      </c>
      <c r="J517" s="34" t="s">
        <v>4230</v>
      </c>
      <c r="K517" s="39" t="s">
        <v>42</v>
      </c>
      <c r="L517" s="120" t="s">
        <v>4231</v>
      </c>
      <c r="M517" s="41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42" t="s">
        <v>4232</v>
      </c>
      <c r="Y517" s="69" t="s">
        <v>4233</v>
      </c>
      <c r="Z517" s="44" t="s">
        <v>4234</v>
      </c>
      <c r="AA517" s="45">
        <v>42935</v>
      </c>
      <c r="AB517" s="101" t="s">
        <v>30</v>
      </c>
      <c r="AC517" s="36" t="s">
        <v>26</v>
      </c>
      <c r="AD517" s="47" t="s">
        <v>49</v>
      </c>
      <c r="AE517" s="48" t="s">
        <v>49</v>
      </c>
      <c r="AF517" s="48" t="s">
        <v>49</v>
      </c>
      <c r="AG517" s="48" t="s">
        <v>49</v>
      </c>
      <c r="AH517" s="48" t="s">
        <v>49</v>
      </c>
      <c r="AI517" s="48" t="s">
        <v>49</v>
      </c>
      <c r="AJ517" s="49" t="s">
        <v>41</v>
      </c>
      <c r="AK517" s="48" t="s">
        <v>41</v>
      </c>
      <c r="AL517" s="62" t="s">
        <v>276</v>
      </c>
      <c r="AM517" s="59"/>
      <c r="AN517" s="10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1"/>
    </row>
    <row r="518" spans="1:51" x14ac:dyDescent="0.2">
      <c r="A518" s="33">
        <f t="shared" si="8"/>
        <v>513</v>
      </c>
      <c r="B518" s="34" t="s">
        <v>4235</v>
      </c>
      <c r="C518" s="35" t="s">
        <v>4236</v>
      </c>
      <c r="D518" s="36" t="s">
        <v>4237</v>
      </c>
      <c r="E518" s="36" t="s">
        <v>54</v>
      </c>
      <c r="F518" s="34" t="s">
        <v>4238</v>
      </c>
      <c r="G518" s="37" t="s">
        <v>73</v>
      </c>
      <c r="H518" s="37" t="s">
        <v>73</v>
      </c>
      <c r="I518" s="34" t="s">
        <v>4239</v>
      </c>
      <c r="J518" s="34" t="s">
        <v>4240</v>
      </c>
      <c r="K518" s="39" t="s">
        <v>42</v>
      </c>
      <c r="L518" s="99" t="s">
        <v>4241</v>
      </c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42" t="s">
        <v>4242</v>
      </c>
      <c r="Y518" s="52" t="s">
        <v>4243</v>
      </c>
      <c r="Z518" s="44" t="s">
        <v>4244</v>
      </c>
      <c r="AA518" s="45">
        <v>43200</v>
      </c>
      <c r="AB518" s="101" t="s">
        <v>30</v>
      </c>
      <c r="AC518" s="36" t="s">
        <v>26</v>
      </c>
      <c r="AD518" s="47" t="s">
        <v>49</v>
      </c>
      <c r="AE518" s="48" t="s">
        <v>49</v>
      </c>
      <c r="AF518" s="48" t="s">
        <v>49</v>
      </c>
      <c r="AG518" s="48" t="s">
        <v>49</v>
      </c>
      <c r="AH518" s="48" t="s">
        <v>41</v>
      </c>
      <c r="AI518" s="48" t="s">
        <v>41</v>
      </c>
      <c r="AJ518" s="49" t="s">
        <v>41</v>
      </c>
      <c r="AK518" s="48" t="s">
        <v>41</v>
      </c>
      <c r="AL518" s="62" t="s">
        <v>139</v>
      </c>
      <c r="AM518" s="59"/>
      <c r="AN518" s="10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1"/>
    </row>
    <row r="519" spans="1:51" ht="14.25" customHeight="1" x14ac:dyDescent="0.2">
      <c r="A519" s="33">
        <f t="shared" ref="A519:A551" si="9">+A518+1</f>
        <v>514</v>
      </c>
      <c r="B519" s="34" t="s">
        <v>4245</v>
      </c>
      <c r="C519" s="35" t="s">
        <v>4246</v>
      </c>
      <c r="D519" s="36" t="s">
        <v>4247</v>
      </c>
      <c r="E519" s="36" t="s">
        <v>54</v>
      </c>
      <c r="F519" s="34" t="s">
        <v>4248</v>
      </c>
      <c r="G519" s="37" t="s">
        <v>528</v>
      </c>
      <c r="H519" s="37" t="s">
        <v>57</v>
      </c>
      <c r="I519" s="38" t="s">
        <v>4249</v>
      </c>
      <c r="J519" s="34" t="s">
        <v>41</v>
      </c>
      <c r="K519" s="39" t="s">
        <v>42</v>
      </c>
      <c r="L519" s="99" t="s">
        <v>530</v>
      </c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2" t="s">
        <v>4250</v>
      </c>
      <c r="Y519" s="43" t="s">
        <v>4251</v>
      </c>
      <c r="Z519" s="207" t="s">
        <v>4252</v>
      </c>
      <c r="AA519" s="45">
        <v>44944</v>
      </c>
      <c r="AB519" s="101" t="s">
        <v>30</v>
      </c>
      <c r="AC519" s="36"/>
      <c r="AD519" s="47" t="s">
        <v>49</v>
      </c>
      <c r="AE519" s="48" t="s">
        <v>41</v>
      </c>
      <c r="AF519" s="48" t="s">
        <v>49</v>
      </c>
      <c r="AG519" s="48" t="s">
        <v>49</v>
      </c>
      <c r="AH519" s="48" t="s">
        <v>49</v>
      </c>
      <c r="AI519" s="48" t="s">
        <v>49</v>
      </c>
      <c r="AJ519" s="49" t="s">
        <v>41</v>
      </c>
      <c r="AK519" s="48" t="s">
        <v>41</v>
      </c>
      <c r="AL519" s="62" t="s">
        <v>276</v>
      </c>
      <c r="AM519" s="59"/>
      <c r="AN519" s="10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1"/>
    </row>
    <row r="520" spans="1:51" ht="14.25" customHeight="1" x14ac:dyDescent="0.2">
      <c r="A520" s="33">
        <f t="shared" si="9"/>
        <v>515</v>
      </c>
      <c r="B520" s="34" t="s">
        <v>4253</v>
      </c>
      <c r="C520" s="35" t="s">
        <v>4254</v>
      </c>
      <c r="D520" s="36" t="s">
        <v>4255</v>
      </c>
      <c r="E520" s="36" t="s">
        <v>36</v>
      </c>
      <c r="F520" s="34" t="s">
        <v>4256</v>
      </c>
      <c r="G520" s="37" t="s">
        <v>56</v>
      </c>
      <c r="H520" s="37" t="s">
        <v>57</v>
      </c>
      <c r="I520" s="38" t="s">
        <v>4257</v>
      </c>
      <c r="J520" s="34" t="s">
        <v>41</v>
      </c>
      <c r="K520" s="39" t="s">
        <v>42</v>
      </c>
      <c r="L520" s="120" t="s">
        <v>4258</v>
      </c>
      <c r="M520" s="41"/>
      <c r="N520" s="41"/>
      <c r="O520" s="41"/>
      <c r="P520" s="41"/>
      <c r="Q520" s="41"/>
      <c r="R520" s="41"/>
      <c r="S520" s="41"/>
      <c r="T520" s="41" t="s">
        <v>44</v>
      </c>
      <c r="U520" s="41"/>
      <c r="V520" s="41"/>
      <c r="W520" s="41"/>
      <c r="X520" s="42" t="s">
        <v>4259</v>
      </c>
      <c r="Y520" s="69" t="s">
        <v>4260</v>
      </c>
      <c r="Z520" s="44"/>
      <c r="AA520" s="45">
        <v>45642</v>
      </c>
      <c r="AB520" s="101"/>
      <c r="AC520" s="36"/>
      <c r="AD520" s="47" t="s">
        <v>49</v>
      </c>
      <c r="AE520" s="48" t="s">
        <v>41</v>
      </c>
      <c r="AF520" s="48" t="s">
        <v>41</v>
      </c>
      <c r="AG520" s="48" t="s">
        <v>41</v>
      </c>
      <c r="AH520" s="48" t="s">
        <v>49</v>
      </c>
      <c r="AI520" s="48" t="s">
        <v>49</v>
      </c>
      <c r="AJ520" s="49" t="s">
        <v>49</v>
      </c>
      <c r="AK520" s="48" t="s">
        <v>41</v>
      </c>
      <c r="AL520" s="65" t="s">
        <v>148</v>
      </c>
      <c r="AM520" s="59"/>
      <c r="AN520" s="10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1"/>
    </row>
    <row r="521" spans="1:51" ht="14.25" customHeight="1" x14ac:dyDescent="0.2">
      <c r="A521" s="33">
        <f t="shared" si="9"/>
        <v>516</v>
      </c>
      <c r="B521" s="34" t="s">
        <v>4261</v>
      </c>
      <c r="C521" s="35" t="s">
        <v>4262</v>
      </c>
      <c r="D521" s="36" t="s">
        <v>4263</v>
      </c>
      <c r="E521" s="36" t="s">
        <v>54</v>
      </c>
      <c r="F521" s="34" t="s">
        <v>4264</v>
      </c>
      <c r="G521" s="37" t="s">
        <v>73</v>
      </c>
      <c r="H521" s="37" t="s">
        <v>73</v>
      </c>
      <c r="I521" s="34" t="s">
        <v>4265</v>
      </c>
      <c r="J521" s="34" t="s">
        <v>4266</v>
      </c>
      <c r="K521" s="39" t="s">
        <v>42</v>
      </c>
      <c r="L521" s="99" t="s">
        <v>4267</v>
      </c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42" t="s">
        <v>4604</v>
      </c>
      <c r="Y521" s="52" t="s">
        <v>4268</v>
      </c>
      <c r="Z521" s="44" t="s">
        <v>61</v>
      </c>
      <c r="AA521" s="45">
        <v>40280</v>
      </c>
      <c r="AB521" s="101" t="s">
        <v>30</v>
      </c>
      <c r="AC521" s="36" t="s">
        <v>26</v>
      </c>
      <c r="AD521" s="61" t="s">
        <v>49</v>
      </c>
      <c r="AE521" s="48" t="s">
        <v>49</v>
      </c>
      <c r="AF521" s="48" t="s">
        <v>49</v>
      </c>
      <c r="AG521" s="48" t="s">
        <v>49</v>
      </c>
      <c r="AH521" s="48" t="s">
        <v>49</v>
      </c>
      <c r="AI521" s="48" t="s">
        <v>49</v>
      </c>
      <c r="AJ521" s="49" t="s">
        <v>49</v>
      </c>
      <c r="AK521" s="48" t="s">
        <v>49</v>
      </c>
      <c r="AL521" s="65" t="s">
        <v>32</v>
      </c>
      <c r="AM521" s="59"/>
      <c r="AN521" s="10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1"/>
    </row>
    <row r="522" spans="1:51" ht="14.25" customHeight="1" x14ac:dyDescent="0.2">
      <c r="A522" s="33">
        <f t="shared" si="9"/>
        <v>517</v>
      </c>
      <c r="B522" s="34" t="s">
        <v>4269</v>
      </c>
      <c r="C522" s="35" t="s">
        <v>4270</v>
      </c>
      <c r="D522" s="36" t="s">
        <v>4271</v>
      </c>
      <c r="E522" s="36" t="s">
        <v>54</v>
      </c>
      <c r="F522" s="34" t="s">
        <v>4272</v>
      </c>
      <c r="G522" s="37" t="s">
        <v>73</v>
      </c>
      <c r="H522" s="37" t="s">
        <v>73</v>
      </c>
      <c r="I522" s="34" t="s">
        <v>4273</v>
      </c>
      <c r="J522" s="34" t="s">
        <v>41</v>
      </c>
      <c r="K522" s="39" t="s">
        <v>42</v>
      </c>
      <c r="L522" s="120">
        <v>44662</v>
      </c>
      <c r="M522" s="56"/>
      <c r="N522" s="56"/>
      <c r="O522" s="56"/>
      <c r="P522" s="56"/>
      <c r="Q522" s="56"/>
      <c r="R522" s="56"/>
      <c r="S522" s="56" t="s">
        <v>44</v>
      </c>
      <c r="T522" s="56"/>
      <c r="U522" s="56"/>
      <c r="V522" s="56"/>
      <c r="W522" s="56"/>
      <c r="X522" s="42" t="s">
        <v>4274</v>
      </c>
      <c r="Y522" s="43" t="s">
        <v>4275</v>
      </c>
      <c r="Z522" s="211" t="s">
        <v>4276</v>
      </c>
      <c r="AA522" s="45">
        <v>44944</v>
      </c>
      <c r="AB522" s="101" t="s">
        <v>30</v>
      </c>
      <c r="AC522" s="36"/>
      <c r="AD522" s="61" t="s">
        <v>49</v>
      </c>
      <c r="AE522" s="48" t="s">
        <v>41</v>
      </c>
      <c r="AF522" s="48" t="s">
        <v>41</v>
      </c>
      <c r="AG522" s="48" t="s">
        <v>49</v>
      </c>
      <c r="AH522" s="48" t="s">
        <v>49</v>
      </c>
      <c r="AI522" s="48" t="s">
        <v>49</v>
      </c>
      <c r="AJ522" s="49" t="s">
        <v>49</v>
      </c>
      <c r="AK522" s="48" t="s">
        <v>49</v>
      </c>
      <c r="AL522" s="62" t="s">
        <v>32</v>
      </c>
      <c r="AM522" s="59"/>
      <c r="AN522" s="10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1"/>
    </row>
    <row r="523" spans="1:51" x14ac:dyDescent="0.2">
      <c r="A523" s="33">
        <f t="shared" si="9"/>
        <v>518</v>
      </c>
      <c r="B523" s="34" t="s">
        <v>4277</v>
      </c>
      <c r="C523" s="35" t="s">
        <v>4278</v>
      </c>
      <c r="D523" s="36" t="s">
        <v>4279</v>
      </c>
      <c r="E523" s="36" t="s">
        <v>54</v>
      </c>
      <c r="F523" s="34" t="s">
        <v>4280</v>
      </c>
      <c r="G523" s="37" t="s">
        <v>73</v>
      </c>
      <c r="H523" s="37" t="s">
        <v>73</v>
      </c>
      <c r="I523" s="34" t="s">
        <v>2633</v>
      </c>
      <c r="J523" s="34" t="s">
        <v>2633</v>
      </c>
      <c r="K523" s="39" t="s">
        <v>42</v>
      </c>
      <c r="L523" s="120">
        <v>44837</v>
      </c>
      <c r="M523" s="56"/>
      <c r="N523" s="56"/>
      <c r="O523" s="56"/>
      <c r="P523" s="56"/>
      <c r="Q523" s="56"/>
      <c r="R523" s="56"/>
      <c r="S523" s="56" t="s">
        <v>44</v>
      </c>
      <c r="T523" s="56"/>
      <c r="U523" s="56"/>
      <c r="V523" s="56"/>
      <c r="W523" s="56"/>
      <c r="X523" s="42" t="s">
        <v>4281</v>
      </c>
      <c r="Y523" s="43" t="s">
        <v>4282</v>
      </c>
      <c r="Z523" s="84" t="s">
        <v>4283</v>
      </c>
      <c r="AA523" s="45">
        <v>44650</v>
      </c>
      <c r="AB523" s="101" t="s">
        <v>30</v>
      </c>
      <c r="AC523" s="36"/>
      <c r="AD523" s="64" t="s">
        <v>120</v>
      </c>
      <c r="AE523" s="48" t="s">
        <v>41</v>
      </c>
      <c r="AF523" s="48" t="s">
        <v>120</v>
      </c>
      <c r="AG523" s="48" t="s">
        <v>120</v>
      </c>
      <c r="AH523" s="48" t="s">
        <v>120</v>
      </c>
      <c r="AI523" s="48" t="s">
        <v>120</v>
      </c>
      <c r="AJ523" s="49" t="s">
        <v>41</v>
      </c>
      <c r="AK523" s="48" t="s">
        <v>41</v>
      </c>
      <c r="AL523" s="62" t="s">
        <v>276</v>
      </c>
      <c r="AM523" s="59"/>
      <c r="AN523" s="10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1"/>
    </row>
    <row r="524" spans="1:51" x14ac:dyDescent="0.2">
      <c r="A524" s="33">
        <f t="shared" si="9"/>
        <v>519</v>
      </c>
      <c r="B524" s="72" t="s">
        <v>4284</v>
      </c>
      <c r="C524" s="35" t="s">
        <v>4285</v>
      </c>
      <c r="D524" s="73" t="s">
        <v>4286</v>
      </c>
      <c r="E524" s="36" t="s">
        <v>36</v>
      </c>
      <c r="F524" s="74" t="s">
        <v>4287</v>
      </c>
      <c r="G524" s="75" t="s">
        <v>73</v>
      </c>
      <c r="H524" s="75" t="s">
        <v>73</v>
      </c>
      <c r="I524" s="72" t="s">
        <v>4288</v>
      </c>
      <c r="J524" s="72" t="s">
        <v>4289</v>
      </c>
      <c r="K524" s="77" t="s">
        <v>42</v>
      </c>
      <c r="L524" s="242">
        <v>40195</v>
      </c>
      <c r="M524" s="243"/>
      <c r="N524" s="243"/>
      <c r="O524" s="243"/>
      <c r="P524" s="243"/>
      <c r="Q524" s="243"/>
      <c r="R524" s="243"/>
      <c r="S524" s="243"/>
      <c r="T524" s="243"/>
      <c r="U524" s="243"/>
      <c r="V524" s="243"/>
      <c r="W524" s="243"/>
      <c r="X524" s="42" t="s">
        <v>4290</v>
      </c>
      <c r="Y524" s="58" t="s">
        <v>4291</v>
      </c>
      <c r="Z524" s="44" t="s">
        <v>4292</v>
      </c>
      <c r="AA524" s="45">
        <v>41793</v>
      </c>
      <c r="AB524" s="244" t="s">
        <v>129</v>
      </c>
      <c r="AC524" s="73" t="s">
        <v>26</v>
      </c>
      <c r="AD524" s="81" t="s">
        <v>49</v>
      </c>
      <c r="AE524" s="48" t="s">
        <v>49</v>
      </c>
      <c r="AF524" s="48" t="s">
        <v>49</v>
      </c>
      <c r="AG524" s="48" t="s">
        <v>41</v>
      </c>
      <c r="AH524" s="48" t="s">
        <v>41</v>
      </c>
      <c r="AI524" s="48" t="s">
        <v>41</v>
      </c>
      <c r="AJ524" s="49" t="s">
        <v>41</v>
      </c>
      <c r="AK524" s="48" t="s">
        <v>41</v>
      </c>
      <c r="AL524" s="62" t="s">
        <v>110</v>
      </c>
      <c r="AM524" s="59"/>
      <c r="AN524" s="117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1"/>
    </row>
    <row r="525" spans="1:51" x14ac:dyDescent="0.2">
      <c r="A525" s="33">
        <f t="shared" si="9"/>
        <v>520</v>
      </c>
      <c r="B525" s="72" t="s">
        <v>4293</v>
      </c>
      <c r="C525" s="35" t="s">
        <v>4294</v>
      </c>
      <c r="D525" s="73" t="s">
        <v>4295</v>
      </c>
      <c r="E525" s="36" t="s">
        <v>36</v>
      </c>
      <c r="F525" s="74" t="s">
        <v>4296</v>
      </c>
      <c r="G525" s="75" t="s">
        <v>73</v>
      </c>
      <c r="H525" s="75" t="s">
        <v>73</v>
      </c>
      <c r="I525" s="245" t="s">
        <v>4297</v>
      </c>
      <c r="J525" s="72"/>
      <c r="K525" s="77" t="s">
        <v>42</v>
      </c>
      <c r="L525" s="242">
        <v>45198</v>
      </c>
      <c r="M525" s="243" t="s">
        <v>179</v>
      </c>
      <c r="N525" s="243" t="s">
        <v>341</v>
      </c>
      <c r="O525" s="243" t="s">
        <v>1878</v>
      </c>
      <c r="P525" s="243">
        <v>1</v>
      </c>
      <c r="Q525" s="243"/>
      <c r="R525" s="243"/>
      <c r="S525" s="243"/>
      <c r="T525" s="243" t="s">
        <v>44</v>
      </c>
      <c r="U525" s="243"/>
      <c r="V525" s="243"/>
      <c r="W525" s="243"/>
      <c r="X525" s="229" t="s">
        <v>4298</v>
      </c>
      <c r="Y525" s="58" t="s">
        <v>4299</v>
      </c>
      <c r="Z525" s="58"/>
      <c r="AA525" s="58" t="s">
        <v>47</v>
      </c>
      <c r="AB525" s="244"/>
      <c r="AC525" s="73"/>
      <c r="AD525" s="81" t="s">
        <v>49</v>
      </c>
      <c r="AE525" s="48" t="s">
        <v>41</v>
      </c>
      <c r="AF525" s="48" t="s">
        <v>41</v>
      </c>
      <c r="AG525" s="48" t="s">
        <v>41</v>
      </c>
      <c r="AH525" s="48" t="s">
        <v>49</v>
      </c>
      <c r="AI525" s="48" t="s">
        <v>49</v>
      </c>
      <c r="AJ525" s="49" t="s">
        <v>49</v>
      </c>
      <c r="AK525" s="48" t="s">
        <v>49</v>
      </c>
      <c r="AL525" s="62" t="s">
        <v>32</v>
      </c>
      <c r="AM525" s="59"/>
      <c r="AN525" s="10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1"/>
    </row>
    <row r="526" spans="1:51" x14ac:dyDescent="0.2">
      <c r="A526" s="33">
        <f t="shared" si="9"/>
        <v>521</v>
      </c>
      <c r="B526" s="72" t="s">
        <v>4300</v>
      </c>
      <c r="C526" s="35" t="s">
        <v>4301</v>
      </c>
      <c r="D526" s="73" t="s">
        <v>4302</v>
      </c>
      <c r="E526" s="36" t="s">
        <v>36</v>
      </c>
      <c r="F526" s="74" t="s">
        <v>4303</v>
      </c>
      <c r="G526" s="75" t="s">
        <v>176</v>
      </c>
      <c r="H526" s="75" t="s">
        <v>39</v>
      </c>
      <c r="I526" s="72" t="s">
        <v>4304</v>
      </c>
      <c r="J526" s="72" t="s">
        <v>41</v>
      </c>
      <c r="K526" s="77" t="s">
        <v>42</v>
      </c>
      <c r="L526" s="242">
        <v>45171</v>
      </c>
      <c r="M526" s="243" t="s">
        <v>179</v>
      </c>
      <c r="N526" s="243" t="s">
        <v>179</v>
      </c>
      <c r="O526" s="243"/>
      <c r="P526" s="243">
        <v>3</v>
      </c>
      <c r="Q526" s="243"/>
      <c r="R526" s="243"/>
      <c r="S526" s="243"/>
      <c r="T526" s="243" t="s">
        <v>44</v>
      </c>
      <c r="U526" s="243"/>
      <c r="V526" s="243"/>
      <c r="W526" s="243"/>
      <c r="X526" s="42" t="s">
        <v>4305</v>
      </c>
      <c r="Y526" s="58" t="s">
        <v>4306</v>
      </c>
      <c r="Z526" s="58"/>
      <c r="AA526" s="58" t="s">
        <v>47</v>
      </c>
      <c r="AB526" s="244"/>
      <c r="AC526" s="73">
        <v>1</v>
      </c>
      <c r="AD526" s="81" t="s">
        <v>49</v>
      </c>
      <c r="AE526" s="48" t="s">
        <v>41</v>
      </c>
      <c r="AF526" s="48" t="s">
        <v>41</v>
      </c>
      <c r="AG526" s="48" t="s">
        <v>41</v>
      </c>
      <c r="AH526" s="48" t="s">
        <v>49</v>
      </c>
      <c r="AI526" s="48" t="s">
        <v>41</v>
      </c>
      <c r="AJ526" s="49" t="s">
        <v>41</v>
      </c>
      <c r="AK526" s="48" t="s">
        <v>41</v>
      </c>
      <c r="AL526" s="62" t="s">
        <v>4589</v>
      </c>
      <c r="AM526" s="59"/>
      <c r="AN526" s="117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1"/>
    </row>
    <row r="527" spans="1:51" x14ac:dyDescent="0.2">
      <c r="A527" s="33">
        <f t="shared" si="9"/>
        <v>522</v>
      </c>
      <c r="B527" s="34" t="s">
        <v>4307</v>
      </c>
      <c r="C527" s="35" t="s">
        <v>4308</v>
      </c>
      <c r="D527" s="36" t="s">
        <v>4309</v>
      </c>
      <c r="E527" s="36" t="s">
        <v>54</v>
      </c>
      <c r="F527" s="98" t="s">
        <v>4310</v>
      </c>
      <c r="G527" s="37" t="s">
        <v>39</v>
      </c>
      <c r="H527" s="37" t="s">
        <v>39</v>
      </c>
      <c r="I527" s="38" t="s">
        <v>4311</v>
      </c>
      <c r="J527" s="38" t="s">
        <v>4312</v>
      </c>
      <c r="K527" s="39" t="s">
        <v>42</v>
      </c>
      <c r="L527" s="120">
        <v>42552</v>
      </c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2" t="s">
        <v>4313</v>
      </c>
      <c r="Y527" s="52" t="s">
        <v>4314</v>
      </c>
      <c r="Z527" s="58"/>
      <c r="AA527" s="45">
        <v>42935</v>
      </c>
      <c r="AB527" s="101" t="s">
        <v>129</v>
      </c>
      <c r="AC527" s="36" t="s">
        <v>26</v>
      </c>
      <c r="AD527" s="47" t="s">
        <v>49</v>
      </c>
      <c r="AE527" s="48" t="s">
        <v>49</v>
      </c>
      <c r="AF527" s="48" t="s">
        <v>49</v>
      </c>
      <c r="AG527" s="48" t="s">
        <v>49</v>
      </c>
      <c r="AH527" s="48" t="s">
        <v>49</v>
      </c>
      <c r="AI527" s="48" t="s">
        <v>49</v>
      </c>
      <c r="AJ527" s="49" t="s">
        <v>49</v>
      </c>
      <c r="AK527" s="48" t="s">
        <v>49</v>
      </c>
      <c r="AL527" s="62" t="s">
        <v>32</v>
      </c>
      <c r="AM527" s="59"/>
      <c r="AN527" s="10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1"/>
    </row>
    <row r="528" spans="1:51" x14ac:dyDescent="0.2">
      <c r="A528" s="33">
        <f t="shared" si="9"/>
        <v>523</v>
      </c>
      <c r="B528" s="34" t="s">
        <v>4315</v>
      </c>
      <c r="C528" s="35" t="s">
        <v>4316</v>
      </c>
      <c r="D528" s="36" t="s">
        <v>4317</v>
      </c>
      <c r="E528" s="36" t="s">
        <v>36</v>
      </c>
      <c r="F528" s="98" t="s">
        <v>4318</v>
      </c>
      <c r="G528" s="37" t="s">
        <v>73</v>
      </c>
      <c r="H528" s="37" t="s">
        <v>73</v>
      </c>
      <c r="I528" s="38" t="s">
        <v>4319</v>
      </c>
      <c r="J528" s="38" t="s">
        <v>41</v>
      </c>
      <c r="K528" s="39" t="s">
        <v>42</v>
      </c>
      <c r="L528" s="120" t="s">
        <v>3950</v>
      </c>
      <c r="M528" s="41"/>
      <c r="N528" s="41"/>
      <c r="O528" s="41"/>
      <c r="P528" s="41"/>
      <c r="Q528" s="41"/>
      <c r="R528" s="41" t="s">
        <v>44</v>
      </c>
      <c r="S528" s="41"/>
      <c r="T528" s="41"/>
      <c r="U528" s="41"/>
      <c r="V528" s="41"/>
      <c r="W528" s="41"/>
      <c r="X528" s="42" t="s">
        <v>4320</v>
      </c>
      <c r="Y528" s="43" t="s">
        <v>4321</v>
      </c>
      <c r="Z528" s="84" t="s">
        <v>4322</v>
      </c>
      <c r="AA528" s="45">
        <v>44650</v>
      </c>
      <c r="AB528" s="101" t="s">
        <v>30</v>
      </c>
      <c r="AC528" s="36"/>
      <c r="AD528" s="64" t="s">
        <v>120</v>
      </c>
      <c r="AE528" s="48" t="s">
        <v>41</v>
      </c>
      <c r="AF528" s="48" t="s">
        <v>120</v>
      </c>
      <c r="AG528" s="48" t="s">
        <v>120</v>
      </c>
      <c r="AH528" s="48" t="s">
        <v>120</v>
      </c>
      <c r="AI528" s="48" t="s">
        <v>120</v>
      </c>
      <c r="AJ528" s="49" t="s">
        <v>120</v>
      </c>
      <c r="AK528" s="48" t="s">
        <v>41</v>
      </c>
      <c r="AL528" s="62" t="s">
        <v>148</v>
      </c>
      <c r="AM528" s="59"/>
      <c r="AN528" s="10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1"/>
    </row>
    <row r="529" spans="1:51" x14ac:dyDescent="0.2">
      <c r="A529" s="33">
        <f t="shared" si="9"/>
        <v>524</v>
      </c>
      <c r="B529" s="34" t="s">
        <v>4323</v>
      </c>
      <c r="C529" s="35" t="s">
        <v>4324</v>
      </c>
      <c r="D529" s="36" t="s">
        <v>4325</v>
      </c>
      <c r="E529" s="36" t="s">
        <v>54</v>
      </c>
      <c r="F529" s="34" t="s">
        <v>4326</v>
      </c>
      <c r="G529" s="37" t="s">
        <v>73</v>
      </c>
      <c r="H529" s="37" t="s">
        <v>73</v>
      </c>
      <c r="I529" s="34" t="s">
        <v>4327</v>
      </c>
      <c r="J529" s="34" t="s">
        <v>4328</v>
      </c>
      <c r="K529" s="39" t="s">
        <v>42</v>
      </c>
      <c r="L529" s="99" t="s">
        <v>4329</v>
      </c>
      <c r="M529" s="112"/>
      <c r="N529" s="112"/>
      <c r="O529" s="112"/>
      <c r="P529" s="112"/>
      <c r="Q529" s="112"/>
      <c r="R529" s="112"/>
      <c r="S529" s="112"/>
      <c r="T529" s="41"/>
      <c r="U529" s="41"/>
      <c r="V529" s="41"/>
      <c r="W529" s="41"/>
      <c r="X529" s="42" t="s">
        <v>4330</v>
      </c>
      <c r="Y529" s="43" t="s">
        <v>4331</v>
      </c>
      <c r="Z529" s="44" t="s">
        <v>4332</v>
      </c>
      <c r="AA529" s="45">
        <v>41793</v>
      </c>
      <c r="AB529" s="101" t="s">
        <v>30</v>
      </c>
      <c r="AC529" s="36" t="s">
        <v>26</v>
      </c>
      <c r="AD529" s="61" t="s">
        <v>49</v>
      </c>
      <c r="AE529" s="48" t="s">
        <v>49</v>
      </c>
      <c r="AF529" s="48" t="s">
        <v>49</v>
      </c>
      <c r="AG529" s="48" t="s">
        <v>49</v>
      </c>
      <c r="AH529" s="48" t="s">
        <v>49</v>
      </c>
      <c r="AI529" s="48" t="s">
        <v>49</v>
      </c>
      <c r="AJ529" s="49" t="s">
        <v>49</v>
      </c>
      <c r="AK529" s="48" t="s">
        <v>49</v>
      </c>
      <c r="AL529" s="62" t="s">
        <v>32</v>
      </c>
      <c r="AM529" s="59"/>
      <c r="AN529" s="10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1"/>
    </row>
    <row r="530" spans="1:51" x14ac:dyDescent="0.2">
      <c r="A530" s="33">
        <f t="shared" si="9"/>
        <v>525</v>
      </c>
      <c r="B530" s="122" t="s">
        <v>4333</v>
      </c>
      <c r="C530" s="123" t="s">
        <v>4334</v>
      </c>
      <c r="D530" s="202" t="s">
        <v>4335</v>
      </c>
      <c r="E530" s="36" t="s">
        <v>36</v>
      </c>
      <c r="F530" s="122" t="s">
        <v>4336</v>
      </c>
      <c r="G530" s="126" t="s">
        <v>39</v>
      </c>
      <c r="H530" s="126" t="s">
        <v>39</v>
      </c>
      <c r="I530" s="127" t="s">
        <v>4337</v>
      </c>
      <c r="J530" s="122" t="s">
        <v>41</v>
      </c>
      <c r="K530" s="128" t="s">
        <v>42</v>
      </c>
      <c r="L530" s="163" t="s">
        <v>1869</v>
      </c>
      <c r="M530" s="130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42" t="s">
        <v>4338</v>
      </c>
      <c r="Y530" s="52" t="s">
        <v>4339</v>
      </c>
      <c r="Z530" s="44" t="s">
        <v>61</v>
      </c>
      <c r="AA530" s="131">
        <v>37208</v>
      </c>
      <c r="AB530" s="164"/>
      <c r="AC530" s="36" t="s">
        <v>26</v>
      </c>
      <c r="AD530" s="133" t="s">
        <v>49</v>
      </c>
      <c r="AE530" s="48" t="s">
        <v>49</v>
      </c>
      <c r="AF530" s="48" t="s">
        <v>41</v>
      </c>
      <c r="AG530" s="48" t="s">
        <v>41</v>
      </c>
      <c r="AH530" s="48" t="s">
        <v>41</v>
      </c>
      <c r="AI530" s="48" t="s">
        <v>41</v>
      </c>
      <c r="AJ530" s="49" t="s">
        <v>41</v>
      </c>
      <c r="AK530" s="48" t="s">
        <v>41</v>
      </c>
      <c r="AL530" s="62" t="s">
        <v>4587</v>
      </c>
      <c r="AM530" s="134" t="s">
        <v>460</v>
      </c>
      <c r="AN530" s="10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1"/>
    </row>
    <row r="531" spans="1:51" x14ac:dyDescent="0.2">
      <c r="A531" s="33">
        <f t="shared" si="9"/>
        <v>526</v>
      </c>
      <c r="B531" s="122" t="s">
        <v>4340</v>
      </c>
      <c r="C531" s="123" t="s">
        <v>4341</v>
      </c>
      <c r="D531" s="202" t="s">
        <v>4342</v>
      </c>
      <c r="E531" s="36" t="s">
        <v>54</v>
      </c>
      <c r="F531" s="122" t="s">
        <v>4343</v>
      </c>
      <c r="G531" s="126" t="s">
        <v>39</v>
      </c>
      <c r="H531" s="126" t="s">
        <v>39</v>
      </c>
      <c r="I531" s="122" t="s">
        <v>4344</v>
      </c>
      <c r="J531" s="122" t="s">
        <v>4345</v>
      </c>
      <c r="K531" s="128" t="s">
        <v>42</v>
      </c>
      <c r="L531" s="165">
        <v>42343</v>
      </c>
      <c r="M531" s="130"/>
      <c r="N531" s="246"/>
      <c r="O531" s="115"/>
      <c r="P531" s="246"/>
      <c r="Q531" s="115"/>
      <c r="R531" s="115"/>
      <c r="S531" s="115"/>
      <c r="T531" s="56"/>
      <c r="U531" s="56"/>
      <c r="V531" s="56"/>
      <c r="W531" s="56"/>
      <c r="X531" s="42" t="s">
        <v>4346</v>
      </c>
      <c r="Y531" s="52" t="s">
        <v>4347</v>
      </c>
      <c r="Z531" s="44" t="s">
        <v>4348</v>
      </c>
      <c r="AA531" s="45" t="s">
        <v>1130</v>
      </c>
      <c r="AB531" s="164" t="s">
        <v>30</v>
      </c>
      <c r="AC531" s="36" t="s">
        <v>26</v>
      </c>
      <c r="AD531" s="133" t="s">
        <v>49</v>
      </c>
      <c r="AE531" s="48" t="s">
        <v>49</v>
      </c>
      <c r="AF531" s="48" t="s">
        <v>49</v>
      </c>
      <c r="AG531" s="48" t="s">
        <v>49</v>
      </c>
      <c r="AH531" s="48" t="s">
        <v>49</v>
      </c>
      <c r="AI531" s="48" t="s">
        <v>49</v>
      </c>
      <c r="AJ531" s="49" t="s">
        <v>49</v>
      </c>
      <c r="AK531" s="48" t="s">
        <v>49</v>
      </c>
      <c r="AL531" s="62" t="s">
        <v>32</v>
      </c>
      <c r="AM531" s="134"/>
      <c r="AN531" s="10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1"/>
    </row>
    <row r="532" spans="1:51" x14ac:dyDescent="0.2">
      <c r="A532" s="33">
        <f t="shared" si="9"/>
        <v>527</v>
      </c>
      <c r="B532" s="34" t="s">
        <v>4349</v>
      </c>
      <c r="C532" s="35" t="s">
        <v>4350</v>
      </c>
      <c r="D532" s="36" t="s">
        <v>4351</v>
      </c>
      <c r="E532" s="36" t="s">
        <v>54</v>
      </c>
      <c r="F532" s="34" t="s">
        <v>4352</v>
      </c>
      <c r="G532" s="37" t="s">
        <v>73</v>
      </c>
      <c r="H532" s="37" t="s">
        <v>73</v>
      </c>
      <c r="I532" s="34" t="s">
        <v>4353</v>
      </c>
      <c r="J532" s="34" t="s">
        <v>41</v>
      </c>
      <c r="K532" s="39" t="s">
        <v>42</v>
      </c>
      <c r="L532" s="165">
        <v>42555</v>
      </c>
      <c r="M532" s="188"/>
      <c r="N532" s="188"/>
      <c r="O532" s="188"/>
      <c r="P532" s="188"/>
      <c r="Q532" s="188"/>
      <c r="R532" s="188"/>
      <c r="S532" s="188"/>
      <c r="T532" s="188"/>
      <c r="U532" s="188"/>
      <c r="V532" s="188"/>
      <c r="W532" s="188"/>
      <c r="X532" s="42" t="s">
        <v>4354</v>
      </c>
      <c r="Y532" s="58" t="s">
        <v>4355</v>
      </c>
      <c r="Z532" s="44" t="s">
        <v>4356</v>
      </c>
      <c r="AA532" s="45">
        <v>42935</v>
      </c>
      <c r="AB532" s="164" t="s">
        <v>30</v>
      </c>
      <c r="AC532" s="36" t="s">
        <v>26</v>
      </c>
      <c r="AD532" s="47" t="s">
        <v>49</v>
      </c>
      <c r="AE532" s="48" t="s">
        <v>49</v>
      </c>
      <c r="AF532" s="48" t="s">
        <v>49</v>
      </c>
      <c r="AG532" s="48" t="s">
        <v>49</v>
      </c>
      <c r="AH532" s="48" t="s">
        <v>49</v>
      </c>
      <c r="AI532" s="48" t="s">
        <v>49</v>
      </c>
      <c r="AJ532" s="49" t="s">
        <v>49</v>
      </c>
      <c r="AK532" s="48" t="s">
        <v>49</v>
      </c>
      <c r="AL532" s="65" t="s">
        <v>32</v>
      </c>
      <c r="AM532" s="59"/>
      <c r="AN532" s="117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1"/>
    </row>
    <row r="533" spans="1:51" x14ac:dyDescent="0.2">
      <c r="A533" s="33">
        <f t="shared" si="9"/>
        <v>528</v>
      </c>
      <c r="B533" s="34" t="s">
        <v>4357</v>
      </c>
      <c r="C533" s="35" t="s">
        <v>4358</v>
      </c>
      <c r="D533" s="36" t="s">
        <v>4359</v>
      </c>
      <c r="E533" s="36" t="s">
        <v>54</v>
      </c>
      <c r="F533" s="34" t="s">
        <v>4360</v>
      </c>
      <c r="G533" s="37" t="s">
        <v>528</v>
      </c>
      <c r="H533" s="37" t="s">
        <v>57</v>
      </c>
      <c r="I533" s="34" t="s">
        <v>4361</v>
      </c>
      <c r="J533" s="34" t="s">
        <v>41</v>
      </c>
      <c r="K533" s="39" t="s">
        <v>42</v>
      </c>
      <c r="L533" s="165">
        <v>37174</v>
      </c>
      <c r="M533" s="188" t="s">
        <v>179</v>
      </c>
      <c r="N533" s="188"/>
      <c r="O533" s="188"/>
      <c r="P533" s="188"/>
      <c r="Q533" s="188"/>
      <c r="R533" s="188"/>
      <c r="S533" s="188"/>
      <c r="T533" s="188"/>
      <c r="U533" s="188"/>
      <c r="V533" s="188" t="s">
        <v>732</v>
      </c>
      <c r="W533" s="188"/>
      <c r="X533" s="42" t="s">
        <v>4362</v>
      </c>
      <c r="Y533" s="69" t="s">
        <v>4363</v>
      </c>
      <c r="Z533" s="44" t="s">
        <v>61</v>
      </c>
      <c r="AA533" s="45">
        <v>37208</v>
      </c>
      <c r="AB533" s="164" t="s">
        <v>30</v>
      </c>
      <c r="AC533" s="36" t="s">
        <v>26</v>
      </c>
      <c r="AD533" s="47" t="s">
        <v>49</v>
      </c>
      <c r="AE533" s="48" t="s">
        <v>49</v>
      </c>
      <c r="AF533" s="48" t="s">
        <v>49</v>
      </c>
      <c r="AG533" s="48" t="s">
        <v>49</v>
      </c>
      <c r="AH533" s="48" t="s">
        <v>49</v>
      </c>
      <c r="AI533" s="48" t="s">
        <v>49</v>
      </c>
      <c r="AJ533" s="49" t="s">
        <v>49</v>
      </c>
      <c r="AK533" s="48" t="s">
        <v>41</v>
      </c>
      <c r="AL533" s="62" t="s">
        <v>148</v>
      </c>
      <c r="AM533" s="59"/>
      <c r="AN533" s="10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1"/>
    </row>
    <row r="534" spans="1:51" x14ac:dyDescent="0.2">
      <c r="A534" s="33">
        <f t="shared" si="9"/>
        <v>529</v>
      </c>
      <c r="B534" s="34" t="s">
        <v>4364</v>
      </c>
      <c r="C534" s="35" t="s">
        <v>4365</v>
      </c>
      <c r="D534" s="36" t="s">
        <v>4366</v>
      </c>
      <c r="E534" s="36" t="s">
        <v>54</v>
      </c>
      <c r="F534" s="34" t="s">
        <v>4367</v>
      </c>
      <c r="G534" s="37" t="s">
        <v>1354</v>
      </c>
      <c r="H534" s="37" t="s">
        <v>57</v>
      </c>
      <c r="I534" s="34" t="s">
        <v>4368</v>
      </c>
      <c r="J534" s="34" t="s">
        <v>41</v>
      </c>
      <c r="K534" s="39" t="s">
        <v>42</v>
      </c>
      <c r="L534" s="99" t="s">
        <v>3857</v>
      </c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42" t="s">
        <v>4369</v>
      </c>
      <c r="Y534" s="52" t="s">
        <v>4370</v>
      </c>
      <c r="Z534" s="44" t="s">
        <v>4371</v>
      </c>
      <c r="AA534" s="45">
        <v>41793</v>
      </c>
      <c r="AB534" s="101" t="s">
        <v>30</v>
      </c>
      <c r="AC534" s="36" t="s">
        <v>26</v>
      </c>
      <c r="AD534" s="47" t="s">
        <v>49</v>
      </c>
      <c r="AE534" s="48" t="s">
        <v>49</v>
      </c>
      <c r="AF534" s="48" t="s">
        <v>49</v>
      </c>
      <c r="AG534" s="48" t="s">
        <v>49</v>
      </c>
      <c r="AH534" s="48" t="s">
        <v>49</v>
      </c>
      <c r="AI534" s="48" t="s">
        <v>49</v>
      </c>
      <c r="AJ534" s="49" t="s">
        <v>49</v>
      </c>
      <c r="AK534" s="48" t="s">
        <v>49</v>
      </c>
      <c r="AL534" s="62" t="s">
        <v>32</v>
      </c>
      <c r="AM534" s="134"/>
      <c r="AN534" s="10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1"/>
    </row>
    <row r="535" spans="1:51" x14ac:dyDescent="0.2">
      <c r="A535" s="33">
        <f t="shared" si="9"/>
        <v>530</v>
      </c>
      <c r="B535" s="34" t="s">
        <v>4372</v>
      </c>
      <c r="C535" s="35" t="s">
        <v>4373</v>
      </c>
      <c r="D535" s="73" t="s">
        <v>4374</v>
      </c>
      <c r="E535" s="36" t="s">
        <v>54</v>
      </c>
      <c r="F535" s="98" t="s">
        <v>4375</v>
      </c>
      <c r="G535" s="37" t="s">
        <v>73</v>
      </c>
      <c r="H535" s="37" t="s">
        <v>73</v>
      </c>
      <c r="I535" s="38" t="s">
        <v>4376</v>
      </c>
      <c r="J535" s="34" t="s">
        <v>41</v>
      </c>
      <c r="K535" s="39" t="s">
        <v>42</v>
      </c>
      <c r="L535" s="120">
        <v>42440</v>
      </c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42" t="s">
        <v>4377</v>
      </c>
      <c r="Y535" s="69" t="s">
        <v>4378</v>
      </c>
      <c r="Z535" s="44" t="s">
        <v>4379</v>
      </c>
      <c r="AA535" s="45">
        <v>42935</v>
      </c>
      <c r="AB535" s="101" t="s">
        <v>30</v>
      </c>
      <c r="AC535" s="73" t="s">
        <v>26</v>
      </c>
      <c r="AD535" s="47" t="s">
        <v>49</v>
      </c>
      <c r="AE535" s="48" t="s">
        <v>49</v>
      </c>
      <c r="AF535" s="48" t="s">
        <v>49</v>
      </c>
      <c r="AG535" s="48" t="s">
        <v>49</v>
      </c>
      <c r="AH535" s="48" t="s">
        <v>41</v>
      </c>
      <c r="AI535" s="48" t="s">
        <v>41</v>
      </c>
      <c r="AJ535" s="49" t="s">
        <v>41</v>
      </c>
      <c r="AK535" s="48" t="s">
        <v>41</v>
      </c>
      <c r="AL535" s="62" t="s">
        <v>139</v>
      </c>
      <c r="AM535" s="59"/>
      <c r="AN535" s="10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1"/>
    </row>
    <row r="536" spans="1:51" x14ac:dyDescent="0.2">
      <c r="A536" s="33">
        <f t="shared" si="9"/>
        <v>531</v>
      </c>
      <c r="B536" s="34" t="s">
        <v>4380</v>
      </c>
      <c r="C536" s="35" t="s">
        <v>4381</v>
      </c>
      <c r="D536" s="73" t="s">
        <v>4382</v>
      </c>
      <c r="E536" s="36" t="s">
        <v>54</v>
      </c>
      <c r="F536" s="98" t="s">
        <v>4383</v>
      </c>
      <c r="G536" s="37" t="s">
        <v>73</v>
      </c>
      <c r="H536" s="37" t="s">
        <v>73</v>
      </c>
      <c r="I536" s="38" t="s">
        <v>4384</v>
      </c>
      <c r="J536" s="34" t="s">
        <v>41</v>
      </c>
      <c r="K536" s="39" t="s">
        <v>42</v>
      </c>
      <c r="L536" s="120">
        <v>43771</v>
      </c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42" t="s">
        <v>4385</v>
      </c>
      <c r="Y536" s="52" t="s">
        <v>4386</v>
      </c>
      <c r="Z536" s="44" t="s">
        <v>4387</v>
      </c>
      <c r="AA536" s="45">
        <v>44041</v>
      </c>
      <c r="AB536" s="101" t="s">
        <v>30</v>
      </c>
      <c r="AC536" s="73" t="s">
        <v>26</v>
      </c>
      <c r="AD536" s="47" t="s">
        <v>49</v>
      </c>
      <c r="AE536" s="48" t="s">
        <v>49</v>
      </c>
      <c r="AF536" s="48" t="s">
        <v>49</v>
      </c>
      <c r="AG536" s="48" t="s">
        <v>49</v>
      </c>
      <c r="AH536" s="48" t="s">
        <v>49</v>
      </c>
      <c r="AI536" s="48" t="s">
        <v>41</v>
      </c>
      <c r="AJ536" s="49" t="s">
        <v>41</v>
      </c>
      <c r="AK536" s="48" t="s">
        <v>41</v>
      </c>
      <c r="AL536" s="62" t="s">
        <v>4589</v>
      </c>
      <c r="AM536" s="59"/>
      <c r="AN536" s="10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1"/>
    </row>
    <row r="537" spans="1:51" x14ac:dyDescent="0.2">
      <c r="A537" s="33">
        <f t="shared" si="9"/>
        <v>532</v>
      </c>
      <c r="B537" s="34" t="s">
        <v>4388</v>
      </c>
      <c r="C537" s="35" t="s">
        <v>4389</v>
      </c>
      <c r="D537" s="36" t="s">
        <v>4390</v>
      </c>
      <c r="E537" s="36" t="s">
        <v>54</v>
      </c>
      <c r="F537" s="34" t="s">
        <v>4391</v>
      </c>
      <c r="G537" s="37" t="s">
        <v>350</v>
      </c>
      <c r="H537" s="37" t="s">
        <v>350</v>
      </c>
      <c r="I537" s="34" t="s">
        <v>4392</v>
      </c>
      <c r="J537" s="34" t="s">
        <v>41</v>
      </c>
      <c r="K537" s="39" t="s">
        <v>42</v>
      </c>
      <c r="L537" s="120">
        <v>37264</v>
      </c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2" t="s">
        <v>4393</v>
      </c>
      <c r="Y537" s="69" t="s">
        <v>4394</v>
      </c>
      <c r="Z537" s="44" t="s">
        <v>61</v>
      </c>
      <c r="AA537" s="45" t="s">
        <v>4395</v>
      </c>
      <c r="AB537" s="101" t="s">
        <v>30</v>
      </c>
      <c r="AC537" s="36" t="s">
        <v>26</v>
      </c>
      <c r="AD537" s="47" t="s">
        <v>49</v>
      </c>
      <c r="AE537" s="48" t="s">
        <v>49</v>
      </c>
      <c r="AF537" s="48" t="s">
        <v>49</v>
      </c>
      <c r="AG537" s="48" t="s">
        <v>49</v>
      </c>
      <c r="AH537" s="48" t="s">
        <v>49</v>
      </c>
      <c r="AI537" s="48" t="s">
        <v>49</v>
      </c>
      <c r="AJ537" s="49" t="s">
        <v>49</v>
      </c>
      <c r="AK537" s="48" t="s">
        <v>41</v>
      </c>
      <c r="AL537" s="65" t="s">
        <v>148</v>
      </c>
      <c r="AM537" s="59"/>
      <c r="AN537" s="10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1"/>
    </row>
    <row r="538" spans="1:51" x14ac:dyDescent="0.2">
      <c r="A538" s="33">
        <f t="shared" si="9"/>
        <v>533</v>
      </c>
      <c r="B538" s="34" t="s">
        <v>4396</v>
      </c>
      <c r="C538" s="35" t="s">
        <v>4397</v>
      </c>
      <c r="D538" s="36" t="s">
        <v>4398</v>
      </c>
      <c r="E538" s="36" t="s">
        <v>36</v>
      </c>
      <c r="F538" s="34" t="s">
        <v>4399</v>
      </c>
      <c r="G538" s="37" t="s">
        <v>73</v>
      </c>
      <c r="H538" s="37" t="s">
        <v>73</v>
      </c>
      <c r="I538" s="34" t="s">
        <v>4400</v>
      </c>
      <c r="J538" s="34" t="s">
        <v>4400</v>
      </c>
      <c r="K538" s="39" t="s">
        <v>42</v>
      </c>
      <c r="L538" s="120">
        <v>30353</v>
      </c>
      <c r="M538" s="56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42" t="s">
        <v>4401</v>
      </c>
      <c r="Y538" s="58" t="s">
        <v>4402</v>
      </c>
      <c r="Z538" s="44" t="s">
        <v>4403</v>
      </c>
      <c r="AA538" s="131" t="s">
        <v>1130</v>
      </c>
      <c r="AB538" s="101" t="s">
        <v>30</v>
      </c>
      <c r="AC538" s="36" t="s">
        <v>26</v>
      </c>
      <c r="AD538" s="64" t="s">
        <v>120</v>
      </c>
      <c r="AE538" s="48" t="s">
        <v>120</v>
      </c>
      <c r="AF538" s="48" t="s">
        <v>120</v>
      </c>
      <c r="AG538" s="48" t="s">
        <v>120</v>
      </c>
      <c r="AH538" s="48" t="s">
        <v>120</v>
      </c>
      <c r="AI538" s="48" t="s">
        <v>120</v>
      </c>
      <c r="AJ538" s="49" t="s">
        <v>120</v>
      </c>
      <c r="AK538" s="48" t="s">
        <v>120</v>
      </c>
      <c r="AL538" s="62" t="s">
        <v>32</v>
      </c>
      <c r="AM538" s="103"/>
      <c r="AN538" s="10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1"/>
    </row>
    <row r="539" spans="1:51" x14ac:dyDescent="0.2">
      <c r="A539" s="33">
        <f t="shared" si="9"/>
        <v>534</v>
      </c>
      <c r="B539" s="34" t="s">
        <v>4404</v>
      </c>
      <c r="C539" s="35" t="s">
        <v>4405</v>
      </c>
      <c r="D539" s="36" t="s">
        <v>4406</v>
      </c>
      <c r="E539" s="36" t="s">
        <v>54</v>
      </c>
      <c r="F539" s="34" t="s">
        <v>4407</v>
      </c>
      <c r="G539" s="37" t="s">
        <v>681</v>
      </c>
      <c r="H539" s="37" t="s">
        <v>378</v>
      </c>
      <c r="I539" s="38" t="s">
        <v>4408</v>
      </c>
      <c r="J539" s="38" t="s">
        <v>4409</v>
      </c>
      <c r="K539" s="39" t="s">
        <v>42</v>
      </c>
      <c r="L539" s="99" t="s">
        <v>4410</v>
      </c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42" t="s">
        <v>4411</v>
      </c>
      <c r="Y539" s="58" t="s">
        <v>4412</v>
      </c>
      <c r="Z539" s="44" t="s">
        <v>4413</v>
      </c>
      <c r="AA539" s="45">
        <v>45003</v>
      </c>
      <c r="AB539" s="101" t="s">
        <v>30</v>
      </c>
      <c r="AC539" s="36" t="s">
        <v>26</v>
      </c>
      <c r="AD539" s="47" t="s">
        <v>49</v>
      </c>
      <c r="AE539" s="48" t="s">
        <v>49</v>
      </c>
      <c r="AF539" s="48" t="s">
        <v>49</v>
      </c>
      <c r="AG539" s="48" t="s">
        <v>49</v>
      </c>
      <c r="AH539" s="48" t="s">
        <v>49</v>
      </c>
      <c r="AI539" s="48" t="s">
        <v>49</v>
      </c>
      <c r="AJ539" s="49" t="s">
        <v>49</v>
      </c>
      <c r="AK539" s="48" t="s">
        <v>41</v>
      </c>
      <c r="AL539" s="62" t="s">
        <v>148</v>
      </c>
      <c r="AM539" s="59"/>
      <c r="AN539" s="10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1"/>
    </row>
    <row r="540" spans="1:51" x14ac:dyDescent="0.2">
      <c r="A540" s="33">
        <f t="shared" si="9"/>
        <v>535</v>
      </c>
      <c r="B540" s="34" t="s">
        <v>4414</v>
      </c>
      <c r="C540" s="35" t="s">
        <v>4415</v>
      </c>
      <c r="D540" s="36" t="s">
        <v>4416</v>
      </c>
      <c r="E540" s="36" t="s">
        <v>36</v>
      </c>
      <c r="F540" s="34" t="s">
        <v>4417</v>
      </c>
      <c r="G540" s="37" t="s">
        <v>73</v>
      </c>
      <c r="H540" s="37" t="s">
        <v>73</v>
      </c>
      <c r="I540" s="34" t="s">
        <v>4418</v>
      </c>
      <c r="J540" s="34" t="s">
        <v>1996</v>
      </c>
      <c r="K540" s="39" t="s">
        <v>42</v>
      </c>
      <c r="L540" s="120">
        <v>30353</v>
      </c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42" t="s">
        <v>4419</v>
      </c>
      <c r="Y540" s="52" t="s">
        <v>4420</v>
      </c>
      <c r="Z540" s="44" t="s">
        <v>4421</v>
      </c>
      <c r="AA540" s="45">
        <v>44041</v>
      </c>
      <c r="AB540" s="101" t="s">
        <v>30</v>
      </c>
      <c r="AC540" s="36" t="s">
        <v>26</v>
      </c>
      <c r="AD540" s="66" t="s">
        <v>130</v>
      </c>
      <c r="AE540" s="48" t="s">
        <v>130</v>
      </c>
      <c r="AF540" s="48" t="s">
        <v>130</v>
      </c>
      <c r="AG540" s="48" t="s">
        <v>130</v>
      </c>
      <c r="AH540" s="48" t="s">
        <v>130</v>
      </c>
      <c r="AI540" s="48" t="s">
        <v>130</v>
      </c>
      <c r="AJ540" s="49" t="s">
        <v>130</v>
      </c>
      <c r="AK540" s="48" t="s">
        <v>130</v>
      </c>
      <c r="AL540" s="62" t="s">
        <v>32</v>
      </c>
      <c r="AM540" s="59"/>
      <c r="AN540" s="10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1"/>
    </row>
    <row r="541" spans="1:51" x14ac:dyDescent="0.2">
      <c r="A541" s="33">
        <f t="shared" si="9"/>
        <v>536</v>
      </c>
      <c r="B541" s="34" t="s">
        <v>4422</v>
      </c>
      <c r="C541" s="35" t="s">
        <v>4423</v>
      </c>
      <c r="D541" s="36" t="s">
        <v>4424</v>
      </c>
      <c r="E541" s="36" t="s">
        <v>54</v>
      </c>
      <c r="F541" s="34" t="s">
        <v>4425</v>
      </c>
      <c r="G541" s="37" t="s">
        <v>1285</v>
      </c>
      <c r="H541" s="37" t="s">
        <v>350</v>
      </c>
      <c r="I541" s="38" t="s">
        <v>4426</v>
      </c>
      <c r="J541" s="34" t="s">
        <v>41</v>
      </c>
      <c r="K541" s="39" t="s">
        <v>42</v>
      </c>
      <c r="L541" s="120" t="s">
        <v>4427</v>
      </c>
      <c r="M541" s="115" t="s">
        <v>179</v>
      </c>
      <c r="N541" s="56"/>
      <c r="O541" s="56"/>
      <c r="P541" s="56">
        <v>5</v>
      </c>
      <c r="Q541" s="56"/>
      <c r="R541" s="56"/>
      <c r="S541" s="56"/>
      <c r="T541" s="56"/>
      <c r="U541" s="56"/>
      <c r="V541" s="56"/>
      <c r="W541" s="56"/>
      <c r="X541" s="42" t="s">
        <v>4428</v>
      </c>
      <c r="Y541" s="69" t="s">
        <v>4429</v>
      </c>
      <c r="Z541" s="44"/>
      <c r="AA541" s="45" t="s">
        <v>4430</v>
      </c>
      <c r="AB541" s="101"/>
      <c r="AC541" s="36"/>
      <c r="AD541" s="61" t="s">
        <v>49</v>
      </c>
      <c r="AE541" s="48" t="s">
        <v>41</v>
      </c>
      <c r="AF541" s="48" t="s">
        <v>41</v>
      </c>
      <c r="AG541" s="48" t="s">
        <v>41</v>
      </c>
      <c r="AH541" s="48" t="s">
        <v>41</v>
      </c>
      <c r="AI541" s="48" t="s">
        <v>41</v>
      </c>
      <c r="AJ541" s="49" t="s">
        <v>41</v>
      </c>
      <c r="AK541" s="48" t="s">
        <v>41</v>
      </c>
      <c r="AL541" s="65" t="s">
        <v>4588</v>
      </c>
      <c r="AM541" s="59"/>
      <c r="AN541" s="117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1"/>
    </row>
    <row r="542" spans="1:51" x14ac:dyDescent="0.2">
      <c r="A542" s="33">
        <f t="shared" si="9"/>
        <v>537</v>
      </c>
      <c r="B542" s="34" t="s">
        <v>4431</v>
      </c>
      <c r="C542" s="35" t="s">
        <v>4432</v>
      </c>
      <c r="D542" s="36" t="s">
        <v>4433</v>
      </c>
      <c r="E542" s="36" t="s">
        <v>54</v>
      </c>
      <c r="F542" s="34" t="s">
        <v>4434</v>
      </c>
      <c r="G542" s="37" t="s">
        <v>214</v>
      </c>
      <c r="H542" s="37" t="s">
        <v>205</v>
      </c>
      <c r="I542" s="38" t="s">
        <v>4435</v>
      </c>
      <c r="J542" s="34" t="s">
        <v>41</v>
      </c>
      <c r="K542" s="39" t="s">
        <v>42</v>
      </c>
      <c r="L542" s="120">
        <v>45716</v>
      </c>
      <c r="M542" s="56" t="s">
        <v>179</v>
      </c>
      <c r="N542" s="56"/>
      <c r="O542" s="56"/>
      <c r="P542" s="56"/>
      <c r="Q542" s="56"/>
      <c r="R542" s="56"/>
      <c r="S542" s="56"/>
      <c r="T542" s="56"/>
      <c r="U542" s="56"/>
      <c r="V542" s="56" t="s">
        <v>44</v>
      </c>
      <c r="W542" s="56"/>
      <c r="X542" s="42" t="s">
        <v>4436</v>
      </c>
      <c r="Y542" s="58" t="s">
        <v>4437</v>
      </c>
      <c r="Z542" s="44"/>
      <c r="AA542" s="45"/>
      <c r="AB542" s="101"/>
      <c r="AC542" s="36"/>
      <c r="AD542" s="61" t="s">
        <v>49</v>
      </c>
      <c r="AE542" s="48" t="s">
        <v>41</v>
      </c>
      <c r="AF542" s="48" t="s">
        <v>41</v>
      </c>
      <c r="AG542" s="48" t="s">
        <v>41</v>
      </c>
      <c r="AH542" s="48" t="s">
        <v>41</v>
      </c>
      <c r="AI542" s="48" t="s">
        <v>41</v>
      </c>
      <c r="AJ542" s="49" t="s">
        <v>49</v>
      </c>
      <c r="AK542" s="48" t="s">
        <v>41</v>
      </c>
      <c r="AL542" s="62" t="s">
        <v>148</v>
      </c>
      <c r="AM542" s="59"/>
      <c r="AN542" s="117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1"/>
    </row>
    <row r="543" spans="1:51" x14ac:dyDescent="0.2">
      <c r="A543" s="33">
        <f t="shared" si="9"/>
        <v>538</v>
      </c>
      <c r="B543" s="34" t="s">
        <v>4438</v>
      </c>
      <c r="C543" s="35" t="s">
        <v>4439</v>
      </c>
      <c r="D543" s="36" t="s">
        <v>4440</v>
      </c>
      <c r="E543" s="36" t="s">
        <v>54</v>
      </c>
      <c r="F543" s="34" t="s">
        <v>4441</v>
      </c>
      <c r="G543" s="37" t="s">
        <v>349</v>
      </c>
      <c r="H543" s="37" t="s">
        <v>350</v>
      </c>
      <c r="I543" s="38" t="s">
        <v>4442</v>
      </c>
      <c r="J543" s="34" t="s">
        <v>41</v>
      </c>
      <c r="K543" s="39" t="s">
        <v>42</v>
      </c>
      <c r="L543" s="120">
        <v>43682</v>
      </c>
      <c r="M543" s="53"/>
      <c r="N543" s="53"/>
      <c r="O543" s="53"/>
      <c r="P543" s="53"/>
      <c r="Q543" s="115"/>
      <c r="R543" s="115"/>
      <c r="S543" s="115"/>
      <c r="T543" s="115"/>
      <c r="U543" s="115"/>
      <c r="V543" s="115"/>
      <c r="W543" s="115"/>
      <c r="X543" s="57" t="s">
        <v>4443</v>
      </c>
      <c r="Y543" s="43" t="s">
        <v>4444</v>
      </c>
      <c r="Z543" s="44" t="s">
        <v>4445</v>
      </c>
      <c r="AA543" s="45">
        <v>44041</v>
      </c>
      <c r="AB543" s="101" t="s">
        <v>30</v>
      </c>
      <c r="AC543" s="36" t="s">
        <v>26</v>
      </c>
      <c r="AD543" s="61" t="s">
        <v>49</v>
      </c>
      <c r="AE543" s="48" t="s">
        <v>49</v>
      </c>
      <c r="AF543" s="48" t="s">
        <v>49</v>
      </c>
      <c r="AG543" s="48" t="s">
        <v>49</v>
      </c>
      <c r="AH543" s="48" t="s">
        <v>49</v>
      </c>
      <c r="AI543" s="48" t="s">
        <v>49</v>
      </c>
      <c r="AJ543" s="49" t="s">
        <v>49</v>
      </c>
      <c r="AK543" s="48" t="s">
        <v>41</v>
      </c>
      <c r="AL543" s="62" t="s">
        <v>148</v>
      </c>
      <c r="AM543" s="59"/>
      <c r="AN543" s="10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1"/>
    </row>
    <row r="544" spans="1:51" x14ac:dyDescent="0.2">
      <c r="A544" s="33">
        <f t="shared" si="9"/>
        <v>539</v>
      </c>
      <c r="B544" s="34" t="s">
        <v>4446</v>
      </c>
      <c r="C544" s="35" t="s">
        <v>4447</v>
      </c>
      <c r="D544" s="36" t="s">
        <v>4448</v>
      </c>
      <c r="E544" s="36" t="s">
        <v>54</v>
      </c>
      <c r="F544" s="34" t="s">
        <v>4449</v>
      </c>
      <c r="G544" s="37" t="s">
        <v>1285</v>
      </c>
      <c r="H544" s="37" t="s">
        <v>350</v>
      </c>
      <c r="I544" s="38" t="s">
        <v>4450</v>
      </c>
      <c r="J544" s="34" t="s">
        <v>41</v>
      </c>
      <c r="K544" s="39" t="s">
        <v>42</v>
      </c>
      <c r="L544" s="120">
        <v>45372</v>
      </c>
      <c r="M544" s="56"/>
      <c r="N544" s="137"/>
      <c r="O544" s="137"/>
      <c r="P544" s="137"/>
      <c r="Q544" s="137"/>
      <c r="R544" s="137"/>
      <c r="S544" s="137"/>
      <c r="T544" s="137"/>
      <c r="U544" s="137" t="s">
        <v>44</v>
      </c>
      <c r="V544" s="137"/>
      <c r="W544" s="137"/>
      <c r="X544" s="54" t="s">
        <v>4451</v>
      </c>
      <c r="Y544" s="43" t="s">
        <v>4452</v>
      </c>
      <c r="Z544" s="44"/>
      <c r="AA544" s="45"/>
      <c r="AB544" s="101"/>
      <c r="AC544" s="36"/>
      <c r="AD544" s="61" t="s">
        <v>49</v>
      </c>
      <c r="AE544" s="48" t="s">
        <v>41</v>
      </c>
      <c r="AF544" s="48" t="s">
        <v>41</v>
      </c>
      <c r="AG544" s="48" t="s">
        <v>41</v>
      </c>
      <c r="AH544" s="48" t="s">
        <v>41</v>
      </c>
      <c r="AI544" s="48" t="s">
        <v>49</v>
      </c>
      <c r="AJ544" s="49" t="s">
        <v>41</v>
      </c>
      <c r="AK544" s="48" t="s">
        <v>41</v>
      </c>
      <c r="AL544" s="62" t="s">
        <v>276</v>
      </c>
      <c r="AM544" s="59"/>
      <c r="AN544" s="10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1"/>
    </row>
    <row r="545" spans="1:51" x14ac:dyDescent="0.2">
      <c r="A545" s="33">
        <f t="shared" si="9"/>
        <v>540</v>
      </c>
      <c r="B545" s="34" t="s">
        <v>4453</v>
      </c>
      <c r="C545" s="35" t="s">
        <v>4454</v>
      </c>
      <c r="D545" s="247" t="s">
        <v>4594</v>
      </c>
      <c r="E545" s="36" t="s">
        <v>54</v>
      </c>
      <c r="F545" s="34" t="s">
        <v>4455</v>
      </c>
      <c r="G545" s="37" t="s">
        <v>39</v>
      </c>
      <c r="H545" s="37" t="s">
        <v>39</v>
      </c>
      <c r="I545" s="38" t="s">
        <v>4456</v>
      </c>
      <c r="J545" s="34" t="s">
        <v>41</v>
      </c>
      <c r="K545" s="39" t="s">
        <v>42</v>
      </c>
      <c r="L545" s="120">
        <v>45357</v>
      </c>
      <c r="M545" s="56"/>
      <c r="N545" s="56"/>
      <c r="O545" s="56"/>
      <c r="P545" s="56"/>
      <c r="Q545" s="56"/>
      <c r="R545" s="56"/>
      <c r="S545" s="56"/>
      <c r="T545" s="56"/>
      <c r="U545" s="56" t="s">
        <v>44</v>
      </c>
      <c r="V545" s="56"/>
      <c r="W545" s="56"/>
      <c r="X545" s="54" t="s">
        <v>4457</v>
      </c>
      <c r="Y545" s="55" t="s">
        <v>4458</v>
      </c>
      <c r="Z545" s="44"/>
      <c r="AA545" s="45"/>
      <c r="AB545" s="101"/>
      <c r="AC545" s="36"/>
      <c r="AD545" s="47" t="s">
        <v>49</v>
      </c>
      <c r="AE545" s="48" t="s">
        <v>41</v>
      </c>
      <c r="AF545" s="48" t="s">
        <v>41</v>
      </c>
      <c r="AG545" s="48" t="s">
        <v>41</v>
      </c>
      <c r="AH545" s="48" t="s">
        <v>41</v>
      </c>
      <c r="AI545" s="48" t="s">
        <v>49</v>
      </c>
      <c r="AJ545" s="49" t="s">
        <v>49</v>
      </c>
      <c r="AK545" s="48" t="s">
        <v>49</v>
      </c>
      <c r="AL545" s="62" t="s">
        <v>32</v>
      </c>
      <c r="AM545" s="59"/>
      <c r="AN545" s="10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1"/>
    </row>
    <row r="546" spans="1:51" x14ac:dyDescent="0.2">
      <c r="A546" s="33">
        <f t="shared" si="9"/>
        <v>541</v>
      </c>
      <c r="B546" s="34" t="s">
        <v>4459</v>
      </c>
      <c r="C546" s="35" t="s">
        <v>4460</v>
      </c>
      <c r="D546" s="36" t="s">
        <v>4461</v>
      </c>
      <c r="E546" s="36" t="s">
        <v>54</v>
      </c>
      <c r="F546" s="34" t="s">
        <v>4462</v>
      </c>
      <c r="G546" s="37" t="s">
        <v>252</v>
      </c>
      <c r="H546" s="37" t="s">
        <v>57</v>
      </c>
      <c r="I546" s="34" t="s">
        <v>4463</v>
      </c>
      <c r="J546" s="34" t="s">
        <v>4464</v>
      </c>
      <c r="K546" s="39" t="s">
        <v>42</v>
      </c>
      <c r="L546" s="120">
        <v>31057</v>
      </c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7" t="s">
        <v>4465</v>
      </c>
      <c r="Y546" s="58" t="s">
        <v>4466</v>
      </c>
      <c r="Z546" s="44" t="s">
        <v>4467</v>
      </c>
      <c r="AA546" s="45">
        <v>44041</v>
      </c>
      <c r="AB546" s="101" t="s">
        <v>30</v>
      </c>
      <c r="AC546" s="36" t="s">
        <v>26</v>
      </c>
      <c r="AD546" s="47" t="s">
        <v>49</v>
      </c>
      <c r="AE546" s="48" t="s">
        <v>49</v>
      </c>
      <c r="AF546" s="48" t="s">
        <v>49</v>
      </c>
      <c r="AG546" s="48" t="s">
        <v>49</v>
      </c>
      <c r="AH546" s="48" t="s">
        <v>49</v>
      </c>
      <c r="AI546" s="48" t="s">
        <v>49</v>
      </c>
      <c r="AJ546" s="49" t="s">
        <v>49</v>
      </c>
      <c r="AK546" s="48" t="s">
        <v>41</v>
      </c>
      <c r="AL546" s="62" t="s">
        <v>148</v>
      </c>
      <c r="AM546" s="59"/>
      <c r="AN546" s="10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1"/>
    </row>
    <row r="547" spans="1:51" x14ac:dyDescent="0.2">
      <c r="A547" s="33">
        <f t="shared" si="9"/>
        <v>542</v>
      </c>
      <c r="B547" s="34" t="s">
        <v>4468</v>
      </c>
      <c r="C547" s="35" t="s">
        <v>4469</v>
      </c>
      <c r="D547" s="109" t="s">
        <v>4470</v>
      </c>
      <c r="E547" s="36" t="s">
        <v>54</v>
      </c>
      <c r="F547" s="34" t="s">
        <v>4471</v>
      </c>
      <c r="G547" s="37" t="s">
        <v>73</v>
      </c>
      <c r="H547" s="37" t="s">
        <v>73</v>
      </c>
      <c r="I547" s="34" t="s">
        <v>4472</v>
      </c>
      <c r="J547" s="34" t="s">
        <v>41</v>
      </c>
      <c r="K547" s="39" t="s">
        <v>42</v>
      </c>
      <c r="L547" s="99" t="s">
        <v>4473</v>
      </c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42" t="s">
        <v>4474</v>
      </c>
      <c r="Y547" s="52" t="s">
        <v>4475</v>
      </c>
      <c r="Z547" s="44" t="s">
        <v>4476</v>
      </c>
      <c r="AA547" s="45">
        <v>41793</v>
      </c>
      <c r="AB547" s="101" t="s">
        <v>30</v>
      </c>
      <c r="AC547" s="109" t="s">
        <v>26</v>
      </c>
      <c r="AD547" s="47" t="s">
        <v>49</v>
      </c>
      <c r="AE547" s="48" t="s">
        <v>49</v>
      </c>
      <c r="AF547" s="48" t="s">
        <v>49</v>
      </c>
      <c r="AG547" s="48" t="s">
        <v>49</v>
      </c>
      <c r="AH547" s="48" t="s">
        <v>49</v>
      </c>
      <c r="AI547" s="48" t="s">
        <v>49</v>
      </c>
      <c r="AJ547" s="49" t="s">
        <v>41</v>
      </c>
      <c r="AK547" s="48" t="s">
        <v>41</v>
      </c>
      <c r="AL547" s="62" t="s">
        <v>276</v>
      </c>
      <c r="AM547" s="59"/>
      <c r="AN547" s="248"/>
      <c r="AO547" s="32"/>
      <c r="AP547" s="220"/>
      <c r="AQ547" s="32"/>
      <c r="AR547" s="32"/>
      <c r="AS547" s="32"/>
      <c r="AT547" s="32"/>
      <c r="AU547" s="32"/>
      <c r="AV547" s="32"/>
      <c r="AW547" s="32"/>
      <c r="AX547" s="32"/>
      <c r="AY547" s="31"/>
    </row>
    <row r="548" spans="1:51" x14ac:dyDescent="0.2">
      <c r="A548" s="33">
        <f t="shared" si="9"/>
        <v>543</v>
      </c>
      <c r="B548" s="34" t="s">
        <v>4477</v>
      </c>
      <c r="C548" s="35" t="s">
        <v>4478</v>
      </c>
      <c r="D548" s="36" t="s">
        <v>4479</v>
      </c>
      <c r="E548" s="36" t="s">
        <v>36</v>
      </c>
      <c r="F548" s="34" t="s">
        <v>4480</v>
      </c>
      <c r="G548" s="37" t="s">
        <v>73</v>
      </c>
      <c r="H548" s="37" t="s">
        <v>73</v>
      </c>
      <c r="I548" s="34" t="s">
        <v>4481</v>
      </c>
      <c r="J548" s="34" t="s">
        <v>4482</v>
      </c>
      <c r="K548" s="39" t="s">
        <v>42</v>
      </c>
      <c r="L548" s="161">
        <v>32357</v>
      </c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42" t="s">
        <v>4483</v>
      </c>
      <c r="Y548" s="69" t="s">
        <v>4484</v>
      </c>
      <c r="Z548" s="44" t="s">
        <v>61</v>
      </c>
      <c r="AA548" s="45">
        <v>39286</v>
      </c>
      <c r="AB548" s="160" t="s">
        <v>129</v>
      </c>
      <c r="AC548" s="36" t="s">
        <v>26</v>
      </c>
      <c r="AD548" s="66" t="s">
        <v>130</v>
      </c>
      <c r="AE548" s="48" t="s">
        <v>130</v>
      </c>
      <c r="AF548" s="48" t="s">
        <v>130</v>
      </c>
      <c r="AG548" s="48" t="s">
        <v>130</v>
      </c>
      <c r="AH548" s="48" t="s">
        <v>130</v>
      </c>
      <c r="AI548" s="48" t="s">
        <v>130</v>
      </c>
      <c r="AJ548" s="49" t="s">
        <v>130</v>
      </c>
      <c r="AK548" s="48" t="s">
        <v>130</v>
      </c>
      <c r="AL548" s="62" t="s">
        <v>32</v>
      </c>
      <c r="AM548" s="51"/>
      <c r="AN548" s="10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1"/>
    </row>
    <row r="549" spans="1:51" x14ac:dyDescent="0.2">
      <c r="A549" s="33">
        <f t="shared" si="9"/>
        <v>544</v>
      </c>
      <c r="B549" s="171" t="s">
        <v>4485</v>
      </c>
      <c r="C549" s="249" t="s">
        <v>4486</v>
      </c>
      <c r="D549" s="170" t="s">
        <v>4487</v>
      </c>
      <c r="E549" s="36" t="s">
        <v>54</v>
      </c>
      <c r="F549" s="171" t="s">
        <v>4488</v>
      </c>
      <c r="G549" s="182" t="s">
        <v>186</v>
      </c>
      <c r="H549" s="182" t="s">
        <v>187</v>
      </c>
      <c r="I549" s="139" t="s">
        <v>4489</v>
      </c>
      <c r="J549" s="171" t="s">
        <v>41</v>
      </c>
      <c r="K549" s="172" t="s">
        <v>42</v>
      </c>
      <c r="L549" s="161">
        <v>36440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42" t="s">
        <v>4490</v>
      </c>
      <c r="Y549" s="52" t="s">
        <v>4491</v>
      </c>
      <c r="Z549" s="44" t="s">
        <v>61</v>
      </c>
      <c r="AA549" s="250">
        <v>40815</v>
      </c>
      <c r="AB549" s="160" t="s">
        <v>30</v>
      </c>
      <c r="AC549" s="36" t="s">
        <v>26</v>
      </c>
      <c r="AD549" s="251" t="s">
        <v>49</v>
      </c>
      <c r="AE549" s="48" t="s">
        <v>49</v>
      </c>
      <c r="AF549" s="48" t="s">
        <v>49</v>
      </c>
      <c r="AG549" s="48" t="s">
        <v>49</v>
      </c>
      <c r="AH549" s="48" t="s">
        <v>49</v>
      </c>
      <c r="AI549" s="48" t="s">
        <v>49</v>
      </c>
      <c r="AJ549" s="49" t="s">
        <v>49</v>
      </c>
      <c r="AK549" s="48" t="s">
        <v>49</v>
      </c>
      <c r="AL549" s="65" t="s">
        <v>32</v>
      </c>
      <c r="AM549" s="138"/>
      <c r="AN549" s="117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1"/>
    </row>
    <row r="550" spans="1:51" ht="15" customHeight="1" x14ac:dyDescent="0.2">
      <c r="A550" s="33">
        <f t="shared" si="9"/>
        <v>545</v>
      </c>
      <c r="B550" s="171" t="s">
        <v>4492</v>
      </c>
      <c r="C550" s="249" t="s">
        <v>4493</v>
      </c>
      <c r="D550" s="170" t="s">
        <v>4580</v>
      </c>
      <c r="E550" s="36" t="s">
        <v>36</v>
      </c>
      <c r="F550" s="171" t="s">
        <v>4495</v>
      </c>
      <c r="G550" s="182" t="s">
        <v>39</v>
      </c>
      <c r="H550" s="182" t="s">
        <v>39</v>
      </c>
      <c r="I550" s="140" t="s">
        <v>4496</v>
      </c>
      <c r="J550" s="171" t="s">
        <v>41</v>
      </c>
      <c r="K550" s="172" t="s">
        <v>42</v>
      </c>
      <c r="L550" s="161" t="s">
        <v>4497</v>
      </c>
      <c r="M550" s="70" t="s">
        <v>179</v>
      </c>
      <c r="N550" s="70"/>
      <c r="O550" s="70"/>
      <c r="P550" s="70"/>
      <c r="Q550" s="70"/>
      <c r="R550" s="70"/>
      <c r="S550" s="70" t="s">
        <v>44</v>
      </c>
      <c r="T550" s="70"/>
      <c r="U550" s="70"/>
      <c r="V550" s="70" t="s">
        <v>732</v>
      </c>
      <c r="W550" s="70"/>
      <c r="X550" s="42" t="s">
        <v>4498</v>
      </c>
      <c r="Y550" s="43" t="s">
        <v>4499</v>
      </c>
      <c r="Z550" s="211" t="s">
        <v>4500</v>
      </c>
      <c r="AA550" s="45">
        <v>44944</v>
      </c>
      <c r="AB550" s="160" t="s">
        <v>30</v>
      </c>
      <c r="AC550" s="36"/>
      <c r="AD550" s="251" t="s">
        <v>49</v>
      </c>
      <c r="AE550" s="48" t="s">
        <v>41</v>
      </c>
      <c r="AF550" s="48" t="s">
        <v>41</v>
      </c>
      <c r="AG550" s="48" t="s">
        <v>41</v>
      </c>
      <c r="AH550" s="48" t="s">
        <v>49</v>
      </c>
      <c r="AI550" s="48" t="s">
        <v>49</v>
      </c>
      <c r="AJ550" s="49" t="s">
        <v>49</v>
      </c>
      <c r="AK550" s="48" t="s">
        <v>49</v>
      </c>
      <c r="AL550" s="213">
        <v>0</v>
      </c>
      <c r="AM550" s="138"/>
      <c r="AN550" s="118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1"/>
    </row>
    <row r="551" spans="1:51" ht="15" customHeight="1" x14ac:dyDescent="0.2">
      <c r="A551" s="33">
        <f t="shared" si="9"/>
        <v>546</v>
      </c>
      <c r="B551" s="34" t="s">
        <v>4501</v>
      </c>
      <c r="C551" s="35" t="s">
        <v>4502</v>
      </c>
      <c r="D551" s="36" t="s">
        <v>4503</v>
      </c>
      <c r="E551" s="36" t="s">
        <v>54</v>
      </c>
      <c r="F551" s="34" t="s">
        <v>4504</v>
      </c>
      <c r="G551" s="37" t="s">
        <v>528</v>
      </c>
      <c r="H551" s="37" t="s">
        <v>57</v>
      </c>
      <c r="I551" s="34" t="s">
        <v>4505</v>
      </c>
      <c r="J551" s="34" t="s">
        <v>4505</v>
      </c>
      <c r="K551" s="39" t="s">
        <v>42</v>
      </c>
      <c r="L551" s="120">
        <v>31057</v>
      </c>
      <c r="M551" s="41"/>
      <c r="N551" s="177"/>
      <c r="O551" s="177"/>
      <c r="P551" s="177"/>
      <c r="Q551" s="112"/>
      <c r="R551" s="112"/>
      <c r="S551" s="112"/>
      <c r="T551" s="41"/>
      <c r="U551" s="41"/>
      <c r="V551" s="41"/>
      <c r="W551" s="41"/>
      <c r="X551" s="42" t="s">
        <v>4506</v>
      </c>
      <c r="Y551" s="52" t="s">
        <v>4507</v>
      </c>
      <c r="Z551" s="44" t="s">
        <v>61</v>
      </c>
      <c r="AA551" s="45">
        <v>34597</v>
      </c>
      <c r="AB551" s="101" t="s">
        <v>30</v>
      </c>
      <c r="AC551" s="36" t="s">
        <v>26</v>
      </c>
      <c r="AD551" s="47" t="s">
        <v>49</v>
      </c>
      <c r="AE551" s="48" t="s">
        <v>49</v>
      </c>
      <c r="AF551" s="48" t="s">
        <v>49</v>
      </c>
      <c r="AG551" s="48" t="s">
        <v>49</v>
      </c>
      <c r="AH551" s="48" t="s">
        <v>49</v>
      </c>
      <c r="AI551" s="48" t="s">
        <v>49</v>
      </c>
      <c r="AJ551" s="49" t="s">
        <v>49</v>
      </c>
      <c r="AK551" s="48" t="s">
        <v>41</v>
      </c>
      <c r="AL551" s="65" t="s">
        <v>148</v>
      </c>
      <c r="AM551" s="59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1"/>
    </row>
    <row r="552" spans="1:51" x14ac:dyDescent="0.2">
      <c r="A552" s="33"/>
      <c r="B552" s="252" t="s">
        <v>4508</v>
      </c>
      <c r="C552" s="253" t="s">
        <v>4509</v>
      </c>
      <c r="D552" s="252" t="s">
        <v>4510</v>
      </c>
      <c r="E552" s="252"/>
      <c r="F552" s="252" t="s">
        <v>4511</v>
      </c>
      <c r="G552" s="252"/>
      <c r="H552" s="252"/>
      <c r="I552" s="252" t="s">
        <v>4512</v>
      </c>
      <c r="J552" s="252" t="s">
        <v>4513</v>
      </c>
      <c r="K552" s="254"/>
      <c r="L552" s="255">
        <v>31057</v>
      </c>
      <c r="M552" s="256"/>
      <c r="N552" s="256"/>
      <c r="O552" s="256"/>
      <c r="P552" s="256"/>
      <c r="Q552" s="256"/>
      <c r="R552" s="256"/>
      <c r="S552" s="256"/>
      <c r="T552" s="256"/>
      <c r="U552" s="256"/>
      <c r="V552" s="256"/>
      <c r="W552" s="256"/>
      <c r="X552" s="257" t="s">
        <v>4514</v>
      </c>
      <c r="Y552" s="258" t="s">
        <v>4515</v>
      </c>
      <c r="Z552" s="259" t="s">
        <v>4516</v>
      </c>
      <c r="AA552" s="260">
        <v>43200</v>
      </c>
      <c r="AB552" s="252"/>
      <c r="AC552" s="252" t="s">
        <v>26</v>
      </c>
      <c r="AD552" s="66"/>
      <c r="AE552" s="48" t="s">
        <v>41</v>
      </c>
      <c r="AF552" s="48" t="s">
        <v>41</v>
      </c>
      <c r="AG552" s="48" t="s">
        <v>41</v>
      </c>
      <c r="AH552" s="48" t="s">
        <v>41</v>
      </c>
      <c r="AI552" s="48" t="s">
        <v>41</v>
      </c>
      <c r="AJ552" s="49" t="s">
        <v>41</v>
      </c>
      <c r="AK552" s="48" t="s">
        <v>41</v>
      </c>
      <c r="AL552" s="213"/>
      <c r="AM552" s="138" t="s">
        <v>4517</v>
      </c>
      <c r="AN552" s="118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1"/>
    </row>
    <row r="553" spans="1:51" x14ac:dyDescent="0.2">
      <c r="A553" s="33"/>
      <c r="B553" s="252" t="s">
        <v>4518</v>
      </c>
      <c r="C553" s="253" t="s">
        <v>4519</v>
      </c>
      <c r="D553" s="252" t="s">
        <v>4520</v>
      </c>
      <c r="E553" s="252"/>
      <c r="F553" s="252" t="s">
        <v>4521</v>
      </c>
      <c r="G553" s="252"/>
      <c r="H553" s="252"/>
      <c r="I553" s="261" t="s">
        <v>4522</v>
      </c>
      <c r="J553" s="261" t="s">
        <v>41</v>
      </c>
      <c r="K553" s="254"/>
      <c r="L553" s="262" t="s">
        <v>307</v>
      </c>
      <c r="M553" s="263"/>
      <c r="N553" s="264"/>
      <c r="O553" s="264"/>
      <c r="P553" s="264"/>
      <c r="Q553" s="264"/>
      <c r="R553" s="264"/>
      <c r="S553" s="264"/>
      <c r="T553" s="264"/>
      <c r="U553" s="264"/>
      <c r="V553" s="264"/>
      <c r="W553" s="264"/>
      <c r="X553" s="257" t="s">
        <v>4523</v>
      </c>
      <c r="Y553" s="258" t="s">
        <v>4524</v>
      </c>
      <c r="Z553" s="258"/>
      <c r="AA553" s="258"/>
      <c r="AB553" s="252" t="s">
        <v>30</v>
      </c>
      <c r="AC553" s="252"/>
      <c r="AD553" s="47"/>
      <c r="AE553" s="48" t="s">
        <v>41</v>
      </c>
      <c r="AF553" s="48" t="s">
        <v>41</v>
      </c>
      <c r="AG553" s="48" t="s">
        <v>41</v>
      </c>
      <c r="AH553" s="48" t="s">
        <v>41</v>
      </c>
      <c r="AI553" s="48" t="s">
        <v>41</v>
      </c>
      <c r="AJ553" s="49" t="s">
        <v>41</v>
      </c>
      <c r="AK553" s="48" t="s">
        <v>41</v>
      </c>
      <c r="AL553" s="65"/>
      <c r="AM553" s="59" t="s">
        <v>460</v>
      </c>
      <c r="AN553" s="195"/>
      <c r="AO553" s="196"/>
      <c r="AP553" s="196"/>
      <c r="AQ553" s="196"/>
      <c r="AR553" s="196"/>
      <c r="AS553" s="32"/>
      <c r="AT553" s="32"/>
      <c r="AU553" s="32"/>
      <c r="AV553" s="32"/>
      <c r="AW553" s="32"/>
      <c r="AX553" s="32"/>
      <c r="AY553" s="31"/>
    </row>
    <row r="554" spans="1:51" x14ac:dyDescent="0.2">
      <c r="A554" s="33"/>
      <c r="B554" s="252" t="s">
        <v>4525</v>
      </c>
      <c r="C554" s="253" t="s">
        <v>4526</v>
      </c>
      <c r="D554" s="252" t="s">
        <v>4527</v>
      </c>
      <c r="E554" s="252"/>
      <c r="F554" s="265" t="s">
        <v>4528</v>
      </c>
      <c r="G554" s="252"/>
      <c r="H554" s="252"/>
      <c r="I554" s="266" t="s">
        <v>4529</v>
      </c>
      <c r="J554" s="252"/>
      <c r="K554" s="254"/>
      <c r="L554" s="267" t="s">
        <v>2375</v>
      </c>
      <c r="M554" s="268"/>
      <c r="N554" s="254"/>
      <c r="O554" s="254"/>
      <c r="P554" s="254"/>
      <c r="Q554" s="254"/>
      <c r="R554" s="254"/>
      <c r="S554" s="254"/>
      <c r="T554" s="254"/>
      <c r="U554" s="254"/>
      <c r="V554" s="254"/>
      <c r="W554" s="256"/>
      <c r="X554" s="257" t="s">
        <v>4530</v>
      </c>
      <c r="Y554" s="258" t="s">
        <v>4531</v>
      </c>
      <c r="Z554" s="258"/>
      <c r="AA554" s="258"/>
      <c r="AB554" s="269"/>
      <c r="AC554" s="270" t="s">
        <v>26</v>
      </c>
      <c r="AD554" s="47"/>
      <c r="AE554" s="48" t="s">
        <v>41</v>
      </c>
      <c r="AF554" s="48" t="s">
        <v>41</v>
      </c>
      <c r="AG554" s="48" t="s">
        <v>41</v>
      </c>
      <c r="AH554" s="48" t="s">
        <v>41</v>
      </c>
      <c r="AI554" s="48" t="s">
        <v>41</v>
      </c>
      <c r="AJ554" s="49" t="s">
        <v>41</v>
      </c>
      <c r="AK554" s="48" t="s">
        <v>41</v>
      </c>
      <c r="AL554" s="232"/>
      <c r="AM554" s="138" t="s">
        <v>4517</v>
      </c>
      <c r="AN554" s="10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1"/>
    </row>
    <row r="555" spans="1:51" ht="16" thickBot="1" x14ac:dyDescent="0.25">
      <c r="A555" s="31"/>
      <c r="B555" s="197"/>
      <c r="C555" s="197"/>
      <c r="D555" s="197"/>
      <c r="E555" s="197"/>
      <c r="F555" s="31"/>
      <c r="G555" s="197"/>
      <c r="H555" s="197"/>
      <c r="I555" s="31"/>
      <c r="J555" s="31"/>
      <c r="K555" s="197"/>
      <c r="L555" s="31"/>
      <c r="M555" s="271">
        <f>COUNTIF(M6:M552,"BELUM")</f>
        <v>72</v>
      </c>
      <c r="N555" s="271">
        <f>COUNTIF(N6:N552,"SUDAH")</f>
        <v>7</v>
      </c>
      <c r="O555" s="271"/>
      <c r="P555" s="271"/>
      <c r="Q555" s="271">
        <f>COUNTIF(Q6:Q552,"BELUM")</f>
        <v>9</v>
      </c>
      <c r="R555" s="271">
        <f>COUNTIF(R6:R552,"BARU")</f>
        <v>29</v>
      </c>
      <c r="S555" s="271"/>
      <c r="T555" s="271"/>
      <c r="U555" s="271"/>
      <c r="V555" s="271"/>
      <c r="W555" s="271"/>
      <c r="X555" s="272"/>
      <c r="Y555" s="196"/>
      <c r="Z555" s="196"/>
      <c r="AA555" s="196"/>
      <c r="AB555" s="197"/>
      <c r="AC555" s="272"/>
      <c r="AD555" s="272"/>
      <c r="AE555" s="272"/>
      <c r="AF555" s="272"/>
      <c r="AG555" s="272"/>
      <c r="AH555" s="272"/>
      <c r="AI555" s="272"/>
      <c r="AJ555" s="272"/>
      <c r="AK555" s="272"/>
      <c r="AL555" s="273"/>
      <c r="AM555" s="32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</row>
    <row r="556" spans="1:51" ht="16" thickBot="1" x14ac:dyDescent="0.25">
      <c r="A556" s="274"/>
      <c r="B556" s="31"/>
      <c r="C556" s="31"/>
      <c r="D556" s="275"/>
      <c r="E556" s="271">
        <f>COUNTIF(E6:E551,"TEHNIK")</f>
        <v>423</v>
      </c>
      <c r="F556" s="276"/>
      <c r="G556" s="277">
        <f>COUNTIF(G6:G554,"UNGARAN")</f>
        <v>5</v>
      </c>
      <c r="H556" s="277">
        <f>COUNTIF(H6:H554,"KABUPATEN SEMARANG")</f>
        <v>0</v>
      </c>
      <c r="I556" s="370" t="s">
        <v>4532</v>
      </c>
      <c r="J556" s="278" t="s">
        <v>4533</v>
      </c>
      <c r="K556" s="279">
        <f>COUNTIF(K6:K554,"T")</f>
        <v>2</v>
      </c>
      <c r="L556" s="31"/>
      <c r="M556" s="31"/>
      <c r="N556" s="31"/>
      <c r="O556" s="31"/>
      <c r="P556" s="31"/>
      <c r="Q556" s="31"/>
      <c r="R556" s="31"/>
      <c r="S556" s="271">
        <f>COUNTIF(S7:S551,"BARU")</f>
        <v>33</v>
      </c>
      <c r="T556" s="271">
        <f>COUNTIF(T7:T551,"BARU")</f>
        <v>40</v>
      </c>
      <c r="U556" s="271">
        <f>COUNTIF(U7:U551,"BARU")</f>
        <v>24</v>
      </c>
      <c r="V556" s="271">
        <f>COUNTIF(V7:V551,"BARU")</f>
        <v>15</v>
      </c>
      <c r="W556" s="271">
        <f>COUNTIF(W7:W551,"BARU")</f>
        <v>1</v>
      </c>
      <c r="X556" s="272">
        <f>SUM(S556:V556)</f>
        <v>112</v>
      </c>
      <c r="Y556" s="196"/>
      <c r="Z556" s="280"/>
      <c r="AA556" s="281"/>
      <c r="AB556" s="279">
        <f>COUNTIF(AB6:AB554,"PJBU")</f>
        <v>402</v>
      </c>
      <c r="AC556" s="272"/>
      <c r="AD556" s="272"/>
      <c r="AE556" s="282">
        <f t="shared" ref="AE556:AH556" si="10">COUNTIF(AE4:AE552,"K")</f>
        <v>314</v>
      </c>
      <c r="AF556" s="283">
        <f t="shared" si="10"/>
        <v>321</v>
      </c>
      <c r="AG556" s="283">
        <f t="shared" si="10"/>
        <v>337</v>
      </c>
      <c r="AH556" s="283">
        <f t="shared" si="10"/>
        <v>356</v>
      </c>
      <c r="AI556" s="283">
        <f>COUNTIF(AI4:AI552,"K")</f>
        <v>347</v>
      </c>
      <c r="AJ556" s="283">
        <f>COUNTIF(AJ4:AJ552,"K")</f>
        <v>301</v>
      </c>
      <c r="AK556" s="284">
        <f>COUNTIF(AK4:AK552,"K")</f>
        <v>179</v>
      </c>
      <c r="AL556" s="285"/>
      <c r="AM556" s="32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</row>
    <row r="557" spans="1:51" ht="16" thickBot="1" x14ac:dyDescent="0.25">
      <c r="A557" s="274"/>
      <c r="B557" s="31"/>
      <c r="C557" s="31"/>
      <c r="D557" s="197"/>
      <c r="E557" s="271">
        <f>COUNTIF(E6:E551,"NON TEHNIK")</f>
        <v>111</v>
      </c>
      <c r="F557" s="31"/>
      <c r="G557" s="277">
        <f>COUNTIF(G6:G554,"SALATIGA")</f>
        <v>0</v>
      </c>
      <c r="H557" s="277">
        <f>COUNTIF(H6:H554,"SALATIGA")</f>
        <v>0</v>
      </c>
      <c r="I557" s="371"/>
      <c r="J557" s="278" t="s">
        <v>4534</v>
      </c>
      <c r="K557" s="279">
        <f>COUNTIF(K6:K554,"P")</f>
        <v>544</v>
      </c>
      <c r="L557" s="31"/>
      <c r="M557" s="31"/>
      <c r="N557" s="31"/>
      <c r="O557" s="31"/>
      <c r="P557" s="31"/>
      <c r="Q557" s="31"/>
      <c r="R557" s="31"/>
      <c r="S557" s="31"/>
      <c r="T557" s="31"/>
      <c r="U557" s="271">
        <f>COUNTIF(U8:U552,"PRB")</f>
        <v>12</v>
      </c>
      <c r="V557" s="271">
        <f>COUNTIF(V8:V552,"PRB")</f>
        <v>12</v>
      </c>
      <c r="W557" s="271">
        <f>COUNTIF(W8:W552,"PRB")</f>
        <v>2</v>
      </c>
      <c r="X557" s="272"/>
      <c r="Y557" s="196"/>
      <c r="Z557" s="196"/>
      <c r="AA557" s="196"/>
      <c r="AB557" s="196"/>
      <c r="AC557" s="272"/>
      <c r="AD557" s="272"/>
      <c r="AE557" s="282">
        <f t="shared" ref="AE557:AG557" si="11">COUNTIF(AE5:AE554,"M")</f>
        <v>23</v>
      </c>
      <c r="AF557" s="283">
        <f t="shared" si="11"/>
        <v>25</v>
      </c>
      <c r="AG557" s="283">
        <f t="shared" si="11"/>
        <v>25</v>
      </c>
      <c r="AH557" s="283">
        <f>COUNTIF(AH5:AH554,"M")</f>
        <v>25</v>
      </c>
      <c r="AI557" s="283">
        <f>COUNTIF(AI5:AI554,"M")</f>
        <v>24</v>
      </c>
      <c r="AJ557" s="283">
        <f>COUNTIF(AJ5:AJ554,"M")</f>
        <v>18</v>
      </c>
      <c r="AK557" s="284">
        <f>COUNTIF(AK5:AK554,"M")</f>
        <v>12</v>
      </c>
      <c r="AL557" s="272"/>
      <c r="AM557" s="32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</row>
    <row r="558" spans="1:51" ht="16" thickBot="1" x14ac:dyDescent="0.25">
      <c r="A558" s="274"/>
      <c r="B558" s="31"/>
      <c r="C558" s="31"/>
      <c r="D558" s="197"/>
      <c r="E558" s="271">
        <f>COUNTIF(E6:E551,"NON S-1")</f>
        <v>10</v>
      </c>
      <c r="F558" s="31"/>
      <c r="G558" s="277">
        <f>COUNTIF(G6:G554,"KENDAL")</f>
        <v>9</v>
      </c>
      <c r="H558" s="277">
        <f>COUNTIF(H6:H554,"KABUPATEN SEMARANG")</f>
        <v>0</v>
      </c>
      <c r="I558" s="371"/>
      <c r="J558" s="278" t="s">
        <v>4535</v>
      </c>
      <c r="K558" s="279"/>
      <c r="L558" s="31"/>
      <c r="M558" s="286" t="s">
        <v>4536</v>
      </c>
      <c r="N558" s="286"/>
      <c r="O558" s="286"/>
      <c r="P558" s="286"/>
      <c r="Q558" s="286"/>
      <c r="R558" s="286"/>
      <c r="S558" s="286"/>
      <c r="T558" s="286"/>
      <c r="U558" s="286"/>
      <c r="V558" s="286"/>
      <c r="W558" s="286"/>
      <c r="X558" s="272"/>
      <c r="Y558" s="286"/>
      <c r="Z558" s="286"/>
      <c r="AA558" s="286"/>
      <c r="AB558" s="286"/>
      <c r="AC558" s="287"/>
      <c r="AD558" s="282"/>
      <c r="AE558" s="284">
        <f t="shared" ref="AE558:AH558" si="12">COUNTIF(AE6:AE554,"B")</f>
        <v>5</v>
      </c>
      <c r="AF558" s="288">
        <f t="shared" si="12"/>
        <v>5</v>
      </c>
      <c r="AG558" s="288">
        <f t="shared" si="12"/>
        <v>4</v>
      </c>
      <c r="AH558" s="288">
        <f t="shared" si="12"/>
        <v>5</v>
      </c>
      <c r="AI558" s="288">
        <f>COUNTIF(AI6:AI554,"B")</f>
        <v>5</v>
      </c>
      <c r="AJ558" s="288">
        <f>COUNTIF(AJ6:AJ554,"B")</f>
        <v>5</v>
      </c>
      <c r="AK558" s="284">
        <f>COUNTIF(AK6:AK554,"B")</f>
        <v>4</v>
      </c>
      <c r="AL558" s="289"/>
      <c r="AM558" s="290">
        <f>COUNTIF(AL6:AL554,"0")</f>
        <v>195</v>
      </c>
      <c r="AN558" s="284">
        <f>COUNTIF(AL6:AL554,"1")</f>
        <v>132</v>
      </c>
      <c r="AO558" s="284">
        <f>COUNTIF(AL6:AL554,"2")</f>
        <v>66</v>
      </c>
      <c r="AP558" s="284">
        <f>COUNTIF(AL6:AL554,"3")</f>
        <v>33</v>
      </c>
      <c r="AQ558" s="284">
        <f>COUNTIF(AL6:AL554,"4")</f>
        <v>20</v>
      </c>
      <c r="AR558" s="284">
        <f>COUNTIF(AL6:AL554,"5")</f>
        <v>21</v>
      </c>
      <c r="AS558" s="284">
        <f>COUNTIF(AL6:AL554,"6")</f>
        <v>26</v>
      </c>
      <c r="AT558" s="284">
        <f>COUNTIF(AL6:AL554,"7")</f>
        <v>9</v>
      </c>
      <c r="AU558" s="284">
        <f>COUNTIF(AL6:AL554,"8")</f>
        <v>19</v>
      </c>
      <c r="AV558" s="284">
        <f>COUNTIF(AL6:AL554,"9")</f>
        <v>12</v>
      </c>
      <c r="AW558" s="284">
        <f>COUNTIF(AL6:AL554,"10")</f>
        <v>13</v>
      </c>
      <c r="AX558" s="291">
        <f>SUM(AM558:AW558)</f>
        <v>546</v>
      </c>
      <c r="AY558" s="31" t="s">
        <v>4537</v>
      </c>
    </row>
    <row r="559" spans="1:51" ht="16" thickBot="1" x14ac:dyDescent="0.25">
      <c r="A559" s="274"/>
      <c r="B559" s="31"/>
      <c r="C559" s="31"/>
      <c r="D559" s="197"/>
      <c r="E559" s="197">
        <f>SUM(E556:E558)</f>
        <v>544</v>
      </c>
      <c r="F559" s="31"/>
      <c r="G559" s="277">
        <f>COUNTIF(G6:G554,"KABUPATEN SEMARANG")</f>
        <v>0</v>
      </c>
      <c r="H559" s="277">
        <f>COUNTIF(H6:H554,"KABUPATEN SEMARANG")</f>
        <v>0</v>
      </c>
      <c r="I559" s="371"/>
      <c r="J559" s="278" t="s">
        <v>4538</v>
      </c>
      <c r="K559" s="292">
        <f>SUM(K556:K557)</f>
        <v>546</v>
      </c>
      <c r="L559" s="31"/>
      <c r="M559" s="286" t="s">
        <v>4539</v>
      </c>
      <c r="N559" s="286"/>
      <c r="O559" s="286"/>
      <c r="P559" s="286"/>
      <c r="Q559" s="286"/>
      <c r="R559" s="286"/>
      <c r="S559" s="286"/>
      <c r="T559" s="286"/>
      <c r="U559" s="286"/>
      <c r="V559" s="286"/>
      <c r="W559" s="286"/>
      <c r="X559" s="272"/>
      <c r="Y559" s="286"/>
      <c r="Z559" s="286"/>
      <c r="AA559" s="286"/>
      <c r="AB559" s="286"/>
      <c r="AC559" s="293"/>
      <c r="AD559" s="284">
        <f>COUNTIF(AD6:AD554,"K")</f>
        <v>511</v>
      </c>
      <c r="AE559" s="294">
        <f t="shared" ref="AE559:AH559" si="13">SUM(AE556:AE558)</f>
        <v>342</v>
      </c>
      <c r="AF559" s="294">
        <f t="shared" si="13"/>
        <v>351</v>
      </c>
      <c r="AG559" s="294">
        <f t="shared" si="13"/>
        <v>366</v>
      </c>
      <c r="AH559" s="294">
        <f t="shared" si="13"/>
        <v>386</v>
      </c>
      <c r="AI559" s="294">
        <f>SUM(AI556:AI558)</f>
        <v>376</v>
      </c>
      <c r="AJ559" s="294">
        <f>SUM(AJ556:AJ558)</f>
        <v>324</v>
      </c>
      <c r="AK559" s="295">
        <f>SUM(AK556:AK558)</f>
        <v>195</v>
      </c>
      <c r="AL559" s="289"/>
      <c r="AM559" s="374" t="s">
        <v>28</v>
      </c>
      <c r="AN559" s="374"/>
      <c r="AO559" s="374"/>
      <c r="AP559" s="374"/>
      <c r="AQ559" s="374"/>
      <c r="AR559" s="374"/>
      <c r="AS559" s="374"/>
      <c r="AT559" s="374"/>
      <c r="AU559" s="374"/>
      <c r="AV559" s="374"/>
      <c r="AW559" s="374"/>
      <c r="AX559" s="31"/>
      <c r="AY559" s="31"/>
    </row>
    <row r="560" spans="1:51" ht="16" thickBot="1" x14ac:dyDescent="0.25">
      <c r="A560" s="274"/>
      <c r="B560" s="31"/>
      <c r="C560" s="31"/>
      <c r="D560" s="197"/>
      <c r="E560" s="197"/>
      <c r="F560" s="31"/>
      <c r="G560" s="277">
        <f>COUNTIF(G6:G554,"DEMAK")</f>
        <v>4</v>
      </c>
      <c r="H560" s="277">
        <f>COUNTIF(H6:H554,"KABUPATEN SEMARANG")</f>
        <v>0</v>
      </c>
      <c r="I560" s="369"/>
      <c r="J560" s="278" t="s">
        <v>4540</v>
      </c>
      <c r="K560" s="197"/>
      <c r="L560" s="31"/>
      <c r="M560" s="286"/>
      <c r="N560" s="286"/>
      <c r="O560" s="286"/>
      <c r="P560" s="286"/>
      <c r="Q560" s="286"/>
      <c r="R560" s="286"/>
      <c r="S560" s="286"/>
      <c r="T560" s="286"/>
      <c r="U560" s="286"/>
      <c r="V560" s="286"/>
      <c r="W560" s="286"/>
      <c r="X560" s="272"/>
      <c r="Y560" s="286"/>
      <c r="Z560" s="286"/>
      <c r="AA560" s="286"/>
      <c r="AB560" s="286"/>
      <c r="AC560" s="293"/>
      <c r="AD560" s="284">
        <f>COUNTIF(AD6:AD554,"M")</f>
        <v>28</v>
      </c>
      <c r="AE560" s="272">
        <v>2020</v>
      </c>
      <c r="AF560" s="272">
        <v>2021</v>
      </c>
      <c r="AG560" s="294">
        <v>2022</v>
      </c>
      <c r="AH560" s="294">
        <v>2023</v>
      </c>
      <c r="AI560" s="294">
        <v>2024</v>
      </c>
      <c r="AJ560" s="294">
        <v>2025</v>
      </c>
      <c r="AK560" s="296">
        <v>2026</v>
      </c>
      <c r="AL560" s="289"/>
      <c r="AM560" s="32"/>
      <c r="AN560" s="297"/>
      <c r="AO560" s="297"/>
      <c r="AP560" s="297"/>
      <c r="AQ560" s="297"/>
      <c r="AR560" s="31"/>
      <c r="AS560" s="31"/>
      <c r="AT560" s="31"/>
      <c r="AU560" s="31"/>
      <c r="AV560" s="31"/>
      <c r="AW560" s="31"/>
      <c r="AX560" s="31"/>
      <c r="AY560" s="31"/>
    </row>
    <row r="561" spans="1:51" ht="16" thickBot="1" x14ac:dyDescent="0.25">
      <c r="A561" s="274"/>
      <c r="B561" s="31"/>
      <c r="C561" s="31"/>
      <c r="D561" s="197"/>
      <c r="E561" s="197"/>
      <c r="F561" s="31"/>
      <c r="G561" s="298">
        <f>SUM(G556:G560)</f>
        <v>18</v>
      </c>
      <c r="H561" s="298">
        <f>SUM(H556:H560)</f>
        <v>0</v>
      </c>
      <c r="I561" s="299" t="s">
        <v>4541</v>
      </c>
      <c r="J561" s="278"/>
      <c r="K561" s="197"/>
      <c r="L561" s="31"/>
      <c r="M561" s="32" t="s">
        <v>4542</v>
      </c>
      <c r="N561" s="32"/>
      <c r="O561" s="32"/>
      <c r="P561" s="32"/>
      <c r="Q561" s="32"/>
      <c r="R561" s="32"/>
      <c r="S561" s="32">
        <f>+R555+S555</f>
        <v>29</v>
      </c>
      <c r="T561" s="32"/>
      <c r="U561" s="32"/>
      <c r="V561" s="32"/>
      <c r="W561" s="32"/>
      <c r="X561" s="272"/>
      <c r="Y561" s="196"/>
      <c r="Z561" s="196"/>
      <c r="AA561" s="196"/>
      <c r="AB561" s="196"/>
      <c r="AC561" s="293"/>
      <c r="AD561" s="300">
        <f>COUNTIF(AD6:AD554,"B")</f>
        <v>7</v>
      </c>
      <c r="AE561" s="272"/>
      <c r="AF561" s="272"/>
      <c r="AG561" s="272"/>
      <c r="AH561" s="272"/>
      <c r="AI561" s="272"/>
      <c r="AJ561" s="272"/>
      <c r="AK561" s="272"/>
      <c r="AL561" s="289"/>
      <c r="AM561" s="32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</row>
    <row r="562" spans="1:51" ht="16" thickBot="1" x14ac:dyDescent="0.25">
      <c r="A562" s="274"/>
      <c r="B562" s="31"/>
      <c r="C562" s="31"/>
      <c r="D562" s="197"/>
      <c r="E562" s="197"/>
      <c r="F562" s="31"/>
      <c r="G562" s="277"/>
      <c r="H562" s="277"/>
      <c r="I562" s="301"/>
      <c r="J562" s="278"/>
      <c r="K562" s="197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272"/>
      <c r="Y562" s="196"/>
      <c r="Z562" s="196"/>
      <c r="AA562" s="196"/>
      <c r="AB562" s="196"/>
      <c r="AC562" s="293"/>
      <c r="AD562" s="302">
        <f>SUM(AD559:AD561)</f>
        <v>546</v>
      </c>
      <c r="AE562" s="272"/>
      <c r="AF562" s="272"/>
      <c r="AG562" s="272"/>
      <c r="AH562" s="272"/>
      <c r="AI562" s="272"/>
      <c r="AJ562" s="272"/>
      <c r="AK562" s="272"/>
      <c r="AL562" s="272"/>
      <c r="AM562" s="32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</row>
    <row r="563" spans="1:51" ht="16" thickBot="1" x14ac:dyDescent="0.25">
      <c r="A563" s="274"/>
      <c r="B563" s="31"/>
      <c r="C563" s="31"/>
      <c r="D563" s="197"/>
      <c r="E563" s="197"/>
      <c r="F563" s="31"/>
      <c r="G563" s="277">
        <f>COUNTIF(G6:G554,"PATI")</f>
        <v>12</v>
      </c>
      <c r="H563" s="277">
        <f>COUNTIF(H6:H554,"PATI")</f>
        <v>49</v>
      </c>
      <c r="I563" s="370" t="s">
        <v>4543</v>
      </c>
      <c r="J563" s="278" t="s">
        <v>4544</v>
      </c>
      <c r="K563" s="197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272"/>
      <c r="Y563" s="196"/>
      <c r="Z563" s="196"/>
      <c r="AA563" s="196"/>
      <c r="AB563" s="196"/>
      <c r="AC563" s="272"/>
      <c r="AD563" s="272"/>
      <c r="AE563" s="272"/>
      <c r="AF563" s="272"/>
      <c r="AG563" s="272"/>
      <c r="AH563" s="272"/>
      <c r="AI563" s="272"/>
      <c r="AJ563" s="272"/>
      <c r="AK563" s="272"/>
      <c r="AL563" s="272"/>
      <c r="AM563" s="32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</row>
    <row r="564" spans="1:51" ht="16" thickBot="1" x14ac:dyDescent="0.25">
      <c r="A564" s="274"/>
      <c r="B564" s="31"/>
      <c r="C564" s="31"/>
      <c r="D564" s="197"/>
      <c r="E564" s="197"/>
      <c r="F564" s="31"/>
      <c r="G564" s="277">
        <f>COUNTIF(G6:G554,"KUDUS")</f>
        <v>12</v>
      </c>
      <c r="H564" s="277">
        <f>COUNTIF(H6:H554,"PATI")</f>
        <v>49</v>
      </c>
      <c r="I564" s="371"/>
      <c r="J564" s="278" t="s">
        <v>4545</v>
      </c>
      <c r="K564" s="197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272"/>
      <c r="Y564" s="196"/>
      <c r="Z564" s="196"/>
      <c r="AA564" s="196"/>
      <c r="AB564" s="196"/>
      <c r="AC564" s="272"/>
      <c r="AD564" s="272">
        <v>2022</v>
      </c>
      <c r="AE564" s="272">
        <v>266</v>
      </c>
      <c r="AF564" s="272">
        <v>23</v>
      </c>
      <c r="AG564" s="272">
        <v>8</v>
      </c>
      <c r="AH564" s="272">
        <f>SUM(AE564:AG564)</f>
        <v>297</v>
      </c>
      <c r="AI564" s="272">
        <v>336</v>
      </c>
      <c r="AJ564" s="272">
        <f>+AI564-AH564</f>
        <v>39</v>
      </c>
      <c r="AK564" s="272"/>
      <c r="AL564" s="272"/>
      <c r="AM564" s="32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</row>
    <row r="565" spans="1:51" ht="16" thickBot="1" x14ac:dyDescent="0.25">
      <c r="A565" s="274"/>
      <c r="B565" s="31"/>
      <c r="C565" s="31"/>
      <c r="D565" s="197">
        <f>52-5</f>
        <v>47</v>
      </c>
      <c r="E565" s="197"/>
      <c r="F565" s="31"/>
      <c r="G565" s="277">
        <f>COUNTIF(G6:G554,"PATI")</f>
        <v>12</v>
      </c>
      <c r="H565" s="277">
        <f>COUNTIF(H6:H554,"PATI")</f>
        <v>49</v>
      </c>
      <c r="I565" s="371"/>
      <c r="J565" s="278" t="s">
        <v>4546</v>
      </c>
      <c r="K565" s="197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272"/>
      <c r="Y565" s="196"/>
      <c r="Z565" s="196"/>
      <c r="AA565" s="196"/>
      <c r="AB565" s="196"/>
      <c r="AC565" s="272"/>
      <c r="AD565" s="272">
        <v>2023</v>
      </c>
      <c r="AE565" s="272">
        <v>309</v>
      </c>
      <c r="AF565" s="272">
        <v>20</v>
      </c>
      <c r="AG565" s="272">
        <v>6</v>
      </c>
      <c r="AH565" s="272">
        <f t="shared" ref="AH565:AH567" si="14">SUM(AE565:AG565)</f>
        <v>335</v>
      </c>
      <c r="AI565" s="272">
        <v>383</v>
      </c>
      <c r="AJ565" s="272">
        <f t="shared" ref="AJ565:AJ567" si="15">+AI565-AH565</f>
        <v>48</v>
      </c>
      <c r="AK565" s="272"/>
      <c r="AL565" s="272"/>
      <c r="AM565" s="32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</row>
    <row r="566" spans="1:51" ht="16" thickBot="1" x14ac:dyDescent="0.25">
      <c r="A566" s="274"/>
      <c r="B566" s="31">
        <f>1200000*3</f>
        <v>3600000</v>
      </c>
      <c r="C566" s="31"/>
      <c r="D566" s="197"/>
      <c r="E566" s="197"/>
      <c r="F566" s="31"/>
      <c r="G566" s="277">
        <f>COUNTIF(G6:G554,"REMBANG")</f>
        <v>9</v>
      </c>
      <c r="H566" s="277">
        <f>COUNTIF(H6:H554,"PATI")</f>
        <v>49</v>
      </c>
      <c r="I566" s="371"/>
      <c r="J566" s="278" t="s">
        <v>4547</v>
      </c>
      <c r="K566" s="197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272"/>
      <c r="Y566" s="196"/>
      <c r="Z566" s="196"/>
      <c r="AA566" s="196"/>
      <c r="AB566" s="196"/>
      <c r="AC566" s="272"/>
      <c r="AD566" s="272">
        <v>2024</v>
      </c>
      <c r="AE566" s="272">
        <v>302</v>
      </c>
      <c r="AF566" s="272">
        <v>24</v>
      </c>
      <c r="AG566" s="272">
        <v>7</v>
      </c>
      <c r="AH566" s="272">
        <f t="shared" si="14"/>
        <v>333</v>
      </c>
      <c r="AI566" s="272">
        <v>368</v>
      </c>
      <c r="AJ566" s="272">
        <f t="shared" si="15"/>
        <v>35</v>
      </c>
      <c r="AK566" s="272"/>
      <c r="AL566" s="272"/>
      <c r="AM566" s="32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</row>
    <row r="567" spans="1:51" ht="16" thickBot="1" x14ac:dyDescent="0.25">
      <c r="A567" s="274"/>
      <c r="B567" s="31"/>
      <c r="C567" s="31"/>
      <c r="D567" s="197"/>
      <c r="E567" s="197"/>
      <c r="F567" s="31"/>
      <c r="G567" s="277">
        <f>COUNTIF(G6:G554,"BLORA")</f>
        <v>16</v>
      </c>
      <c r="H567" s="277">
        <f>COUNTIF(H6:H554,"PATI")</f>
        <v>49</v>
      </c>
      <c r="I567" s="369"/>
      <c r="J567" s="278" t="s">
        <v>4548</v>
      </c>
      <c r="K567" s="197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272"/>
      <c r="Y567" s="196"/>
      <c r="Z567" s="196"/>
      <c r="AA567" s="196"/>
      <c r="AB567" s="196"/>
      <c r="AC567" s="272"/>
      <c r="AD567" s="272">
        <v>2025</v>
      </c>
      <c r="AE567" s="272">
        <v>265</v>
      </c>
      <c r="AF567" s="272">
        <v>16</v>
      </c>
      <c r="AG567" s="272">
        <v>5</v>
      </c>
      <c r="AH567" s="272">
        <f t="shared" si="14"/>
        <v>286</v>
      </c>
      <c r="AI567" s="272">
        <v>292</v>
      </c>
      <c r="AJ567" s="272">
        <f t="shared" si="15"/>
        <v>6</v>
      </c>
      <c r="AK567" s="272"/>
      <c r="AL567" s="272"/>
      <c r="AM567" s="32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</row>
    <row r="568" spans="1:51" x14ac:dyDescent="0.2">
      <c r="A568" s="274"/>
      <c r="B568" s="31"/>
      <c r="C568" s="31"/>
      <c r="D568" s="197"/>
      <c r="E568" s="197"/>
      <c r="F568" s="31"/>
      <c r="G568" s="303">
        <f>SUM(G563:G567)</f>
        <v>61</v>
      </c>
      <c r="H568" s="303">
        <f>SUM(H563:H567)</f>
        <v>245</v>
      </c>
      <c r="I568" s="299" t="s">
        <v>4541</v>
      </c>
      <c r="J568" s="278"/>
      <c r="K568" s="197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272"/>
      <c r="Y568" s="196"/>
      <c r="Z568" s="196"/>
      <c r="AA568" s="196"/>
      <c r="AB568" s="196"/>
      <c r="AC568" s="272"/>
      <c r="AD568" s="272"/>
      <c r="AE568" s="272"/>
      <c r="AF568" s="272"/>
      <c r="AG568" s="272"/>
      <c r="AH568" s="272"/>
      <c r="AI568" s="272"/>
      <c r="AJ568" s="272"/>
      <c r="AK568" s="272"/>
      <c r="AL568" s="272"/>
      <c r="AM568" s="32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</row>
    <row r="569" spans="1:51" ht="16" thickBot="1" x14ac:dyDescent="0.25"/>
    <row r="570" spans="1:51" ht="16" thickBot="1" x14ac:dyDescent="0.25">
      <c r="G570" s="277">
        <f>COUNTIF(G6:G554,"SURAKARTA")</f>
        <v>27</v>
      </c>
      <c r="H570" s="277">
        <f>COUNTIF(H6:H554,"SURAKARTA")</f>
        <v>57</v>
      </c>
      <c r="I570" s="370" t="s">
        <v>4549</v>
      </c>
      <c r="J570" s="278" t="s">
        <v>4550</v>
      </c>
    </row>
    <row r="571" spans="1:51" ht="16" thickBot="1" x14ac:dyDescent="0.25">
      <c r="G571" s="277">
        <f>COUNTIF(G6:G554,"BOYOLALI")</f>
        <v>6</v>
      </c>
      <c r="H571" s="277">
        <f>COUNTIF(H6:H554,"BOYOLALI")</f>
        <v>0</v>
      </c>
      <c r="I571" s="371"/>
      <c r="J571" s="278" t="s">
        <v>4551</v>
      </c>
    </row>
    <row r="572" spans="1:51" ht="16" thickBot="1" x14ac:dyDescent="0.25">
      <c r="E572">
        <f>10+24</f>
        <v>34</v>
      </c>
      <c r="G572" s="277">
        <f>COUNTIF(G6:G554,"KLATEN")</f>
        <v>12</v>
      </c>
      <c r="H572" s="277">
        <f>COUNTIF(H6:H554,"SURAKARTA")</f>
        <v>57</v>
      </c>
      <c r="I572" s="371"/>
      <c r="J572" s="278" t="s">
        <v>4552</v>
      </c>
    </row>
    <row r="573" spans="1:51" ht="16" thickBot="1" x14ac:dyDescent="0.25">
      <c r="G573" s="277">
        <f>COUNTIF(G6:G554,"SUKOHARJO")</f>
        <v>10</v>
      </c>
      <c r="H573" s="277">
        <f>COUNTIF(H6:H554,"SURAKARTA")</f>
        <v>57</v>
      </c>
      <c r="I573" s="371"/>
      <c r="J573" s="278" t="s">
        <v>4553</v>
      </c>
    </row>
    <row r="574" spans="1:51" ht="16" thickBot="1" x14ac:dyDescent="0.25">
      <c r="G574" s="277">
        <f>COUNTIF(G6:G554,"SURAKARTA")</f>
        <v>27</v>
      </c>
      <c r="H574" s="277">
        <f>COUNTIF(H6:H554,"SURAKARTA")</f>
        <v>57</v>
      </c>
      <c r="I574" s="371"/>
      <c r="J574" s="278" t="s">
        <v>4554</v>
      </c>
    </row>
    <row r="575" spans="1:51" ht="16" thickBot="1" x14ac:dyDescent="0.25">
      <c r="G575" s="277">
        <f>COUNTIF(G6:G554,"SURAKARTA")</f>
        <v>27</v>
      </c>
      <c r="H575" s="277">
        <f>COUNTIF(H6:H554,"SURAKARTA")</f>
        <v>57</v>
      </c>
      <c r="I575" s="371"/>
      <c r="J575" s="278" t="s">
        <v>4554</v>
      </c>
    </row>
    <row r="576" spans="1:51" ht="16" thickBot="1" x14ac:dyDescent="0.25">
      <c r="G576" s="277">
        <f>COUNTIF(G6:G554,"WONOGIRI")</f>
        <v>1</v>
      </c>
      <c r="H576" s="277">
        <f>COUNTIF(H6:H554,"SURAKARTA")</f>
        <v>57</v>
      </c>
      <c r="I576" s="369"/>
      <c r="J576" s="278" t="s">
        <v>4555</v>
      </c>
    </row>
    <row r="577" spans="7:10" ht="16" thickBot="1" x14ac:dyDescent="0.25">
      <c r="G577" s="303">
        <f>SUM(G570:G576)</f>
        <v>110</v>
      </c>
      <c r="H577" s="303">
        <f>SUM(H570:H576)</f>
        <v>342</v>
      </c>
      <c r="I577" s="299" t="s">
        <v>4541</v>
      </c>
      <c r="J577" s="278"/>
    </row>
    <row r="578" spans="7:10" ht="16" thickBot="1" x14ac:dyDescent="0.25">
      <c r="G578" s="277"/>
      <c r="H578" s="277"/>
      <c r="I578" s="301"/>
      <c r="J578" s="278"/>
    </row>
    <row r="579" spans="7:10" ht="16" thickBot="1" x14ac:dyDescent="0.25">
      <c r="G579" s="277">
        <f>COUNTIF(G6:G554,"MAGELANG")</f>
        <v>29</v>
      </c>
      <c r="H579" s="277">
        <f>COUNTIF(H6:H554,"KEDU")</f>
        <v>64</v>
      </c>
      <c r="I579" s="370" t="s">
        <v>4556</v>
      </c>
      <c r="J579" s="304" t="s">
        <v>4557</v>
      </c>
    </row>
    <row r="580" spans="7:10" ht="16" thickBot="1" x14ac:dyDescent="0.25">
      <c r="G580" s="277">
        <f>COUNTIF(G6:G554,"PURWOREJO")</f>
        <v>8</v>
      </c>
      <c r="H580" s="277">
        <f>COUNTIF(H6:H554,"KEDU")</f>
        <v>64</v>
      </c>
      <c r="I580" s="371"/>
      <c r="J580" s="278" t="s">
        <v>4558</v>
      </c>
    </row>
    <row r="581" spans="7:10" ht="16" thickBot="1" x14ac:dyDescent="0.25">
      <c r="G581" s="277">
        <f>COUNTIF(G6:G554,"TEMANGGUNG")</f>
        <v>10</v>
      </c>
      <c r="H581" s="277">
        <f>COUNTIF(H6:H554,"KEDU")</f>
        <v>64</v>
      </c>
      <c r="I581" s="371"/>
      <c r="J581" s="278" t="s">
        <v>4559</v>
      </c>
    </row>
    <row r="582" spans="7:10" ht="16" thickBot="1" x14ac:dyDescent="0.25">
      <c r="G582" s="277">
        <f>COUNTIF(G6:G554,"KEBUMEN")</f>
        <v>11</v>
      </c>
      <c r="H582" s="277">
        <f>COUNTIF(H6:H554,"KEDU")</f>
        <v>64</v>
      </c>
      <c r="I582" s="371"/>
      <c r="J582" s="278" t="s">
        <v>4560</v>
      </c>
    </row>
    <row r="583" spans="7:10" ht="16" thickBot="1" x14ac:dyDescent="0.25">
      <c r="G583" s="277">
        <f>COUNTIF(G6:G554,"WONOSOBO")</f>
        <v>6</v>
      </c>
      <c r="H583" s="277">
        <f>COUNTIF(H6:H554,"KEDU")</f>
        <v>64</v>
      </c>
      <c r="I583" s="369"/>
      <c r="J583" s="278" t="s">
        <v>4561</v>
      </c>
    </row>
    <row r="584" spans="7:10" ht="16" thickBot="1" x14ac:dyDescent="0.25">
      <c r="G584" s="303">
        <f>SUM(G579:G583)</f>
        <v>64</v>
      </c>
      <c r="H584" s="303">
        <f>SUM(H579:H583)</f>
        <v>320</v>
      </c>
      <c r="I584" s="299" t="s">
        <v>4541</v>
      </c>
      <c r="J584" s="304"/>
    </row>
    <row r="585" spans="7:10" ht="16" thickBot="1" x14ac:dyDescent="0.25">
      <c r="G585" s="277"/>
      <c r="H585" s="277"/>
      <c r="I585" s="301"/>
      <c r="J585" s="304"/>
    </row>
    <row r="586" spans="7:10" ht="16" thickBot="1" x14ac:dyDescent="0.25">
      <c r="G586" s="277">
        <f>COUNTIF(G6:G554,"PURWOKERTO")</f>
        <v>9</v>
      </c>
      <c r="H586" s="277">
        <f>COUNTIF(H6:H554,"BANYUMAS")</f>
        <v>22</v>
      </c>
      <c r="I586" s="367" t="s">
        <v>4562</v>
      </c>
      <c r="J586" s="278" t="s">
        <v>4563</v>
      </c>
    </row>
    <row r="587" spans="7:10" ht="16" thickBot="1" x14ac:dyDescent="0.25">
      <c r="G587" s="277">
        <f>COUNTIF(G6:G554,"BANJARNEGARA")</f>
        <v>5</v>
      </c>
      <c r="H587" s="277">
        <f>COUNTIF(H6:H554,"BANYUMAS")</f>
        <v>22</v>
      </c>
      <c r="I587" s="368"/>
      <c r="J587" s="278" t="s">
        <v>4564</v>
      </c>
    </row>
    <row r="588" spans="7:10" ht="16" thickBot="1" x14ac:dyDescent="0.25">
      <c r="G588" s="277">
        <f>COUNTIF(G6:G554,"CILACAP")</f>
        <v>6</v>
      </c>
      <c r="H588" s="277">
        <f>COUNTIF(H6:H554,"BANYUMAS")</f>
        <v>22</v>
      </c>
      <c r="I588" s="368"/>
      <c r="J588" s="278" t="s">
        <v>4565</v>
      </c>
    </row>
    <row r="589" spans="7:10" ht="16" thickBot="1" x14ac:dyDescent="0.25">
      <c r="G589" s="277">
        <f>COUNTIF(G6:G554,"PURBALINGGA")</f>
        <v>2</v>
      </c>
      <c r="H589" s="277">
        <f>COUNTIF(H6:H554,"PURBALINGGA")</f>
        <v>0</v>
      </c>
      <c r="I589" s="369"/>
      <c r="J589" s="278" t="s">
        <v>4566</v>
      </c>
    </row>
    <row r="590" spans="7:10" ht="16" thickBot="1" x14ac:dyDescent="0.25">
      <c r="G590" s="305">
        <f>SUM(G586:G589)</f>
        <v>22</v>
      </c>
      <c r="H590" s="305">
        <f>SUM(H586:H589)</f>
        <v>66</v>
      </c>
      <c r="I590" s="299" t="s">
        <v>4541</v>
      </c>
      <c r="J590" s="278"/>
    </row>
    <row r="591" spans="7:10" ht="16" thickBot="1" x14ac:dyDescent="0.25">
      <c r="G591" s="277"/>
      <c r="H591" s="277"/>
      <c r="I591" s="10"/>
      <c r="J591" s="278"/>
    </row>
    <row r="592" spans="7:10" ht="16" thickBot="1" x14ac:dyDescent="0.25">
      <c r="G592" s="277">
        <f>COUNTIF(G6:G554,"BREBES")</f>
        <v>17</v>
      </c>
      <c r="H592" s="277">
        <f>COUNTIF(H6:H554,"PEKALONGAN")</f>
        <v>97</v>
      </c>
      <c r="I592" s="370" t="s">
        <v>4567</v>
      </c>
      <c r="J592" s="278" t="s">
        <v>4568</v>
      </c>
    </row>
    <row r="593" spans="7:27" x14ac:dyDescent="0.2">
      <c r="G593" s="277">
        <f>COUNTIF(G6:G554,"TEGAL")</f>
        <v>31</v>
      </c>
      <c r="H593" s="277">
        <f>COUNTIF(H6:H554,"PEKALONGAN")</f>
        <v>97</v>
      </c>
      <c r="I593" s="371"/>
      <c r="J593" s="278" t="s">
        <v>4569</v>
      </c>
    </row>
    <row r="597" spans="7:27" x14ac:dyDescent="0.2">
      <c r="Z597" t="s">
        <v>4595</v>
      </c>
      <c r="AA597">
        <v>3</v>
      </c>
    </row>
    <row r="598" spans="7:27" x14ac:dyDescent="0.2">
      <c r="Z598" t="s">
        <v>4596</v>
      </c>
      <c r="AA598">
        <v>1</v>
      </c>
    </row>
    <row r="599" spans="7:27" x14ac:dyDescent="0.2">
      <c r="Y599" t="s">
        <v>4570</v>
      </c>
      <c r="Z599" s="306" t="s">
        <v>4597</v>
      </c>
      <c r="AA599">
        <v>1</v>
      </c>
    </row>
    <row r="600" spans="7:27" x14ac:dyDescent="0.2">
      <c r="Y600" t="s">
        <v>4571</v>
      </c>
      <c r="Z600" s="306" t="s">
        <v>4598</v>
      </c>
      <c r="AA600">
        <v>1</v>
      </c>
    </row>
    <row r="601" spans="7:27" x14ac:dyDescent="0.2">
      <c r="Z601" s="306" t="s">
        <v>4602</v>
      </c>
      <c r="AA601">
        <v>1</v>
      </c>
    </row>
    <row r="602" spans="7:27" x14ac:dyDescent="0.2">
      <c r="Y602" t="s">
        <v>4572</v>
      </c>
      <c r="Z602" s="306" t="s">
        <v>4599</v>
      </c>
      <c r="AA602">
        <v>1</v>
      </c>
    </row>
    <row r="603" spans="7:27" x14ac:dyDescent="0.2">
      <c r="Y603" t="s">
        <v>4573</v>
      </c>
      <c r="Z603" s="306" t="s">
        <v>4600</v>
      </c>
      <c r="AA603">
        <v>2</v>
      </c>
    </row>
    <row r="604" spans="7:27" x14ac:dyDescent="0.2">
      <c r="Z604" s="306" t="s">
        <v>4601</v>
      </c>
      <c r="AA604">
        <v>1</v>
      </c>
    </row>
    <row r="605" spans="7:27" x14ac:dyDescent="0.2">
      <c r="Z605" s="306" t="s">
        <v>4603</v>
      </c>
      <c r="AA605">
        <v>2</v>
      </c>
    </row>
    <row r="606" spans="7:27" x14ac:dyDescent="0.2">
      <c r="Z606" s="308" t="s">
        <v>4541</v>
      </c>
      <c r="AA606" s="309">
        <f>SUM(AA597:AA605)</f>
        <v>13</v>
      </c>
    </row>
    <row r="607" spans="7:27" x14ac:dyDescent="0.2">
      <c r="Z607" s="306"/>
    </row>
    <row r="608" spans="7:27" x14ac:dyDescent="0.2">
      <c r="Z608" s="306"/>
    </row>
  </sheetData>
  <mergeCells count="30">
    <mergeCell ref="I586:I589"/>
    <mergeCell ref="I592:I593"/>
    <mergeCell ref="AK3:AK4"/>
    <mergeCell ref="I556:I560"/>
    <mergeCell ref="AM559:AW559"/>
    <mergeCell ref="I563:I567"/>
    <mergeCell ref="I570:I576"/>
    <mergeCell ref="I579:I583"/>
    <mergeCell ref="AE3:AE4"/>
    <mergeCell ref="AF3:AF4"/>
    <mergeCell ref="AG3:AG4"/>
    <mergeCell ref="AH3:AH4"/>
    <mergeCell ref="AI3:AI4"/>
    <mergeCell ref="AJ3:AJ4"/>
    <mergeCell ref="J3:J4"/>
    <mergeCell ref="K3:K4"/>
    <mergeCell ref="L3:L4"/>
    <mergeCell ref="M3:N3"/>
    <mergeCell ref="O3:O4"/>
    <mergeCell ref="P3:P4"/>
    <mergeCell ref="A1:AM1"/>
    <mergeCell ref="A2:AM2"/>
    <mergeCell ref="A3:A4"/>
    <mergeCell ref="B3:B4"/>
    <mergeCell ref="C3:C4"/>
    <mergeCell ref="D3:D4"/>
    <mergeCell ref="F3:F4"/>
    <mergeCell ref="G3:G4"/>
    <mergeCell ref="H3:H4"/>
    <mergeCell ref="I3:I4"/>
  </mergeCells>
  <hyperlinks>
    <hyperlink ref="Y553" r:id="rId1" xr:uid="{0BE83477-79AF-42DA-8E27-65310D653827}"/>
    <hyperlink ref="Y261" r:id="rId2" xr:uid="{39CAA589-A1A4-4C9B-BF80-699CE9FCF881}"/>
    <hyperlink ref="Y280" r:id="rId3" xr:uid="{BA2D6BB8-80FC-4ECF-9512-96CE01476FD9}"/>
    <hyperlink ref="Y58" r:id="rId4" xr:uid="{C12E2296-1F6C-407B-BB00-9C6E90705681}"/>
    <hyperlink ref="Y9" r:id="rId5" xr:uid="{AA254C71-0C1E-4F29-80A3-21ECA6B278B7}"/>
    <hyperlink ref="Y514" r:id="rId6" xr:uid="{5F777E90-2DE0-4B27-B694-0C3C08842D16}"/>
    <hyperlink ref="Y322" r:id="rId7" xr:uid="{1CDC2D2B-C3B8-4B75-8951-03E08C163378}"/>
    <hyperlink ref="Y252" r:id="rId8" xr:uid="{0B729B75-FD3A-4770-BDEA-82499D9B47C5}"/>
    <hyperlink ref="Y351" r:id="rId9" xr:uid="{E07534B7-173C-4AE1-AB91-3C53DC10B814}"/>
    <hyperlink ref="Y402" r:id="rId10" xr:uid="{613EE65A-AB7F-4751-BA88-529A9D1D531C}"/>
    <hyperlink ref="Y432" r:id="rId11" xr:uid="{73EF20A3-408B-45BA-939E-663EB83A5928}"/>
    <hyperlink ref="Y427" r:id="rId12" xr:uid="{6A1FF076-4B72-4B32-B3EB-1D19649208FD}"/>
    <hyperlink ref="Y504" r:id="rId13" xr:uid="{2DBE6F33-D146-4332-9B10-AB32F46CE154}"/>
    <hyperlink ref="Y180" r:id="rId14" xr:uid="{AB710FE3-FB2A-4DCF-ABE7-9AB3032CC5EE}"/>
    <hyperlink ref="Y244" r:id="rId15" xr:uid="{8901B5B4-288C-4037-900C-1A235D8B9915}"/>
    <hyperlink ref="Y225" r:id="rId16" xr:uid="{FEAE3203-25BB-472F-84E1-B85849097682}"/>
    <hyperlink ref="Y512" r:id="rId17" xr:uid="{71B20927-B0FE-48BA-8104-06B7722DA45B}"/>
    <hyperlink ref="Y495" r:id="rId18" xr:uid="{F23AD612-7173-45D5-8055-98717CA7DD20}"/>
    <hyperlink ref="Y14" r:id="rId19" xr:uid="{3F1D6684-73A0-432B-8CE7-947F27112BD7}"/>
    <hyperlink ref="Y299" r:id="rId20" xr:uid="{702333C5-7A29-43E1-82DA-710E068BE574}"/>
    <hyperlink ref="Y298" r:id="rId21" xr:uid="{870114EB-AC51-4A5E-B01C-85714B9609A5}"/>
    <hyperlink ref="Y224" r:id="rId22" xr:uid="{83B9EA80-338A-4856-BB4D-8CA7ADBA8EBE}"/>
    <hyperlink ref="Y93" r:id="rId23" xr:uid="{31FA9F3E-2FDD-4467-8B35-BCE3FC3BB452}"/>
    <hyperlink ref="Y138" r:id="rId24" xr:uid="{619F357B-0D47-4BD3-81CD-E4207A2F1DBC}"/>
    <hyperlink ref="Y155" r:id="rId25" xr:uid="{6BE565C2-2C8D-4327-8B77-801DACBF29AE}"/>
    <hyperlink ref="Y235" r:id="rId26" xr:uid="{71E688EF-9F6F-4939-87B4-7C65DBFC5B86}"/>
    <hyperlink ref="Y74" r:id="rId27" xr:uid="{0941AD4C-079A-4FD0-A58F-A8D59054E521}"/>
    <hyperlink ref="Y17" r:id="rId28" xr:uid="{342ED81F-354B-4715-8907-3AAA388632B8}"/>
    <hyperlink ref="Y91" r:id="rId29" xr:uid="{3A313646-1322-42A1-A98B-691AF970CC48}"/>
    <hyperlink ref="Y448" r:id="rId30" xr:uid="{54DC4452-74A8-42B0-8760-22B6F1E4DBE5}"/>
    <hyperlink ref="Y450" r:id="rId31" xr:uid="{CBCC64C6-BC36-4A77-89A8-A9C8B73B2333}"/>
    <hyperlink ref="Y420" r:id="rId32" xr:uid="{9AE0EA2D-8E23-4836-9C84-32AE363B80E3}"/>
    <hyperlink ref="Y419" r:id="rId33" xr:uid="{E0E81875-FDB5-42F7-B984-8EF94B2BCF5A}"/>
    <hyperlink ref="Y359" r:id="rId34" xr:uid="{A4FBB886-BF33-4BAC-BE07-10A74817068A}"/>
    <hyperlink ref="Y137" r:id="rId35" xr:uid="{8264BF76-FA71-4BD8-9173-20FF24A85567}"/>
    <hyperlink ref="Y199" r:id="rId36" xr:uid="{D8CDF482-0DBC-4D9B-995D-D5AE39043A53}"/>
    <hyperlink ref="Y443" r:id="rId37" xr:uid="{38CE328E-3E1C-4523-AD0E-548798BFFBD4}"/>
    <hyperlink ref="Y262" r:id="rId38" xr:uid="{056191B0-70E5-4DFD-A107-0153A619F22D}"/>
    <hyperlink ref="Y350" r:id="rId39" xr:uid="{DED56DC3-5AA2-4358-9204-8FC24AD09E4F}"/>
    <hyperlink ref="Y500" r:id="rId40" xr:uid="{69CA54B1-1A26-431F-BBC1-EA499CCEFD8E}"/>
    <hyperlink ref="Y117" r:id="rId41" xr:uid="{545F6F57-AA99-4D17-8E34-95152BECF070}"/>
    <hyperlink ref="Y6" r:id="rId42" xr:uid="{218B1F59-5887-4E05-8F57-2E96017D6CD5}"/>
    <hyperlink ref="Y519" r:id="rId43" xr:uid="{D9A4482B-8F08-4316-A91D-6373638FA823}"/>
    <hyperlink ref="Y62" r:id="rId44" xr:uid="{444A8B05-CC5A-4DD1-8D5E-A49A36B734C9}"/>
    <hyperlink ref="Y143" r:id="rId45" xr:uid="{5FC19ED7-59ED-4A79-8388-CC2EB222736F}"/>
    <hyperlink ref="Y355" r:id="rId46" xr:uid="{D8666D3B-6578-4697-8FFE-C7FD92A54DE6}"/>
    <hyperlink ref="Y454" r:id="rId47" xr:uid="{834F6030-2DFF-4ABD-818B-5492959DE1C6}"/>
    <hyperlink ref="Y263" r:id="rId48" xr:uid="{0C9C5A6B-F808-4ACD-B509-00F1A7622A6D}"/>
    <hyperlink ref="Y408" r:id="rId49" xr:uid="{B5ADAE1E-8E99-4801-8C81-9D097FD1FEBC}"/>
    <hyperlink ref="Y497" r:id="rId50" xr:uid="{7DB837FD-B23E-4A12-8CF6-1F2BF4A70727}"/>
    <hyperlink ref="Y80" r:id="rId51" xr:uid="{F531FF2E-59B3-4CDA-AD69-E00A9F3B1486}"/>
    <hyperlink ref="Y135" r:id="rId52" xr:uid="{1EE6C163-20BC-4C3B-A540-F6E94D467ED2}"/>
    <hyperlink ref="Y37" r:id="rId53" xr:uid="{918FE61C-F105-4816-800E-0BB2AE9AC61F}"/>
    <hyperlink ref="Y27" r:id="rId54" xr:uid="{3E512C3F-A814-42D3-9FAD-0163C0331D60}"/>
    <hyperlink ref="Y49" r:id="rId55" xr:uid="{DDA0A9A9-6975-427A-A714-6D6A36DC3F5E}"/>
    <hyperlink ref="Y41" r:id="rId56" xr:uid="{724DE9E9-D81B-40CB-9996-FBD040D7A99C}"/>
    <hyperlink ref="Y33" r:id="rId57" xr:uid="{A443C6F5-AFCF-4B32-BE04-98FFB1B591A5}"/>
    <hyperlink ref="Y83" r:id="rId58" xr:uid="{F1EA28B3-5ADC-4DC3-BF50-444312B40233}"/>
    <hyperlink ref="Y103" r:id="rId59" xr:uid="{3FD00945-B6E6-47AC-82AC-618EC12D0A3B}"/>
    <hyperlink ref="Y82" r:id="rId60" xr:uid="{CDABFBD1-34BC-4E75-876D-AF131CA3960F}"/>
    <hyperlink ref="Y141" r:id="rId61" xr:uid="{64DB10A0-A809-491B-A271-977F7D06C1A7}"/>
    <hyperlink ref="Y445" r:id="rId62" xr:uid="{C1C42F83-A23A-4FB4-A896-B038D515F427}"/>
    <hyperlink ref="Y115" r:id="rId63" xr:uid="{065E72BC-12D0-4E5D-9B4A-F1C2C140C2C1}"/>
    <hyperlink ref="Y165" r:id="rId64" xr:uid="{3521CFB1-FC56-4DDC-B898-2F282BD62F94}"/>
    <hyperlink ref="Y170" r:id="rId65" xr:uid="{1087CF58-DB05-47E6-AAE8-206CEF4ED3DA}"/>
    <hyperlink ref="Y175" r:id="rId66" xr:uid="{5A012FAB-DBA6-444C-B3EC-50C9B641E485}"/>
    <hyperlink ref="Y177" r:id="rId67" xr:uid="{F392158F-2AC1-47E4-B3A5-7477AD2D3950}"/>
    <hyperlink ref="Y221" r:id="rId68" xr:uid="{DE242DDC-4FE3-48BF-947D-9D5CD6723B9F}"/>
    <hyperlink ref="Y198" r:id="rId69" xr:uid="{F5B3396C-2F9C-4D43-BD2C-DEB7EE9A2527}"/>
    <hyperlink ref="Y201" r:id="rId70" xr:uid="{1394CBC7-EB61-41E0-AA31-B02681094ABB}"/>
    <hyperlink ref="Y209" r:id="rId71" xr:uid="{AEF85B97-7C5A-4CAE-8499-6B419E643048}"/>
    <hyperlink ref="Y211" r:id="rId72" xr:uid="{F70DE3FF-E216-4670-8312-ED23642B83D3}"/>
    <hyperlink ref="Y554" r:id="rId73" xr:uid="{FC0D9EE2-E6E7-43CB-B58C-F5DCAF7641B2}"/>
    <hyperlink ref="Y242" r:id="rId74" xr:uid="{C090373B-8A58-4E02-B13C-0AA99BAF79EF}"/>
    <hyperlink ref="Y245" r:id="rId75" xr:uid="{8B781990-3B80-45D4-820F-DB3B6FCFE75C}"/>
    <hyperlink ref="Y256" r:id="rId76" xr:uid="{3C15E90C-C367-47D5-8664-7E299B6F43DD}"/>
    <hyperlink ref="Y266" r:id="rId77" xr:uid="{D9FBF9AE-B5BA-46C9-9A4F-4CE1D7CB08AF}"/>
    <hyperlink ref="Y344" r:id="rId78" xr:uid="{7E16E6C8-64B9-44AE-9199-182611D137AE}"/>
    <hyperlink ref="Y347" r:id="rId79" xr:uid="{EE9A53A0-4AE9-4D36-8834-AB900C66CDEB}"/>
    <hyperlink ref="Y326" r:id="rId80" xr:uid="{7C4EF792-F0AF-4BB9-B65D-D28DC9A8B732}"/>
    <hyperlink ref="Y377" r:id="rId81" xr:uid="{17614C7E-6015-4562-A22D-1F73418C9A09}"/>
    <hyperlink ref="Y405" r:id="rId82" xr:uid="{DB3C8F52-2A80-4D38-BF1A-F4D96BEAE01B}"/>
    <hyperlink ref="Y444" r:id="rId83" xr:uid="{218F6714-FB92-48B1-911D-AC2779A28F83}"/>
    <hyperlink ref="Y487" r:id="rId84" xr:uid="{76BAD322-C55D-4928-9C5B-383597556ECC}"/>
    <hyperlink ref="Y485" r:id="rId85" xr:uid="{B558E8FB-DFE2-4D63-B266-546CDB2336D3}"/>
    <hyperlink ref="Y516" r:id="rId86" xr:uid="{5CE6C108-DDD9-44C5-BA02-518B568F2021}"/>
    <hyperlink ref="Y501" r:id="rId87" xr:uid="{DF6AFF5F-9317-417C-A99B-5A5346190155}"/>
    <hyperlink ref="Y515" r:id="rId88" xr:uid="{05BB5CC3-956A-4CB9-B031-28C1FF8B60F3}"/>
    <hyperlink ref="Y529" r:id="rId89" xr:uid="{1F29E050-4A1A-4D96-9851-B0B9DAB1F45F}"/>
    <hyperlink ref="Y538" r:id="rId90" xr:uid="{9835E08C-DE5C-4D8F-AD87-C9D8D6EF292B}"/>
    <hyperlink ref="Y552" r:id="rId91" xr:uid="{C3626520-E531-4C58-AF4C-21A8AC0B46CC}"/>
    <hyperlink ref="Y430" r:id="rId92" xr:uid="{B70B0A7C-7AB7-4F3E-BADF-E4C7BCF06864}"/>
    <hyperlink ref="Y227" r:id="rId93" xr:uid="{251A4A34-AC17-4B81-8AAD-69357052CB81}"/>
    <hyperlink ref="Y338" r:id="rId94" xr:uid="{6824B11F-C0CD-4133-BE6F-97E7588AC4F6}"/>
    <hyperlink ref="Y26" r:id="rId95" xr:uid="{CBCFCFDB-288F-468F-8A56-92523F6717F7}"/>
    <hyperlink ref="Y496" r:id="rId96" xr:uid="{D7E05CD2-7AD8-4091-937E-320353F63046}"/>
    <hyperlink ref="Y114" r:id="rId97" xr:uid="{404A73F2-EE83-415A-933B-4CFA95E2DF21}"/>
    <hyperlink ref="Y528" r:id="rId98" xr:uid="{C3D40625-4731-412D-B68A-51CBF5D4E774}"/>
    <hyperlink ref="Y313" r:id="rId99" xr:uid="{5404F29F-6C0F-4CEE-BED0-04AAA9928BC1}"/>
    <hyperlink ref="Y483" r:id="rId100" xr:uid="{8496AA63-CAE9-498A-922D-2B6633B31379}"/>
    <hyperlink ref="Y334" r:id="rId101" xr:uid="{DB526041-E62B-4BA2-B423-2067B61743A4}"/>
    <hyperlink ref="Y184" r:id="rId102" xr:uid="{FA148D8B-FD6F-4204-8D14-9D983405728C}"/>
    <hyperlink ref="Y191" r:id="rId103" xr:uid="{23A55B9B-5E4A-4117-AEF6-C9BF24EBD983}"/>
    <hyperlink ref="Y171" r:id="rId104" xr:uid="{91EE23DA-8694-449C-8C89-E72C64C95A1D}"/>
    <hyperlink ref="Y269" r:id="rId105" xr:uid="{A25BE7CA-12A8-4985-9289-B38435B0D1AC}"/>
    <hyperlink ref="Y84" r:id="rId106" xr:uid="{AABA3528-26EF-4B81-A491-23AC6BC49335}"/>
    <hyperlink ref="Y60" r:id="rId107" xr:uid="{7897D2EF-7A2F-4DC3-9CBD-C062927FFD9E}"/>
    <hyperlink ref="Y22" r:id="rId108" xr:uid="{936DFB71-F17B-4277-B38F-BD57C79F65FD}"/>
    <hyperlink ref="Y294" r:id="rId109" xr:uid="{FF6E759D-BD17-421C-9E50-3CA00855806C}"/>
    <hyperlink ref="Y164" r:id="rId110" xr:uid="{2E304D23-EBD9-4FF0-AAA8-A726C0D522A3}"/>
    <hyperlink ref="Y306" r:id="rId111" xr:uid="{B88E564E-4D67-4FF2-A90A-9743AC28F626}"/>
    <hyperlink ref="Y229" r:id="rId112" xr:uid="{81358169-8410-454E-B666-82B27B98C2B3}"/>
    <hyperlink ref="Y109" r:id="rId113" xr:uid="{C3351430-99DA-49D1-876E-494F2AE03E52}"/>
    <hyperlink ref="Y466" r:id="rId114" xr:uid="{932CA43F-A9B6-450A-BAE0-F602C7FE9EC5}"/>
    <hyperlink ref="Y433" r:id="rId115" xr:uid="{D448277F-E633-42A3-AD65-F6491EF3EC06}"/>
    <hyperlink ref="Y270" r:id="rId116" xr:uid="{3C4D61F7-BB0F-48B9-978B-CCB3DA0D39CC}"/>
    <hyperlink ref="Y463" r:id="rId117" xr:uid="{8406FDAE-B369-4034-A94C-55843D00D344}"/>
    <hyperlink ref="Y260" r:id="rId118" xr:uid="{86F8514C-918D-4B3B-9784-09FE746E484F}"/>
    <hyperlink ref="Y424" r:id="rId119" xr:uid="{A663E60D-7EA5-4765-9FCE-344D166647FB}"/>
    <hyperlink ref="Y370" r:id="rId120" xr:uid="{CD8367C6-F54B-462D-B5A4-E21421E5C910}"/>
    <hyperlink ref="Y274" r:id="rId121" xr:uid="{0C6DABCD-8C60-4C71-A9F5-BAEB750C800E}"/>
    <hyperlink ref="Y145" r:id="rId122" xr:uid="{E2F30E86-FA63-4ABE-AA5C-83B3724DFE71}"/>
    <hyperlink ref="Y489" r:id="rId123" xr:uid="{FF9DCC1A-C602-45BE-824B-20538F6E2FB1}"/>
    <hyperlink ref="Y100" r:id="rId124" xr:uid="{021792D0-C561-4159-9370-68BF7492E1FD}"/>
    <hyperlink ref="Y234" r:id="rId125" xr:uid="{74D71143-54B6-4CC9-BE24-A3DE1A7B5D5A}"/>
    <hyperlink ref="Y506" r:id="rId126" xr:uid="{334EA887-4C19-4015-9818-2CF81EABDA9A}"/>
    <hyperlink ref="Y349" r:id="rId127" xr:uid="{C49B93EF-019F-4F77-8EC4-44128E931BE4}"/>
    <hyperlink ref="Y380" r:id="rId128" xr:uid="{F13A9F7E-8157-401F-9FD7-4CE5FDED5E8D}"/>
    <hyperlink ref="Y327" r:id="rId129" xr:uid="{BF1F661D-2A51-4983-8CEF-9E799CFE66E5}"/>
    <hyperlink ref="Y156" r:id="rId130" xr:uid="{2E7BC190-7E87-4607-A88C-3B4A7BCABE5A}"/>
    <hyperlink ref="Y343" r:id="rId131" xr:uid="{A5F311FF-95A2-4A9D-A0FD-73E43AEEACF7}"/>
    <hyperlink ref="Y87" r:id="rId132" xr:uid="{FFA86560-A98A-466F-85AD-AA8DC2831042}"/>
    <hyperlink ref="Y523" r:id="rId133" xr:uid="{629B3630-5833-462B-8297-B0C010EEDFC0}"/>
    <hyperlink ref="Y250" r:id="rId134" xr:uid="{9338E32D-145C-4247-9B5E-7772D3018B6D}"/>
    <hyperlink ref="Y435" r:id="rId135" xr:uid="{3647D830-0F2D-4AED-8DF9-CB5F8724460C}"/>
    <hyperlink ref="Y251" r:id="rId136" xr:uid="{8EB82C49-A518-4A35-8B94-1CE50E60840E}"/>
    <hyperlink ref="Y258" r:id="rId137" xr:uid="{5C3FD04D-88C8-43D3-BD37-9289962EC7A8}"/>
    <hyperlink ref="Y238" r:id="rId138" xr:uid="{C6376D96-2E06-4582-9F8C-A67348A1B9A4}"/>
    <hyperlink ref="Y52" r:id="rId139" xr:uid="{E8A038A1-BB0D-40E8-AE0C-B414931A888B}"/>
    <hyperlink ref="Y129" r:id="rId140" xr:uid="{7196BEE3-F56A-4E29-8FED-F4DD8CA16CC8}"/>
    <hyperlink ref="Y421" r:id="rId141" xr:uid="{C033D6DE-824B-4EF7-8573-F19107BE08C8}"/>
    <hyperlink ref="Y139" r:id="rId142" xr:uid="{F45B101C-E13A-42FE-BEAC-50682BAB9174}"/>
    <hyperlink ref="Y249" r:id="rId143" xr:uid="{FACCDB2E-2F25-4A9C-A1C0-9D4AAE179AC1}"/>
    <hyperlink ref="Y247" r:id="rId144" xr:uid="{1C0F45EF-586D-4374-9373-88E2F871A8C5}"/>
    <hyperlink ref="Y220" r:id="rId145" xr:uid="{43DC3C7B-95A0-4356-917F-8093FAD42D07}"/>
    <hyperlink ref="Y464" r:id="rId146" xr:uid="{220C1B38-D2B8-4408-A3D2-9CFAED6E5DF6}"/>
    <hyperlink ref="Y228" r:id="rId147" xr:uid="{BE425068-A7C3-4F26-8217-E8EC499D350B}"/>
    <hyperlink ref="Y407" r:id="rId148" xr:uid="{4082F11F-4C1C-4577-8DC9-48C46F8AF846}"/>
    <hyperlink ref="Y196" r:id="rId149" xr:uid="{6AAE75E3-D37F-4815-900F-8F5C9E51B7AF}"/>
    <hyperlink ref="Y204" r:id="rId150" xr:uid="{FD165AC6-F053-4F7C-BE24-135AE3A6CA27}"/>
    <hyperlink ref="Y439" r:id="rId151" xr:uid="{2C4C4175-B9C8-4990-8EE4-3E0FB0C84C24}"/>
    <hyperlink ref="Y360" r:id="rId152" xr:uid="{BA78FA5B-403C-4203-957C-645081F2BF3C}"/>
    <hyperlink ref="Y473" r:id="rId153" xr:uid="{D3FD0FF3-318F-4F12-9AFD-DB4A3EC3C885}"/>
    <hyperlink ref="Y345" r:id="rId154" xr:uid="{BE0C060E-9389-4CE8-898A-C68BE15E935F}"/>
    <hyperlink ref="Y61" r:id="rId155" xr:uid="{976C9BC4-2D3E-4CA0-B7E2-02B945B590C4}"/>
    <hyperlink ref="Y95" r:id="rId156" xr:uid="{AAC597D8-A063-42ED-9C5F-02F121663EE0}"/>
    <hyperlink ref="Y104" r:id="rId157" xr:uid="{A1825E0C-2FCD-40B9-A4B0-1E02673CEDC8}"/>
    <hyperlink ref="Y123" r:id="rId158" xr:uid="{EEBF20FF-200B-45E9-BB8D-30E8FA512C7D}"/>
    <hyperlink ref="Y318" r:id="rId159" xr:uid="{793FCE76-7C57-433E-B6E4-2FDD70236870}"/>
    <hyperlink ref="Y120" r:id="rId160" xr:uid="{36C22424-72DE-43F1-B90E-8DA1CD368D35}"/>
    <hyperlink ref="Y339" r:id="rId161" xr:uid="{2155C74C-CEF7-4889-8786-AB0E6E2582C1}"/>
    <hyperlink ref="Y337" r:id="rId162" xr:uid="{2D74561C-7416-4B53-A09F-CD31AF4ADDDC}"/>
    <hyperlink ref="Y295" r:id="rId163" xr:uid="{F23C2938-50A8-4A16-B822-6CF97738EEEB}"/>
    <hyperlink ref="Y18" r:id="rId164" xr:uid="{D576B9A4-0CC0-4AD7-85A4-DEAC84172F24}"/>
    <hyperlink ref="Y193" r:id="rId165" xr:uid="{1F64F5CA-7DFD-4E25-9E41-3A6A9A0FE534}"/>
    <hyperlink ref="Y449" r:id="rId166" xr:uid="{F9DF72A0-B1B8-492F-ABFB-59AAB8C1AA84}"/>
    <hyperlink ref="Y257" r:id="rId167" xr:uid="{B70704F3-6348-4F71-A2C4-07F57D2C679A}"/>
    <hyperlink ref="Y522" r:id="rId168" xr:uid="{31E28177-B9DD-416D-BBA8-F8237EBCB25B}"/>
    <hyperlink ref="Y35" r:id="rId169" xr:uid="{21014E53-CDA5-4E8A-B21A-D5110EA28515}"/>
    <hyperlink ref="Y336" r:id="rId170" xr:uid="{6B8FB2E1-1CE4-4234-ACDB-827D6EA77E37}"/>
    <hyperlink ref="Y367" r:id="rId171" xr:uid="{77ABDA15-70D1-43F6-803B-18881CE1B764}"/>
    <hyperlink ref="Y550" r:id="rId172" xr:uid="{14E97FF0-81B3-4053-A217-27C61DB5EFE1}"/>
    <hyperlink ref="Y92" r:id="rId173" xr:uid="{117CF33D-57DC-4259-9696-E4D8B80BB1BE}"/>
    <hyperlink ref="Y475" r:id="rId174" xr:uid="{9F4BD132-96FE-4AD5-BC23-04D2E22D0D13}"/>
    <hyperlink ref="Y386" r:id="rId175" xr:uid="{93AE26A0-45BA-45BD-86A8-9DC4CC97ABB1}"/>
    <hyperlink ref="Y25" r:id="rId176" xr:uid="{793358C5-6B58-47D3-BBA9-259E3CA1EBE2}"/>
    <hyperlink ref="Y102" r:id="rId177" xr:uid="{7709450A-CA79-42B0-B6BE-A3EB78A168A2}"/>
    <hyperlink ref="Y101" r:id="rId178" xr:uid="{E41E76BA-F75D-4B4A-B10F-ABEBAA09F9C4}"/>
    <hyperlink ref="Y469" r:id="rId179" xr:uid="{24EB198B-317F-4879-9383-46528EB1E816}"/>
    <hyperlink ref="Y182" r:id="rId180" xr:uid="{A5A55C6C-E911-46B1-80C9-68E241750B4A}"/>
    <hyperlink ref="Y286" r:id="rId181" xr:uid="{D9C83471-1AEB-4FD4-9059-AFF0641EC31C}"/>
    <hyperlink ref="Y526" r:id="rId182" xr:uid="{ADD15897-BD4B-4263-BD5F-E723D22DB79F}"/>
    <hyperlink ref="Y323" r:id="rId183" xr:uid="{E094A8F5-49B4-4776-8B25-EBE51198063C}"/>
    <hyperlink ref="Y210" r:id="rId184" xr:uid="{3EB6BD1B-FBCB-4FDF-B5A6-60D2052F9250}"/>
    <hyperlink ref="Y254" r:id="rId185" xr:uid="{652923C7-BFE8-409B-8F3A-638F67D4AE38}"/>
    <hyperlink ref="Y205" r:id="rId186" xr:uid="{FDBD7933-DDA3-4D27-93EB-552A19DEF1F4}"/>
    <hyperlink ref="Y390" r:id="rId187" xr:uid="{0FCBF328-D961-436E-B91E-B1B322110110}"/>
    <hyperlink ref="Y179" r:id="rId188" xr:uid="{B4365E50-3BD4-4A70-9D38-F989E87493F6}"/>
    <hyperlink ref="Y81" r:id="rId189" xr:uid="{557BFA5B-0730-4F98-B8C9-2D95CC50319F}"/>
    <hyperlink ref="Y236" r:id="rId190" xr:uid="{4A994F18-D864-43AD-8148-F31297C3A5B2}"/>
    <hyperlink ref="Y90" r:id="rId191" xr:uid="{744DE8A1-49AE-42B7-8EDD-7EAF41A28992}"/>
    <hyperlink ref="Y486" r:id="rId192" xr:uid="{E60FB2BD-4737-4E9E-9FA5-A385052B894A}"/>
    <hyperlink ref="Y197" r:id="rId193" xr:uid="{5CD19ED8-1472-45F2-8E37-170D8217E655}"/>
    <hyperlink ref="Y291" r:id="rId194" xr:uid="{B4439C7F-A0A4-43D9-8484-5D058E386177}"/>
    <hyperlink ref="Y189" r:id="rId195" xr:uid="{23B5EFD6-BA77-4AC9-825C-C289BC0E2A24}"/>
    <hyperlink ref="Y316" r:id="rId196" xr:uid="{E68908EE-E7C2-4D31-B047-549411C5822F}"/>
    <hyperlink ref="Y248" r:id="rId197" xr:uid="{FF7C2E66-95A7-4F4F-BDAF-2B5DE4CED7FB}"/>
    <hyperlink ref="Y119" r:id="rId198" xr:uid="{6570FEE4-6511-4119-B74C-CE597DD0C507}"/>
    <hyperlink ref="Y414" r:id="rId199" xr:uid="{3C2670E0-0E84-4A4C-B2D2-3132D98B2769}"/>
    <hyperlink ref="Y409" r:id="rId200" xr:uid="{821659ED-3570-483D-9805-8F4537AA8C54}"/>
    <hyperlink ref="Y399" r:id="rId201" xr:uid="{BE7B1BDA-0FFA-48DD-A02F-2E86369B2DF7}"/>
    <hyperlink ref="Y382" r:id="rId202" xr:uid="{872DDA57-1E2D-4A02-8310-53FF47D29656}"/>
    <hyperlink ref="Y525" r:id="rId203" xr:uid="{F8B3C2D8-7E2D-462A-A0F0-E09D036DC853}"/>
    <hyperlink ref="Y233" r:id="rId204" xr:uid="{9B767DEF-5D83-4E56-9D3D-19665934184B}"/>
    <hyperlink ref="Y273" r:id="rId205" xr:uid="{64D3B86E-E5DA-4BF3-8E0F-7B5BB7896DD6}"/>
    <hyperlink ref="Y275" r:id="rId206" xr:uid="{5E501F4A-D724-41F1-A6D3-58C77FB36753}"/>
    <hyperlink ref="Y301" r:id="rId207" xr:uid="{94D7BD3B-6683-44CB-AEC4-57234E3AA170}"/>
    <hyperlink ref="Y40" r:id="rId208" xr:uid="{A2F9860A-8C47-4DAF-AA49-CC95AE08A4D1}"/>
    <hyperlink ref="Y75" r:id="rId209" xr:uid="{6EF08789-19EA-45AF-9A99-46208CE37522}"/>
    <hyperlink ref="Y51" r:id="rId210" xr:uid="{A68EFD3E-A60A-4BA5-BB44-9D6521D5A114}"/>
    <hyperlink ref="Y10" r:id="rId211" xr:uid="{CB766A9C-5687-4B5C-A83A-C8C7764B83E4}"/>
    <hyperlink ref="Y8" r:id="rId212" xr:uid="{A6798C68-11AE-4810-8429-DFA658C27C27}"/>
    <hyperlink ref="Y364" r:id="rId213" xr:uid="{BA3E4487-9486-41FD-8871-C29FF78D5BBB}"/>
    <hyperlink ref="Y59" r:id="rId214" xr:uid="{7DF03D97-7605-4FA9-A4D2-2846739B3AEF}"/>
    <hyperlink ref="Y314" r:id="rId215" xr:uid="{E1158F5D-A3F8-40FF-8DFE-8D35D9FFB410}"/>
    <hyperlink ref="Y161" r:id="rId216" xr:uid="{514E06E5-EA8E-4365-9E87-B0485A215777}"/>
    <hyperlink ref="Y57" r:id="rId217" xr:uid="{495717C3-81C3-4455-B29C-1733393381D2}"/>
    <hyperlink ref="Y88" r:id="rId218" xr:uid="{63EACC79-ECC8-4445-8D1E-783C56CC04AA}"/>
    <hyperlink ref="Y539" r:id="rId219" xr:uid="{CF30870B-5478-455A-80E7-565FD939BA86}"/>
    <hyperlink ref="Y192" r:id="rId220" xr:uid="{456EE951-D7CE-4B2E-B897-9AFAA486D3F6}"/>
    <hyperlink ref="Y173" r:id="rId221" xr:uid="{AC60DB34-5E54-42E6-A2CA-B71AD20C1745}"/>
    <hyperlink ref="Y474" r:id="rId222" xr:uid="{8965B801-9CEB-4651-BB0E-D3051A2DFA7D}"/>
    <hyperlink ref="Y470" r:id="rId223" xr:uid="{E2312107-C1A5-4DE5-8334-BD5B040E0CA2}"/>
    <hyperlink ref="Y418" r:id="rId224" xr:uid="{FB16EEBE-D8C5-43E3-82B7-1D1C6144318B}"/>
    <hyperlink ref="Y545" r:id="rId225" xr:uid="{D1DD83E0-E284-41B3-8A70-420FEB24DFB6}"/>
    <hyperlink ref="Y460" r:id="rId226" xr:uid="{114F6455-1529-46F7-A028-4DAB8B9804C9}"/>
    <hyperlink ref="Y237" r:id="rId227" xr:uid="{52402E93-34A6-4AA8-9CAD-1854DF57D540}"/>
    <hyperlink ref="Y544" r:id="rId228" xr:uid="{09CC929B-8377-4C9B-B898-BA22DF26D383}"/>
    <hyperlink ref="Y148" r:id="rId229" xr:uid="{EACC2094-8EE2-4F03-A9AF-404FD52BECD8}"/>
    <hyperlink ref="Y78" r:id="rId230" xr:uid="{773B9CFE-B085-4260-8B3F-7D84CC07D902}"/>
    <hyperlink ref="Y415" r:id="rId231" xr:uid="{1ABBCCD0-E509-4905-BF72-21ADE773BED6}"/>
    <hyperlink ref="Y305" r:id="rId232" xr:uid="{F0293179-357C-4192-A591-8C69C2B6DECF}"/>
    <hyperlink ref="Y431" r:id="rId233" xr:uid="{F0E74CED-9714-41F6-B739-44F4F313B8BD}"/>
    <hyperlink ref="Y30" r:id="rId234" xr:uid="{6583CC10-7061-4BB4-A5E1-0F485C51C96E}"/>
    <hyperlink ref="Y312" r:id="rId235" xr:uid="{09FFC707-2FF7-4ADD-A332-37F6EB487DF8}"/>
    <hyperlink ref="Y385" r:id="rId236" xr:uid="{5D31EB82-FC54-4349-9C24-0696CFC92D41}"/>
    <hyperlink ref="Y149" r:id="rId237" xr:uid="{F28CB1AC-22AB-43F8-BE02-718A479D80E7}"/>
    <hyperlink ref="Y207" r:id="rId238" xr:uid="{750BAA06-07A8-4A3D-AE7A-AA4E0A038D1B}"/>
    <hyperlink ref="Y328" r:id="rId239" xr:uid="{FB77BED5-61D3-4BB6-A1C4-4EE5ED2A13E8}"/>
    <hyperlink ref="Y310" r:id="rId240" xr:uid="{E3E6391F-F0CE-4E93-B840-9B6D889E66BE}"/>
    <hyperlink ref="Y153" r:id="rId241" xr:uid="{5BA66247-EBBE-47A8-ADC5-1DB6FA6DCA51}"/>
    <hyperlink ref="Y437" r:id="rId242" xr:uid="{51C0C0F6-E220-44A2-8916-2BF0A2F94557}"/>
    <hyperlink ref="Y346" r:id="rId243" xr:uid="{D9911AF8-0EC5-4D86-8294-491A779F3EA1}"/>
    <hyperlink ref="Y542" r:id="rId244" xr:uid="{6180021B-5DD3-4915-977A-99485AE19389}"/>
    <hyperlink ref="Y200" r:id="rId245" xr:uid="{3EB044AF-B2BB-430C-B8FF-A8ACA7E0BC9F}"/>
    <hyperlink ref="Y217" r:id="rId246" xr:uid="{6E0478F7-9307-4957-A2C8-8A1D715ABCC7}"/>
    <hyperlink ref="Y240" r:id="rId247" xr:uid="{D245BECF-7A98-41CC-9D79-67CE8D731D24}"/>
    <hyperlink ref="Y15" r:id="rId248" xr:uid="{E55D3EFF-6E99-4671-868C-FDC20F843E46}"/>
    <hyperlink ref="Y369" r:id="rId249" xr:uid="{BF021C43-EE3C-40BD-93F3-B4E0459C3CCF}"/>
    <hyperlink ref="Y230" r:id="rId250" xr:uid="{46437DC7-A7D1-4BAE-AC81-E808B627627F}"/>
    <hyperlink ref="Y446" r:id="rId251" xr:uid="{5F5CF84D-169C-4A1A-A5D0-9176CED02CD4}"/>
    <hyperlink ref="Y383" r:id="rId252" xr:uid="{EC304767-E972-4646-8316-BD3D16E5BDE1}"/>
    <hyperlink ref="Y287" r:id="rId253" xr:uid="{45D7A2E0-544A-4E27-B291-FEA9F396DAC5}"/>
    <hyperlink ref="Y283" r:id="rId254" xr:uid="{611B9C1E-D78E-47D4-AA99-97EB986799B4}"/>
    <hyperlink ref="Y509" r:id="rId255" xr:uid="{5B2186BB-93DB-4A56-983B-6F0F574D4A9C}"/>
    <hyperlink ref="Y411" r:id="rId256" xr:uid="{C349FD83-955F-4F1E-9E41-90A51F780116}"/>
    <hyperlink ref="Y11" r:id="rId257" xr:uid="{07C6BBB6-2746-4F53-842B-3A24E3B043D6}"/>
  </hyperlinks>
  <pageMargins left="0.7" right="0.7" top="0.75" bottom="0.75" header="0.3" footer="0.3"/>
  <pageSetup paperSize="9" orientation="portrait" horizontalDpi="0" verticalDpi="0" r:id="rId258"/>
  <drawing r:id="rId25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F8FD-8ED1-486E-95D0-AD3323491A9E}">
  <dimension ref="A1:BG609"/>
  <sheetViews>
    <sheetView topLeftCell="D3" workbookViewId="0">
      <pane xSplit="5760" ySplit="1900"/>
      <selection activeCell="D3" sqref="A1:XFD1048576"/>
      <selection pane="topRight" activeCell="N45" sqref="N45"/>
      <selection pane="bottomLeft" activeCell="D31" sqref="D31"/>
      <selection pane="bottomRight" sqref="A1:AM1"/>
    </sheetView>
  </sheetViews>
  <sheetFormatPr baseColWidth="10" defaultColWidth="8.83203125" defaultRowHeight="15" outlineLevelCol="1" x14ac:dyDescent="0.2"/>
  <cols>
    <col min="1" max="1" width="5.83203125" customWidth="1"/>
    <col min="2" max="2" width="16.83203125" customWidth="1"/>
    <col min="3" max="3" width="51.1640625" customWidth="1"/>
    <col min="4" max="4" width="46.5" bestFit="1" customWidth="1"/>
    <col min="5" max="5" width="17.33203125" customWidth="1"/>
    <col min="6" max="6" width="63.6640625" bestFit="1" customWidth="1"/>
    <col min="7" max="8" width="17.6640625" bestFit="1" customWidth="1"/>
    <col min="9" max="9" width="17.6640625" customWidth="1" outlineLevel="1"/>
    <col min="10" max="10" width="16.5" customWidth="1" outlineLevel="1"/>
    <col min="11" max="11" width="4.5" customWidth="1" outlineLevel="1"/>
    <col min="12" max="12" width="13.33203125" customWidth="1" outlineLevel="1"/>
    <col min="13" max="14" width="10.33203125" customWidth="1" outlineLevel="1"/>
    <col min="15" max="16" width="10.5" customWidth="1" outlineLevel="1"/>
    <col min="17" max="17" width="12.5" customWidth="1" outlineLevel="1"/>
    <col min="18" max="18" width="16.5" customWidth="1" outlineLevel="1"/>
    <col min="19" max="23" width="10.83203125" customWidth="1" outlineLevel="1"/>
    <col min="24" max="24" width="18.5" bestFit="1" customWidth="1"/>
    <col min="25" max="25" width="37" bestFit="1" customWidth="1"/>
    <col min="26" max="26" width="31.33203125" bestFit="1" customWidth="1"/>
    <col min="27" max="27" width="13.33203125" bestFit="1" customWidth="1"/>
    <col min="28" max="28" width="11.83203125" bestFit="1" customWidth="1"/>
    <col min="29" max="29" width="10.5" bestFit="1" customWidth="1"/>
    <col min="30" max="30" width="6.33203125" customWidth="1"/>
    <col min="31" max="38" width="6.5" customWidth="1"/>
    <col min="39" max="39" width="13.5" customWidth="1"/>
    <col min="42" max="42" width="10.5" bestFit="1" customWidth="1"/>
    <col min="43" max="43" width="15.6640625" customWidth="1"/>
    <col min="51" max="51" width="11.5" bestFit="1" customWidth="1"/>
  </cols>
  <sheetData>
    <row r="1" spans="1:51" ht="23" x14ac:dyDescent="0.25">
      <c r="A1" s="354" t="s">
        <v>4574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</row>
    <row r="2" spans="1:51" ht="16" thickBot="1" x14ac:dyDescent="0.25">
      <c r="A2" s="355" t="s">
        <v>4613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AJ2" s="355"/>
      <c r="AK2" s="355"/>
      <c r="AL2" s="355"/>
      <c r="AM2" s="355"/>
    </row>
    <row r="3" spans="1:51" ht="48" customHeight="1" thickTop="1" thickBot="1" x14ac:dyDescent="0.25">
      <c r="A3" s="356" t="s">
        <v>0</v>
      </c>
      <c r="B3" s="356" t="s">
        <v>1</v>
      </c>
      <c r="C3" s="358" t="s">
        <v>2</v>
      </c>
      <c r="D3" s="360" t="s">
        <v>3</v>
      </c>
      <c r="E3" s="1" t="s">
        <v>4</v>
      </c>
      <c r="F3" s="362" t="s">
        <v>5</v>
      </c>
      <c r="G3" s="363" t="s">
        <v>6</v>
      </c>
      <c r="H3" s="363" t="s">
        <v>7</v>
      </c>
      <c r="I3" s="365" t="s">
        <v>8</v>
      </c>
      <c r="J3" s="377" t="s">
        <v>9</v>
      </c>
      <c r="K3" s="379" t="s">
        <v>10</v>
      </c>
      <c r="L3" s="348" t="s">
        <v>11</v>
      </c>
      <c r="M3" s="350" t="s">
        <v>12</v>
      </c>
      <c r="N3" s="351"/>
      <c r="O3" s="352" t="s">
        <v>13</v>
      </c>
      <c r="P3" s="348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4624</v>
      </c>
      <c r="X3" s="3" t="s">
        <v>21</v>
      </c>
      <c r="Y3" s="4" t="s">
        <v>22</v>
      </c>
      <c r="Z3" s="4" t="s">
        <v>23</v>
      </c>
      <c r="AA3" s="5" t="s">
        <v>24</v>
      </c>
      <c r="AB3" s="6" t="s">
        <v>25</v>
      </c>
      <c r="AC3" s="7" t="s">
        <v>26</v>
      </c>
      <c r="AD3" s="8" t="s">
        <v>27</v>
      </c>
      <c r="AE3" s="375">
        <v>2020</v>
      </c>
      <c r="AF3" s="375">
        <v>2021</v>
      </c>
      <c r="AG3" s="375">
        <v>2022</v>
      </c>
      <c r="AH3" s="375">
        <v>2023</v>
      </c>
      <c r="AI3" s="375">
        <v>2024</v>
      </c>
      <c r="AJ3" s="372">
        <v>2025</v>
      </c>
      <c r="AK3" s="372">
        <v>2026</v>
      </c>
      <c r="AL3" s="9" t="s">
        <v>28</v>
      </c>
      <c r="AM3" s="3" t="s">
        <v>29</v>
      </c>
      <c r="AO3" s="10"/>
      <c r="AP3" s="11"/>
      <c r="AQ3" s="11"/>
      <c r="AR3" s="11"/>
      <c r="AS3" s="11"/>
      <c r="AT3" s="11"/>
      <c r="AU3" s="11"/>
      <c r="AV3" s="11"/>
      <c r="AW3" s="11"/>
      <c r="AX3" s="11"/>
    </row>
    <row r="4" spans="1:51" ht="16" thickTop="1" x14ac:dyDescent="0.2">
      <c r="A4" s="357"/>
      <c r="B4" s="357"/>
      <c r="C4" s="359"/>
      <c r="D4" s="361"/>
      <c r="E4" s="12"/>
      <c r="F4" s="361"/>
      <c r="G4" s="364"/>
      <c r="H4" s="364"/>
      <c r="I4" s="366"/>
      <c r="J4" s="378"/>
      <c r="K4" s="380"/>
      <c r="L4" s="349"/>
      <c r="M4" s="13" t="s">
        <v>30</v>
      </c>
      <c r="N4" s="14" t="s">
        <v>31</v>
      </c>
      <c r="O4" s="353"/>
      <c r="P4" s="349"/>
      <c r="Q4" s="15"/>
      <c r="R4" s="15"/>
      <c r="S4" s="15"/>
      <c r="T4" s="15"/>
      <c r="U4" s="15"/>
      <c r="V4" s="15"/>
      <c r="W4" s="15"/>
      <c r="X4" s="16"/>
      <c r="Y4" s="17"/>
      <c r="Z4" s="17"/>
      <c r="AA4" s="18"/>
      <c r="AB4" s="19"/>
      <c r="AC4" s="20"/>
      <c r="AD4" s="21"/>
      <c r="AE4" s="376"/>
      <c r="AF4" s="376"/>
      <c r="AG4" s="376"/>
      <c r="AH4" s="376"/>
      <c r="AI4" s="376"/>
      <c r="AJ4" s="373"/>
      <c r="AK4" s="373"/>
      <c r="AL4" s="22"/>
      <c r="AM4" s="22"/>
      <c r="AO4" s="10"/>
      <c r="AP4" s="11"/>
      <c r="AQ4" s="11"/>
      <c r="AR4" s="11"/>
      <c r="AS4" s="11"/>
      <c r="AT4" s="11"/>
      <c r="AU4" s="11"/>
      <c r="AV4" s="11"/>
      <c r="AW4" s="11"/>
      <c r="AX4" s="11"/>
    </row>
    <row r="5" spans="1:51" x14ac:dyDescent="0.2">
      <c r="A5" s="23" t="s">
        <v>32</v>
      </c>
      <c r="B5" s="23">
        <v>1</v>
      </c>
      <c r="C5" s="24">
        <v>2</v>
      </c>
      <c r="D5" s="25">
        <v>3</v>
      </c>
      <c r="E5" s="25">
        <v>4</v>
      </c>
      <c r="F5" s="25">
        <v>5</v>
      </c>
      <c r="G5" s="26">
        <v>6</v>
      </c>
      <c r="H5" s="26">
        <v>7</v>
      </c>
      <c r="I5" s="27">
        <v>8</v>
      </c>
      <c r="J5" s="28">
        <v>9</v>
      </c>
      <c r="K5" s="29">
        <v>10</v>
      </c>
      <c r="L5" s="30">
        <f>+K5+1</f>
        <v>11</v>
      </c>
      <c r="M5" s="30">
        <f t="shared" ref="M5:AM5" si="0">+L5+1</f>
        <v>12</v>
      </c>
      <c r="N5" s="30">
        <f t="shared" si="0"/>
        <v>13</v>
      </c>
      <c r="O5" s="30"/>
      <c r="P5" s="30"/>
      <c r="Q5" s="30">
        <f>+N5+1</f>
        <v>14</v>
      </c>
      <c r="R5" s="30">
        <f t="shared" si="0"/>
        <v>15</v>
      </c>
      <c r="S5" s="30">
        <f t="shared" si="0"/>
        <v>16</v>
      </c>
      <c r="T5" s="30">
        <f t="shared" si="0"/>
        <v>17</v>
      </c>
      <c r="U5" s="30">
        <f t="shared" si="0"/>
        <v>18</v>
      </c>
      <c r="V5" s="30">
        <f t="shared" si="0"/>
        <v>19</v>
      </c>
      <c r="W5" s="30"/>
      <c r="X5" s="30">
        <f>+V5+1</f>
        <v>20</v>
      </c>
      <c r="Y5" s="30">
        <f t="shared" si="0"/>
        <v>21</v>
      </c>
      <c r="Z5" s="30">
        <f t="shared" si="0"/>
        <v>22</v>
      </c>
      <c r="AA5" s="30">
        <f t="shared" si="0"/>
        <v>23</v>
      </c>
      <c r="AB5" s="30">
        <f t="shared" si="0"/>
        <v>24</v>
      </c>
      <c r="AC5" s="30">
        <f t="shared" si="0"/>
        <v>25</v>
      </c>
      <c r="AD5" s="30">
        <f t="shared" si="0"/>
        <v>26</v>
      </c>
      <c r="AE5" s="30">
        <f t="shared" si="0"/>
        <v>27</v>
      </c>
      <c r="AF5" s="30">
        <f t="shared" si="0"/>
        <v>28</v>
      </c>
      <c r="AG5" s="30">
        <f t="shared" si="0"/>
        <v>29</v>
      </c>
      <c r="AH5" s="30">
        <f t="shared" si="0"/>
        <v>30</v>
      </c>
      <c r="AI5" s="30">
        <f t="shared" si="0"/>
        <v>31</v>
      </c>
      <c r="AJ5" s="30">
        <f t="shared" si="0"/>
        <v>32</v>
      </c>
      <c r="AK5" s="30">
        <f t="shared" si="0"/>
        <v>33</v>
      </c>
      <c r="AL5" s="30">
        <f t="shared" si="0"/>
        <v>34</v>
      </c>
      <c r="AM5" s="30">
        <f t="shared" si="0"/>
        <v>35</v>
      </c>
      <c r="AN5" s="31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1"/>
    </row>
    <row r="6" spans="1:51" x14ac:dyDescent="0.2">
      <c r="A6" s="33">
        <v>1</v>
      </c>
      <c r="B6" s="34" t="s">
        <v>33</v>
      </c>
      <c r="C6" s="35" t="s">
        <v>34</v>
      </c>
      <c r="D6" s="36" t="s">
        <v>35</v>
      </c>
      <c r="E6" s="36" t="s">
        <v>36</v>
      </c>
      <c r="F6" s="34" t="s">
        <v>37</v>
      </c>
      <c r="G6" s="37" t="s">
        <v>38</v>
      </c>
      <c r="H6" s="37" t="s">
        <v>39</v>
      </c>
      <c r="I6" s="38" t="s">
        <v>40</v>
      </c>
      <c r="J6" s="34" t="s">
        <v>41</v>
      </c>
      <c r="K6" s="39" t="s">
        <v>42</v>
      </c>
      <c r="L6" s="40" t="s">
        <v>43</v>
      </c>
      <c r="M6" s="41"/>
      <c r="N6" s="41"/>
      <c r="O6" s="41"/>
      <c r="P6" s="41"/>
      <c r="Q6" s="41"/>
      <c r="R6" s="41" t="s">
        <v>44</v>
      </c>
      <c r="S6" s="41"/>
      <c r="T6" s="41"/>
      <c r="U6" s="41"/>
      <c r="V6" s="41"/>
      <c r="W6" s="41"/>
      <c r="X6" s="42" t="s">
        <v>45</v>
      </c>
      <c r="Y6" s="43" t="s">
        <v>46</v>
      </c>
      <c r="Z6" s="44"/>
      <c r="AA6" s="45" t="s">
        <v>47</v>
      </c>
      <c r="AB6" s="46" t="s">
        <v>48</v>
      </c>
      <c r="AC6" s="36" t="s">
        <v>26</v>
      </c>
      <c r="AD6" s="47" t="s">
        <v>49</v>
      </c>
      <c r="AE6" s="48" t="s">
        <v>49</v>
      </c>
      <c r="AF6" s="48" t="s">
        <v>49</v>
      </c>
      <c r="AG6" s="48" t="s">
        <v>41</v>
      </c>
      <c r="AH6" s="48" t="s">
        <v>41</v>
      </c>
      <c r="AI6" s="48" t="s">
        <v>41</v>
      </c>
      <c r="AJ6" s="49" t="s">
        <v>41</v>
      </c>
      <c r="AK6" s="48" t="s">
        <v>41</v>
      </c>
      <c r="AL6" s="50">
        <v>5</v>
      </c>
      <c r="AM6" s="51" t="s">
        <v>50</v>
      </c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1"/>
    </row>
    <row r="7" spans="1:51" x14ac:dyDescent="0.2">
      <c r="A7" s="33">
        <f>+A6+1</f>
        <v>2</v>
      </c>
      <c r="B7" s="34" t="s">
        <v>51</v>
      </c>
      <c r="C7" s="35" t="s">
        <v>52</v>
      </c>
      <c r="D7" s="36" t="s">
        <v>53</v>
      </c>
      <c r="E7" s="36" t="s">
        <v>54</v>
      </c>
      <c r="F7" s="34" t="s">
        <v>55</v>
      </c>
      <c r="G7" s="37" t="s">
        <v>56</v>
      </c>
      <c r="H7" s="37" t="s">
        <v>57</v>
      </c>
      <c r="I7" s="38" t="s">
        <v>58</v>
      </c>
      <c r="J7" s="34" t="s">
        <v>41</v>
      </c>
      <c r="K7" s="39" t="s">
        <v>42</v>
      </c>
      <c r="L7" s="40" t="s">
        <v>59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2" t="s">
        <v>45</v>
      </c>
      <c r="Y7" s="52" t="s">
        <v>60</v>
      </c>
      <c r="Z7" s="44" t="s">
        <v>61</v>
      </c>
      <c r="AA7" s="45">
        <v>39286</v>
      </c>
      <c r="AB7" s="46" t="s">
        <v>30</v>
      </c>
      <c r="AC7" s="36" t="s">
        <v>26</v>
      </c>
      <c r="AD7" s="47" t="s">
        <v>49</v>
      </c>
      <c r="AE7" s="48" t="s">
        <v>49</v>
      </c>
      <c r="AF7" s="48" t="s">
        <v>49</v>
      </c>
      <c r="AG7" s="48" t="s">
        <v>49</v>
      </c>
      <c r="AH7" s="48" t="s">
        <v>49</v>
      </c>
      <c r="AI7" s="48" t="s">
        <v>49</v>
      </c>
      <c r="AJ7" s="49" t="s">
        <v>41</v>
      </c>
      <c r="AK7" s="48" t="s">
        <v>41</v>
      </c>
      <c r="AL7" s="50">
        <v>2</v>
      </c>
      <c r="AM7" s="51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1"/>
    </row>
    <row r="8" spans="1:51" x14ac:dyDescent="0.2">
      <c r="A8" s="33">
        <f t="shared" ref="A8:A72" si="1">+A7+1</f>
        <v>3</v>
      </c>
      <c r="B8" s="34" t="s">
        <v>62</v>
      </c>
      <c r="C8" s="35" t="s">
        <v>63</v>
      </c>
      <c r="D8" s="36" t="s">
        <v>64</v>
      </c>
      <c r="E8" s="36" t="s">
        <v>54</v>
      </c>
      <c r="F8" s="34" t="s">
        <v>65</v>
      </c>
      <c r="G8" s="37" t="s">
        <v>56</v>
      </c>
      <c r="H8" s="37" t="s">
        <v>57</v>
      </c>
      <c r="I8" s="38" t="s">
        <v>66</v>
      </c>
      <c r="J8" s="34" t="s">
        <v>41</v>
      </c>
      <c r="K8" s="39" t="s">
        <v>42</v>
      </c>
      <c r="L8" s="53">
        <v>45250</v>
      </c>
      <c r="M8" s="41"/>
      <c r="N8" s="41"/>
      <c r="O8" s="41"/>
      <c r="P8" s="41"/>
      <c r="Q8" s="41"/>
      <c r="R8" s="41"/>
      <c r="S8" s="41"/>
      <c r="T8" s="41" t="s">
        <v>44</v>
      </c>
      <c r="U8" s="41"/>
      <c r="V8" s="41"/>
      <c r="W8" s="41"/>
      <c r="X8" s="54" t="s">
        <v>67</v>
      </c>
      <c r="Y8" s="55" t="s">
        <v>68</v>
      </c>
      <c r="Z8" s="44"/>
      <c r="AA8" s="45">
        <v>45642</v>
      </c>
      <c r="AB8" s="46"/>
      <c r="AC8" s="36"/>
      <c r="AD8" s="47" t="s">
        <v>49</v>
      </c>
      <c r="AE8" s="48" t="s">
        <v>41</v>
      </c>
      <c r="AF8" s="48" t="s">
        <v>41</v>
      </c>
      <c r="AG8" s="48" t="s">
        <v>41</v>
      </c>
      <c r="AH8" s="48" t="s">
        <v>49</v>
      </c>
      <c r="AI8" s="48" t="s">
        <v>49</v>
      </c>
      <c r="AJ8" s="49" t="s">
        <v>49</v>
      </c>
      <c r="AK8" s="48" t="s">
        <v>49</v>
      </c>
      <c r="AL8" s="50">
        <v>0</v>
      </c>
      <c r="AM8" s="51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1"/>
    </row>
    <row r="9" spans="1:51" x14ac:dyDescent="0.2">
      <c r="A9" s="33">
        <f t="shared" si="1"/>
        <v>4</v>
      </c>
      <c r="B9" s="34" t="s">
        <v>69</v>
      </c>
      <c r="C9" s="35" t="s">
        <v>70</v>
      </c>
      <c r="D9" s="36" t="s">
        <v>71</v>
      </c>
      <c r="E9" s="36" t="s">
        <v>54</v>
      </c>
      <c r="F9" s="34" t="s">
        <v>72</v>
      </c>
      <c r="G9" s="37" t="s">
        <v>73</v>
      </c>
      <c r="H9" s="37" t="s">
        <v>73</v>
      </c>
      <c r="I9" s="34" t="s">
        <v>74</v>
      </c>
      <c r="J9" s="38" t="s">
        <v>75</v>
      </c>
      <c r="K9" s="39" t="s">
        <v>42</v>
      </c>
      <c r="L9" s="40" t="s">
        <v>59</v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7" t="s">
        <v>76</v>
      </c>
      <c r="Y9" s="58" t="s">
        <v>77</v>
      </c>
      <c r="Z9" s="44" t="s">
        <v>78</v>
      </c>
      <c r="AA9" s="45">
        <v>42325</v>
      </c>
      <c r="AB9" s="46" t="s">
        <v>30</v>
      </c>
      <c r="AC9" s="36" t="s">
        <v>26</v>
      </c>
      <c r="AD9" s="47" t="s">
        <v>49</v>
      </c>
      <c r="AE9" s="48" t="s">
        <v>49</v>
      </c>
      <c r="AF9" s="48" t="s">
        <v>49</v>
      </c>
      <c r="AG9" s="48" t="s">
        <v>49</v>
      </c>
      <c r="AH9" s="48" t="s">
        <v>49</v>
      </c>
      <c r="AI9" s="48" t="s">
        <v>49</v>
      </c>
      <c r="AJ9" s="49" t="s">
        <v>41</v>
      </c>
      <c r="AK9" s="48" t="s">
        <v>41</v>
      </c>
      <c r="AL9" s="50">
        <v>2</v>
      </c>
      <c r="AM9" s="51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1"/>
    </row>
    <row r="10" spans="1:51" x14ac:dyDescent="0.2">
      <c r="A10" s="33">
        <f t="shared" si="1"/>
        <v>5</v>
      </c>
      <c r="B10" s="34" t="s">
        <v>79</v>
      </c>
      <c r="C10" s="35" t="s">
        <v>80</v>
      </c>
      <c r="D10" s="36" t="s">
        <v>81</v>
      </c>
      <c r="E10" s="36" t="s">
        <v>54</v>
      </c>
      <c r="F10" s="34" t="s">
        <v>82</v>
      </c>
      <c r="G10" s="37" t="s">
        <v>73</v>
      </c>
      <c r="H10" s="37" t="s">
        <v>73</v>
      </c>
      <c r="I10" s="38" t="s">
        <v>83</v>
      </c>
      <c r="J10" s="34" t="s">
        <v>41</v>
      </c>
      <c r="K10" s="39" t="s">
        <v>42</v>
      </c>
      <c r="L10" s="53">
        <v>45244</v>
      </c>
      <c r="M10" s="41"/>
      <c r="N10" s="41"/>
      <c r="O10" s="41"/>
      <c r="P10" s="41"/>
      <c r="Q10" s="41"/>
      <c r="R10" s="41"/>
      <c r="S10" s="41"/>
      <c r="T10" s="41" t="s">
        <v>44</v>
      </c>
      <c r="U10" s="41"/>
      <c r="V10" s="41"/>
      <c r="W10" s="41"/>
      <c r="X10" s="42" t="s">
        <v>84</v>
      </c>
      <c r="Y10" s="55" t="s">
        <v>85</v>
      </c>
      <c r="Z10" s="44"/>
      <c r="AA10" s="45">
        <v>45642</v>
      </c>
      <c r="AB10" s="46"/>
      <c r="AC10" s="36"/>
      <c r="AD10" s="47" t="s">
        <v>49</v>
      </c>
      <c r="AE10" s="48" t="s">
        <v>41</v>
      </c>
      <c r="AF10" s="48" t="s">
        <v>41</v>
      </c>
      <c r="AG10" s="48" t="s">
        <v>41</v>
      </c>
      <c r="AH10" s="48" t="s">
        <v>49</v>
      </c>
      <c r="AI10" s="48" t="s">
        <v>49</v>
      </c>
      <c r="AJ10" s="49" t="s">
        <v>49</v>
      </c>
      <c r="AK10" s="48" t="s">
        <v>49</v>
      </c>
      <c r="AL10" s="50">
        <v>0</v>
      </c>
      <c r="AM10" s="51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1"/>
    </row>
    <row r="11" spans="1:51" x14ac:dyDescent="0.2">
      <c r="A11" s="33">
        <f t="shared" si="1"/>
        <v>6</v>
      </c>
      <c r="B11" s="34" t="s">
        <v>4579</v>
      </c>
      <c r="C11" s="35" t="s">
        <v>4578</v>
      </c>
      <c r="D11" s="36" t="s">
        <v>4494</v>
      </c>
      <c r="E11" s="36" t="s">
        <v>4581</v>
      </c>
      <c r="F11" s="34" t="s">
        <v>4582</v>
      </c>
      <c r="G11" s="37" t="s">
        <v>39</v>
      </c>
      <c r="H11" s="37" t="s">
        <v>39</v>
      </c>
      <c r="I11" s="38" t="s">
        <v>4583</v>
      </c>
      <c r="J11" s="34" t="s">
        <v>41</v>
      </c>
      <c r="K11" s="39" t="s">
        <v>4584</v>
      </c>
      <c r="L11" s="53">
        <v>46031</v>
      </c>
      <c r="M11" s="41" t="s">
        <v>179</v>
      </c>
      <c r="N11" s="41"/>
      <c r="O11" s="41"/>
      <c r="P11" s="41"/>
      <c r="Q11" s="41"/>
      <c r="R11" s="41"/>
      <c r="S11" s="41"/>
      <c r="T11" s="41"/>
      <c r="U11" s="41"/>
      <c r="V11" s="41"/>
      <c r="W11" s="41" t="s">
        <v>44</v>
      </c>
      <c r="X11" s="38" t="s">
        <v>4585</v>
      </c>
      <c r="Y11" s="307" t="s">
        <v>4586</v>
      </c>
      <c r="Z11" s="44"/>
      <c r="AA11" s="45"/>
      <c r="AB11" s="46"/>
      <c r="AC11" s="36"/>
      <c r="AD11" s="47" t="s">
        <v>49</v>
      </c>
      <c r="AE11" s="48"/>
      <c r="AF11" s="48"/>
      <c r="AG11" s="48"/>
      <c r="AH11" s="48"/>
      <c r="AI11" s="48"/>
      <c r="AJ11" s="49"/>
      <c r="AK11" s="48" t="s">
        <v>49</v>
      </c>
      <c r="AL11" s="50">
        <v>0</v>
      </c>
      <c r="AM11" s="51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1"/>
    </row>
    <row r="12" spans="1:51" x14ac:dyDescent="0.2">
      <c r="A12" s="33">
        <f t="shared" si="1"/>
        <v>7</v>
      </c>
      <c r="B12" s="34" t="s">
        <v>86</v>
      </c>
      <c r="C12" s="35" t="s">
        <v>87</v>
      </c>
      <c r="D12" s="36" t="s">
        <v>88</v>
      </c>
      <c r="E12" s="36" t="s">
        <v>54</v>
      </c>
      <c r="F12" s="34" t="s">
        <v>89</v>
      </c>
      <c r="G12" s="37" t="s">
        <v>56</v>
      </c>
      <c r="H12" s="37" t="s">
        <v>57</v>
      </c>
      <c r="I12" s="38" t="s">
        <v>90</v>
      </c>
      <c r="J12" s="34" t="s">
        <v>41</v>
      </c>
      <c r="K12" s="39" t="s">
        <v>42</v>
      </c>
      <c r="L12" s="53" t="s">
        <v>91</v>
      </c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42" t="s">
        <v>92</v>
      </c>
      <c r="Y12" s="58" t="s">
        <v>93</v>
      </c>
      <c r="Z12" s="44" t="s">
        <v>61</v>
      </c>
      <c r="AA12" s="45">
        <v>43200</v>
      </c>
      <c r="AB12" s="46" t="s">
        <v>94</v>
      </c>
      <c r="AC12" s="36" t="s">
        <v>26</v>
      </c>
      <c r="AD12" s="47" t="s">
        <v>49</v>
      </c>
      <c r="AE12" s="48" t="s">
        <v>49</v>
      </c>
      <c r="AF12" s="48" t="s">
        <v>49</v>
      </c>
      <c r="AG12" s="48" t="s">
        <v>49</v>
      </c>
      <c r="AH12" s="48" t="s">
        <v>49</v>
      </c>
      <c r="AI12" s="48" t="s">
        <v>49</v>
      </c>
      <c r="AJ12" s="49" t="s">
        <v>49</v>
      </c>
      <c r="AK12" s="48" t="s">
        <v>49</v>
      </c>
      <c r="AL12" s="50">
        <v>0</v>
      </c>
      <c r="AM12" s="59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1"/>
    </row>
    <row r="13" spans="1:51" x14ac:dyDescent="0.2">
      <c r="A13" s="33">
        <f t="shared" si="1"/>
        <v>8</v>
      </c>
      <c r="B13" s="34" t="s">
        <v>95</v>
      </c>
      <c r="C13" s="35" t="s">
        <v>96</v>
      </c>
      <c r="D13" s="36" t="s">
        <v>97</v>
      </c>
      <c r="E13" s="36" t="s">
        <v>54</v>
      </c>
      <c r="F13" s="34" t="s">
        <v>98</v>
      </c>
      <c r="G13" s="37" t="s">
        <v>56</v>
      </c>
      <c r="H13" s="37" t="s">
        <v>57</v>
      </c>
      <c r="I13" s="34">
        <v>81328792103</v>
      </c>
      <c r="J13" s="34" t="s">
        <v>41</v>
      </c>
      <c r="K13" s="39" t="s">
        <v>42</v>
      </c>
      <c r="L13" s="53">
        <v>39256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2" t="s">
        <v>99</v>
      </c>
      <c r="Y13" s="60" t="s">
        <v>100</v>
      </c>
      <c r="Z13" s="44" t="s">
        <v>61</v>
      </c>
      <c r="AA13" s="45" t="s">
        <v>101</v>
      </c>
      <c r="AB13" s="46" t="s">
        <v>30</v>
      </c>
      <c r="AC13" s="36" t="s">
        <v>26</v>
      </c>
      <c r="AD13" s="47" t="s">
        <v>49</v>
      </c>
      <c r="AE13" s="48" t="s">
        <v>49</v>
      </c>
      <c r="AF13" s="48" t="s">
        <v>49</v>
      </c>
      <c r="AG13" s="48" t="s">
        <v>49</v>
      </c>
      <c r="AH13" s="48" t="s">
        <v>49</v>
      </c>
      <c r="AI13" s="48" t="s">
        <v>49</v>
      </c>
      <c r="AJ13" s="49" t="s">
        <v>49</v>
      </c>
      <c r="AK13" s="48" t="s">
        <v>49</v>
      </c>
      <c r="AL13" s="50">
        <v>0</v>
      </c>
      <c r="AM13" s="59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1"/>
    </row>
    <row r="14" spans="1:51" x14ac:dyDescent="0.2">
      <c r="A14" s="33">
        <f t="shared" si="1"/>
        <v>9</v>
      </c>
      <c r="B14" s="34" t="s">
        <v>102</v>
      </c>
      <c r="C14" s="35" t="s">
        <v>103</v>
      </c>
      <c r="D14" s="36" t="s">
        <v>104</v>
      </c>
      <c r="E14" s="36" t="s">
        <v>54</v>
      </c>
      <c r="F14" s="34" t="s">
        <v>105</v>
      </c>
      <c r="G14" s="37" t="s">
        <v>73</v>
      </c>
      <c r="H14" s="37" t="s">
        <v>73</v>
      </c>
      <c r="I14" s="38" t="s">
        <v>106</v>
      </c>
      <c r="J14" s="34" t="s">
        <v>41</v>
      </c>
      <c r="K14" s="39" t="s">
        <v>42</v>
      </c>
      <c r="L14" s="40" t="s">
        <v>107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2" t="s">
        <v>108</v>
      </c>
      <c r="Y14" s="58" t="s">
        <v>109</v>
      </c>
      <c r="Z14" s="58"/>
      <c r="AA14" s="45" t="s">
        <v>47</v>
      </c>
      <c r="AB14" s="46"/>
      <c r="AC14" s="36" t="s">
        <v>26</v>
      </c>
      <c r="AD14" s="61" t="s">
        <v>49</v>
      </c>
      <c r="AE14" s="48" t="s">
        <v>49</v>
      </c>
      <c r="AF14" s="48" t="s">
        <v>41</v>
      </c>
      <c r="AG14" s="48" t="s">
        <v>41</v>
      </c>
      <c r="AH14" s="48" t="s">
        <v>41</v>
      </c>
      <c r="AI14" s="48" t="s">
        <v>41</v>
      </c>
      <c r="AJ14" s="49" t="s">
        <v>41</v>
      </c>
      <c r="AK14" s="48" t="s">
        <v>41</v>
      </c>
      <c r="AL14" s="62" t="s">
        <v>4587</v>
      </c>
      <c r="AM14" s="63" t="s">
        <v>50</v>
      </c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1"/>
    </row>
    <row r="15" spans="1:51" x14ac:dyDescent="0.2">
      <c r="A15" s="33">
        <f t="shared" si="1"/>
        <v>10</v>
      </c>
      <c r="B15" s="34" t="s">
        <v>111</v>
      </c>
      <c r="C15" s="35" t="s">
        <v>112</v>
      </c>
      <c r="D15" s="36" t="s">
        <v>113</v>
      </c>
      <c r="E15" s="36" t="s">
        <v>54</v>
      </c>
      <c r="F15" s="34" t="s">
        <v>114</v>
      </c>
      <c r="G15" s="37" t="s">
        <v>73</v>
      </c>
      <c r="H15" s="37" t="s">
        <v>73</v>
      </c>
      <c r="I15" s="34" t="s">
        <v>115</v>
      </c>
      <c r="J15" s="34" t="s">
        <v>116</v>
      </c>
      <c r="K15" s="39" t="s">
        <v>42</v>
      </c>
      <c r="L15" s="40" t="s">
        <v>117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2" t="s">
        <v>118</v>
      </c>
      <c r="Y15" s="58" t="s">
        <v>119</v>
      </c>
      <c r="Z15" s="44" t="s">
        <v>78</v>
      </c>
      <c r="AA15" s="45">
        <v>40815</v>
      </c>
      <c r="AB15" s="46" t="s">
        <v>30</v>
      </c>
      <c r="AC15" s="36" t="s">
        <v>26</v>
      </c>
      <c r="AD15" s="64" t="s">
        <v>120</v>
      </c>
      <c r="AE15" s="48" t="s">
        <v>120</v>
      </c>
      <c r="AF15" s="48" t="s">
        <v>120</v>
      </c>
      <c r="AG15" s="48" t="s">
        <v>120</v>
      </c>
      <c r="AH15" s="48" t="s">
        <v>120</v>
      </c>
      <c r="AI15" s="48" t="s">
        <v>120</v>
      </c>
      <c r="AJ15" s="49" t="s">
        <v>120</v>
      </c>
      <c r="AK15" s="48" t="s">
        <v>120</v>
      </c>
      <c r="AL15" s="65" t="s">
        <v>32</v>
      </c>
      <c r="AM15" s="59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1"/>
    </row>
    <row r="16" spans="1:51" x14ac:dyDescent="0.2">
      <c r="A16" s="33">
        <f t="shared" si="1"/>
        <v>11</v>
      </c>
      <c r="B16" s="34" t="s">
        <v>121</v>
      </c>
      <c r="C16" s="35" t="s">
        <v>122</v>
      </c>
      <c r="D16" s="36" t="s">
        <v>123</v>
      </c>
      <c r="E16" s="36" t="s">
        <v>54</v>
      </c>
      <c r="F16" s="34" t="s">
        <v>124</v>
      </c>
      <c r="G16" s="37" t="s">
        <v>73</v>
      </c>
      <c r="H16" s="37" t="s">
        <v>73</v>
      </c>
      <c r="I16" s="34" t="s">
        <v>125</v>
      </c>
      <c r="J16" s="34" t="s">
        <v>126</v>
      </c>
      <c r="K16" s="39" t="s">
        <v>42</v>
      </c>
      <c r="L16" s="53">
        <v>30353</v>
      </c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42" t="s">
        <v>127</v>
      </c>
      <c r="Y16" s="58" t="s">
        <v>128</v>
      </c>
      <c r="Z16" s="44" t="s">
        <v>61</v>
      </c>
      <c r="AA16" s="45">
        <v>34597</v>
      </c>
      <c r="AB16" s="46" t="s">
        <v>129</v>
      </c>
      <c r="AC16" s="36" t="s">
        <v>26</v>
      </c>
      <c r="AD16" s="66" t="s">
        <v>130</v>
      </c>
      <c r="AE16" s="48" t="s">
        <v>130</v>
      </c>
      <c r="AF16" s="48" t="s">
        <v>130</v>
      </c>
      <c r="AG16" s="48" t="s">
        <v>130</v>
      </c>
      <c r="AH16" s="48" t="s">
        <v>130</v>
      </c>
      <c r="AI16" s="48" t="s">
        <v>130</v>
      </c>
      <c r="AJ16" s="49" t="s">
        <v>130</v>
      </c>
      <c r="AK16" s="48" t="s">
        <v>41</v>
      </c>
      <c r="AL16" s="65" t="s">
        <v>148</v>
      </c>
      <c r="AM16" s="67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1"/>
    </row>
    <row r="17" spans="1:51" x14ac:dyDescent="0.2">
      <c r="A17" s="33">
        <f t="shared" si="1"/>
        <v>12</v>
      </c>
      <c r="B17" s="34" t="s">
        <v>131</v>
      </c>
      <c r="C17" s="35" t="s">
        <v>132</v>
      </c>
      <c r="D17" s="36" t="s">
        <v>133</v>
      </c>
      <c r="E17" s="36" t="s">
        <v>54</v>
      </c>
      <c r="F17" s="34" t="s">
        <v>134</v>
      </c>
      <c r="G17" s="37" t="s">
        <v>73</v>
      </c>
      <c r="H17" s="37" t="s">
        <v>73</v>
      </c>
      <c r="I17" s="38" t="s">
        <v>135</v>
      </c>
      <c r="J17" s="34" t="s">
        <v>41</v>
      </c>
      <c r="K17" s="39" t="s">
        <v>42</v>
      </c>
      <c r="L17" s="53">
        <v>43746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2" t="s">
        <v>136</v>
      </c>
      <c r="Y17" s="58" t="s">
        <v>137</v>
      </c>
      <c r="Z17" s="44" t="s">
        <v>138</v>
      </c>
      <c r="AA17" s="45">
        <v>44944</v>
      </c>
      <c r="AB17" s="46" t="s">
        <v>30</v>
      </c>
      <c r="AC17" s="36" t="s">
        <v>26</v>
      </c>
      <c r="AD17" s="61" t="s">
        <v>49</v>
      </c>
      <c r="AE17" s="48" t="s">
        <v>49</v>
      </c>
      <c r="AF17" s="48" t="s">
        <v>49</v>
      </c>
      <c r="AG17" s="48" t="s">
        <v>41</v>
      </c>
      <c r="AH17" s="48" t="s">
        <v>41</v>
      </c>
      <c r="AI17" s="48" t="s">
        <v>41</v>
      </c>
      <c r="AJ17" s="49" t="s">
        <v>41</v>
      </c>
      <c r="AK17" s="48" t="s">
        <v>41</v>
      </c>
      <c r="AL17" s="62" t="s">
        <v>110</v>
      </c>
      <c r="AM17" s="51" t="s">
        <v>50</v>
      </c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1"/>
    </row>
    <row r="18" spans="1:51" x14ac:dyDescent="0.2">
      <c r="A18" s="33">
        <f t="shared" si="1"/>
        <v>13</v>
      </c>
      <c r="B18" s="34" t="s">
        <v>140</v>
      </c>
      <c r="C18" s="35" t="s">
        <v>141</v>
      </c>
      <c r="D18" s="36" t="s">
        <v>142</v>
      </c>
      <c r="E18" s="36" t="s">
        <v>54</v>
      </c>
      <c r="F18" s="34" t="s">
        <v>143</v>
      </c>
      <c r="G18" s="37" t="s">
        <v>73</v>
      </c>
      <c r="H18" s="37" t="s">
        <v>73</v>
      </c>
      <c r="I18" s="38" t="s">
        <v>144</v>
      </c>
      <c r="J18" s="34" t="s">
        <v>41</v>
      </c>
      <c r="K18" s="39" t="s">
        <v>42</v>
      </c>
      <c r="L18" s="53">
        <v>44690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2" t="s">
        <v>145</v>
      </c>
      <c r="Y18" s="58" t="s">
        <v>146</v>
      </c>
      <c r="Z18" s="44" t="s">
        <v>147</v>
      </c>
      <c r="AA18" s="45">
        <v>44944</v>
      </c>
      <c r="AB18" s="46" t="s">
        <v>30</v>
      </c>
      <c r="AC18" s="36"/>
      <c r="AD18" s="61" t="s">
        <v>49</v>
      </c>
      <c r="AE18" s="48" t="s">
        <v>41</v>
      </c>
      <c r="AF18" s="48" t="s">
        <v>41</v>
      </c>
      <c r="AG18" s="48" t="s">
        <v>49</v>
      </c>
      <c r="AH18" s="48" t="s">
        <v>49</v>
      </c>
      <c r="AI18" s="48" t="s">
        <v>49</v>
      </c>
      <c r="AJ18" s="49" t="s">
        <v>49</v>
      </c>
      <c r="AK18" s="48" t="s">
        <v>49</v>
      </c>
      <c r="AL18" s="62" t="s">
        <v>32</v>
      </c>
      <c r="AM18" s="59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1"/>
    </row>
    <row r="19" spans="1:51" x14ac:dyDescent="0.2">
      <c r="A19" s="33">
        <f t="shared" si="1"/>
        <v>14</v>
      </c>
      <c r="B19" s="34" t="s">
        <v>149</v>
      </c>
      <c r="C19" s="35" t="s">
        <v>150</v>
      </c>
      <c r="D19" s="36" t="s">
        <v>151</v>
      </c>
      <c r="E19" s="36" t="s">
        <v>54</v>
      </c>
      <c r="F19" s="34" t="s">
        <v>152</v>
      </c>
      <c r="G19" s="37" t="s">
        <v>73</v>
      </c>
      <c r="H19" s="37" t="s">
        <v>73</v>
      </c>
      <c r="I19" s="34" t="s">
        <v>153</v>
      </c>
      <c r="J19" s="34" t="s">
        <v>154</v>
      </c>
      <c r="K19" s="39" t="s">
        <v>42</v>
      </c>
      <c r="L19" s="40" t="s">
        <v>155</v>
      </c>
      <c r="M19" s="56"/>
      <c r="N19" s="56"/>
      <c r="O19" s="56"/>
      <c r="P19" s="56"/>
      <c r="Q19" s="56"/>
      <c r="R19" s="68"/>
      <c r="S19" s="68"/>
      <c r="T19" s="68"/>
      <c r="U19" s="68"/>
      <c r="V19" s="68"/>
      <c r="W19" s="68"/>
      <c r="X19" s="57" t="s">
        <v>156</v>
      </c>
      <c r="Y19" s="69" t="s">
        <v>157</v>
      </c>
      <c r="Z19" s="44" t="s">
        <v>61</v>
      </c>
      <c r="AA19" s="45">
        <v>40280</v>
      </c>
      <c r="AB19" s="46" t="s">
        <v>30</v>
      </c>
      <c r="AC19" s="36" t="s">
        <v>26</v>
      </c>
      <c r="AD19" s="47" t="s">
        <v>49</v>
      </c>
      <c r="AE19" s="48" t="s">
        <v>49</v>
      </c>
      <c r="AF19" s="48" t="s">
        <v>49</v>
      </c>
      <c r="AG19" s="48" t="s">
        <v>41</v>
      </c>
      <c r="AH19" s="48" t="s">
        <v>41</v>
      </c>
      <c r="AI19" s="48" t="s">
        <v>41</v>
      </c>
      <c r="AJ19" s="49" t="s">
        <v>41</v>
      </c>
      <c r="AK19" s="48" t="s">
        <v>41</v>
      </c>
      <c r="AL19" s="62" t="s">
        <v>110</v>
      </c>
      <c r="AM19" s="59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1"/>
    </row>
    <row r="20" spans="1:51" x14ac:dyDescent="0.2">
      <c r="A20" s="33">
        <f t="shared" si="1"/>
        <v>15</v>
      </c>
      <c r="B20" s="34" t="s">
        <v>158</v>
      </c>
      <c r="C20" s="35" t="s">
        <v>159</v>
      </c>
      <c r="D20" s="36" t="s">
        <v>160</v>
      </c>
      <c r="E20" s="36" t="s">
        <v>36</v>
      </c>
      <c r="F20" s="34" t="s">
        <v>161</v>
      </c>
      <c r="G20" s="37" t="s">
        <v>73</v>
      </c>
      <c r="H20" s="37" t="s">
        <v>73</v>
      </c>
      <c r="I20" s="34" t="s">
        <v>153</v>
      </c>
      <c r="J20" s="34" t="s">
        <v>154</v>
      </c>
      <c r="K20" s="39" t="s">
        <v>42</v>
      </c>
      <c r="L20" s="53">
        <v>32576</v>
      </c>
      <c r="M20" s="41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42" t="s">
        <v>162</v>
      </c>
      <c r="Y20" s="52" t="s">
        <v>163</v>
      </c>
      <c r="Z20" s="44" t="s">
        <v>61</v>
      </c>
      <c r="AA20" s="45">
        <v>34597</v>
      </c>
      <c r="AB20" s="46" t="s">
        <v>30</v>
      </c>
      <c r="AC20" s="36" t="s">
        <v>26</v>
      </c>
      <c r="AD20" s="64" t="s">
        <v>120</v>
      </c>
      <c r="AE20" s="48" t="s">
        <v>120</v>
      </c>
      <c r="AF20" s="48" t="s">
        <v>120</v>
      </c>
      <c r="AG20" s="48" t="s">
        <v>120</v>
      </c>
      <c r="AH20" s="48" t="s">
        <v>120</v>
      </c>
      <c r="AI20" s="48" t="s">
        <v>120</v>
      </c>
      <c r="AJ20" s="49" t="s">
        <v>41</v>
      </c>
      <c r="AK20" s="48" t="s">
        <v>41</v>
      </c>
      <c r="AL20" s="62" t="s">
        <v>276</v>
      </c>
      <c r="AM20" s="59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1"/>
    </row>
    <row r="21" spans="1:51" x14ac:dyDescent="0.2">
      <c r="A21" s="33">
        <f t="shared" si="1"/>
        <v>16</v>
      </c>
      <c r="B21" s="34" t="s">
        <v>164</v>
      </c>
      <c r="C21" s="35" t="s">
        <v>165</v>
      </c>
      <c r="D21" s="36" t="s">
        <v>166</v>
      </c>
      <c r="E21" s="36" t="s">
        <v>54</v>
      </c>
      <c r="F21" s="34" t="s">
        <v>167</v>
      </c>
      <c r="G21" s="37" t="s">
        <v>73</v>
      </c>
      <c r="H21" s="37" t="s">
        <v>73</v>
      </c>
      <c r="I21" s="34" t="s">
        <v>168</v>
      </c>
      <c r="J21" s="34" t="s">
        <v>41</v>
      </c>
      <c r="K21" s="39" t="s">
        <v>42</v>
      </c>
      <c r="L21" s="40" t="s">
        <v>169</v>
      </c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2" t="s">
        <v>170</v>
      </c>
      <c r="Y21" s="71" t="s">
        <v>171</v>
      </c>
      <c r="Z21" s="44" t="s">
        <v>61</v>
      </c>
      <c r="AA21" s="45">
        <v>37208</v>
      </c>
      <c r="AB21" s="46" t="s">
        <v>30</v>
      </c>
      <c r="AC21" s="36" t="s">
        <v>26</v>
      </c>
      <c r="AD21" s="47" t="s">
        <v>49</v>
      </c>
      <c r="AE21" s="48" t="s">
        <v>49</v>
      </c>
      <c r="AF21" s="48" t="s">
        <v>49</v>
      </c>
      <c r="AG21" s="48" t="s">
        <v>41</v>
      </c>
      <c r="AH21" s="48" t="s">
        <v>41</v>
      </c>
      <c r="AI21" s="48" t="s">
        <v>41</v>
      </c>
      <c r="AJ21" s="49" t="s">
        <v>41</v>
      </c>
      <c r="AK21" s="48" t="s">
        <v>41</v>
      </c>
      <c r="AL21" s="62" t="s">
        <v>110</v>
      </c>
      <c r="AM21" s="59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1"/>
    </row>
    <row r="22" spans="1:51" x14ac:dyDescent="0.2">
      <c r="A22" s="33">
        <f t="shared" si="1"/>
        <v>17</v>
      </c>
      <c r="B22" s="72" t="s">
        <v>172</v>
      </c>
      <c r="C22" s="35" t="s">
        <v>173</v>
      </c>
      <c r="D22" s="73" t="s">
        <v>174</v>
      </c>
      <c r="E22" s="36" t="s">
        <v>54</v>
      </c>
      <c r="F22" s="74" t="s">
        <v>175</v>
      </c>
      <c r="G22" s="75" t="s">
        <v>176</v>
      </c>
      <c r="H22" s="75" t="s">
        <v>39</v>
      </c>
      <c r="I22" s="76" t="s">
        <v>177</v>
      </c>
      <c r="J22" s="72" t="s">
        <v>41</v>
      </c>
      <c r="K22" s="77" t="s">
        <v>42</v>
      </c>
      <c r="L22" s="78" t="s">
        <v>178</v>
      </c>
      <c r="M22" s="79"/>
      <c r="N22" s="79"/>
      <c r="O22" s="79"/>
      <c r="P22" s="79"/>
      <c r="Q22" s="79"/>
      <c r="R22" s="79" t="s">
        <v>44</v>
      </c>
      <c r="S22" s="79"/>
      <c r="T22" s="79"/>
      <c r="U22" s="79"/>
      <c r="V22" s="79"/>
      <c r="W22" s="79"/>
      <c r="X22" s="42" t="s">
        <v>180</v>
      </c>
      <c r="Y22" s="58" t="s">
        <v>181</v>
      </c>
      <c r="Z22" s="44"/>
      <c r="AA22" s="45" t="s">
        <v>47</v>
      </c>
      <c r="AB22" s="80"/>
      <c r="AC22" s="73"/>
      <c r="AD22" s="81" t="s">
        <v>49</v>
      </c>
      <c r="AE22" s="48" t="s">
        <v>41</v>
      </c>
      <c r="AF22" s="48" t="s">
        <v>49</v>
      </c>
      <c r="AG22" s="48" t="s">
        <v>49</v>
      </c>
      <c r="AH22" s="48" t="s">
        <v>49</v>
      </c>
      <c r="AI22" s="48" t="s">
        <v>49</v>
      </c>
      <c r="AJ22" s="49" t="s">
        <v>49</v>
      </c>
      <c r="AK22" s="48" t="s">
        <v>41</v>
      </c>
      <c r="AL22" s="62" t="s">
        <v>148</v>
      </c>
      <c r="AM22" s="59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1"/>
    </row>
    <row r="23" spans="1:51" x14ac:dyDescent="0.2">
      <c r="A23" s="33">
        <f t="shared" si="1"/>
        <v>18</v>
      </c>
      <c r="B23" s="72" t="s">
        <v>182</v>
      </c>
      <c r="C23" s="35" t="s">
        <v>183</v>
      </c>
      <c r="D23" s="73" t="s">
        <v>184</v>
      </c>
      <c r="E23" s="36" t="s">
        <v>54</v>
      </c>
      <c r="F23" s="74" t="s">
        <v>185</v>
      </c>
      <c r="G23" s="75" t="s">
        <v>186</v>
      </c>
      <c r="H23" s="75" t="s">
        <v>187</v>
      </c>
      <c r="I23" s="72" t="s">
        <v>188</v>
      </c>
      <c r="J23" s="72" t="s">
        <v>41</v>
      </c>
      <c r="K23" s="77" t="s">
        <v>42</v>
      </c>
      <c r="L23" s="78" t="s">
        <v>189</v>
      </c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42" t="s">
        <v>190</v>
      </c>
      <c r="Y23" s="58" t="s">
        <v>191</v>
      </c>
      <c r="Z23" s="44" t="s">
        <v>61</v>
      </c>
      <c r="AA23" s="45">
        <v>34597</v>
      </c>
      <c r="AB23" s="80" t="s">
        <v>30</v>
      </c>
      <c r="AC23" s="73">
        <v>1</v>
      </c>
      <c r="AD23" s="81" t="s">
        <v>49</v>
      </c>
      <c r="AE23" s="48" t="s">
        <v>41</v>
      </c>
      <c r="AF23" s="48" t="s">
        <v>41</v>
      </c>
      <c r="AG23" s="48" t="s">
        <v>41</v>
      </c>
      <c r="AH23" s="48" t="s">
        <v>41</v>
      </c>
      <c r="AI23" s="48" t="s">
        <v>41</v>
      </c>
      <c r="AJ23" s="49" t="s">
        <v>41</v>
      </c>
      <c r="AK23" s="48" t="s">
        <v>41</v>
      </c>
      <c r="AL23" s="82" t="s">
        <v>4588</v>
      </c>
      <c r="AM23" s="59" t="s">
        <v>192</v>
      </c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1"/>
    </row>
    <row r="24" spans="1:51" x14ac:dyDescent="0.2">
      <c r="A24" s="33">
        <f t="shared" si="1"/>
        <v>19</v>
      </c>
      <c r="B24" s="34" t="s">
        <v>193</v>
      </c>
      <c r="C24" s="35" t="s">
        <v>194</v>
      </c>
      <c r="D24" s="36" t="s">
        <v>195</v>
      </c>
      <c r="E24" s="36" t="s">
        <v>54</v>
      </c>
      <c r="F24" s="34" t="s">
        <v>196</v>
      </c>
      <c r="G24" s="37" t="s">
        <v>73</v>
      </c>
      <c r="H24" s="37" t="s">
        <v>73</v>
      </c>
      <c r="I24" s="38" t="s">
        <v>197</v>
      </c>
      <c r="J24" s="34" t="s">
        <v>41</v>
      </c>
      <c r="K24" s="39" t="s">
        <v>42</v>
      </c>
      <c r="L24" s="40" t="s">
        <v>198</v>
      </c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42" t="s">
        <v>199</v>
      </c>
      <c r="Y24" s="58" t="s">
        <v>200</v>
      </c>
      <c r="Z24" s="44" t="s">
        <v>61</v>
      </c>
      <c r="AA24" s="45">
        <v>34597</v>
      </c>
      <c r="AB24" s="46" t="s">
        <v>30</v>
      </c>
      <c r="AC24" s="36" t="s">
        <v>26</v>
      </c>
      <c r="AD24" s="47" t="s">
        <v>49</v>
      </c>
      <c r="AE24" s="48" t="s">
        <v>49</v>
      </c>
      <c r="AF24" s="48" t="s">
        <v>49</v>
      </c>
      <c r="AG24" s="48" t="s">
        <v>49</v>
      </c>
      <c r="AH24" s="48" t="s">
        <v>49</v>
      </c>
      <c r="AI24" s="48" t="s">
        <v>49</v>
      </c>
      <c r="AJ24" s="49" t="s">
        <v>49</v>
      </c>
      <c r="AK24" s="48" t="s">
        <v>41</v>
      </c>
      <c r="AL24" s="62" t="s">
        <v>148</v>
      </c>
      <c r="AM24" s="59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1"/>
    </row>
    <row r="25" spans="1:51" x14ac:dyDescent="0.2">
      <c r="A25" s="33">
        <f t="shared" si="1"/>
        <v>20</v>
      </c>
      <c r="B25" s="34" t="s">
        <v>201</v>
      </c>
      <c r="C25" s="35" t="s">
        <v>202</v>
      </c>
      <c r="D25" s="36" t="s">
        <v>203</v>
      </c>
      <c r="E25" s="36" t="s">
        <v>36</v>
      </c>
      <c r="F25" s="34" t="s">
        <v>204</v>
      </c>
      <c r="G25" s="37" t="s">
        <v>205</v>
      </c>
      <c r="H25" s="37" t="s">
        <v>205</v>
      </c>
      <c r="I25" s="38" t="s">
        <v>206</v>
      </c>
      <c r="J25" s="34" t="s">
        <v>41</v>
      </c>
      <c r="K25" s="39" t="s">
        <v>42</v>
      </c>
      <c r="L25" s="53" t="s">
        <v>207</v>
      </c>
      <c r="M25" s="41"/>
      <c r="N25" s="41"/>
      <c r="O25" s="41"/>
      <c r="P25" s="41"/>
      <c r="Q25" s="41"/>
      <c r="R25" s="41"/>
      <c r="S25" s="41"/>
      <c r="T25" s="41" t="s">
        <v>44</v>
      </c>
      <c r="U25" s="41"/>
      <c r="V25" s="41"/>
      <c r="W25" s="41"/>
      <c r="X25" s="54" t="s">
        <v>208</v>
      </c>
      <c r="Y25" s="83" t="s">
        <v>209</v>
      </c>
      <c r="Z25" s="83"/>
      <c r="AA25" s="45">
        <v>45642</v>
      </c>
      <c r="AB25" s="46"/>
      <c r="AC25" s="36"/>
      <c r="AD25" s="61" t="s">
        <v>49</v>
      </c>
      <c r="AE25" s="48" t="s">
        <v>41</v>
      </c>
      <c r="AF25" s="48" t="s">
        <v>41</v>
      </c>
      <c r="AG25" s="48" t="s">
        <v>41</v>
      </c>
      <c r="AH25" s="48" t="s">
        <v>49</v>
      </c>
      <c r="AI25" s="48" t="s">
        <v>49</v>
      </c>
      <c r="AJ25" s="49" t="s">
        <v>49</v>
      </c>
      <c r="AK25" s="48" t="s">
        <v>49</v>
      </c>
      <c r="AL25" s="65" t="s">
        <v>32</v>
      </c>
      <c r="AM25" s="59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1"/>
    </row>
    <row r="26" spans="1:51" x14ac:dyDescent="0.2">
      <c r="A26" s="33">
        <f t="shared" si="1"/>
        <v>21</v>
      </c>
      <c r="B26" s="34" t="s">
        <v>210</v>
      </c>
      <c r="C26" s="35" t="s">
        <v>211</v>
      </c>
      <c r="D26" s="36" t="s">
        <v>212</v>
      </c>
      <c r="E26" s="36" t="s">
        <v>54</v>
      </c>
      <c r="F26" s="34" t="s">
        <v>213</v>
      </c>
      <c r="G26" s="37" t="s">
        <v>214</v>
      </c>
      <c r="H26" s="37" t="s">
        <v>205</v>
      </c>
      <c r="I26" s="38" t="s">
        <v>215</v>
      </c>
      <c r="J26" s="34" t="s">
        <v>41</v>
      </c>
      <c r="K26" s="39" t="s">
        <v>42</v>
      </c>
      <c r="L26" s="40" t="s">
        <v>216</v>
      </c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42" t="s">
        <v>217</v>
      </c>
      <c r="Y26" s="58" t="s">
        <v>218</v>
      </c>
      <c r="Z26" s="84" t="s">
        <v>219</v>
      </c>
      <c r="AA26" s="45">
        <v>44650</v>
      </c>
      <c r="AB26" s="46" t="s">
        <v>30</v>
      </c>
      <c r="AC26" s="36" t="s">
        <v>220</v>
      </c>
      <c r="AD26" s="47" t="s">
        <v>49</v>
      </c>
      <c r="AE26" s="48" t="s">
        <v>49</v>
      </c>
      <c r="AF26" s="48" t="s">
        <v>49</v>
      </c>
      <c r="AG26" s="48" t="s">
        <v>49</v>
      </c>
      <c r="AH26" s="48" t="s">
        <v>49</v>
      </c>
      <c r="AI26" s="48" t="s">
        <v>49</v>
      </c>
      <c r="AJ26" s="49" t="s">
        <v>41</v>
      </c>
      <c r="AK26" s="48" t="s">
        <v>41</v>
      </c>
      <c r="AL26" s="62" t="s">
        <v>276</v>
      </c>
      <c r="AM26" s="59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1"/>
    </row>
    <row r="27" spans="1:51" x14ac:dyDescent="0.2">
      <c r="A27" s="33">
        <f t="shared" si="1"/>
        <v>22</v>
      </c>
      <c r="B27" s="34" t="s">
        <v>221</v>
      </c>
      <c r="C27" s="35" t="s">
        <v>222</v>
      </c>
      <c r="D27" s="36" t="s">
        <v>223</v>
      </c>
      <c r="E27" s="36" t="s">
        <v>54</v>
      </c>
      <c r="F27" s="34" t="s">
        <v>224</v>
      </c>
      <c r="G27" s="37" t="s">
        <v>73</v>
      </c>
      <c r="H27" s="37" t="s">
        <v>73</v>
      </c>
      <c r="I27" s="34" t="s">
        <v>225</v>
      </c>
      <c r="J27" s="34" t="s">
        <v>226</v>
      </c>
      <c r="K27" s="39" t="s">
        <v>42</v>
      </c>
      <c r="L27" s="53">
        <v>35886</v>
      </c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42" t="s">
        <v>227</v>
      </c>
      <c r="Y27" s="85" t="s">
        <v>228</v>
      </c>
      <c r="Z27" s="44" t="s">
        <v>229</v>
      </c>
      <c r="AA27" s="45">
        <v>42325</v>
      </c>
      <c r="AB27" s="46" t="s">
        <v>30</v>
      </c>
      <c r="AC27" s="36" t="s">
        <v>26</v>
      </c>
      <c r="AD27" s="64" t="s">
        <v>120</v>
      </c>
      <c r="AE27" s="48" t="s">
        <v>120</v>
      </c>
      <c r="AF27" s="48" t="s">
        <v>120</v>
      </c>
      <c r="AG27" s="48" t="s">
        <v>120</v>
      </c>
      <c r="AH27" s="48" t="s">
        <v>120</v>
      </c>
      <c r="AI27" s="48" t="s">
        <v>120</v>
      </c>
      <c r="AJ27" s="49" t="s">
        <v>41</v>
      </c>
      <c r="AK27" s="48" t="s">
        <v>41</v>
      </c>
      <c r="AL27" s="62" t="s">
        <v>276</v>
      </c>
      <c r="AM27" s="59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1"/>
    </row>
    <row r="28" spans="1:51" x14ac:dyDescent="0.2">
      <c r="A28" s="33">
        <f t="shared" si="1"/>
        <v>23</v>
      </c>
      <c r="B28" s="34" t="s">
        <v>230</v>
      </c>
      <c r="C28" s="35" t="s">
        <v>231</v>
      </c>
      <c r="D28" s="36" t="s">
        <v>232</v>
      </c>
      <c r="E28" s="36" t="s">
        <v>54</v>
      </c>
      <c r="F28" s="34" t="s">
        <v>233</v>
      </c>
      <c r="G28" s="37" t="s">
        <v>73</v>
      </c>
      <c r="H28" s="37" t="s">
        <v>73</v>
      </c>
      <c r="I28" s="34" t="s">
        <v>234</v>
      </c>
      <c r="J28" s="34" t="s">
        <v>41</v>
      </c>
      <c r="K28" s="39" t="s">
        <v>42</v>
      </c>
      <c r="L28" s="40" t="s">
        <v>235</v>
      </c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2" t="s">
        <v>236</v>
      </c>
      <c r="Y28" s="52" t="s">
        <v>237</v>
      </c>
      <c r="Z28" s="44" t="s">
        <v>61</v>
      </c>
      <c r="AA28" s="86">
        <v>40815</v>
      </c>
      <c r="AB28" s="46" t="s">
        <v>30</v>
      </c>
      <c r="AC28" s="36" t="s">
        <v>26</v>
      </c>
      <c r="AD28" s="47" t="s">
        <v>49</v>
      </c>
      <c r="AE28" s="48" t="s">
        <v>49</v>
      </c>
      <c r="AF28" s="48" t="s">
        <v>49</v>
      </c>
      <c r="AG28" s="48" t="s">
        <v>49</v>
      </c>
      <c r="AH28" s="48" t="s">
        <v>49</v>
      </c>
      <c r="AI28" s="48" t="s">
        <v>49</v>
      </c>
      <c r="AJ28" s="49" t="s">
        <v>41</v>
      </c>
      <c r="AK28" s="48" t="s">
        <v>41</v>
      </c>
      <c r="AL28" s="62" t="s">
        <v>276</v>
      </c>
      <c r="AM28" s="59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1"/>
    </row>
    <row r="29" spans="1:51" x14ac:dyDescent="0.2">
      <c r="A29" s="33">
        <f t="shared" si="1"/>
        <v>24</v>
      </c>
      <c r="B29" s="87" t="s">
        <v>238</v>
      </c>
      <c r="C29" s="88" t="s">
        <v>239</v>
      </c>
      <c r="D29" s="89" t="s">
        <v>240</v>
      </c>
      <c r="E29" s="89" t="s">
        <v>241</v>
      </c>
      <c r="F29" s="87" t="s">
        <v>242</v>
      </c>
      <c r="G29" s="90" t="s">
        <v>243</v>
      </c>
      <c r="H29" s="90" t="s">
        <v>205</v>
      </c>
      <c r="I29" s="91" t="s">
        <v>244</v>
      </c>
      <c r="J29" s="91" t="s">
        <v>245</v>
      </c>
      <c r="K29" s="92" t="s">
        <v>42</v>
      </c>
      <c r="L29" s="93">
        <v>36413</v>
      </c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42" t="s">
        <v>246</v>
      </c>
      <c r="Y29" s="95" t="s">
        <v>247</v>
      </c>
      <c r="Z29" s="44" t="s">
        <v>61</v>
      </c>
      <c r="AA29" s="45">
        <v>39286</v>
      </c>
      <c r="AB29" s="96" t="s">
        <v>30</v>
      </c>
      <c r="AC29" s="36" t="s">
        <v>26</v>
      </c>
      <c r="AD29" s="97" t="s">
        <v>49</v>
      </c>
      <c r="AE29" s="48" t="s">
        <v>49</v>
      </c>
      <c r="AF29" s="48" t="s">
        <v>49</v>
      </c>
      <c r="AG29" s="48" t="s">
        <v>41</v>
      </c>
      <c r="AH29" s="48" t="s">
        <v>41</v>
      </c>
      <c r="AI29" s="48" t="s">
        <v>41</v>
      </c>
      <c r="AJ29" s="49" t="s">
        <v>41</v>
      </c>
      <c r="AK29" s="48" t="s">
        <v>41</v>
      </c>
      <c r="AL29" s="62">
        <v>5</v>
      </c>
      <c r="AM29" s="59" t="s">
        <v>192</v>
      </c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1"/>
    </row>
    <row r="30" spans="1:51" x14ac:dyDescent="0.2">
      <c r="A30" s="33">
        <f>+A29+1</f>
        <v>25</v>
      </c>
      <c r="B30" s="34" t="s">
        <v>248</v>
      </c>
      <c r="C30" s="35" t="s">
        <v>249</v>
      </c>
      <c r="D30" s="73" t="s">
        <v>250</v>
      </c>
      <c r="E30" s="36" t="s">
        <v>54</v>
      </c>
      <c r="F30" s="98" t="s">
        <v>251</v>
      </c>
      <c r="G30" s="37" t="s">
        <v>252</v>
      </c>
      <c r="H30" s="37" t="s">
        <v>57</v>
      </c>
      <c r="I30" s="34" t="s">
        <v>253</v>
      </c>
      <c r="J30" s="34" t="s">
        <v>254</v>
      </c>
      <c r="K30" s="39" t="s">
        <v>42</v>
      </c>
      <c r="L30" s="99" t="s">
        <v>255</v>
      </c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42" t="s">
        <v>256</v>
      </c>
      <c r="Y30" s="100" t="s">
        <v>257</v>
      </c>
      <c r="Z30" s="44" t="s">
        <v>258</v>
      </c>
      <c r="AA30" s="45">
        <v>42935</v>
      </c>
      <c r="AB30" s="101" t="s">
        <v>30</v>
      </c>
      <c r="AC30" s="73" t="s">
        <v>26</v>
      </c>
      <c r="AD30" s="47" t="s">
        <v>49</v>
      </c>
      <c r="AE30" s="48" t="s">
        <v>49</v>
      </c>
      <c r="AF30" s="48" t="s">
        <v>49</v>
      </c>
      <c r="AG30" s="48" t="s">
        <v>49</v>
      </c>
      <c r="AH30" s="48" t="s">
        <v>49</v>
      </c>
      <c r="AI30" s="48" t="s">
        <v>49</v>
      </c>
      <c r="AJ30" s="49" t="s">
        <v>49</v>
      </c>
      <c r="AK30" s="48" t="s">
        <v>49</v>
      </c>
      <c r="AL30" s="62" t="s">
        <v>32</v>
      </c>
      <c r="AM30" s="59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1"/>
    </row>
    <row r="31" spans="1:51" x14ac:dyDescent="0.2">
      <c r="A31" s="33">
        <f>+A30+1</f>
        <v>26</v>
      </c>
      <c r="B31" s="34" t="s">
        <v>4626</v>
      </c>
      <c r="C31" s="35" t="s">
        <v>4627</v>
      </c>
      <c r="D31" s="73" t="s">
        <v>4628</v>
      </c>
      <c r="E31" s="36" t="s">
        <v>54</v>
      </c>
      <c r="F31" s="98" t="s">
        <v>4629</v>
      </c>
      <c r="G31" s="37" t="s">
        <v>176</v>
      </c>
      <c r="H31" s="37" t="s">
        <v>39</v>
      </c>
      <c r="I31" s="38" t="s">
        <v>4630</v>
      </c>
      <c r="J31" s="34" t="s">
        <v>41</v>
      </c>
      <c r="K31" s="39" t="s">
        <v>42</v>
      </c>
      <c r="L31" s="53">
        <v>46083</v>
      </c>
      <c r="M31" s="56" t="s">
        <v>179</v>
      </c>
      <c r="N31" s="56"/>
      <c r="O31" s="56"/>
      <c r="P31" s="56"/>
      <c r="Q31" s="56" t="s">
        <v>179</v>
      </c>
      <c r="R31" s="56"/>
      <c r="S31" s="56"/>
      <c r="T31" s="56"/>
      <c r="U31" s="56"/>
      <c r="V31" s="56"/>
      <c r="W31" s="56" t="s">
        <v>44</v>
      </c>
      <c r="X31" s="42" t="s">
        <v>4631</v>
      </c>
      <c r="Y31" s="311" t="s">
        <v>4632</v>
      </c>
      <c r="Z31" s="44"/>
      <c r="AA31" s="45"/>
      <c r="AB31" s="46"/>
      <c r="AC31" s="73"/>
      <c r="AD31" s="47" t="s">
        <v>49</v>
      </c>
      <c r="AE31" s="48"/>
      <c r="AF31" s="48"/>
      <c r="AG31" s="48"/>
      <c r="AH31" s="48"/>
      <c r="AI31" s="48"/>
      <c r="AJ31" s="49"/>
      <c r="AK31" s="48" t="s">
        <v>49</v>
      </c>
      <c r="AL31" s="62" t="s">
        <v>32</v>
      </c>
      <c r="AM31" s="59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1"/>
    </row>
    <row r="32" spans="1:51" x14ac:dyDescent="0.2">
      <c r="A32" s="33">
        <f>+A31+1</f>
        <v>27</v>
      </c>
      <c r="B32" s="34" t="s">
        <v>259</v>
      </c>
      <c r="C32" s="35" t="s">
        <v>260</v>
      </c>
      <c r="D32" s="36" t="s">
        <v>261</v>
      </c>
      <c r="E32" s="36" t="s">
        <v>54</v>
      </c>
      <c r="F32" s="34" t="s">
        <v>262</v>
      </c>
      <c r="G32" s="37" t="s">
        <v>176</v>
      </c>
      <c r="H32" s="37" t="s">
        <v>39</v>
      </c>
      <c r="I32" s="34" t="s">
        <v>263</v>
      </c>
      <c r="J32" s="34" t="s">
        <v>264</v>
      </c>
      <c r="K32" s="39" t="s">
        <v>42</v>
      </c>
      <c r="L32" s="40" t="s">
        <v>265</v>
      </c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42" t="s">
        <v>266</v>
      </c>
      <c r="Y32" s="60" t="s">
        <v>267</v>
      </c>
      <c r="Z32" s="44" t="s">
        <v>61</v>
      </c>
      <c r="AA32" s="45">
        <v>40815</v>
      </c>
      <c r="AB32" s="46" t="s">
        <v>30</v>
      </c>
      <c r="AC32" s="36" t="s">
        <v>26</v>
      </c>
      <c r="AD32" s="47" t="s">
        <v>49</v>
      </c>
      <c r="AE32" s="48" t="s">
        <v>49</v>
      </c>
      <c r="AF32" s="48" t="s">
        <v>41</v>
      </c>
      <c r="AG32" s="48" t="s">
        <v>41</v>
      </c>
      <c r="AH32" s="48" t="s">
        <v>41</v>
      </c>
      <c r="AI32" s="48" t="s">
        <v>41</v>
      </c>
      <c r="AJ32" s="49" t="s">
        <v>41</v>
      </c>
      <c r="AK32" s="48" t="s">
        <v>41</v>
      </c>
      <c r="AL32" s="62" t="s">
        <v>4587</v>
      </c>
      <c r="AM32" s="59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1"/>
    </row>
    <row r="33" spans="1:51" x14ac:dyDescent="0.2">
      <c r="A33" s="33">
        <f t="shared" si="1"/>
        <v>28</v>
      </c>
      <c r="B33" s="34" t="s">
        <v>268</v>
      </c>
      <c r="C33" s="35" t="s">
        <v>269</v>
      </c>
      <c r="D33" s="36" t="s">
        <v>270</v>
      </c>
      <c r="E33" s="36" t="s">
        <v>54</v>
      </c>
      <c r="F33" s="34" t="s">
        <v>271</v>
      </c>
      <c r="G33" s="37" t="s">
        <v>56</v>
      </c>
      <c r="H33" s="37" t="s">
        <v>57</v>
      </c>
      <c r="I33" s="38" t="s">
        <v>272</v>
      </c>
      <c r="J33" s="34" t="s">
        <v>41</v>
      </c>
      <c r="K33" s="39" t="s">
        <v>42</v>
      </c>
      <c r="L33" s="40" t="s">
        <v>273</v>
      </c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2" t="s">
        <v>274</v>
      </c>
      <c r="Y33" s="52" t="s">
        <v>275</v>
      </c>
      <c r="Z33" s="44" t="s">
        <v>61</v>
      </c>
      <c r="AA33" s="45">
        <v>40280</v>
      </c>
      <c r="AB33" s="46" t="s">
        <v>30</v>
      </c>
      <c r="AC33" s="36" t="s">
        <v>26</v>
      </c>
      <c r="AD33" s="47" t="s">
        <v>49</v>
      </c>
      <c r="AE33" s="48" t="s">
        <v>49</v>
      </c>
      <c r="AF33" s="48" t="s">
        <v>49</v>
      </c>
      <c r="AG33" s="48" t="s">
        <v>49</v>
      </c>
      <c r="AH33" s="48" t="s">
        <v>49</v>
      </c>
      <c r="AI33" s="48" t="s">
        <v>41</v>
      </c>
      <c r="AJ33" s="49" t="s">
        <v>41</v>
      </c>
      <c r="AK33" s="48" t="s">
        <v>41</v>
      </c>
      <c r="AL33" s="62" t="s">
        <v>4589</v>
      </c>
      <c r="AM33" s="59"/>
      <c r="AN33" s="10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1"/>
    </row>
    <row r="34" spans="1:51" x14ac:dyDescent="0.2">
      <c r="A34" s="33">
        <f t="shared" si="1"/>
        <v>29</v>
      </c>
      <c r="B34" s="34" t="s">
        <v>277</v>
      </c>
      <c r="C34" s="35" t="s">
        <v>278</v>
      </c>
      <c r="D34" s="36" t="s">
        <v>279</v>
      </c>
      <c r="E34" s="36" t="s">
        <v>36</v>
      </c>
      <c r="F34" s="34" t="s">
        <v>280</v>
      </c>
      <c r="G34" s="37" t="s">
        <v>73</v>
      </c>
      <c r="H34" s="37" t="s">
        <v>73</v>
      </c>
      <c r="I34" s="38" t="s">
        <v>281</v>
      </c>
      <c r="J34" s="34" t="s">
        <v>41</v>
      </c>
      <c r="K34" s="39" t="s">
        <v>42</v>
      </c>
      <c r="L34" s="53" t="s">
        <v>282</v>
      </c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2" t="s">
        <v>283</v>
      </c>
      <c r="Y34" s="58" t="s">
        <v>284</v>
      </c>
      <c r="Z34" s="44" t="s">
        <v>285</v>
      </c>
      <c r="AA34" s="45">
        <v>41793</v>
      </c>
      <c r="AB34" s="46" t="s">
        <v>30</v>
      </c>
      <c r="AC34" s="36" t="s">
        <v>26</v>
      </c>
      <c r="AD34" s="47" t="s">
        <v>49</v>
      </c>
      <c r="AE34" s="48" t="s">
        <v>49</v>
      </c>
      <c r="AF34" s="48" t="s">
        <v>49</v>
      </c>
      <c r="AG34" s="48" t="s">
        <v>49</v>
      </c>
      <c r="AH34" s="48" t="s">
        <v>49</v>
      </c>
      <c r="AI34" s="48" t="s">
        <v>49</v>
      </c>
      <c r="AJ34" s="49" t="s">
        <v>49</v>
      </c>
      <c r="AK34" s="48" t="s">
        <v>49</v>
      </c>
      <c r="AL34" s="62" t="s">
        <v>32</v>
      </c>
      <c r="AM34" s="103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1"/>
    </row>
    <row r="35" spans="1:51" x14ac:dyDescent="0.2">
      <c r="A35" s="33">
        <f t="shared" si="1"/>
        <v>30</v>
      </c>
      <c r="B35" s="34" t="s">
        <v>286</v>
      </c>
      <c r="C35" s="35" t="s">
        <v>287</v>
      </c>
      <c r="D35" s="36" t="s">
        <v>288</v>
      </c>
      <c r="E35" s="36" t="s">
        <v>54</v>
      </c>
      <c r="F35" s="34" t="s">
        <v>289</v>
      </c>
      <c r="G35" s="37" t="s">
        <v>73</v>
      </c>
      <c r="H35" s="37" t="s">
        <v>73</v>
      </c>
      <c r="I35" s="38" t="s">
        <v>290</v>
      </c>
      <c r="J35" s="34" t="s">
        <v>41</v>
      </c>
      <c r="K35" s="39" t="s">
        <v>42</v>
      </c>
      <c r="L35" s="53">
        <v>40672</v>
      </c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2" t="s">
        <v>291</v>
      </c>
      <c r="Y35" s="69" t="s">
        <v>292</v>
      </c>
      <c r="Z35" s="44" t="s">
        <v>293</v>
      </c>
      <c r="AA35" s="45">
        <v>43200</v>
      </c>
      <c r="AB35" s="46" t="s">
        <v>30</v>
      </c>
      <c r="AC35" s="36" t="s">
        <v>26</v>
      </c>
      <c r="AD35" s="47" t="s">
        <v>49</v>
      </c>
      <c r="AE35" s="48" t="s">
        <v>49</v>
      </c>
      <c r="AF35" s="48" t="s">
        <v>49</v>
      </c>
      <c r="AG35" s="48" t="s">
        <v>49</v>
      </c>
      <c r="AH35" s="48" t="s">
        <v>41</v>
      </c>
      <c r="AI35" s="48" t="s">
        <v>41</v>
      </c>
      <c r="AJ35" s="49" t="s">
        <v>41</v>
      </c>
      <c r="AK35" s="48" t="s">
        <v>41</v>
      </c>
      <c r="AL35" s="62" t="s">
        <v>139</v>
      </c>
      <c r="AM35" s="59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1"/>
    </row>
    <row r="36" spans="1:51" x14ac:dyDescent="0.2">
      <c r="A36" s="33">
        <f t="shared" si="1"/>
        <v>31</v>
      </c>
      <c r="B36" s="34" t="s">
        <v>294</v>
      </c>
      <c r="C36" s="35" t="s">
        <v>295</v>
      </c>
      <c r="D36" s="36" t="s">
        <v>296</v>
      </c>
      <c r="E36" s="36" t="s">
        <v>54</v>
      </c>
      <c r="F36" s="34" t="s">
        <v>297</v>
      </c>
      <c r="G36" s="37" t="s">
        <v>252</v>
      </c>
      <c r="H36" s="37" t="s">
        <v>57</v>
      </c>
      <c r="I36" s="38" t="s">
        <v>298</v>
      </c>
      <c r="J36" s="34" t="s">
        <v>41</v>
      </c>
      <c r="K36" s="39" t="s">
        <v>42</v>
      </c>
      <c r="L36" s="53">
        <v>44845</v>
      </c>
      <c r="M36" s="41"/>
      <c r="N36" s="41"/>
      <c r="O36" s="41"/>
      <c r="P36" s="41"/>
      <c r="Q36" s="41"/>
      <c r="R36" s="41"/>
      <c r="S36" s="41" t="s">
        <v>44</v>
      </c>
      <c r="T36" s="41"/>
      <c r="U36" s="41"/>
      <c r="V36" s="41"/>
      <c r="W36" s="41"/>
      <c r="X36" s="42" t="s">
        <v>299</v>
      </c>
      <c r="Y36" s="58" t="s">
        <v>300</v>
      </c>
      <c r="Z36" s="44"/>
      <c r="AA36" s="45">
        <v>45642</v>
      </c>
      <c r="AB36" s="46"/>
      <c r="AC36" s="36"/>
      <c r="AD36" s="47" t="s">
        <v>49</v>
      </c>
      <c r="AE36" s="48" t="s">
        <v>41</v>
      </c>
      <c r="AF36" s="48" t="s">
        <v>41</v>
      </c>
      <c r="AG36" s="48" t="s">
        <v>49</v>
      </c>
      <c r="AH36" s="48" t="s">
        <v>49</v>
      </c>
      <c r="AI36" s="48" t="s">
        <v>49</v>
      </c>
      <c r="AJ36" s="49" t="s">
        <v>49</v>
      </c>
      <c r="AK36" s="48" t="s">
        <v>49</v>
      </c>
      <c r="AL36" s="62" t="s">
        <v>32</v>
      </c>
      <c r="AM36" s="59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1"/>
    </row>
    <row r="37" spans="1:51" x14ac:dyDescent="0.2">
      <c r="A37" s="33">
        <f t="shared" si="1"/>
        <v>32</v>
      </c>
      <c r="B37" s="34" t="s">
        <v>301</v>
      </c>
      <c r="C37" s="35" t="s">
        <v>302</v>
      </c>
      <c r="D37" s="36" t="s">
        <v>303</v>
      </c>
      <c r="E37" s="36" t="s">
        <v>54</v>
      </c>
      <c r="F37" s="34" t="s">
        <v>4619</v>
      </c>
      <c r="G37" s="37" t="s">
        <v>73</v>
      </c>
      <c r="H37" s="37" t="s">
        <v>73</v>
      </c>
      <c r="I37" s="38" t="s">
        <v>305</v>
      </c>
      <c r="J37" s="38" t="s">
        <v>306</v>
      </c>
      <c r="K37" s="39" t="s">
        <v>42</v>
      </c>
      <c r="L37" s="40" t="s">
        <v>307</v>
      </c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2" t="s">
        <v>308</v>
      </c>
      <c r="Y37" s="310" t="s">
        <v>4620</v>
      </c>
      <c r="Z37" s="44" t="s">
        <v>61</v>
      </c>
      <c r="AA37" s="45">
        <v>40280</v>
      </c>
      <c r="AB37" s="46" t="s">
        <v>30</v>
      </c>
      <c r="AC37" s="36" t="s">
        <v>26</v>
      </c>
      <c r="AD37" s="64" t="s">
        <v>120</v>
      </c>
      <c r="AE37" s="48" t="s">
        <v>120</v>
      </c>
      <c r="AF37" s="48" t="s">
        <v>120</v>
      </c>
      <c r="AG37" s="48" t="s">
        <v>120</v>
      </c>
      <c r="AH37" s="48" t="s">
        <v>120</v>
      </c>
      <c r="AI37" s="48" t="s">
        <v>120</v>
      </c>
      <c r="AJ37" s="49" t="s">
        <v>120</v>
      </c>
      <c r="AK37" s="48" t="s">
        <v>120</v>
      </c>
      <c r="AL37" s="62" t="s">
        <v>32</v>
      </c>
      <c r="AM37" s="59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1"/>
    </row>
    <row r="38" spans="1:51" x14ac:dyDescent="0.2">
      <c r="A38" s="33">
        <f t="shared" si="1"/>
        <v>33</v>
      </c>
      <c r="B38" s="34" t="s">
        <v>310</v>
      </c>
      <c r="C38" s="35" t="s">
        <v>311</v>
      </c>
      <c r="D38" s="104" t="s">
        <v>312</v>
      </c>
      <c r="E38" s="36" t="s">
        <v>54</v>
      </c>
      <c r="F38" s="34" t="s">
        <v>313</v>
      </c>
      <c r="G38" s="37" t="s">
        <v>214</v>
      </c>
      <c r="H38" s="37" t="s">
        <v>205</v>
      </c>
      <c r="I38" s="57" t="s">
        <v>314</v>
      </c>
      <c r="J38" s="34" t="s">
        <v>315</v>
      </c>
      <c r="K38" s="39" t="s">
        <v>42</v>
      </c>
      <c r="L38" s="40" t="s">
        <v>316</v>
      </c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2" t="s">
        <v>317</v>
      </c>
      <c r="Y38" s="58" t="s">
        <v>318</v>
      </c>
      <c r="Z38" s="44" t="s">
        <v>61</v>
      </c>
      <c r="AA38" s="45">
        <v>40815</v>
      </c>
      <c r="AB38" s="46" t="s">
        <v>30</v>
      </c>
      <c r="AC38" s="36" t="s">
        <v>26</v>
      </c>
      <c r="AD38" s="47" t="s">
        <v>49</v>
      </c>
      <c r="AE38" s="48" t="s">
        <v>49</v>
      </c>
      <c r="AF38" s="48" t="s">
        <v>49</v>
      </c>
      <c r="AG38" s="48" t="s">
        <v>49</v>
      </c>
      <c r="AH38" s="48" t="s">
        <v>49</v>
      </c>
      <c r="AI38" s="48" t="s">
        <v>49</v>
      </c>
      <c r="AJ38" s="49" t="s">
        <v>49</v>
      </c>
      <c r="AK38" s="48" t="s">
        <v>41</v>
      </c>
      <c r="AL38" s="62" t="s">
        <v>148</v>
      </c>
      <c r="AM38" s="59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1"/>
    </row>
    <row r="39" spans="1:51" x14ac:dyDescent="0.2">
      <c r="A39" s="33">
        <f t="shared" si="1"/>
        <v>34</v>
      </c>
      <c r="B39" s="34" t="s">
        <v>319</v>
      </c>
      <c r="C39" s="35" t="s">
        <v>320</v>
      </c>
      <c r="D39" s="36" t="s">
        <v>321</v>
      </c>
      <c r="E39" s="36" t="s">
        <v>54</v>
      </c>
      <c r="F39" s="34" t="s">
        <v>322</v>
      </c>
      <c r="G39" s="37" t="s">
        <v>323</v>
      </c>
      <c r="H39" s="37" t="s">
        <v>39</v>
      </c>
      <c r="I39" s="54" t="s">
        <v>324</v>
      </c>
      <c r="J39" s="34" t="s">
        <v>41</v>
      </c>
      <c r="K39" s="39" t="s">
        <v>42</v>
      </c>
      <c r="L39" s="53" t="s">
        <v>325</v>
      </c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42" t="s">
        <v>326</v>
      </c>
      <c r="Y39" s="58" t="s">
        <v>327</v>
      </c>
      <c r="Z39" s="44" t="s">
        <v>328</v>
      </c>
      <c r="AA39" s="45">
        <v>43200</v>
      </c>
      <c r="AB39" s="46" t="s">
        <v>30</v>
      </c>
      <c r="AC39" s="36" t="s">
        <v>26</v>
      </c>
      <c r="AD39" s="47" t="s">
        <v>49</v>
      </c>
      <c r="AE39" s="48" t="s">
        <v>49</v>
      </c>
      <c r="AF39" s="48" t="s">
        <v>49</v>
      </c>
      <c r="AG39" s="48" t="s">
        <v>49</v>
      </c>
      <c r="AH39" s="48" t="s">
        <v>49</v>
      </c>
      <c r="AI39" s="48" t="s">
        <v>49</v>
      </c>
      <c r="AJ39" s="49" t="s">
        <v>49</v>
      </c>
      <c r="AK39" s="48" t="s">
        <v>49</v>
      </c>
      <c r="AL39" s="65" t="s">
        <v>32</v>
      </c>
      <c r="AM39" s="59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1"/>
    </row>
    <row r="40" spans="1:51" x14ac:dyDescent="0.2">
      <c r="A40" s="33">
        <f t="shared" si="1"/>
        <v>35</v>
      </c>
      <c r="B40" s="34" t="s">
        <v>329</v>
      </c>
      <c r="C40" s="35" t="s">
        <v>330</v>
      </c>
      <c r="D40" s="105" t="s">
        <v>331</v>
      </c>
      <c r="E40" s="36" t="s">
        <v>54</v>
      </c>
      <c r="F40" s="34" t="s">
        <v>332</v>
      </c>
      <c r="G40" s="37" t="s">
        <v>38</v>
      </c>
      <c r="H40" s="37" t="s">
        <v>39</v>
      </c>
      <c r="I40" s="34" t="s">
        <v>333</v>
      </c>
      <c r="J40" s="34" t="s">
        <v>41</v>
      </c>
      <c r="K40" s="39" t="s">
        <v>42</v>
      </c>
      <c r="L40" s="53">
        <v>37202</v>
      </c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57" t="s">
        <v>334</v>
      </c>
      <c r="Y40" s="58" t="s">
        <v>335</v>
      </c>
      <c r="Z40" s="44"/>
      <c r="AA40" s="45"/>
      <c r="AB40" s="46"/>
      <c r="AC40" s="36" t="s">
        <v>26</v>
      </c>
      <c r="AD40" s="47" t="s">
        <v>49</v>
      </c>
      <c r="AE40" s="48" t="s">
        <v>49</v>
      </c>
      <c r="AF40" s="48" t="s">
        <v>49</v>
      </c>
      <c r="AG40" s="48" t="s">
        <v>49</v>
      </c>
      <c r="AH40" s="48" t="s">
        <v>49</v>
      </c>
      <c r="AI40" s="48" t="s">
        <v>49</v>
      </c>
      <c r="AJ40" s="49" t="s">
        <v>49</v>
      </c>
      <c r="AK40" s="48" t="s">
        <v>41</v>
      </c>
      <c r="AL40" s="62" t="s">
        <v>148</v>
      </c>
      <c r="AM40" s="59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1"/>
    </row>
    <row r="41" spans="1:51" x14ac:dyDescent="0.2">
      <c r="A41" s="33">
        <f t="shared" si="1"/>
        <v>36</v>
      </c>
      <c r="B41" s="34" t="s">
        <v>336</v>
      </c>
      <c r="C41" s="35" t="s">
        <v>337</v>
      </c>
      <c r="D41" s="36" t="s">
        <v>338</v>
      </c>
      <c r="E41" s="36" t="s">
        <v>54</v>
      </c>
      <c r="F41" s="34" t="s">
        <v>339</v>
      </c>
      <c r="G41" s="37" t="s">
        <v>73</v>
      </c>
      <c r="H41" s="37" t="s">
        <v>73</v>
      </c>
      <c r="I41" s="38" t="s">
        <v>340</v>
      </c>
      <c r="J41" s="34" t="s">
        <v>41</v>
      </c>
      <c r="K41" s="39" t="s">
        <v>42</v>
      </c>
      <c r="L41" s="53">
        <v>45237</v>
      </c>
      <c r="M41" s="41"/>
      <c r="N41" s="70"/>
      <c r="O41" s="70"/>
      <c r="P41" s="70"/>
      <c r="Q41" s="70"/>
      <c r="R41" s="70"/>
      <c r="S41" s="70"/>
      <c r="T41" s="70" t="s">
        <v>44</v>
      </c>
      <c r="U41" s="70"/>
      <c r="V41" s="70"/>
      <c r="W41" s="70"/>
      <c r="X41" s="54" t="s">
        <v>343</v>
      </c>
      <c r="Y41" s="58" t="s">
        <v>344</v>
      </c>
      <c r="Z41" s="58"/>
      <c r="AA41" s="45">
        <v>45642</v>
      </c>
      <c r="AB41" s="46"/>
      <c r="AC41" s="36"/>
      <c r="AD41" s="47" t="s">
        <v>49</v>
      </c>
      <c r="AE41" s="48" t="s">
        <v>41</v>
      </c>
      <c r="AF41" s="48" t="s">
        <v>41</v>
      </c>
      <c r="AG41" s="48" t="s">
        <v>41</v>
      </c>
      <c r="AH41" s="48" t="s">
        <v>49</v>
      </c>
      <c r="AI41" s="48" t="s">
        <v>49</v>
      </c>
      <c r="AJ41" s="49" t="s">
        <v>49</v>
      </c>
      <c r="AK41" s="48" t="s">
        <v>41</v>
      </c>
      <c r="AL41" s="62" t="s">
        <v>148</v>
      </c>
      <c r="AM41" s="59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1"/>
    </row>
    <row r="42" spans="1:51" x14ac:dyDescent="0.2">
      <c r="A42" s="33">
        <f t="shared" si="1"/>
        <v>37</v>
      </c>
      <c r="B42" s="34" t="s">
        <v>345</v>
      </c>
      <c r="C42" s="35" t="s">
        <v>346</v>
      </c>
      <c r="D42" s="36" t="s">
        <v>347</v>
      </c>
      <c r="E42" s="36" t="s">
        <v>54</v>
      </c>
      <c r="F42" s="106" t="s">
        <v>348</v>
      </c>
      <c r="G42" s="37" t="s">
        <v>349</v>
      </c>
      <c r="H42" s="37" t="s">
        <v>350</v>
      </c>
      <c r="I42" s="38" t="s">
        <v>351</v>
      </c>
      <c r="J42" s="34" t="s">
        <v>41</v>
      </c>
      <c r="K42" s="39" t="s">
        <v>42</v>
      </c>
      <c r="L42" s="53" t="s">
        <v>352</v>
      </c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42" t="s">
        <v>353</v>
      </c>
      <c r="Y42" s="85" t="s">
        <v>354</v>
      </c>
      <c r="Z42" s="44" t="s">
        <v>355</v>
      </c>
      <c r="AA42" s="45">
        <v>42935</v>
      </c>
      <c r="AB42" s="46" t="s">
        <v>129</v>
      </c>
      <c r="AC42" s="36" t="s">
        <v>26</v>
      </c>
      <c r="AD42" s="47" t="s">
        <v>49</v>
      </c>
      <c r="AE42" s="48" t="s">
        <v>49</v>
      </c>
      <c r="AF42" s="48" t="s">
        <v>49</v>
      </c>
      <c r="AG42" s="48" t="s">
        <v>49</v>
      </c>
      <c r="AH42" s="48" t="s">
        <v>49</v>
      </c>
      <c r="AI42" s="48" t="s">
        <v>49</v>
      </c>
      <c r="AJ42" s="49" t="s">
        <v>49</v>
      </c>
      <c r="AK42" s="48" t="s">
        <v>49</v>
      </c>
      <c r="AL42" s="62" t="s">
        <v>32</v>
      </c>
      <c r="AM42" s="59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1"/>
    </row>
    <row r="43" spans="1:51" x14ac:dyDescent="0.2">
      <c r="A43" s="33">
        <f t="shared" si="1"/>
        <v>38</v>
      </c>
      <c r="B43" s="34" t="s">
        <v>356</v>
      </c>
      <c r="C43" s="35" t="s">
        <v>357</v>
      </c>
      <c r="D43" s="36" t="s">
        <v>358</v>
      </c>
      <c r="E43" s="36" t="s">
        <v>54</v>
      </c>
      <c r="F43" s="87" t="s">
        <v>359</v>
      </c>
      <c r="G43" s="37" t="s">
        <v>360</v>
      </c>
      <c r="H43" s="37" t="s">
        <v>350</v>
      </c>
      <c r="I43" s="34" t="s">
        <v>361</v>
      </c>
      <c r="J43" s="34" t="s">
        <v>41</v>
      </c>
      <c r="K43" s="39" t="s">
        <v>42</v>
      </c>
      <c r="L43" s="53">
        <v>37718</v>
      </c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42" t="s">
        <v>362</v>
      </c>
      <c r="Y43" s="52" t="s">
        <v>363</v>
      </c>
      <c r="Z43" s="44" t="s">
        <v>61</v>
      </c>
      <c r="AA43" s="45">
        <v>37877</v>
      </c>
      <c r="AB43" s="46" t="s">
        <v>30</v>
      </c>
      <c r="AC43" s="36" t="s">
        <v>26</v>
      </c>
      <c r="AD43" s="47" t="s">
        <v>49</v>
      </c>
      <c r="AE43" s="48" t="s">
        <v>49</v>
      </c>
      <c r="AF43" s="48" t="s">
        <v>49</v>
      </c>
      <c r="AG43" s="48" t="s">
        <v>49</v>
      </c>
      <c r="AH43" s="48" t="s">
        <v>49</v>
      </c>
      <c r="AI43" s="48" t="s">
        <v>49</v>
      </c>
      <c r="AJ43" s="49" t="s">
        <v>49</v>
      </c>
      <c r="AK43" s="48" t="s">
        <v>41</v>
      </c>
      <c r="AL43" s="62" t="s">
        <v>148</v>
      </c>
      <c r="AM43" s="59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1"/>
    </row>
    <row r="44" spans="1:51" x14ac:dyDescent="0.2">
      <c r="A44" s="33">
        <f t="shared" si="1"/>
        <v>39</v>
      </c>
      <c r="B44" s="107" t="s">
        <v>364</v>
      </c>
      <c r="C44" s="35" t="s">
        <v>365</v>
      </c>
      <c r="D44" s="36" t="s">
        <v>366</v>
      </c>
      <c r="E44" s="36" t="s">
        <v>54</v>
      </c>
      <c r="F44" s="34" t="s">
        <v>367</v>
      </c>
      <c r="G44" s="37" t="s">
        <v>243</v>
      </c>
      <c r="H44" s="37" t="s">
        <v>205</v>
      </c>
      <c r="I44" s="34" t="s">
        <v>368</v>
      </c>
      <c r="J44" s="34" t="s">
        <v>41</v>
      </c>
      <c r="K44" s="39" t="s">
        <v>42</v>
      </c>
      <c r="L44" s="40" t="s">
        <v>369</v>
      </c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2" t="s">
        <v>370</v>
      </c>
      <c r="Y44" s="100" t="s">
        <v>371</v>
      </c>
      <c r="Z44" s="44" t="s">
        <v>372</v>
      </c>
      <c r="AA44" s="45">
        <v>42966</v>
      </c>
      <c r="AB44" s="46" t="s">
        <v>30</v>
      </c>
      <c r="AC44" s="36" t="s">
        <v>26</v>
      </c>
      <c r="AD44" s="47" t="s">
        <v>49</v>
      </c>
      <c r="AE44" s="48" t="s">
        <v>49</v>
      </c>
      <c r="AF44" s="48" t="s">
        <v>49</v>
      </c>
      <c r="AG44" s="48" t="s">
        <v>41</v>
      </c>
      <c r="AH44" s="48" t="s">
        <v>41</v>
      </c>
      <c r="AI44" s="48" t="s">
        <v>41</v>
      </c>
      <c r="AJ44" s="49" t="s">
        <v>41</v>
      </c>
      <c r="AK44" s="48" t="s">
        <v>41</v>
      </c>
      <c r="AL44" s="62" t="s">
        <v>110</v>
      </c>
      <c r="AM44" s="59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1"/>
    </row>
    <row r="45" spans="1:51" x14ac:dyDescent="0.2">
      <c r="A45" s="33">
        <f t="shared" si="1"/>
        <v>40</v>
      </c>
      <c r="B45" s="34" t="s">
        <v>373</v>
      </c>
      <c r="C45" s="35" t="s">
        <v>374</v>
      </c>
      <c r="D45" s="36" t="s">
        <v>375</v>
      </c>
      <c r="E45" s="36" t="s">
        <v>54</v>
      </c>
      <c r="F45" s="34" t="s">
        <v>376</v>
      </c>
      <c r="G45" s="37" t="s">
        <v>377</v>
      </c>
      <c r="H45" s="37" t="s">
        <v>378</v>
      </c>
      <c r="I45" s="38" t="s">
        <v>379</v>
      </c>
      <c r="J45" s="34" t="s">
        <v>380</v>
      </c>
      <c r="K45" s="39" t="s">
        <v>42</v>
      </c>
      <c r="L45" s="53" t="s">
        <v>381</v>
      </c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42" t="s">
        <v>382</v>
      </c>
      <c r="Y45" s="43" t="s">
        <v>383</v>
      </c>
      <c r="Z45" s="44" t="s">
        <v>384</v>
      </c>
      <c r="AA45" s="45">
        <v>42935</v>
      </c>
      <c r="AB45" s="46" t="s">
        <v>30</v>
      </c>
      <c r="AC45" s="36" t="s">
        <v>26</v>
      </c>
      <c r="AD45" s="47" t="s">
        <v>49</v>
      </c>
      <c r="AE45" s="48" t="s">
        <v>49</v>
      </c>
      <c r="AF45" s="48" t="s">
        <v>49</v>
      </c>
      <c r="AG45" s="48" t="s">
        <v>49</v>
      </c>
      <c r="AH45" s="48" t="s">
        <v>49</v>
      </c>
      <c r="AI45" s="48" t="s">
        <v>49</v>
      </c>
      <c r="AJ45" s="49" t="s">
        <v>49</v>
      </c>
      <c r="AK45" s="48" t="s">
        <v>41</v>
      </c>
      <c r="AL45" s="62" t="s">
        <v>148</v>
      </c>
      <c r="AM45" s="59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1"/>
    </row>
    <row r="46" spans="1:51" x14ac:dyDescent="0.2">
      <c r="A46" s="33">
        <f t="shared" si="1"/>
        <v>41</v>
      </c>
      <c r="B46" s="34" t="s">
        <v>385</v>
      </c>
      <c r="C46" s="35" t="s">
        <v>386</v>
      </c>
      <c r="D46" s="36" t="s">
        <v>387</v>
      </c>
      <c r="E46" s="36" t="s">
        <v>54</v>
      </c>
      <c r="F46" s="34" t="s">
        <v>388</v>
      </c>
      <c r="G46" s="37" t="s">
        <v>73</v>
      </c>
      <c r="H46" s="37" t="s">
        <v>73</v>
      </c>
      <c r="I46" s="34" t="s">
        <v>389</v>
      </c>
      <c r="J46" s="34" t="s">
        <v>380</v>
      </c>
      <c r="K46" s="39" t="s">
        <v>42</v>
      </c>
      <c r="L46" s="40" t="s">
        <v>390</v>
      </c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42" t="s">
        <v>391</v>
      </c>
      <c r="Y46" s="52" t="s">
        <v>392</v>
      </c>
      <c r="Z46" s="44" t="s">
        <v>393</v>
      </c>
      <c r="AA46" s="45">
        <v>43200</v>
      </c>
      <c r="AB46" s="46" t="s">
        <v>30</v>
      </c>
      <c r="AC46" s="36" t="s">
        <v>26</v>
      </c>
      <c r="AD46" s="47" t="s">
        <v>49</v>
      </c>
      <c r="AE46" s="48" t="s">
        <v>49</v>
      </c>
      <c r="AF46" s="48" t="s">
        <v>49</v>
      </c>
      <c r="AG46" s="48" t="s">
        <v>49</v>
      </c>
      <c r="AH46" s="48" t="s">
        <v>49</v>
      </c>
      <c r="AI46" s="48" t="s">
        <v>49</v>
      </c>
      <c r="AJ46" s="49" t="s">
        <v>49</v>
      </c>
      <c r="AK46" s="48" t="s">
        <v>49</v>
      </c>
      <c r="AL46" s="62" t="s">
        <v>32</v>
      </c>
      <c r="AM46" s="59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1"/>
    </row>
    <row r="47" spans="1:51" x14ac:dyDescent="0.2">
      <c r="A47" s="33">
        <f t="shared" si="1"/>
        <v>42</v>
      </c>
      <c r="B47" s="108" t="s">
        <v>394</v>
      </c>
      <c r="C47" s="35" t="s">
        <v>395</v>
      </c>
      <c r="D47" s="109" t="s">
        <v>396</v>
      </c>
      <c r="E47" s="36" t="s">
        <v>36</v>
      </c>
      <c r="F47" s="108" t="s">
        <v>397</v>
      </c>
      <c r="G47" s="37" t="s">
        <v>398</v>
      </c>
      <c r="H47" s="37" t="s">
        <v>205</v>
      </c>
      <c r="I47" s="108" t="s">
        <v>399</v>
      </c>
      <c r="J47" s="34" t="s">
        <v>41</v>
      </c>
      <c r="K47" s="39" t="s">
        <v>42</v>
      </c>
      <c r="L47" s="53">
        <v>40399</v>
      </c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2" t="s">
        <v>400</v>
      </c>
      <c r="Y47" s="69" t="s">
        <v>401</v>
      </c>
      <c r="Z47" s="44" t="s">
        <v>61</v>
      </c>
      <c r="AA47" s="45">
        <v>40815</v>
      </c>
      <c r="AB47" s="46" t="s">
        <v>30</v>
      </c>
      <c r="AC47" s="109" t="s">
        <v>26</v>
      </c>
      <c r="AD47" s="47" t="s">
        <v>49</v>
      </c>
      <c r="AE47" s="48" t="s">
        <v>49</v>
      </c>
      <c r="AF47" s="48" t="s">
        <v>49</v>
      </c>
      <c r="AG47" s="48" t="s">
        <v>49</v>
      </c>
      <c r="AH47" s="48" t="s">
        <v>49</v>
      </c>
      <c r="AI47" s="48" t="s">
        <v>49</v>
      </c>
      <c r="AJ47" s="49" t="s">
        <v>49</v>
      </c>
      <c r="AK47" s="48" t="s">
        <v>49</v>
      </c>
      <c r="AL47" s="62" t="s">
        <v>32</v>
      </c>
      <c r="AM47" s="59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1"/>
    </row>
    <row r="48" spans="1:51" x14ac:dyDescent="0.2">
      <c r="A48" s="33">
        <f t="shared" si="1"/>
        <v>43</v>
      </c>
      <c r="B48" s="107" t="s">
        <v>402</v>
      </c>
      <c r="C48" s="35" t="s">
        <v>403</v>
      </c>
      <c r="D48" s="36" t="s">
        <v>404</v>
      </c>
      <c r="E48" s="36" t="s">
        <v>54</v>
      </c>
      <c r="F48" s="87" t="s">
        <v>405</v>
      </c>
      <c r="G48" s="37" t="s">
        <v>73</v>
      </c>
      <c r="H48" s="37" t="s">
        <v>73</v>
      </c>
      <c r="I48" s="38" t="s">
        <v>406</v>
      </c>
      <c r="J48" s="34" t="s">
        <v>41</v>
      </c>
      <c r="K48" s="39" t="s">
        <v>42</v>
      </c>
      <c r="L48" s="53">
        <v>36895</v>
      </c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2" t="s">
        <v>407</v>
      </c>
      <c r="Y48" s="58" t="s">
        <v>408</v>
      </c>
      <c r="Z48" s="44" t="s">
        <v>61</v>
      </c>
      <c r="AA48" s="45">
        <v>40280</v>
      </c>
      <c r="AB48" s="46" t="s">
        <v>30</v>
      </c>
      <c r="AC48" s="36"/>
      <c r="AD48" s="47" t="s">
        <v>49</v>
      </c>
      <c r="AE48" s="48" t="s">
        <v>41</v>
      </c>
      <c r="AF48" s="48" t="s">
        <v>41</v>
      </c>
      <c r="AG48" s="48" t="s">
        <v>41</v>
      </c>
      <c r="AH48" s="48" t="s">
        <v>41</v>
      </c>
      <c r="AI48" s="48" t="s">
        <v>41</v>
      </c>
      <c r="AJ48" s="49" t="s">
        <v>41</v>
      </c>
      <c r="AK48" s="48" t="s">
        <v>41</v>
      </c>
      <c r="AL48" s="65" t="s">
        <v>4590</v>
      </c>
      <c r="AM48" s="59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1"/>
    </row>
    <row r="49" spans="1:51" x14ac:dyDescent="0.2">
      <c r="A49" s="33">
        <f t="shared" si="1"/>
        <v>44</v>
      </c>
      <c r="B49" s="108" t="s">
        <v>409</v>
      </c>
      <c r="C49" s="35" t="s">
        <v>410</v>
      </c>
      <c r="D49" s="36" t="s">
        <v>411</v>
      </c>
      <c r="E49" s="36" t="s">
        <v>36</v>
      </c>
      <c r="F49" s="34" t="s">
        <v>412</v>
      </c>
      <c r="G49" s="37" t="s">
        <v>413</v>
      </c>
      <c r="H49" s="37" t="s">
        <v>378</v>
      </c>
      <c r="I49" s="38" t="s">
        <v>414</v>
      </c>
      <c r="J49" s="38" t="s">
        <v>415</v>
      </c>
      <c r="K49" s="39" t="s">
        <v>42</v>
      </c>
      <c r="L49" s="53" t="s">
        <v>416</v>
      </c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42" t="s">
        <v>417</v>
      </c>
      <c r="Y49" s="58" t="s">
        <v>418</v>
      </c>
      <c r="Z49" s="44" t="s">
        <v>419</v>
      </c>
      <c r="AA49" s="45">
        <v>42935</v>
      </c>
      <c r="AB49" s="46" t="s">
        <v>129</v>
      </c>
      <c r="AC49" s="36">
        <v>1</v>
      </c>
      <c r="AD49" s="47" t="s">
        <v>49</v>
      </c>
      <c r="AE49" s="48" t="s">
        <v>41</v>
      </c>
      <c r="AF49" s="48" t="s">
        <v>41</v>
      </c>
      <c r="AG49" s="48" t="s">
        <v>41</v>
      </c>
      <c r="AH49" s="48" t="s">
        <v>41</v>
      </c>
      <c r="AI49" s="48" t="s">
        <v>41</v>
      </c>
      <c r="AJ49" s="49" t="s">
        <v>41</v>
      </c>
      <c r="AK49" s="48" t="s">
        <v>41</v>
      </c>
      <c r="AL49" s="110" t="s">
        <v>4591</v>
      </c>
      <c r="AM49" s="59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1"/>
    </row>
    <row r="50" spans="1:51" x14ac:dyDescent="0.2">
      <c r="A50" s="33">
        <f t="shared" si="1"/>
        <v>45</v>
      </c>
      <c r="B50" s="34" t="s">
        <v>420</v>
      </c>
      <c r="C50" s="35" t="s">
        <v>421</v>
      </c>
      <c r="D50" s="36" t="s">
        <v>422</v>
      </c>
      <c r="E50" s="36" t="s">
        <v>54</v>
      </c>
      <c r="F50" s="34" t="s">
        <v>423</v>
      </c>
      <c r="G50" s="37" t="s">
        <v>73</v>
      </c>
      <c r="H50" s="37" t="s">
        <v>73</v>
      </c>
      <c r="I50" s="107" t="s">
        <v>424</v>
      </c>
      <c r="J50" s="34" t="s">
        <v>425</v>
      </c>
      <c r="K50" s="39" t="s">
        <v>42</v>
      </c>
      <c r="L50" s="53">
        <v>40360</v>
      </c>
      <c r="M50" s="41"/>
      <c r="N50" s="111"/>
      <c r="O50" s="112"/>
      <c r="P50" s="111"/>
      <c r="Q50" s="112"/>
      <c r="R50" s="112"/>
      <c r="S50" s="112"/>
      <c r="T50" s="41"/>
      <c r="U50" s="41"/>
      <c r="V50" s="41"/>
      <c r="W50" s="41"/>
      <c r="X50" s="42" t="s">
        <v>426</v>
      </c>
      <c r="Y50" s="43" t="s">
        <v>427</v>
      </c>
      <c r="Z50" s="44" t="s">
        <v>61</v>
      </c>
      <c r="AA50" s="45">
        <v>40815</v>
      </c>
      <c r="AB50" s="46" t="s">
        <v>30</v>
      </c>
      <c r="AC50" s="36" t="s">
        <v>26</v>
      </c>
      <c r="AD50" s="64" t="s">
        <v>120</v>
      </c>
      <c r="AE50" s="48" t="s">
        <v>120</v>
      </c>
      <c r="AF50" s="48" t="s">
        <v>120</v>
      </c>
      <c r="AG50" s="48" t="s">
        <v>120</v>
      </c>
      <c r="AH50" s="48" t="s">
        <v>120</v>
      </c>
      <c r="AI50" s="48" t="s">
        <v>120</v>
      </c>
      <c r="AJ50" s="49" t="s">
        <v>120</v>
      </c>
      <c r="AK50" s="48" t="s">
        <v>120</v>
      </c>
      <c r="AL50" s="65" t="s">
        <v>32</v>
      </c>
      <c r="AM50" s="59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1"/>
    </row>
    <row r="51" spans="1:51" x14ac:dyDescent="0.2">
      <c r="A51" s="33">
        <f t="shared" si="1"/>
        <v>46</v>
      </c>
      <c r="B51" s="34" t="s">
        <v>428</v>
      </c>
      <c r="C51" s="35" t="s">
        <v>429</v>
      </c>
      <c r="D51" s="36" t="s">
        <v>430</v>
      </c>
      <c r="E51" s="36" t="s">
        <v>54</v>
      </c>
      <c r="F51" s="34" t="s">
        <v>431</v>
      </c>
      <c r="G51" s="37" t="s">
        <v>38</v>
      </c>
      <c r="H51" s="37" t="s">
        <v>39</v>
      </c>
      <c r="I51" s="113" t="s">
        <v>432</v>
      </c>
      <c r="J51" s="34" t="s">
        <v>41</v>
      </c>
      <c r="K51" s="39" t="s">
        <v>42</v>
      </c>
      <c r="L51" s="40" t="s">
        <v>433</v>
      </c>
      <c r="M51" s="56"/>
      <c r="N51" s="114"/>
      <c r="O51" s="115"/>
      <c r="P51" s="56"/>
      <c r="Q51" s="115"/>
      <c r="R51" s="115"/>
      <c r="S51" s="115"/>
      <c r="T51" s="56"/>
      <c r="U51" s="56"/>
      <c r="V51" s="56"/>
      <c r="W51" s="56"/>
      <c r="X51" s="42" t="s">
        <v>434</v>
      </c>
      <c r="Y51" s="69" t="s">
        <v>435</v>
      </c>
      <c r="Z51" s="44" t="s">
        <v>61</v>
      </c>
      <c r="AA51" s="45">
        <v>39286</v>
      </c>
      <c r="AB51" s="46" t="s">
        <v>30</v>
      </c>
      <c r="AC51" s="36" t="s">
        <v>26</v>
      </c>
      <c r="AD51" s="47" t="s">
        <v>49</v>
      </c>
      <c r="AE51" s="48" t="s">
        <v>49</v>
      </c>
      <c r="AF51" s="48" t="s">
        <v>49</v>
      </c>
      <c r="AG51" s="48" t="s">
        <v>49</v>
      </c>
      <c r="AH51" s="48" t="s">
        <v>49</v>
      </c>
      <c r="AI51" s="48" t="s">
        <v>49</v>
      </c>
      <c r="AJ51" s="49" t="s">
        <v>49</v>
      </c>
      <c r="AK51" s="48" t="s">
        <v>49</v>
      </c>
      <c r="AL51" s="62" t="s">
        <v>32</v>
      </c>
      <c r="AM51" s="59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1"/>
    </row>
    <row r="52" spans="1:51" x14ac:dyDescent="0.2">
      <c r="A52" s="33">
        <f t="shared" si="1"/>
        <v>47</v>
      </c>
      <c r="B52" s="34" t="s">
        <v>436</v>
      </c>
      <c r="C52" s="35" t="s">
        <v>437</v>
      </c>
      <c r="D52" s="36" t="s">
        <v>438</v>
      </c>
      <c r="E52" s="36" t="s">
        <v>54</v>
      </c>
      <c r="F52" s="34" t="s">
        <v>439</v>
      </c>
      <c r="G52" s="37" t="s">
        <v>377</v>
      </c>
      <c r="H52" s="37" t="s">
        <v>378</v>
      </c>
      <c r="I52" s="113" t="s">
        <v>440</v>
      </c>
      <c r="J52" s="34" t="s">
        <v>41</v>
      </c>
      <c r="K52" s="39" t="s">
        <v>42</v>
      </c>
      <c r="L52" s="53">
        <v>45244</v>
      </c>
      <c r="M52" s="56"/>
      <c r="N52" s="114"/>
      <c r="O52" s="115"/>
      <c r="P52" s="114"/>
      <c r="Q52" s="115"/>
      <c r="R52" s="115"/>
      <c r="S52" s="115"/>
      <c r="T52" s="56" t="s">
        <v>44</v>
      </c>
      <c r="U52" s="56"/>
      <c r="V52" s="56"/>
      <c r="W52" s="56"/>
      <c r="X52" s="42" t="s">
        <v>441</v>
      </c>
      <c r="Y52" s="83" t="s">
        <v>442</v>
      </c>
      <c r="Z52" s="44"/>
      <c r="AA52" s="45">
        <v>45642</v>
      </c>
      <c r="AB52" s="46"/>
      <c r="AC52" s="36"/>
      <c r="AD52" s="47" t="s">
        <v>49</v>
      </c>
      <c r="AE52" s="48" t="s">
        <v>41</v>
      </c>
      <c r="AF52" s="48" t="s">
        <v>41</v>
      </c>
      <c r="AG52" s="48" t="s">
        <v>41</v>
      </c>
      <c r="AH52" s="48" t="s">
        <v>49</v>
      </c>
      <c r="AI52" s="48" t="s">
        <v>49</v>
      </c>
      <c r="AJ52" s="49" t="s">
        <v>41</v>
      </c>
      <c r="AK52" s="48" t="s">
        <v>41</v>
      </c>
      <c r="AL52" s="62">
        <v>1</v>
      </c>
      <c r="AM52" s="59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1"/>
    </row>
    <row r="53" spans="1:51" x14ac:dyDescent="0.2">
      <c r="A53" s="33">
        <f t="shared" si="1"/>
        <v>48</v>
      </c>
      <c r="B53" s="34" t="s">
        <v>443</v>
      </c>
      <c r="C53" s="35" t="s">
        <v>444</v>
      </c>
      <c r="D53" s="36" t="s">
        <v>445</v>
      </c>
      <c r="E53" s="36" t="s">
        <v>36</v>
      </c>
      <c r="F53" s="34" t="s">
        <v>446</v>
      </c>
      <c r="G53" s="37" t="s">
        <v>360</v>
      </c>
      <c r="H53" s="37" t="s">
        <v>350</v>
      </c>
      <c r="I53" s="38" t="s">
        <v>447</v>
      </c>
      <c r="J53" s="34" t="s">
        <v>41</v>
      </c>
      <c r="K53" s="39" t="s">
        <v>42</v>
      </c>
      <c r="L53" s="53">
        <v>40670</v>
      </c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42" t="s">
        <v>448</v>
      </c>
      <c r="Y53" s="58" t="s">
        <v>449</v>
      </c>
      <c r="Z53" s="44" t="s">
        <v>450</v>
      </c>
      <c r="AA53" s="45">
        <v>42325</v>
      </c>
      <c r="AB53" s="46" t="s">
        <v>30</v>
      </c>
      <c r="AC53" s="36">
        <v>1</v>
      </c>
      <c r="AD53" s="47" t="s">
        <v>49</v>
      </c>
      <c r="AE53" s="48" t="s">
        <v>41</v>
      </c>
      <c r="AF53" s="48" t="s">
        <v>41</v>
      </c>
      <c r="AG53" s="48" t="s">
        <v>41</v>
      </c>
      <c r="AH53" s="48" t="s">
        <v>41</v>
      </c>
      <c r="AI53" s="48" t="s">
        <v>41</v>
      </c>
      <c r="AJ53" s="49" t="s">
        <v>41</v>
      </c>
      <c r="AK53" s="48" t="s">
        <v>41</v>
      </c>
      <c r="AL53" s="65">
        <v>9</v>
      </c>
      <c r="AM53" s="59" t="s">
        <v>451</v>
      </c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1"/>
    </row>
    <row r="54" spans="1:51" x14ac:dyDescent="0.2">
      <c r="A54" s="33">
        <f t="shared" si="1"/>
        <v>49</v>
      </c>
      <c r="B54" s="34" t="s">
        <v>452</v>
      </c>
      <c r="C54" s="35" t="s">
        <v>453</v>
      </c>
      <c r="D54" s="36" t="s">
        <v>454</v>
      </c>
      <c r="E54" s="36" t="s">
        <v>54</v>
      </c>
      <c r="F54" s="34" t="s">
        <v>455</v>
      </c>
      <c r="G54" s="37" t="s">
        <v>456</v>
      </c>
      <c r="H54" s="37" t="s">
        <v>187</v>
      </c>
      <c r="I54" s="34"/>
      <c r="J54" s="34" t="s">
        <v>41</v>
      </c>
      <c r="K54" s="39" t="s">
        <v>42</v>
      </c>
      <c r="L54" s="53">
        <v>36745</v>
      </c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42" t="s">
        <v>457</v>
      </c>
      <c r="Y54" s="69" t="s">
        <v>458</v>
      </c>
      <c r="Z54" s="44" t="s">
        <v>459</v>
      </c>
      <c r="AA54" s="45">
        <v>42325</v>
      </c>
      <c r="AB54" s="46" t="s">
        <v>30</v>
      </c>
      <c r="AC54" s="36">
        <v>1</v>
      </c>
      <c r="AD54" s="47" t="s">
        <v>49</v>
      </c>
      <c r="AE54" s="48" t="s">
        <v>41</v>
      </c>
      <c r="AF54" s="48" t="s">
        <v>41</v>
      </c>
      <c r="AG54" s="48" t="s">
        <v>41</v>
      </c>
      <c r="AH54" s="48" t="s">
        <v>41</v>
      </c>
      <c r="AI54" s="48" t="s">
        <v>41</v>
      </c>
      <c r="AJ54" s="49" t="s">
        <v>41</v>
      </c>
      <c r="AK54" s="48" t="s">
        <v>41</v>
      </c>
      <c r="AL54" s="65">
        <v>6</v>
      </c>
      <c r="AM54" s="59" t="s">
        <v>460</v>
      </c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1"/>
    </row>
    <row r="55" spans="1:51" x14ac:dyDescent="0.2">
      <c r="A55" s="33">
        <f t="shared" si="1"/>
        <v>50</v>
      </c>
      <c r="B55" s="34" t="s">
        <v>461</v>
      </c>
      <c r="C55" s="35" t="s">
        <v>462</v>
      </c>
      <c r="D55" s="36" t="s">
        <v>463</v>
      </c>
      <c r="E55" s="36" t="s">
        <v>36</v>
      </c>
      <c r="F55" s="34" t="s">
        <v>464</v>
      </c>
      <c r="G55" s="37" t="s">
        <v>73</v>
      </c>
      <c r="H55" s="37" t="s">
        <v>73</v>
      </c>
      <c r="I55" s="34" t="s">
        <v>465</v>
      </c>
      <c r="J55" s="34" t="s">
        <v>466</v>
      </c>
      <c r="K55" s="39" t="s">
        <v>42</v>
      </c>
      <c r="L55" s="40" t="s">
        <v>467</v>
      </c>
      <c r="M55" s="41"/>
      <c r="N55" s="41"/>
      <c r="O55" s="41"/>
      <c r="P55" s="41"/>
      <c r="Q55" s="41"/>
      <c r="R55" s="41"/>
      <c r="S55" s="41"/>
      <c r="T55" s="41" t="s">
        <v>468</v>
      </c>
      <c r="U55" s="41"/>
      <c r="V55" s="41"/>
      <c r="W55" s="41"/>
      <c r="X55" s="42" t="s">
        <v>469</v>
      </c>
      <c r="Y55" s="52" t="s">
        <v>470</v>
      </c>
      <c r="Z55" s="52"/>
      <c r="AA55" s="45">
        <v>45642</v>
      </c>
      <c r="AB55" s="46"/>
      <c r="AC55" s="36" t="s">
        <v>26</v>
      </c>
      <c r="AD55" s="47" t="s">
        <v>49</v>
      </c>
      <c r="AE55" s="48" t="s">
        <v>49</v>
      </c>
      <c r="AF55" s="48" t="s">
        <v>49</v>
      </c>
      <c r="AG55" s="48" t="s">
        <v>49</v>
      </c>
      <c r="AH55" s="48" t="s">
        <v>49</v>
      </c>
      <c r="AI55" s="48" t="s">
        <v>49</v>
      </c>
      <c r="AJ55" s="49" t="s">
        <v>49</v>
      </c>
      <c r="AK55" s="48" t="s">
        <v>49</v>
      </c>
      <c r="AL55" s="62" t="s">
        <v>32</v>
      </c>
      <c r="AM55" s="59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1"/>
    </row>
    <row r="56" spans="1:51" x14ac:dyDescent="0.2">
      <c r="A56" s="33">
        <f t="shared" si="1"/>
        <v>51</v>
      </c>
      <c r="B56" s="34" t="s">
        <v>471</v>
      </c>
      <c r="C56" s="35" t="s">
        <v>472</v>
      </c>
      <c r="D56" s="36" t="s">
        <v>473</v>
      </c>
      <c r="E56" s="36" t="s">
        <v>54</v>
      </c>
      <c r="F56" s="34" t="s">
        <v>4593</v>
      </c>
      <c r="G56" s="37" t="s">
        <v>73</v>
      </c>
      <c r="H56" s="37" t="s">
        <v>73</v>
      </c>
      <c r="I56" s="34" t="s">
        <v>474</v>
      </c>
      <c r="J56" s="34" t="s">
        <v>475</v>
      </c>
      <c r="K56" s="39" t="s">
        <v>42</v>
      </c>
      <c r="L56" s="53">
        <v>31057</v>
      </c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7" t="s">
        <v>476</v>
      </c>
      <c r="Y56" s="52" t="s">
        <v>477</v>
      </c>
      <c r="Z56" s="44" t="s">
        <v>478</v>
      </c>
      <c r="AA56" s="45">
        <v>44041</v>
      </c>
      <c r="AB56" s="46" t="s">
        <v>30</v>
      </c>
      <c r="AC56" s="36" t="s">
        <v>26</v>
      </c>
      <c r="AD56" s="61" t="s">
        <v>49</v>
      </c>
      <c r="AE56" s="48" t="s">
        <v>49</v>
      </c>
      <c r="AF56" s="48" t="s">
        <v>49</v>
      </c>
      <c r="AG56" s="48" t="s">
        <v>49</v>
      </c>
      <c r="AH56" s="48" t="s">
        <v>49</v>
      </c>
      <c r="AI56" s="48" t="s">
        <v>49</v>
      </c>
      <c r="AJ56" s="49" t="s">
        <v>49</v>
      </c>
      <c r="AK56" s="48" t="s">
        <v>41</v>
      </c>
      <c r="AL56" s="65" t="s">
        <v>148</v>
      </c>
      <c r="AM56" s="59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1"/>
    </row>
    <row r="57" spans="1:51" x14ac:dyDescent="0.2">
      <c r="A57" s="33">
        <f t="shared" si="1"/>
        <v>52</v>
      </c>
      <c r="B57" s="34" t="s">
        <v>479</v>
      </c>
      <c r="C57" s="35" t="s">
        <v>480</v>
      </c>
      <c r="D57" s="36" t="s">
        <v>481</v>
      </c>
      <c r="E57" s="36" t="s">
        <v>54</v>
      </c>
      <c r="F57" s="34" t="s">
        <v>482</v>
      </c>
      <c r="G57" s="37" t="s">
        <v>73</v>
      </c>
      <c r="H57" s="37" t="s">
        <v>73</v>
      </c>
      <c r="I57" s="34" t="s">
        <v>483</v>
      </c>
      <c r="J57" s="34" t="s">
        <v>41</v>
      </c>
      <c r="K57" s="39" t="s">
        <v>42</v>
      </c>
      <c r="L57" s="53">
        <v>34345</v>
      </c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42" t="s">
        <v>484</v>
      </c>
      <c r="Y57" s="52" t="s">
        <v>485</v>
      </c>
      <c r="Z57" s="44" t="s">
        <v>486</v>
      </c>
      <c r="AA57" s="45">
        <v>43200</v>
      </c>
      <c r="AB57" s="46" t="s">
        <v>30</v>
      </c>
      <c r="AC57" s="36" t="s">
        <v>26</v>
      </c>
      <c r="AD57" s="61" t="s">
        <v>49</v>
      </c>
      <c r="AE57" s="48" t="s">
        <v>49</v>
      </c>
      <c r="AF57" s="48" t="s">
        <v>49</v>
      </c>
      <c r="AG57" s="48" t="s">
        <v>49</v>
      </c>
      <c r="AH57" s="48" t="s">
        <v>49</v>
      </c>
      <c r="AI57" s="48" t="s">
        <v>49</v>
      </c>
      <c r="AJ57" s="49" t="s">
        <v>49</v>
      </c>
      <c r="AK57" s="48" t="s">
        <v>41</v>
      </c>
      <c r="AL57" s="62" t="s">
        <v>148</v>
      </c>
      <c r="AM57" s="59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1"/>
    </row>
    <row r="58" spans="1:51" x14ac:dyDescent="0.2">
      <c r="A58" s="33">
        <f t="shared" si="1"/>
        <v>53</v>
      </c>
      <c r="B58" s="34" t="s">
        <v>487</v>
      </c>
      <c r="C58" s="35" t="s">
        <v>488</v>
      </c>
      <c r="D58" s="36" t="s">
        <v>489</v>
      </c>
      <c r="E58" s="36" t="s">
        <v>54</v>
      </c>
      <c r="F58" s="34" t="s">
        <v>490</v>
      </c>
      <c r="G58" s="37" t="s">
        <v>73</v>
      </c>
      <c r="H58" s="37" t="s">
        <v>73</v>
      </c>
      <c r="I58" s="38" t="s">
        <v>491</v>
      </c>
      <c r="J58" s="34" t="s">
        <v>41</v>
      </c>
      <c r="K58" s="39" t="s">
        <v>42</v>
      </c>
      <c r="L58" s="53">
        <v>45310</v>
      </c>
      <c r="M58" s="56"/>
      <c r="N58" s="56"/>
      <c r="O58" s="56"/>
      <c r="P58" s="56"/>
      <c r="Q58" s="56"/>
      <c r="R58" s="56"/>
      <c r="S58" s="56"/>
      <c r="T58" s="56"/>
      <c r="U58" s="56" t="s">
        <v>44</v>
      </c>
      <c r="V58" s="56"/>
      <c r="W58" s="56"/>
      <c r="X58" s="42" t="s">
        <v>492</v>
      </c>
      <c r="Y58" s="43" t="s">
        <v>493</v>
      </c>
      <c r="Z58" s="44"/>
      <c r="AA58" s="45"/>
      <c r="AB58" s="46"/>
      <c r="AC58" s="36"/>
      <c r="AD58" s="61" t="s">
        <v>49</v>
      </c>
      <c r="AE58" s="48" t="s">
        <v>41</v>
      </c>
      <c r="AF58" s="48" t="s">
        <v>41</v>
      </c>
      <c r="AG58" s="48" t="s">
        <v>41</v>
      </c>
      <c r="AH58" s="48" t="s">
        <v>41</v>
      </c>
      <c r="AI58" s="48" t="s">
        <v>49</v>
      </c>
      <c r="AJ58" s="49" t="s">
        <v>41</v>
      </c>
      <c r="AK58" s="48" t="s">
        <v>41</v>
      </c>
      <c r="AL58" s="62" t="s">
        <v>276</v>
      </c>
      <c r="AM58" s="59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1"/>
    </row>
    <row r="59" spans="1:51" x14ac:dyDescent="0.2">
      <c r="A59" s="33">
        <f t="shared" si="1"/>
        <v>54</v>
      </c>
      <c r="B59" s="34" t="s">
        <v>494</v>
      </c>
      <c r="C59" s="35" t="s">
        <v>495</v>
      </c>
      <c r="D59" s="36" t="s">
        <v>496</v>
      </c>
      <c r="E59" s="36" t="s">
        <v>54</v>
      </c>
      <c r="F59" s="34" t="s">
        <v>497</v>
      </c>
      <c r="G59" s="37" t="s">
        <v>398</v>
      </c>
      <c r="H59" s="37" t="s">
        <v>205</v>
      </c>
      <c r="I59" s="34" t="s">
        <v>498</v>
      </c>
      <c r="J59" s="34" t="s">
        <v>41</v>
      </c>
      <c r="K59" s="39" t="s">
        <v>42</v>
      </c>
      <c r="L59" s="53">
        <v>36745</v>
      </c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2" t="s">
        <v>499</v>
      </c>
      <c r="Y59" s="116" t="s">
        <v>500</v>
      </c>
      <c r="Z59" s="44" t="s">
        <v>61</v>
      </c>
      <c r="AA59" s="45">
        <v>36803</v>
      </c>
      <c r="AB59" s="46" t="s">
        <v>129</v>
      </c>
      <c r="AC59" s="36" t="s">
        <v>26</v>
      </c>
      <c r="AD59" s="47" t="s">
        <v>49</v>
      </c>
      <c r="AE59" s="48" t="s">
        <v>49</v>
      </c>
      <c r="AF59" s="48" t="s">
        <v>49</v>
      </c>
      <c r="AG59" s="48" t="s">
        <v>49</v>
      </c>
      <c r="AH59" s="48" t="s">
        <v>49</v>
      </c>
      <c r="AI59" s="48" t="s">
        <v>41</v>
      </c>
      <c r="AJ59" s="49" t="s">
        <v>41</v>
      </c>
      <c r="AK59" s="48" t="s">
        <v>41</v>
      </c>
      <c r="AL59" s="62" t="s">
        <v>4589</v>
      </c>
      <c r="AM59" s="59"/>
      <c r="AN59" s="10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1"/>
    </row>
    <row r="60" spans="1:51" x14ac:dyDescent="0.2">
      <c r="A60" s="33">
        <f t="shared" si="1"/>
        <v>55</v>
      </c>
      <c r="B60" s="34" t="s">
        <v>501</v>
      </c>
      <c r="C60" s="35" t="s">
        <v>502</v>
      </c>
      <c r="D60" s="36" t="s">
        <v>503</v>
      </c>
      <c r="E60" s="36" t="s">
        <v>54</v>
      </c>
      <c r="F60" s="34" t="s">
        <v>504</v>
      </c>
      <c r="G60" s="37" t="s">
        <v>73</v>
      </c>
      <c r="H60" s="37" t="s">
        <v>73</v>
      </c>
      <c r="I60" s="38" t="s">
        <v>505</v>
      </c>
      <c r="J60" s="34" t="s">
        <v>41</v>
      </c>
      <c r="K60" s="39" t="s">
        <v>42</v>
      </c>
      <c r="L60" s="53">
        <v>45299</v>
      </c>
      <c r="M60" s="41"/>
      <c r="N60" s="41"/>
      <c r="O60" s="41"/>
      <c r="P60" s="41"/>
      <c r="Q60" s="41"/>
      <c r="R60" s="41"/>
      <c r="S60" s="41"/>
      <c r="T60" s="41"/>
      <c r="U60" s="41" t="s">
        <v>44</v>
      </c>
      <c r="V60" s="41"/>
      <c r="W60" s="41"/>
      <c r="X60" s="54" t="s">
        <v>506</v>
      </c>
      <c r="Y60" s="43" t="s">
        <v>507</v>
      </c>
      <c r="Z60" s="52"/>
      <c r="AA60" s="52"/>
      <c r="AB60" s="46"/>
      <c r="AC60" s="36"/>
      <c r="AD60" s="47" t="s">
        <v>49</v>
      </c>
      <c r="AE60" s="48" t="s">
        <v>41</v>
      </c>
      <c r="AF60" s="48" t="s">
        <v>41</v>
      </c>
      <c r="AG60" s="48" t="s">
        <v>41</v>
      </c>
      <c r="AH60" s="48" t="s">
        <v>41</v>
      </c>
      <c r="AI60" s="48" t="s">
        <v>49</v>
      </c>
      <c r="AJ60" s="49" t="s">
        <v>49</v>
      </c>
      <c r="AK60" s="48" t="s">
        <v>41</v>
      </c>
      <c r="AL60" s="65" t="s">
        <v>148</v>
      </c>
      <c r="AM60" s="59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1"/>
    </row>
    <row r="61" spans="1:51" x14ac:dyDescent="0.2">
      <c r="A61" s="33">
        <f t="shared" si="1"/>
        <v>56</v>
      </c>
      <c r="B61" s="34" t="s">
        <v>508</v>
      </c>
      <c r="C61" s="35" t="s">
        <v>509</v>
      </c>
      <c r="D61" s="36" t="s">
        <v>510</v>
      </c>
      <c r="E61" s="36" t="s">
        <v>54</v>
      </c>
      <c r="F61" s="34" t="s">
        <v>511</v>
      </c>
      <c r="G61" s="37" t="s">
        <v>176</v>
      </c>
      <c r="H61" s="37" t="s">
        <v>39</v>
      </c>
      <c r="I61" s="38" t="s">
        <v>512</v>
      </c>
      <c r="J61" s="34"/>
      <c r="K61" s="39" t="s">
        <v>42</v>
      </c>
      <c r="L61" s="40" t="s">
        <v>513</v>
      </c>
      <c r="M61" s="41" t="s">
        <v>179</v>
      </c>
      <c r="N61" s="41" t="s">
        <v>341</v>
      </c>
      <c r="O61" s="41" t="s">
        <v>514</v>
      </c>
      <c r="P61" s="41">
        <v>3</v>
      </c>
      <c r="Q61" s="41"/>
      <c r="R61" s="41" t="s">
        <v>44</v>
      </c>
      <c r="S61" s="41"/>
      <c r="T61" s="41"/>
      <c r="U61" s="41"/>
      <c r="V61" s="41"/>
      <c r="W61" s="41"/>
      <c r="X61" s="42" t="s">
        <v>515</v>
      </c>
      <c r="Y61" s="43" t="s">
        <v>516</v>
      </c>
      <c r="Z61" s="43"/>
      <c r="AA61" s="45">
        <v>45642</v>
      </c>
      <c r="AB61" s="46"/>
      <c r="AC61" s="36"/>
      <c r="AD61" s="47" t="s">
        <v>49</v>
      </c>
      <c r="AE61" s="48" t="s">
        <v>41</v>
      </c>
      <c r="AF61" s="48" t="s">
        <v>49</v>
      </c>
      <c r="AG61" s="48" t="s">
        <v>49</v>
      </c>
      <c r="AH61" s="48" t="s">
        <v>49</v>
      </c>
      <c r="AI61" s="48" t="s">
        <v>49</v>
      </c>
      <c r="AJ61" s="49" t="s">
        <v>49</v>
      </c>
      <c r="AK61" s="48" t="s">
        <v>49</v>
      </c>
      <c r="AL61" s="65" t="s">
        <v>32</v>
      </c>
      <c r="AM61" s="59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1"/>
    </row>
    <row r="62" spans="1:51" x14ac:dyDescent="0.2">
      <c r="A62" s="33">
        <f t="shared" si="1"/>
        <v>57</v>
      </c>
      <c r="B62" s="34" t="s">
        <v>517</v>
      </c>
      <c r="C62" s="35" t="s">
        <v>518</v>
      </c>
      <c r="D62" s="36" t="s">
        <v>519</v>
      </c>
      <c r="E62" s="36" t="s">
        <v>54</v>
      </c>
      <c r="F62" s="34" t="s">
        <v>520</v>
      </c>
      <c r="G62" s="37" t="s">
        <v>73</v>
      </c>
      <c r="H62" s="37" t="s">
        <v>73</v>
      </c>
      <c r="I62" s="34" t="s">
        <v>521</v>
      </c>
      <c r="J62" s="34"/>
      <c r="K62" s="39" t="s">
        <v>42</v>
      </c>
      <c r="L62" s="53">
        <v>37176</v>
      </c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2" t="s">
        <v>522</v>
      </c>
      <c r="Y62" s="55" t="s">
        <v>523</v>
      </c>
      <c r="Z62" s="44" t="s">
        <v>61</v>
      </c>
      <c r="AA62" s="45">
        <v>40280</v>
      </c>
      <c r="AB62" s="46" t="s">
        <v>30</v>
      </c>
      <c r="AC62" s="36" t="s">
        <v>26</v>
      </c>
      <c r="AD62" s="47" t="s">
        <v>49</v>
      </c>
      <c r="AE62" s="48" t="s">
        <v>49</v>
      </c>
      <c r="AF62" s="48" t="s">
        <v>49</v>
      </c>
      <c r="AG62" s="48" t="s">
        <v>49</v>
      </c>
      <c r="AH62" s="48" t="s">
        <v>49</v>
      </c>
      <c r="AI62" s="48" t="s">
        <v>49</v>
      </c>
      <c r="AJ62" s="49" t="s">
        <v>49</v>
      </c>
      <c r="AK62" s="48" t="s">
        <v>49</v>
      </c>
      <c r="AL62" s="65" t="s">
        <v>32</v>
      </c>
      <c r="AM62" s="59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1"/>
    </row>
    <row r="63" spans="1:51" x14ac:dyDescent="0.2">
      <c r="A63" s="33">
        <f t="shared" si="1"/>
        <v>58</v>
      </c>
      <c r="B63" s="34" t="s">
        <v>524</v>
      </c>
      <c r="C63" s="35" t="s">
        <v>525</v>
      </c>
      <c r="D63" s="36" t="s">
        <v>526</v>
      </c>
      <c r="E63" s="36" t="s">
        <v>54</v>
      </c>
      <c r="F63" s="34" t="s">
        <v>527</v>
      </c>
      <c r="G63" s="37" t="s">
        <v>528</v>
      </c>
      <c r="H63" s="37" t="s">
        <v>57</v>
      </c>
      <c r="I63" s="38" t="s">
        <v>529</v>
      </c>
      <c r="J63" s="34"/>
      <c r="K63" s="39" t="s">
        <v>42</v>
      </c>
      <c r="L63" s="53" t="s">
        <v>530</v>
      </c>
      <c r="M63" s="41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42" t="s">
        <v>531</v>
      </c>
      <c r="Y63" s="43" t="s">
        <v>532</v>
      </c>
      <c r="Z63" s="44" t="s">
        <v>533</v>
      </c>
      <c r="AA63" s="45">
        <v>44944</v>
      </c>
      <c r="AB63" s="46" t="s">
        <v>30</v>
      </c>
      <c r="AC63" s="36"/>
      <c r="AD63" s="47" t="s">
        <v>49</v>
      </c>
      <c r="AE63" s="48" t="s">
        <v>41</v>
      </c>
      <c r="AF63" s="48" t="s">
        <v>49</v>
      </c>
      <c r="AG63" s="48" t="s">
        <v>49</v>
      </c>
      <c r="AH63" s="48" t="s">
        <v>41</v>
      </c>
      <c r="AI63" s="48" t="s">
        <v>41</v>
      </c>
      <c r="AJ63" s="49" t="s">
        <v>41</v>
      </c>
      <c r="AK63" s="48" t="s">
        <v>41</v>
      </c>
      <c r="AL63" s="62" t="s">
        <v>139</v>
      </c>
      <c r="AM63" s="59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1"/>
    </row>
    <row r="64" spans="1:51" x14ac:dyDescent="0.2">
      <c r="A64" s="33">
        <f t="shared" si="1"/>
        <v>59</v>
      </c>
      <c r="B64" s="34" t="s">
        <v>534</v>
      </c>
      <c r="C64" s="35" t="s">
        <v>535</v>
      </c>
      <c r="D64" s="36" t="s">
        <v>536</v>
      </c>
      <c r="E64" s="36" t="s">
        <v>54</v>
      </c>
      <c r="F64" s="34" t="s">
        <v>537</v>
      </c>
      <c r="G64" s="37" t="s">
        <v>360</v>
      </c>
      <c r="H64" s="37" t="s">
        <v>350</v>
      </c>
      <c r="I64" s="34" t="s">
        <v>538</v>
      </c>
      <c r="J64" s="34" t="s">
        <v>41</v>
      </c>
      <c r="K64" s="39" t="s">
        <v>42</v>
      </c>
      <c r="L64" s="53">
        <v>37718</v>
      </c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2" t="s">
        <v>539</v>
      </c>
      <c r="Y64" s="58" t="s">
        <v>540</v>
      </c>
      <c r="Z64" s="44" t="s">
        <v>541</v>
      </c>
      <c r="AA64" s="45">
        <v>42935</v>
      </c>
      <c r="AB64" s="46" t="s">
        <v>30</v>
      </c>
      <c r="AC64" s="36" t="s">
        <v>26</v>
      </c>
      <c r="AD64" s="47" t="s">
        <v>49</v>
      </c>
      <c r="AE64" s="48" t="s">
        <v>49</v>
      </c>
      <c r="AF64" s="48" t="s">
        <v>49</v>
      </c>
      <c r="AG64" s="48" t="s">
        <v>49</v>
      </c>
      <c r="AH64" s="48" t="s">
        <v>49</v>
      </c>
      <c r="AI64" s="48" t="s">
        <v>49</v>
      </c>
      <c r="AJ64" s="49" t="s">
        <v>49</v>
      </c>
      <c r="AK64" s="48" t="s">
        <v>41</v>
      </c>
      <c r="AL64" s="65" t="s">
        <v>148</v>
      </c>
      <c r="AM64" s="59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1"/>
    </row>
    <row r="65" spans="1:51" x14ac:dyDescent="0.2">
      <c r="A65" s="33">
        <f t="shared" si="1"/>
        <v>60</v>
      </c>
      <c r="B65" s="34" t="s">
        <v>542</v>
      </c>
      <c r="C65" s="35" t="s">
        <v>543</v>
      </c>
      <c r="D65" s="36" t="s">
        <v>544</v>
      </c>
      <c r="E65" s="36" t="s">
        <v>54</v>
      </c>
      <c r="F65" s="34" t="s">
        <v>545</v>
      </c>
      <c r="G65" s="37" t="s">
        <v>350</v>
      </c>
      <c r="H65" s="37" t="s">
        <v>350</v>
      </c>
      <c r="I65" s="34">
        <v>85100503765</v>
      </c>
      <c r="J65" s="34" t="s">
        <v>546</v>
      </c>
      <c r="K65" s="39" t="s">
        <v>42</v>
      </c>
      <c r="L65" s="40" t="s">
        <v>547</v>
      </c>
      <c r="M65" s="41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42" t="s">
        <v>548</v>
      </c>
      <c r="Y65" s="100" t="s">
        <v>549</v>
      </c>
      <c r="Z65" s="44" t="s">
        <v>61</v>
      </c>
      <c r="AA65" s="45">
        <v>40815</v>
      </c>
      <c r="AB65" s="46" t="s">
        <v>30</v>
      </c>
      <c r="AC65" s="36" t="s">
        <v>26</v>
      </c>
      <c r="AD65" s="47" t="s">
        <v>49</v>
      </c>
      <c r="AE65" s="48" t="s">
        <v>49</v>
      </c>
      <c r="AF65" s="48" t="s">
        <v>49</v>
      </c>
      <c r="AG65" s="48" t="s">
        <v>49</v>
      </c>
      <c r="AH65" s="48" t="s">
        <v>49</v>
      </c>
      <c r="AI65" s="48" t="s">
        <v>49</v>
      </c>
      <c r="AJ65" s="49" t="s">
        <v>49</v>
      </c>
      <c r="AK65" s="48" t="s">
        <v>49</v>
      </c>
      <c r="AL65" s="62" t="s">
        <v>32</v>
      </c>
      <c r="AM65" s="59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1"/>
    </row>
    <row r="66" spans="1:51" x14ac:dyDescent="0.2">
      <c r="A66" s="33">
        <f t="shared" si="1"/>
        <v>61</v>
      </c>
      <c r="B66" s="34" t="s">
        <v>550</v>
      </c>
      <c r="C66" s="35" t="s">
        <v>551</v>
      </c>
      <c r="D66" s="36" t="s">
        <v>552</v>
      </c>
      <c r="E66" s="36" t="s">
        <v>54</v>
      </c>
      <c r="F66" s="34" t="s">
        <v>553</v>
      </c>
      <c r="G66" s="37" t="s">
        <v>73</v>
      </c>
      <c r="H66" s="37" t="s">
        <v>73</v>
      </c>
      <c r="I66" s="34" t="s">
        <v>554</v>
      </c>
      <c r="J66" s="34" t="s">
        <v>555</v>
      </c>
      <c r="K66" s="39" t="s">
        <v>42</v>
      </c>
      <c r="L66" s="40" t="s">
        <v>556</v>
      </c>
      <c r="M66" s="41"/>
      <c r="N66" s="41"/>
      <c r="O66" s="41"/>
      <c r="P66" s="41"/>
      <c r="Q66" s="112"/>
      <c r="R66" s="112"/>
      <c r="S66" s="112"/>
      <c r="T66" s="112"/>
      <c r="U66" s="41"/>
      <c r="V66" s="41"/>
      <c r="W66" s="41"/>
      <c r="X66" s="42" t="s">
        <v>557</v>
      </c>
      <c r="Y66" s="69" t="s">
        <v>558</v>
      </c>
      <c r="Z66" s="44" t="s">
        <v>61</v>
      </c>
      <c r="AA66" s="45">
        <v>36803</v>
      </c>
      <c r="AB66" s="46" t="s">
        <v>30</v>
      </c>
      <c r="AC66" s="36" t="s">
        <v>26</v>
      </c>
      <c r="AD66" s="47" t="s">
        <v>49</v>
      </c>
      <c r="AE66" s="48" t="s">
        <v>49</v>
      </c>
      <c r="AF66" s="48" t="s">
        <v>41</v>
      </c>
      <c r="AG66" s="48" t="s">
        <v>41</v>
      </c>
      <c r="AH66" s="48" t="s">
        <v>41</v>
      </c>
      <c r="AI66" s="48" t="s">
        <v>41</v>
      </c>
      <c r="AJ66" s="49" t="s">
        <v>41</v>
      </c>
      <c r="AK66" s="48" t="s">
        <v>41</v>
      </c>
      <c r="AL66" s="62" t="s">
        <v>4587</v>
      </c>
      <c r="AM66" s="59"/>
      <c r="AN66" s="10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1"/>
    </row>
    <row r="67" spans="1:51" x14ac:dyDescent="0.2">
      <c r="A67" s="33">
        <f t="shared" si="1"/>
        <v>62</v>
      </c>
      <c r="B67" s="34" t="s">
        <v>559</v>
      </c>
      <c r="C67" s="35" t="s">
        <v>560</v>
      </c>
      <c r="D67" s="36" t="s">
        <v>561</v>
      </c>
      <c r="E67" s="36" t="s">
        <v>54</v>
      </c>
      <c r="F67" s="34" t="s">
        <v>562</v>
      </c>
      <c r="G67" s="37" t="s">
        <v>39</v>
      </c>
      <c r="H67" s="37" t="s">
        <v>39</v>
      </c>
      <c r="I67" s="38" t="s">
        <v>563</v>
      </c>
      <c r="J67" s="72" t="s">
        <v>41</v>
      </c>
      <c r="K67" s="39" t="s">
        <v>42</v>
      </c>
      <c r="L67" s="53">
        <v>42071</v>
      </c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42" t="s">
        <v>564</v>
      </c>
      <c r="Y67" s="58" t="s">
        <v>565</v>
      </c>
      <c r="Z67" s="44" t="s">
        <v>566</v>
      </c>
      <c r="AA67" s="45">
        <v>42325</v>
      </c>
      <c r="AB67" s="46" t="s">
        <v>30</v>
      </c>
      <c r="AC67" s="36" t="s">
        <v>26</v>
      </c>
      <c r="AD67" s="47" t="s">
        <v>49</v>
      </c>
      <c r="AE67" s="48" t="s">
        <v>49</v>
      </c>
      <c r="AF67" s="48" t="s">
        <v>49</v>
      </c>
      <c r="AG67" s="48" t="s">
        <v>49</v>
      </c>
      <c r="AH67" s="48" t="s">
        <v>49</v>
      </c>
      <c r="AI67" s="48" t="s">
        <v>49</v>
      </c>
      <c r="AJ67" s="49" t="s">
        <v>49</v>
      </c>
      <c r="AK67" s="48" t="s">
        <v>41</v>
      </c>
      <c r="AL67" s="65" t="s">
        <v>148</v>
      </c>
      <c r="AM67" s="59"/>
      <c r="AN67" s="10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1"/>
    </row>
    <row r="68" spans="1:51" x14ac:dyDescent="0.2">
      <c r="A68" s="33">
        <f t="shared" si="1"/>
        <v>63</v>
      </c>
      <c r="B68" s="34" t="s">
        <v>567</v>
      </c>
      <c r="C68" s="35" t="s">
        <v>568</v>
      </c>
      <c r="D68" s="36" t="s">
        <v>569</v>
      </c>
      <c r="E68" s="36" t="s">
        <v>54</v>
      </c>
      <c r="F68" s="34" t="s">
        <v>570</v>
      </c>
      <c r="G68" s="37" t="s">
        <v>73</v>
      </c>
      <c r="H68" s="37" t="s">
        <v>73</v>
      </c>
      <c r="I68" s="38" t="s">
        <v>571</v>
      </c>
      <c r="J68" s="34" t="s">
        <v>41</v>
      </c>
      <c r="K68" s="39" t="s">
        <v>42</v>
      </c>
      <c r="L68" s="40" t="s">
        <v>572</v>
      </c>
      <c r="M68" s="41"/>
      <c r="N68" s="94"/>
      <c r="O68" s="94"/>
      <c r="P68" s="94"/>
      <c r="Q68" s="94"/>
      <c r="R68" s="94"/>
      <c r="S68" s="94"/>
      <c r="T68" s="94" t="s">
        <v>44</v>
      </c>
      <c r="U68" s="94"/>
      <c r="V68" s="94"/>
      <c r="W68" s="94"/>
      <c r="X68" s="42" t="s">
        <v>573</v>
      </c>
      <c r="Y68" s="58" t="s">
        <v>574</v>
      </c>
      <c r="Z68" s="58"/>
      <c r="AA68" s="45">
        <v>45642</v>
      </c>
      <c r="AB68" s="46"/>
      <c r="AC68" s="36"/>
      <c r="AD68" s="47" t="s">
        <v>49</v>
      </c>
      <c r="AE68" s="48" t="s">
        <v>41</v>
      </c>
      <c r="AF68" s="48" t="s">
        <v>41</v>
      </c>
      <c r="AG68" s="48" t="s">
        <v>41</v>
      </c>
      <c r="AH68" s="48" t="s">
        <v>49</v>
      </c>
      <c r="AI68" s="48" t="s">
        <v>49</v>
      </c>
      <c r="AJ68" s="49" t="s">
        <v>41</v>
      </c>
      <c r="AK68" s="48" t="s">
        <v>41</v>
      </c>
      <c r="AL68" s="62" t="s">
        <v>276</v>
      </c>
      <c r="AM68" s="59"/>
      <c r="AN68" s="117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1"/>
    </row>
    <row r="69" spans="1:51" x14ac:dyDescent="0.2">
      <c r="A69" s="33">
        <f t="shared" si="1"/>
        <v>64</v>
      </c>
      <c r="B69" s="34" t="s">
        <v>575</v>
      </c>
      <c r="C69" s="35" t="s">
        <v>576</v>
      </c>
      <c r="D69" s="36" t="s">
        <v>577</v>
      </c>
      <c r="E69" s="36" t="s">
        <v>54</v>
      </c>
      <c r="F69" s="34" t="s">
        <v>578</v>
      </c>
      <c r="G69" s="37" t="s">
        <v>205</v>
      </c>
      <c r="H69" s="37" t="s">
        <v>205</v>
      </c>
      <c r="I69" s="34" t="s">
        <v>579</v>
      </c>
      <c r="J69" s="34"/>
      <c r="K69" s="39" t="s">
        <v>42</v>
      </c>
      <c r="L69" s="53">
        <v>40217</v>
      </c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2" t="s">
        <v>580</v>
      </c>
      <c r="Y69" s="52" t="s">
        <v>581</v>
      </c>
      <c r="Z69" s="44" t="s">
        <v>61</v>
      </c>
      <c r="AA69" s="45">
        <v>40815</v>
      </c>
      <c r="AB69" s="46" t="s">
        <v>30</v>
      </c>
      <c r="AC69" s="36" t="s">
        <v>26</v>
      </c>
      <c r="AD69" s="47" t="s">
        <v>49</v>
      </c>
      <c r="AE69" s="48" t="s">
        <v>49</v>
      </c>
      <c r="AF69" s="48" t="s">
        <v>49</v>
      </c>
      <c r="AG69" s="48" t="s">
        <v>49</v>
      </c>
      <c r="AH69" s="48" t="s">
        <v>49</v>
      </c>
      <c r="AI69" s="48" t="s">
        <v>49</v>
      </c>
      <c r="AJ69" s="49" t="s">
        <v>49</v>
      </c>
      <c r="AK69" s="48" t="s">
        <v>49</v>
      </c>
      <c r="AL69" s="62" t="s">
        <v>32</v>
      </c>
      <c r="AM69" s="59"/>
      <c r="AN69" s="117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1"/>
    </row>
    <row r="70" spans="1:51" x14ac:dyDescent="0.2">
      <c r="A70" s="33">
        <f t="shared" si="1"/>
        <v>65</v>
      </c>
      <c r="B70" s="34" t="s">
        <v>582</v>
      </c>
      <c r="C70" s="35" t="s">
        <v>583</v>
      </c>
      <c r="D70" s="36" t="s">
        <v>584</v>
      </c>
      <c r="E70" s="36" t="s">
        <v>54</v>
      </c>
      <c r="F70" s="34" t="s">
        <v>585</v>
      </c>
      <c r="G70" s="37" t="s">
        <v>205</v>
      </c>
      <c r="H70" s="37" t="s">
        <v>205</v>
      </c>
      <c r="I70" s="34" t="s">
        <v>586</v>
      </c>
      <c r="J70" s="34" t="s">
        <v>587</v>
      </c>
      <c r="K70" s="39" t="s">
        <v>42</v>
      </c>
      <c r="L70" s="53">
        <v>31054</v>
      </c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2" t="s">
        <v>588</v>
      </c>
      <c r="Y70" s="52" t="s">
        <v>589</v>
      </c>
      <c r="Z70" s="44" t="s">
        <v>61</v>
      </c>
      <c r="AA70" s="45">
        <v>39286</v>
      </c>
      <c r="AB70" s="46" t="s">
        <v>30</v>
      </c>
      <c r="AC70" s="36" t="s">
        <v>26</v>
      </c>
      <c r="AD70" s="47" t="s">
        <v>49</v>
      </c>
      <c r="AE70" s="48" t="s">
        <v>49</v>
      </c>
      <c r="AF70" s="48" t="s">
        <v>49</v>
      </c>
      <c r="AG70" s="48" t="s">
        <v>49</v>
      </c>
      <c r="AH70" s="48" t="s">
        <v>49</v>
      </c>
      <c r="AI70" s="48" t="s">
        <v>49</v>
      </c>
      <c r="AJ70" s="49" t="s">
        <v>41</v>
      </c>
      <c r="AK70" s="48" t="s">
        <v>41</v>
      </c>
      <c r="AL70" s="62" t="s">
        <v>276</v>
      </c>
      <c r="AM70" s="59"/>
      <c r="AN70" s="117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1"/>
    </row>
    <row r="71" spans="1:51" x14ac:dyDescent="0.2">
      <c r="A71" s="33">
        <f t="shared" si="1"/>
        <v>66</v>
      </c>
      <c r="B71" s="34" t="s">
        <v>590</v>
      </c>
      <c r="C71" s="35" t="s">
        <v>591</v>
      </c>
      <c r="D71" s="36" t="s">
        <v>592</v>
      </c>
      <c r="E71" s="36" t="s">
        <v>54</v>
      </c>
      <c r="F71" s="34" t="s">
        <v>593</v>
      </c>
      <c r="G71" s="37" t="s">
        <v>323</v>
      </c>
      <c r="H71" s="37" t="s">
        <v>39</v>
      </c>
      <c r="I71" s="34" t="s">
        <v>594</v>
      </c>
      <c r="J71" s="72" t="s">
        <v>41</v>
      </c>
      <c r="K71" s="39" t="s">
        <v>42</v>
      </c>
      <c r="L71" s="53" t="s">
        <v>595</v>
      </c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2" t="s">
        <v>596</v>
      </c>
      <c r="Y71" s="52" t="s">
        <v>597</v>
      </c>
      <c r="Z71" s="52"/>
      <c r="AA71" s="45">
        <v>45642</v>
      </c>
      <c r="AB71" s="46"/>
      <c r="AC71" s="36" t="s">
        <v>26</v>
      </c>
      <c r="AD71" s="47" t="s">
        <v>49</v>
      </c>
      <c r="AE71" s="48" t="s">
        <v>49</v>
      </c>
      <c r="AF71" s="48" t="s">
        <v>49</v>
      </c>
      <c r="AG71" s="48" t="s">
        <v>49</v>
      </c>
      <c r="AH71" s="48" t="s">
        <v>49</v>
      </c>
      <c r="AI71" s="48" t="s">
        <v>49</v>
      </c>
      <c r="AJ71" s="49" t="s">
        <v>49</v>
      </c>
      <c r="AK71" s="48" t="s">
        <v>49</v>
      </c>
      <c r="AL71" s="65" t="s">
        <v>32</v>
      </c>
      <c r="AM71" s="59"/>
      <c r="AN71" s="117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1"/>
    </row>
    <row r="72" spans="1:51" x14ac:dyDescent="0.2">
      <c r="A72" s="33">
        <f t="shared" si="1"/>
        <v>67</v>
      </c>
      <c r="B72" s="34" t="s">
        <v>598</v>
      </c>
      <c r="C72" s="35" t="s">
        <v>599</v>
      </c>
      <c r="D72" s="36" t="s">
        <v>600</v>
      </c>
      <c r="E72" s="36" t="s">
        <v>54</v>
      </c>
      <c r="F72" s="34" t="s">
        <v>601</v>
      </c>
      <c r="G72" s="37" t="s">
        <v>38</v>
      </c>
      <c r="H72" s="37" t="s">
        <v>39</v>
      </c>
      <c r="I72" s="38" t="s">
        <v>602</v>
      </c>
      <c r="J72" s="72" t="s">
        <v>41</v>
      </c>
      <c r="K72" s="39" t="s">
        <v>42</v>
      </c>
      <c r="L72" s="53" t="s">
        <v>603</v>
      </c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42" t="s">
        <v>604</v>
      </c>
      <c r="Y72" s="58" t="s">
        <v>605</v>
      </c>
      <c r="Z72" s="44" t="s">
        <v>606</v>
      </c>
      <c r="AA72" s="45">
        <v>42935</v>
      </c>
      <c r="AB72" s="46" t="s">
        <v>30</v>
      </c>
      <c r="AC72" s="36" t="s">
        <v>26</v>
      </c>
      <c r="AD72" s="47" t="s">
        <v>49</v>
      </c>
      <c r="AE72" s="48" t="s">
        <v>49</v>
      </c>
      <c r="AF72" s="48" t="s">
        <v>49</v>
      </c>
      <c r="AG72" s="48" t="s">
        <v>49</v>
      </c>
      <c r="AH72" s="48" t="s">
        <v>49</v>
      </c>
      <c r="AI72" s="48" t="s">
        <v>49</v>
      </c>
      <c r="AJ72" s="49" t="s">
        <v>49</v>
      </c>
      <c r="AK72" s="48" t="s">
        <v>41</v>
      </c>
      <c r="AL72" s="62" t="s">
        <v>148</v>
      </c>
      <c r="AM72" s="59"/>
      <c r="AN72" s="10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1"/>
    </row>
    <row r="73" spans="1:51" x14ac:dyDescent="0.2">
      <c r="A73" s="33">
        <f t="shared" ref="A73:A136" si="2">+A72+1</f>
        <v>68</v>
      </c>
      <c r="B73" s="34" t="s">
        <v>607</v>
      </c>
      <c r="C73" s="35" t="s">
        <v>608</v>
      </c>
      <c r="D73" s="36" t="s">
        <v>609</v>
      </c>
      <c r="E73" s="36" t="s">
        <v>54</v>
      </c>
      <c r="F73" s="34" t="s">
        <v>610</v>
      </c>
      <c r="G73" s="37" t="s">
        <v>73</v>
      </c>
      <c r="H73" s="37" t="s">
        <v>73</v>
      </c>
      <c r="I73" s="38" t="s">
        <v>611</v>
      </c>
      <c r="J73" s="72" t="s">
        <v>41</v>
      </c>
      <c r="K73" s="39" t="s">
        <v>42</v>
      </c>
      <c r="L73" s="53" t="s">
        <v>352</v>
      </c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42" t="s">
        <v>612</v>
      </c>
      <c r="Y73" s="58" t="s">
        <v>613</v>
      </c>
      <c r="Z73" s="44" t="s">
        <v>614</v>
      </c>
      <c r="AA73" s="45">
        <v>42325</v>
      </c>
      <c r="AB73" s="46" t="s">
        <v>30</v>
      </c>
      <c r="AC73" s="36" t="s">
        <v>26</v>
      </c>
      <c r="AD73" s="47" t="s">
        <v>49</v>
      </c>
      <c r="AE73" s="48" t="s">
        <v>49</v>
      </c>
      <c r="AF73" s="48" t="s">
        <v>49</v>
      </c>
      <c r="AG73" s="48" t="s">
        <v>49</v>
      </c>
      <c r="AH73" s="48" t="s">
        <v>49</v>
      </c>
      <c r="AI73" s="48" t="s">
        <v>49</v>
      </c>
      <c r="AJ73" s="49" t="s">
        <v>41</v>
      </c>
      <c r="AK73" s="48" t="s">
        <v>41</v>
      </c>
      <c r="AL73" s="62" t="s">
        <v>276</v>
      </c>
      <c r="AM73" s="59"/>
      <c r="AN73" s="118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1"/>
    </row>
    <row r="74" spans="1:51" x14ac:dyDescent="0.2">
      <c r="A74" s="33">
        <f t="shared" si="2"/>
        <v>69</v>
      </c>
      <c r="B74" s="34" t="s">
        <v>615</v>
      </c>
      <c r="C74" s="35" t="s">
        <v>616</v>
      </c>
      <c r="D74" s="36" t="s">
        <v>617</v>
      </c>
      <c r="E74" s="36" t="s">
        <v>54</v>
      </c>
      <c r="F74" s="34" t="s">
        <v>618</v>
      </c>
      <c r="G74" s="37" t="s">
        <v>73</v>
      </c>
      <c r="H74" s="37" t="s">
        <v>73</v>
      </c>
      <c r="I74" s="38" t="s">
        <v>619</v>
      </c>
      <c r="J74" s="72" t="s">
        <v>41</v>
      </c>
      <c r="K74" s="39" t="s">
        <v>42</v>
      </c>
      <c r="L74" s="53">
        <v>42134</v>
      </c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42" t="s">
        <v>620</v>
      </c>
      <c r="Y74" s="58" t="s">
        <v>621</v>
      </c>
      <c r="Z74" s="119" t="s">
        <v>622</v>
      </c>
      <c r="AA74" s="45">
        <v>42325</v>
      </c>
      <c r="AB74" s="46" t="s">
        <v>30</v>
      </c>
      <c r="AC74" s="36" t="s">
        <v>26</v>
      </c>
      <c r="AD74" s="47" t="s">
        <v>49</v>
      </c>
      <c r="AE74" s="48" t="s">
        <v>49</v>
      </c>
      <c r="AF74" s="48" t="s">
        <v>49</v>
      </c>
      <c r="AG74" s="48" t="s">
        <v>49</v>
      </c>
      <c r="AH74" s="48" t="s">
        <v>49</v>
      </c>
      <c r="AI74" s="48" t="s">
        <v>41</v>
      </c>
      <c r="AJ74" s="49" t="s">
        <v>41</v>
      </c>
      <c r="AK74" s="48" t="s">
        <v>41</v>
      </c>
      <c r="AL74" s="62" t="s">
        <v>4589</v>
      </c>
      <c r="AM74" s="59"/>
      <c r="AN74" s="118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1"/>
    </row>
    <row r="75" spans="1:51" x14ac:dyDescent="0.2">
      <c r="A75" s="33">
        <f t="shared" si="2"/>
        <v>70</v>
      </c>
      <c r="B75" s="34" t="s">
        <v>623</v>
      </c>
      <c r="C75" s="35" t="s">
        <v>624</v>
      </c>
      <c r="D75" s="36" t="s">
        <v>625</v>
      </c>
      <c r="E75" s="36" t="s">
        <v>54</v>
      </c>
      <c r="F75" s="34" t="s">
        <v>626</v>
      </c>
      <c r="G75" s="37" t="s">
        <v>176</v>
      </c>
      <c r="H75" s="37" t="s">
        <v>39</v>
      </c>
      <c r="I75" s="38" t="s">
        <v>627</v>
      </c>
      <c r="J75" s="72" t="s">
        <v>41</v>
      </c>
      <c r="K75" s="39" t="s">
        <v>42</v>
      </c>
      <c r="L75" s="53" t="s">
        <v>628</v>
      </c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42" t="s">
        <v>629</v>
      </c>
      <c r="Y75" s="58" t="s">
        <v>630</v>
      </c>
      <c r="Z75" s="84" t="s">
        <v>631</v>
      </c>
      <c r="AA75" s="45">
        <v>44650</v>
      </c>
      <c r="AB75" s="46" t="s">
        <v>30</v>
      </c>
      <c r="AC75" s="36" t="s">
        <v>26</v>
      </c>
      <c r="AD75" s="47" t="s">
        <v>49</v>
      </c>
      <c r="AE75" s="48" t="s">
        <v>49</v>
      </c>
      <c r="AF75" s="48" t="s">
        <v>49</v>
      </c>
      <c r="AG75" s="48" t="s">
        <v>49</v>
      </c>
      <c r="AH75" s="48" t="s">
        <v>49</v>
      </c>
      <c r="AI75" s="48" t="s">
        <v>41</v>
      </c>
      <c r="AJ75" s="49" t="s">
        <v>41</v>
      </c>
      <c r="AK75" s="48" t="s">
        <v>41</v>
      </c>
      <c r="AL75" s="62" t="s">
        <v>4589</v>
      </c>
      <c r="AM75" s="59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1"/>
    </row>
    <row r="76" spans="1:51" x14ac:dyDescent="0.2">
      <c r="A76" s="33">
        <f t="shared" si="2"/>
        <v>71</v>
      </c>
      <c r="B76" s="34" t="s">
        <v>632</v>
      </c>
      <c r="C76" s="35" t="s">
        <v>633</v>
      </c>
      <c r="D76" s="36" t="s">
        <v>634</v>
      </c>
      <c r="E76" s="36" t="s">
        <v>54</v>
      </c>
      <c r="F76" s="34" t="s">
        <v>635</v>
      </c>
      <c r="G76" s="37" t="s">
        <v>73</v>
      </c>
      <c r="H76" s="37" t="s">
        <v>73</v>
      </c>
      <c r="I76" s="38" t="s">
        <v>636</v>
      </c>
      <c r="J76" s="72" t="s">
        <v>41</v>
      </c>
      <c r="K76" s="39" t="s">
        <v>42</v>
      </c>
      <c r="L76" s="120">
        <v>45245</v>
      </c>
      <c r="M76" s="115"/>
      <c r="N76" s="115"/>
      <c r="O76" s="115"/>
      <c r="P76" s="115"/>
      <c r="Q76" s="115"/>
      <c r="R76" s="115"/>
      <c r="S76" s="115"/>
      <c r="T76" s="56" t="s">
        <v>44</v>
      </c>
      <c r="U76" s="56"/>
      <c r="V76" s="56"/>
      <c r="W76" s="56"/>
      <c r="X76" s="42" t="s">
        <v>637</v>
      </c>
      <c r="Y76" s="83" t="s">
        <v>638</v>
      </c>
      <c r="Z76" s="121"/>
      <c r="AA76" s="45">
        <v>45642</v>
      </c>
      <c r="AB76" s="101"/>
      <c r="AC76" s="36"/>
      <c r="AD76" s="47" t="s">
        <v>49</v>
      </c>
      <c r="AE76" s="48" t="s">
        <v>41</v>
      </c>
      <c r="AF76" s="48" t="s">
        <v>41</v>
      </c>
      <c r="AG76" s="48" t="s">
        <v>41</v>
      </c>
      <c r="AH76" s="48" t="s">
        <v>49</v>
      </c>
      <c r="AI76" s="48" t="s">
        <v>49</v>
      </c>
      <c r="AJ76" s="49" t="s">
        <v>49</v>
      </c>
      <c r="AK76" s="48" t="s">
        <v>41</v>
      </c>
      <c r="AL76" s="62" t="s">
        <v>148</v>
      </c>
      <c r="AM76" s="59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1"/>
    </row>
    <row r="77" spans="1:51" x14ac:dyDescent="0.2">
      <c r="A77" s="33">
        <f t="shared" si="2"/>
        <v>72</v>
      </c>
      <c r="B77" s="122" t="s">
        <v>639</v>
      </c>
      <c r="C77" s="123" t="s">
        <v>640</v>
      </c>
      <c r="D77" s="124" t="s">
        <v>641</v>
      </c>
      <c r="E77" s="36" t="s">
        <v>54</v>
      </c>
      <c r="F77" s="125" t="s">
        <v>642</v>
      </c>
      <c r="G77" s="126" t="s">
        <v>456</v>
      </c>
      <c r="H77" s="126" t="s">
        <v>187</v>
      </c>
      <c r="I77" s="127" t="s">
        <v>643</v>
      </c>
      <c r="J77" s="122" t="s">
        <v>41</v>
      </c>
      <c r="K77" s="128" t="s">
        <v>42</v>
      </c>
      <c r="L77" s="129" t="s">
        <v>644</v>
      </c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42" t="s">
        <v>645</v>
      </c>
      <c r="Y77" s="58" t="s">
        <v>646</v>
      </c>
      <c r="Z77" s="44" t="s">
        <v>647</v>
      </c>
      <c r="AA77" s="131">
        <v>43200</v>
      </c>
      <c r="AB77" s="132" t="s">
        <v>30</v>
      </c>
      <c r="AC77" s="73" t="s">
        <v>26</v>
      </c>
      <c r="AD77" s="133" t="s">
        <v>49</v>
      </c>
      <c r="AE77" s="48" t="s">
        <v>49</v>
      </c>
      <c r="AF77" s="48" t="s">
        <v>49</v>
      </c>
      <c r="AG77" s="48" t="s">
        <v>49</v>
      </c>
      <c r="AH77" s="48" t="s">
        <v>49</v>
      </c>
      <c r="AI77" s="48" t="s">
        <v>49</v>
      </c>
      <c r="AJ77" s="49" t="s">
        <v>49</v>
      </c>
      <c r="AK77" s="48" t="s">
        <v>49</v>
      </c>
      <c r="AL77" s="62" t="s">
        <v>32</v>
      </c>
      <c r="AM77" s="134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1"/>
    </row>
    <row r="78" spans="1:51" x14ac:dyDescent="0.2">
      <c r="A78" s="33">
        <f t="shared" si="2"/>
        <v>73</v>
      </c>
      <c r="B78" s="122" t="s">
        <v>648</v>
      </c>
      <c r="C78" s="123" t="s">
        <v>649</v>
      </c>
      <c r="D78" s="124" t="s">
        <v>650</v>
      </c>
      <c r="E78" s="36" t="s">
        <v>241</v>
      </c>
      <c r="F78" s="125" t="s">
        <v>651</v>
      </c>
      <c r="G78" s="126" t="s">
        <v>205</v>
      </c>
      <c r="H78" s="126" t="s">
        <v>205</v>
      </c>
      <c r="I78" s="122" t="s">
        <v>652</v>
      </c>
      <c r="J78" s="122" t="s">
        <v>41</v>
      </c>
      <c r="K78" s="128" t="s">
        <v>42</v>
      </c>
      <c r="L78" s="129">
        <v>30353</v>
      </c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5" t="s">
        <v>653</v>
      </c>
      <c r="Y78" s="69" t="s">
        <v>654</v>
      </c>
      <c r="Z78" s="44" t="s">
        <v>61</v>
      </c>
      <c r="AA78" s="131">
        <v>37208</v>
      </c>
      <c r="AB78" s="132" t="s">
        <v>30</v>
      </c>
      <c r="AC78" s="73" t="s">
        <v>26</v>
      </c>
      <c r="AD78" s="133" t="s">
        <v>49</v>
      </c>
      <c r="AE78" s="48" t="s">
        <v>49</v>
      </c>
      <c r="AF78" s="48" t="s">
        <v>41</v>
      </c>
      <c r="AG78" s="48" t="s">
        <v>41</v>
      </c>
      <c r="AH78" s="48" t="s">
        <v>41</v>
      </c>
      <c r="AI78" s="48" t="s">
        <v>41</v>
      </c>
      <c r="AJ78" s="49" t="s">
        <v>41</v>
      </c>
      <c r="AK78" s="48" t="s">
        <v>41</v>
      </c>
      <c r="AL78" s="62" t="s">
        <v>4587</v>
      </c>
      <c r="AM78" s="134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1"/>
    </row>
    <row r="79" spans="1:51" x14ac:dyDescent="0.2">
      <c r="A79" s="33">
        <f t="shared" si="2"/>
        <v>74</v>
      </c>
      <c r="B79" s="34" t="s">
        <v>655</v>
      </c>
      <c r="C79" s="35" t="s">
        <v>656</v>
      </c>
      <c r="D79" s="73" t="s">
        <v>657</v>
      </c>
      <c r="E79" s="36" t="s">
        <v>54</v>
      </c>
      <c r="F79" s="98" t="s">
        <v>658</v>
      </c>
      <c r="G79" s="37" t="s">
        <v>252</v>
      </c>
      <c r="H79" s="37" t="s">
        <v>57</v>
      </c>
      <c r="I79" s="38" t="s">
        <v>659</v>
      </c>
      <c r="J79" s="34"/>
      <c r="K79" s="39" t="s">
        <v>42</v>
      </c>
      <c r="L79" s="53">
        <v>45398</v>
      </c>
      <c r="M79" s="56"/>
      <c r="N79" s="56"/>
      <c r="O79" s="56"/>
      <c r="P79" s="56"/>
      <c r="Q79" s="56"/>
      <c r="R79" s="56"/>
      <c r="S79" s="56"/>
      <c r="T79" s="56"/>
      <c r="U79" s="56" t="s">
        <v>44</v>
      </c>
      <c r="V79" s="56"/>
      <c r="W79" s="56"/>
      <c r="X79" s="54" t="s">
        <v>660</v>
      </c>
      <c r="Y79" s="58" t="s">
        <v>661</v>
      </c>
      <c r="Z79" s="44"/>
      <c r="AA79" s="45"/>
      <c r="AB79" s="46"/>
      <c r="AC79" s="73"/>
      <c r="AD79" s="47" t="s">
        <v>49</v>
      </c>
      <c r="AE79" s="48" t="s">
        <v>41</v>
      </c>
      <c r="AF79" s="48" t="s">
        <v>41</v>
      </c>
      <c r="AG79" s="48" t="s">
        <v>41</v>
      </c>
      <c r="AH79" s="48" t="s">
        <v>41</v>
      </c>
      <c r="AI79" s="48" t="s">
        <v>49</v>
      </c>
      <c r="AJ79" s="49" t="s">
        <v>41</v>
      </c>
      <c r="AK79" s="48" t="s">
        <v>41</v>
      </c>
      <c r="AL79" s="62" t="s">
        <v>276</v>
      </c>
      <c r="AM79" s="59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1"/>
    </row>
    <row r="80" spans="1:51" x14ac:dyDescent="0.2">
      <c r="A80" s="33">
        <f t="shared" si="2"/>
        <v>75</v>
      </c>
      <c r="B80" s="34" t="s">
        <v>662</v>
      </c>
      <c r="C80" s="35" t="s">
        <v>663</v>
      </c>
      <c r="D80" s="73" t="s">
        <v>664</v>
      </c>
      <c r="E80" s="36" t="s">
        <v>36</v>
      </c>
      <c r="F80" s="34" t="s">
        <v>665</v>
      </c>
      <c r="G80" s="37" t="s">
        <v>360</v>
      </c>
      <c r="H80" s="37" t="s">
        <v>350</v>
      </c>
      <c r="I80" s="38" t="s">
        <v>666</v>
      </c>
      <c r="J80" s="34" t="s">
        <v>41</v>
      </c>
      <c r="K80" s="39" t="s">
        <v>42</v>
      </c>
      <c r="L80" s="40" t="s">
        <v>667</v>
      </c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42" t="s">
        <v>668</v>
      </c>
      <c r="Y80" s="58" t="s">
        <v>669</v>
      </c>
      <c r="Z80" s="44" t="s">
        <v>61</v>
      </c>
      <c r="AA80" s="45">
        <v>36803</v>
      </c>
      <c r="AB80" s="46" t="s">
        <v>30</v>
      </c>
      <c r="AC80" s="73"/>
      <c r="AD80" s="47" t="s">
        <v>49</v>
      </c>
      <c r="AE80" s="48" t="s">
        <v>41</v>
      </c>
      <c r="AF80" s="48" t="s">
        <v>41</v>
      </c>
      <c r="AG80" s="48" t="s">
        <v>41</v>
      </c>
      <c r="AH80" s="48" t="s">
        <v>41</v>
      </c>
      <c r="AI80" s="48" t="s">
        <v>41</v>
      </c>
      <c r="AJ80" s="49" t="s">
        <v>41</v>
      </c>
      <c r="AK80" s="48" t="s">
        <v>41</v>
      </c>
      <c r="AL80" s="82" t="s">
        <v>4591</v>
      </c>
      <c r="AM80" s="59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1"/>
    </row>
    <row r="81" spans="1:51" x14ac:dyDescent="0.2">
      <c r="A81" s="33">
        <f t="shared" si="2"/>
        <v>76</v>
      </c>
      <c r="B81" s="34" t="s">
        <v>670</v>
      </c>
      <c r="C81" s="35" t="s">
        <v>671</v>
      </c>
      <c r="D81" s="73" t="s">
        <v>672</v>
      </c>
      <c r="E81" s="36" t="s">
        <v>54</v>
      </c>
      <c r="F81" s="34" t="s">
        <v>673</v>
      </c>
      <c r="G81" s="37" t="s">
        <v>323</v>
      </c>
      <c r="H81" s="37" t="s">
        <v>39</v>
      </c>
      <c r="I81" s="38" t="s">
        <v>674</v>
      </c>
      <c r="J81" s="34" t="s">
        <v>41</v>
      </c>
      <c r="K81" s="39" t="s">
        <v>42</v>
      </c>
      <c r="L81" s="53">
        <v>44318</v>
      </c>
      <c r="M81" s="56"/>
      <c r="N81" s="56"/>
      <c r="O81" s="56"/>
      <c r="P81" s="56"/>
      <c r="Q81" s="56"/>
      <c r="R81" s="56" t="s">
        <v>44</v>
      </c>
      <c r="S81" s="56"/>
      <c r="T81" s="56"/>
      <c r="U81" s="56"/>
      <c r="V81" s="56"/>
      <c r="W81" s="56"/>
      <c r="X81" s="57" t="s">
        <v>675</v>
      </c>
      <c r="Y81" s="58" t="s">
        <v>676</v>
      </c>
      <c r="Z81" s="44"/>
      <c r="AA81" s="45" t="s">
        <v>47</v>
      </c>
      <c r="AB81" s="46"/>
      <c r="AC81" s="73"/>
      <c r="AD81" s="47" t="s">
        <v>49</v>
      </c>
      <c r="AE81" s="48" t="s">
        <v>41</v>
      </c>
      <c r="AF81" s="48" t="s">
        <v>49</v>
      </c>
      <c r="AG81" s="48" t="s">
        <v>49</v>
      </c>
      <c r="AH81" s="48" t="s">
        <v>49</v>
      </c>
      <c r="AI81" s="48" t="s">
        <v>49</v>
      </c>
      <c r="AJ81" s="49" t="s">
        <v>41</v>
      </c>
      <c r="AK81" s="48" t="s">
        <v>41</v>
      </c>
      <c r="AL81" s="62" t="s">
        <v>276</v>
      </c>
      <c r="AM81" s="59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1"/>
    </row>
    <row r="82" spans="1:51" x14ac:dyDescent="0.2">
      <c r="A82" s="33">
        <f t="shared" si="2"/>
        <v>77</v>
      </c>
      <c r="B82" s="34" t="s">
        <v>677</v>
      </c>
      <c r="C82" s="35" t="s">
        <v>678</v>
      </c>
      <c r="D82" s="73" t="s">
        <v>679</v>
      </c>
      <c r="E82" s="36" t="s">
        <v>54</v>
      </c>
      <c r="F82" s="87" t="s">
        <v>680</v>
      </c>
      <c r="G82" s="37" t="s">
        <v>681</v>
      </c>
      <c r="H82" s="37" t="s">
        <v>378</v>
      </c>
      <c r="I82" s="38" t="s">
        <v>682</v>
      </c>
      <c r="J82" s="34" t="s">
        <v>41</v>
      </c>
      <c r="K82" s="39" t="s">
        <v>42</v>
      </c>
      <c r="L82" s="53">
        <v>45264</v>
      </c>
      <c r="M82" s="56"/>
      <c r="N82" s="56"/>
      <c r="O82" s="56"/>
      <c r="P82" s="56"/>
      <c r="Q82" s="56"/>
      <c r="R82" s="56"/>
      <c r="S82" s="56"/>
      <c r="T82" s="56" t="s">
        <v>44</v>
      </c>
      <c r="U82" s="56"/>
      <c r="V82" s="56"/>
      <c r="W82" s="56"/>
      <c r="X82" s="54" t="s">
        <v>683</v>
      </c>
      <c r="Y82" s="58" t="s">
        <v>684</v>
      </c>
      <c r="Z82" s="44"/>
      <c r="AA82" s="45">
        <v>45642</v>
      </c>
      <c r="AB82" s="46"/>
      <c r="AC82" s="73"/>
      <c r="AD82" s="47" t="s">
        <v>49</v>
      </c>
      <c r="AE82" s="48" t="s">
        <v>41</v>
      </c>
      <c r="AF82" s="48" t="s">
        <v>41</v>
      </c>
      <c r="AG82" s="48" t="s">
        <v>41</v>
      </c>
      <c r="AH82" s="48" t="s">
        <v>49</v>
      </c>
      <c r="AI82" s="48" t="s">
        <v>49</v>
      </c>
      <c r="AJ82" s="49" t="s">
        <v>49</v>
      </c>
      <c r="AK82" s="48" t="s">
        <v>49</v>
      </c>
      <c r="AL82" s="62" t="s">
        <v>32</v>
      </c>
      <c r="AM82" s="59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1"/>
    </row>
    <row r="83" spans="1:51" x14ac:dyDescent="0.2">
      <c r="A83" s="33">
        <f t="shared" si="2"/>
        <v>78</v>
      </c>
      <c r="B83" s="34" t="s">
        <v>685</v>
      </c>
      <c r="C83" s="35" t="s">
        <v>686</v>
      </c>
      <c r="D83" s="36" t="s">
        <v>687</v>
      </c>
      <c r="E83" s="36" t="s">
        <v>54</v>
      </c>
      <c r="F83" s="108" t="s">
        <v>688</v>
      </c>
      <c r="G83" s="37" t="s">
        <v>252</v>
      </c>
      <c r="H83" s="37" t="s">
        <v>57</v>
      </c>
      <c r="I83" s="136" t="s">
        <v>689</v>
      </c>
      <c r="J83" s="34" t="s">
        <v>41</v>
      </c>
      <c r="K83" s="39" t="s">
        <v>42</v>
      </c>
      <c r="L83" s="53">
        <v>36895</v>
      </c>
      <c r="M83" s="56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42" t="s">
        <v>690</v>
      </c>
      <c r="Y83" s="43" t="s">
        <v>691</v>
      </c>
      <c r="Z83" s="44" t="s">
        <v>692</v>
      </c>
      <c r="AA83" s="45">
        <v>44041</v>
      </c>
      <c r="AB83" s="46" t="s">
        <v>30</v>
      </c>
      <c r="AC83" s="36" t="s">
        <v>26</v>
      </c>
      <c r="AD83" s="47" t="s">
        <v>49</v>
      </c>
      <c r="AE83" s="48" t="s">
        <v>49</v>
      </c>
      <c r="AF83" s="48" t="s">
        <v>49</v>
      </c>
      <c r="AG83" s="48" t="s">
        <v>49</v>
      </c>
      <c r="AH83" s="48" t="s">
        <v>49</v>
      </c>
      <c r="AI83" s="48" t="s">
        <v>49</v>
      </c>
      <c r="AJ83" s="49" t="s">
        <v>49</v>
      </c>
      <c r="AK83" s="48" t="s">
        <v>49</v>
      </c>
      <c r="AL83" s="65" t="s">
        <v>32</v>
      </c>
      <c r="AM83" s="138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1"/>
    </row>
    <row r="84" spans="1:51" x14ac:dyDescent="0.2">
      <c r="A84" s="33">
        <f t="shared" si="2"/>
        <v>79</v>
      </c>
      <c r="B84" s="139" t="s">
        <v>693</v>
      </c>
      <c r="C84" s="35" t="s">
        <v>694</v>
      </c>
      <c r="D84" s="36" t="s">
        <v>695</v>
      </c>
      <c r="E84" s="36" t="s">
        <v>36</v>
      </c>
      <c r="F84" s="34" t="s">
        <v>696</v>
      </c>
      <c r="G84" s="37" t="s">
        <v>528</v>
      </c>
      <c r="H84" s="37" t="s">
        <v>57</v>
      </c>
      <c r="I84" s="140" t="s">
        <v>697</v>
      </c>
      <c r="J84" s="34" t="s">
        <v>41</v>
      </c>
      <c r="K84" s="39" t="s">
        <v>42</v>
      </c>
      <c r="L84" s="53">
        <v>40497</v>
      </c>
      <c r="M84" s="41"/>
      <c r="N84" s="41"/>
      <c r="O84" s="41"/>
      <c r="P84" s="41"/>
      <c r="Q84" s="112"/>
      <c r="R84" s="112"/>
      <c r="S84" s="112"/>
      <c r="T84" s="41"/>
      <c r="U84" s="41"/>
      <c r="V84" s="41"/>
      <c r="W84" s="41"/>
      <c r="X84" s="42" t="s">
        <v>698</v>
      </c>
      <c r="Y84" s="58" t="s">
        <v>699</v>
      </c>
      <c r="Z84" s="44" t="s">
        <v>700</v>
      </c>
      <c r="AA84" s="45">
        <v>42325</v>
      </c>
      <c r="AB84" s="46" t="s">
        <v>30</v>
      </c>
      <c r="AC84" s="36" t="s">
        <v>26</v>
      </c>
      <c r="AD84" s="47" t="s">
        <v>49</v>
      </c>
      <c r="AE84" s="48" t="s">
        <v>49</v>
      </c>
      <c r="AF84" s="48" t="s">
        <v>49</v>
      </c>
      <c r="AG84" s="48" t="s">
        <v>49</v>
      </c>
      <c r="AH84" s="48" t="s">
        <v>49</v>
      </c>
      <c r="AI84" s="48" t="s">
        <v>49</v>
      </c>
      <c r="AJ84" s="49" t="s">
        <v>49</v>
      </c>
      <c r="AK84" s="48" t="s">
        <v>49</v>
      </c>
      <c r="AL84" s="62" t="s">
        <v>32</v>
      </c>
      <c r="AM84" s="103" t="s">
        <v>41</v>
      </c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1"/>
    </row>
    <row r="85" spans="1:51" x14ac:dyDescent="0.2">
      <c r="A85" s="33">
        <f t="shared" si="2"/>
        <v>80</v>
      </c>
      <c r="B85" s="108" t="s">
        <v>701</v>
      </c>
      <c r="C85" s="35" t="s">
        <v>702</v>
      </c>
      <c r="D85" s="36" t="s">
        <v>703</v>
      </c>
      <c r="E85" s="36" t="s">
        <v>54</v>
      </c>
      <c r="F85" s="34" t="s">
        <v>704</v>
      </c>
      <c r="G85" s="37" t="s">
        <v>73</v>
      </c>
      <c r="H85" s="37" t="s">
        <v>73</v>
      </c>
      <c r="I85" s="140" t="s">
        <v>705</v>
      </c>
      <c r="J85" s="34" t="s">
        <v>41</v>
      </c>
      <c r="K85" s="39" t="s">
        <v>42</v>
      </c>
      <c r="L85" s="53">
        <v>44323</v>
      </c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2" t="s">
        <v>706</v>
      </c>
      <c r="Y85" s="58" t="s">
        <v>707</v>
      </c>
      <c r="Z85" s="44" t="s">
        <v>708</v>
      </c>
      <c r="AA85" s="45">
        <v>44944</v>
      </c>
      <c r="AB85" s="46" t="s">
        <v>30</v>
      </c>
      <c r="AC85" s="36"/>
      <c r="AD85" s="47" t="s">
        <v>49</v>
      </c>
      <c r="AE85" s="48" t="s">
        <v>41</v>
      </c>
      <c r="AF85" s="48" t="s">
        <v>49</v>
      </c>
      <c r="AG85" s="48" t="s">
        <v>49</v>
      </c>
      <c r="AH85" s="48" t="s">
        <v>49</v>
      </c>
      <c r="AI85" s="48" t="s">
        <v>49</v>
      </c>
      <c r="AJ85" s="49" t="s">
        <v>41</v>
      </c>
      <c r="AK85" s="48" t="s">
        <v>41</v>
      </c>
      <c r="AL85" s="62" t="s">
        <v>276</v>
      </c>
      <c r="AM85" s="138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1"/>
    </row>
    <row r="86" spans="1:51" x14ac:dyDescent="0.2">
      <c r="A86" s="33">
        <f t="shared" si="2"/>
        <v>81</v>
      </c>
      <c r="B86" s="139" t="s">
        <v>709</v>
      </c>
      <c r="C86" s="35" t="s">
        <v>710</v>
      </c>
      <c r="D86" s="36" t="s">
        <v>711</v>
      </c>
      <c r="E86" s="36" t="s">
        <v>54</v>
      </c>
      <c r="F86" s="34" t="s">
        <v>712</v>
      </c>
      <c r="G86" s="37" t="s">
        <v>360</v>
      </c>
      <c r="H86" s="37" t="s">
        <v>350</v>
      </c>
      <c r="I86" s="141" t="s">
        <v>713</v>
      </c>
      <c r="J86" s="34" t="s">
        <v>41</v>
      </c>
      <c r="K86" s="39" t="s">
        <v>42</v>
      </c>
      <c r="L86" s="142" t="s">
        <v>714</v>
      </c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42" t="s">
        <v>715</v>
      </c>
      <c r="Y86" s="58" t="s">
        <v>716</v>
      </c>
      <c r="Z86" s="44" t="s">
        <v>717</v>
      </c>
      <c r="AA86" s="45">
        <v>42935</v>
      </c>
      <c r="AB86" s="46" t="s">
        <v>30</v>
      </c>
      <c r="AC86" s="36" t="s">
        <v>26</v>
      </c>
      <c r="AD86" s="47" t="s">
        <v>49</v>
      </c>
      <c r="AE86" s="48" t="s">
        <v>49</v>
      </c>
      <c r="AF86" s="48" t="s">
        <v>49</v>
      </c>
      <c r="AG86" s="48" t="s">
        <v>49</v>
      </c>
      <c r="AH86" s="48" t="s">
        <v>49</v>
      </c>
      <c r="AI86" s="48" t="s">
        <v>49</v>
      </c>
      <c r="AJ86" s="49" t="s">
        <v>41</v>
      </c>
      <c r="AK86" s="48" t="s">
        <v>41</v>
      </c>
      <c r="AL86" s="62" t="s">
        <v>276</v>
      </c>
      <c r="AM86" s="138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1"/>
    </row>
    <row r="87" spans="1:51" x14ac:dyDescent="0.2">
      <c r="A87" s="33">
        <f t="shared" si="2"/>
        <v>82</v>
      </c>
      <c r="B87" s="108" t="s">
        <v>718</v>
      </c>
      <c r="C87" s="35" t="s">
        <v>719</v>
      </c>
      <c r="D87" s="36" t="s">
        <v>720</v>
      </c>
      <c r="E87" s="36" t="s">
        <v>54</v>
      </c>
      <c r="F87" s="34" t="s">
        <v>721</v>
      </c>
      <c r="G87" s="37" t="s">
        <v>360</v>
      </c>
      <c r="H87" s="37" t="s">
        <v>350</v>
      </c>
      <c r="I87" s="143" t="s">
        <v>722</v>
      </c>
      <c r="J87" s="34" t="s">
        <v>41</v>
      </c>
      <c r="K87" s="39" t="s">
        <v>42</v>
      </c>
      <c r="L87" s="142" t="s">
        <v>91</v>
      </c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42" t="s">
        <v>723</v>
      </c>
      <c r="Y87" s="58" t="s">
        <v>724</v>
      </c>
      <c r="Z87" s="119" t="s">
        <v>725</v>
      </c>
      <c r="AA87" s="45">
        <v>43200</v>
      </c>
      <c r="AB87" s="46" t="s">
        <v>30</v>
      </c>
      <c r="AC87" s="36" t="s">
        <v>26</v>
      </c>
      <c r="AD87" s="47" t="s">
        <v>49</v>
      </c>
      <c r="AE87" s="48" t="s">
        <v>49</v>
      </c>
      <c r="AF87" s="48" t="s">
        <v>49</v>
      </c>
      <c r="AG87" s="48" t="s">
        <v>49</v>
      </c>
      <c r="AH87" s="48" t="s">
        <v>49</v>
      </c>
      <c r="AI87" s="48" t="s">
        <v>49</v>
      </c>
      <c r="AJ87" s="49" t="s">
        <v>49</v>
      </c>
      <c r="AK87" s="48" t="s">
        <v>49</v>
      </c>
      <c r="AL87" s="62" t="s">
        <v>32</v>
      </c>
      <c r="AM87" s="59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1"/>
    </row>
    <row r="88" spans="1:51" x14ac:dyDescent="0.2">
      <c r="A88" s="33">
        <f t="shared" si="2"/>
        <v>83</v>
      </c>
      <c r="B88" s="108" t="s">
        <v>726</v>
      </c>
      <c r="C88" s="35" t="s">
        <v>727</v>
      </c>
      <c r="D88" s="36" t="s">
        <v>728</v>
      </c>
      <c r="E88" s="36" t="s">
        <v>54</v>
      </c>
      <c r="F88" s="34" t="s">
        <v>729</v>
      </c>
      <c r="G88" s="37" t="s">
        <v>205</v>
      </c>
      <c r="H88" s="37" t="s">
        <v>205</v>
      </c>
      <c r="I88" s="140" t="s">
        <v>730</v>
      </c>
      <c r="J88" s="34" t="s">
        <v>41</v>
      </c>
      <c r="K88" s="39" t="s">
        <v>42</v>
      </c>
      <c r="L88" s="142" t="s">
        <v>731</v>
      </c>
      <c r="M88" s="56" t="s">
        <v>179</v>
      </c>
      <c r="N88" s="56" t="s">
        <v>179</v>
      </c>
      <c r="O88" s="56"/>
      <c r="P88" s="56">
        <v>2</v>
      </c>
      <c r="Q88" s="56"/>
      <c r="R88" s="56"/>
      <c r="S88" s="56" t="s">
        <v>44</v>
      </c>
      <c r="T88" s="56"/>
      <c r="U88" s="56"/>
      <c r="V88" s="56" t="s">
        <v>732</v>
      </c>
      <c r="W88" s="56"/>
      <c r="X88" s="57" t="s">
        <v>733</v>
      </c>
      <c r="Y88" s="58" t="s">
        <v>734</v>
      </c>
      <c r="Z88" s="144" t="s">
        <v>735</v>
      </c>
      <c r="AA88" s="45">
        <v>44650</v>
      </c>
      <c r="AB88" s="46" t="s">
        <v>129</v>
      </c>
      <c r="AC88" s="36"/>
      <c r="AD88" s="47" t="s">
        <v>49</v>
      </c>
      <c r="AE88" s="48" t="s">
        <v>41</v>
      </c>
      <c r="AF88" s="48" t="s">
        <v>41</v>
      </c>
      <c r="AG88" s="48" t="s">
        <v>49</v>
      </c>
      <c r="AH88" s="48" t="s">
        <v>49</v>
      </c>
      <c r="AI88" s="48" t="s">
        <v>49</v>
      </c>
      <c r="AJ88" s="49" t="s">
        <v>49</v>
      </c>
      <c r="AK88" s="48" t="s">
        <v>41</v>
      </c>
      <c r="AL88" s="62" t="s">
        <v>148</v>
      </c>
      <c r="AM88" s="59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1"/>
    </row>
    <row r="89" spans="1:51" x14ac:dyDescent="0.2">
      <c r="A89" s="33">
        <f t="shared" si="2"/>
        <v>84</v>
      </c>
      <c r="B89" s="108" t="s">
        <v>736</v>
      </c>
      <c r="C89" s="35" t="s">
        <v>737</v>
      </c>
      <c r="D89" s="36" t="s">
        <v>738</v>
      </c>
      <c r="E89" s="36" t="s">
        <v>36</v>
      </c>
      <c r="F89" s="34" t="s">
        <v>739</v>
      </c>
      <c r="G89" s="37" t="s">
        <v>73</v>
      </c>
      <c r="H89" s="37" t="s">
        <v>73</v>
      </c>
      <c r="I89" s="140" t="s">
        <v>740</v>
      </c>
      <c r="J89" s="34" t="s">
        <v>41</v>
      </c>
      <c r="K89" s="39" t="s">
        <v>42</v>
      </c>
      <c r="L89" s="142">
        <v>45310</v>
      </c>
      <c r="M89" s="56" t="s">
        <v>179</v>
      </c>
      <c r="N89" s="56" t="s">
        <v>179</v>
      </c>
      <c r="O89" s="56"/>
      <c r="P89" s="56">
        <v>1</v>
      </c>
      <c r="Q89" s="56" t="s">
        <v>179</v>
      </c>
      <c r="R89" s="56"/>
      <c r="S89" s="56"/>
      <c r="T89" s="56"/>
      <c r="U89" s="56" t="s">
        <v>44</v>
      </c>
      <c r="V89" s="56"/>
      <c r="W89" s="56"/>
      <c r="X89" s="145" t="s">
        <v>741</v>
      </c>
      <c r="Y89" s="58" t="s">
        <v>742</v>
      </c>
      <c r="Z89" s="121"/>
      <c r="AA89" s="45"/>
      <c r="AB89" s="46"/>
      <c r="AC89" s="36"/>
      <c r="AD89" s="47" t="s">
        <v>49</v>
      </c>
      <c r="AE89" s="48" t="s">
        <v>41</v>
      </c>
      <c r="AF89" s="48" t="s">
        <v>41</v>
      </c>
      <c r="AG89" s="48" t="s">
        <v>41</v>
      </c>
      <c r="AH89" s="48" t="s">
        <v>41</v>
      </c>
      <c r="AI89" s="48" t="s">
        <v>49</v>
      </c>
      <c r="AJ89" s="49" t="s">
        <v>41</v>
      </c>
      <c r="AK89" s="48" t="s">
        <v>41</v>
      </c>
      <c r="AL89" s="62" t="s">
        <v>276</v>
      </c>
      <c r="AM89" s="59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1"/>
    </row>
    <row r="90" spans="1:51" x14ac:dyDescent="0.2">
      <c r="A90" s="33">
        <f t="shared" si="2"/>
        <v>85</v>
      </c>
      <c r="B90" s="108" t="s">
        <v>743</v>
      </c>
      <c r="C90" s="35" t="s">
        <v>744</v>
      </c>
      <c r="D90" s="36" t="s">
        <v>745</v>
      </c>
      <c r="E90" s="36" t="s">
        <v>54</v>
      </c>
      <c r="F90" s="34" t="s">
        <v>746</v>
      </c>
      <c r="G90" s="37" t="s">
        <v>747</v>
      </c>
      <c r="H90" s="37" t="s">
        <v>378</v>
      </c>
      <c r="I90" s="140" t="s">
        <v>748</v>
      </c>
      <c r="J90" s="34" t="s">
        <v>41</v>
      </c>
      <c r="K90" s="39" t="s">
        <v>42</v>
      </c>
      <c r="L90" s="142" t="s">
        <v>749</v>
      </c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42" t="s">
        <v>750</v>
      </c>
      <c r="Y90" s="58" t="s">
        <v>751</v>
      </c>
      <c r="Z90" s="44" t="s">
        <v>752</v>
      </c>
      <c r="AA90" s="45">
        <v>44041</v>
      </c>
      <c r="AB90" s="46" t="s">
        <v>30</v>
      </c>
      <c r="AC90" s="36" t="s">
        <v>26</v>
      </c>
      <c r="AD90" s="47" t="s">
        <v>49</v>
      </c>
      <c r="AE90" s="48" t="s">
        <v>49</v>
      </c>
      <c r="AF90" s="48" t="s">
        <v>49</v>
      </c>
      <c r="AG90" s="48" t="s">
        <v>49</v>
      </c>
      <c r="AH90" s="48" t="s">
        <v>49</v>
      </c>
      <c r="AI90" s="48" t="s">
        <v>49</v>
      </c>
      <c r="AJ90" s="49" t="s">
        <v>49</v>
      </c>
      <c r="AK90" s="48" t="s">
        <v>49</v>
      </c>
      <c r="AL90" s="65" t="s">
        <v>32</v>
      </c>
      <c r="AM90" s="59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1"/>
    </row>
    <row r="91" spans="1:51" x14ac:dyDescent="0.2">
      <c r="A91" s="33">
        <f t="shared" si="2"/>
        <v>86</v>
      </c>
      <c r="B91" s="108" t="s">
        <v>753</v>
      </c>
      <c r="C91" s="35" t="s">
        <v>754</v>
      </c>
      <c r="D91" s="36" t="s">
        <v>755</v>
      </c>
      <c r="E91" s="36" t="s">
        <v>54</v>
      </c>
      <c r="F91" s="34" t="s">
        <v>756</v>
      </c>
      <c r="G91" s="37" t="s">
        <v>398</v>
      </c>
      <c r="H91" s="37" t="s">
        <v>205</v>
      </c>
      <c r="I91" s="140" t="s">
        <v>757</v>
      </c>
      <c r="J91" s="34" t="s">
        <v>41</v>
      </c>
      <c r="K91" s="39" t="s">
        <v>42</v>
      </c>
      <c r="L91" s="142" t="s">
        <v>758</v>
      </c>
      <c r="M91" s="56"/>
      <c r="N91" s="56"/>
      <c r="O91" s="56"/>
      <c r="P91" s="56"/>
      <c r="Q91" s="56"/>
      <c r="R91" s="56"/>
      <c r="S91" s="56"/>
      <c r="T91" s="56" t="s">
        <v>44</v>
      </c>
      <c r="U91" s="56"/>
      <c r="V91" s="56"/>
      <c r="W91" s="56"/>
      <c r="X91" s="42" t="s">
        <v>759</v>
      </c>
      <c r="Y91" s="58" t="s">
        <v>760</v>
      </c>
      <c r="Z91" s="44"/>
      <c r="AA91" s="45">
        <v>45642</v>
      </c>
      <c r="AB91" s="46"/>
      <c r="AC91" s="36"/>
      <c r="AD91" s="47" t="s">
        <v>49</v>
      </c>
      <c r="AE91" s="48" t="s">
        <v>41</v>
      </c>
      <c r="AF91" s="48" t="s">
        <v>41</v>
      </c>
      <c r="AG91" s="48" t="s">
        <v>41</v>
      </c>
      <c r="AH91" s="48" t="s">
        <v>49</v>
      </c>
      <c r="AI91" s="48" t="s">
        <v>49</v>
      </c>
      <c r="AJ91" s="49" t="s">
        <v>41</v>
      </c>
      <c r="AK91" s="48" t="s">
        <v>41</v>
      </c>
      <c r="AL91" s="65" t="s">
        <v>276</v>
      </c>
      <c r="AM91" s="59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1"/>
    </row>
    <row r="92" spans="1:51" x14ac:dyDescent="0.2">
      <c r="A92" s="33">
        <f t="shared" si="2"/>
        <v>87</v>
      </c>
      <c r="B92" s="34" t="s">
        <v>761</v>
      </c>
      <c r="C92" s="35" t="s">
        <v>762</v>
      </c>
      <c r="D92" s="36" t="s">
        <v>763</v>
      </c>
      <c r="E92" s="36" t="s">
        <v>54</v>
      </c>
      <c r="F92" s="34" t="s">
        <v>764</v>
      </c>
      <c r="G92" s="37" t="s">
        <v>176</v>
      </c>
      <c r="H92" s="37" t="s">
        <v>39</v>
      </c>
      <c r="I92" s="38" t="s">
        <v>765</v>
      </c>
      <c r="J92" s="34" t="s">
        <v>41</v>
      </c>
      <c r="K92" s="39" t="s">
        <v>42</v>
      </c>
      <c r="L92" s="40" t="s">
        <v>766</v>
      </c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42" t="s">
        <v>767</v>
      </c>
      <c r="Y92" s="58" t="s">
        <v>768</v>
      </c>
      <c r="Z92" s="44" t="s">
        <v>769</v>
      </c>
      <c r="AA92" s="45">
        <v>44944</v>
      </c>
      <c r="AB92" s="46" t="s">
        <v>30</v>
      </c>
      <c r="AC92" s="36" t="s">
        <v>26</v>
      </c>
      <c r="AD92" s="47" t="s">
        <v>49</v>
      </c>
      <c r="AE92" s="48" t="s">
        <v>49</v>
      </c>
      <c r="AF92" s="48" t="s">
        <v>49</v>
      </c>
      <c r="AG92" s="48" t="s">
        <v>49</v>
      </c>
      <c r="AH92" s="48" t="s">
        <v>49</v>
      </c>
      <c r="AI92" s="48" t="s">
        <v>49</v>
      </c>
      <c r="AJ92" s="49" t="s">
        <v>49</v>
      </c>
      <c r="AK92" s="48" t="s">
        <v>49</v>
      </c>
      <c r="AL92" s="62" t="s">
        <v>32</v>
      </c>
      <c r="AM92" s="59"/>
      <c r="AN92" s="32"/>
      <c r="AO92" s="32"/>
      <c r="AP92" s="32"/>
      <c r="AQ92" s="32">
        <f>2026-2062</f>
        <v>-36</v>
      </c>
      <c r="AR92" s="32"/>
      <c r="AS92" s="32"/>
      <c r="AT92" s="32"/>
      <c r="AU92" s="32"/>
      <c r="AV92" s="32"/>
      <c r="AW92" s="32"/>
      <c r="AX92" s="32"/>
      <c r="AY92" s="31"/>
    </row>
    <row r="93" spans="1:51" x14ac:dyDescent="0.2">
      <c r="A93" s="33">
        <f t="shared" si="2"/>
        <v>88</v>
      </c>
      <c r="B93" s="34" t="s">
        <v>770</v>
      </c>
      <c r="C93" s="35" t="s">
        <v>771</v>
      </c>
      <c r="D93" s="36" t="s">
        <v>772</v>
      </c>
      <c r="E93" s="36" t="s">
        <v>54</v>
      </c>
      <c r="F93" s="34" t="s">
        <v>773</v>
      </c>
      <c r="G93" s="37" t="s">
        <v>252</v>
      </c>
      <c r="H93" s="37" t="s">
        <v>57</v>
      </c>
      <c r="I93" s="38" t="s">
        <v>774</v>
      </c>
      <c r="J93" s="34" t="s">
        <v>41</v>
      </c>
      <c r="K93" s="39" t="s">
        <v>42</v>
      </c>
      <c r="L93" s="53">
        <v>44938</v>
      </c>
      <c r="M93" s="56"/>
      <c r="N93" s="56"/>
      <c r="O93" s="56"/>
      <c r="P93" s="56"/>
      <c r="Q93" s="56"/>
      <c r="R93" s="56"/>
      <c r="S93" s="56"/>
      <c r="T93" s="56" t="s">
        <v>44</v>
      </c>
      <c r="U93" s="56"/>
      <c r="V93" s="56"/>
      <c r="W93" s="56"/>
      <c r="X93" s="38" t="s">
        <v>775</v>
      </c>
      <c r="Y93" s="58" t="s">
        <v>776</v>
      </c>
      <c r="Z93" s="44" t="s">
        <v>777</v>
      </c>
      <c r="AA93" s="45">
        <v>42325</v>
      </c>
      <c r="AB93" s="46" t="s">
        <v>30</v>
      </c>
      <c r="AC93" s="36"/>
      <c r="AD93" s="47" t="s">
        <v>49</v>
      </c>
      <c r="AE93" s="48" t="s">
        <v>41</v>
      </c>
      <c r="AF93" s="48" t="s">
        <v>41</v>
      </c>
      <c r="AG93" s="48" t="s">
        <v>41</v>
      </c>
      <c r="AH93" s="48" t="s">
        <v>49</v>
      </c>
      <c r="AI93" s="48" t="s">
        <v>49</v>
      </c>
      <c r="AJ93" s="49" t="s">
        <v>49</v>
      </c>
      <c r="AK93" s="48" t="s">
        <v>49</v>
      </c>
      <c r="AL93" s="62" t="s">
        <v>32</v>
      </c>
      <c r="AM93" s="59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1"/>
    </row>
    <row r="94" spans="1:51" x14ac:dyDescent="0.2">
      <c r="A94" s="33">
        <f t="shared" si="2"/>
        <v>89</v>
      </c>
      <c r="B94" s="34" t="s">
        <v>778</v>
      </c>
      <c r="C94" s="35" t="s">
        <v>779</v>
      </c>
      <c r="D94" s="36" t="s">
        <v>780</v>
      </c>
      <c r="E94" s="36" t="s">
        <v>54</v>
      </c>
      <c r="F94" s="34" t="s">
        <v>781</v>
      </c>
      <c r="G94" s="37" t="s">
        <v>176</v>
      </c>
      <c r="H94" s="37" t="s">
        <v>39</v>
      </c>
      <c r="I94" s="38" t="s">
        <v>782</v>
      </c>
      <c r="J94" s="34" t="s">
        <v>41</v>
      </c>
      <c r="K94" s="39" t="s">
        <v>42</v>
      </c>
      <c r="L94" s="40" t="s">
        <v>783</v>
      </c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42" t="s">
        <v>784</v>
      </c>
      <c r="Y94" s="58" t="s">
        <v>785</v>
      </c>
      <c r="Z94" s="44" t="s">
        <v>786</v>
      </c>
      <c r="AA94" s="45">
        <v>44944</v>
      </c>
      <c r="AB94" s="46" t="s">
        <v>30</v>
      </c>
      <c r="AC94" s="36" t="s">
        <v>26</v>
      </c>
      <c r="AD94" s="47" t="s">
        <v>49</v>
      </c>
      <c r="AE94" s="48" t="s">
        <v>49</v>
      </c>
      <c r="AF94" s="48" t="s">
        <v>41</v>
      </c>
      <c r="AG94" s="48" t="s">
        <v>41</v>
      </c>
      <c r="AH94" s="48" t="s">
        <v>41</v>
      </c>
      <c r="AI94" s="48" t="s">
        <v>41</v>
      </c>
      <c r="AJ94" s="49" t="s">
        <v>41</v>
      </c>
      <c r="AK94" s="48" t="s">
        <v>41</v>
      </c>
      <c r="AL94" s="62" t="s">
        <v>4587</v>
      </c>
      <c r="AM94" s="59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1"/>
    </row>
    <row r="95" spans="1:51" x14ac:dyDescent="0.2">
      <c r="A95" s="33">
        <f t="shared" si="2"/>
        <v>90</v>
      </c>
      <c r="B95" s="34" t="s">
        <v>787</v>
      </c>
      <c r="C95" s="35" t="s">
        <v>788</v>
      </c>
      <c r="D95" s="36" t="s">
        <v>789</v>
      </c>
      <c r="E95" s="36" t="s">
        <v>54</v>
      </c>
      <c r="F95" s="34" t="s">
        <v>790</v>
      </c>
      <c r="G95" s="37" t="s">
        <v>38</v>
      </c>
      <c r="H95" s="37" t="s">
        <v>39</v>
      </c>
      <c r="I95" s="34" t="s">
        <v>791</v>
      </c>
      <c r="J95" s="34" t="s">
        <v>41</v>
      </c>
      <c r="K95" s="39" t="s">
        <v>42</v>
      </c>
      <c r="L95" s="40" t="s">
        <v>792</v>
      </c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42" t="s">
        <v>793</v>
      </c>
      <c r="Y95" s="52" t="s">
        <v>794</v>
      </c>
      <c r="Z95" s="44" t="s">
        <v>795</v>
      </c>
      <c r="AA95" s="45">
        <v>44041</v>
      </c>
      <c r="AB95" s="46" t="s">
        <v>30</v>
      </c>
      <c r="AC95" s="36" t="s">
        <v>26</v>
      </c>
      <c r="AD95" s="47" t="s">
        <v>49</v>
      </c>
      <c r="AE95" s="48" t="s">
        <v>49</v>
      </c>
      <c r="AF95" s="48" t="s">
        <v>49</v>
      </c>
      <c r="AG95" s="48" t="s">
        <v>49</v>
      </c>
      <c r="AH95" s="48" t="s">
        <v>49</v>
      </c>
      <c r="AI95" s="48" t="s">
        <v>49</v>
      </c>
      <c r="AJ95" s="49" t="s">
        <v>49</v>
      </c>
      <c r="AK95" s="48" t="s">
        <v>49</v>
      </c>
      <c r="AL95" s="65" t="s">
        <v>32</v>
      </c>
      <c r="AM95" s="59"/>
      <c r="AN95" s="10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1"/>
    </row>
    <row r="96" spans="1:51" x14ac:dyDescent="0.2">
      <c r="A96" s="33">
        <f t="shared" si="2"/>
        <v>91</v>
      </c>
      <c r="B96" s="34" t="s">
        <v>796</v>
      </c>
      <c r="C96" s="35" t="s">
        <v>797</v>
      </c>
      <c r="D96" s="36" t="s">
        <v>4606</v>
      </c>
      <c r="E96" s="36" t="s">
        <v>36</v>
      </c>
      <c r="F96" s="34" t="s">
        <v>798</v>
      </c>
      <c r="G96" s="37" t="s">
        <v>39</v>
      </c>
      <c r="H96" s="37" t="s">
        <v>39</v>
      </c>
      <c r="I96" s="38" t="s">
        <v>799</v>
      </c>
      <c r="J96" s="34" t="s">
        <v>41</v>
      </c>
      <c r="K96" s="39" t="s">
        <v>42</v>
      </c>
      <c r="L96" s="40" t="s">
        <v>800</v>
      </c>
      <c r="M96" s="56" t="s">
        <v>179</v>
      </c>
      <c r="N96" s="56"/>
      <c r="O96" s="56"/>
      <c r="P96" s="56"/>
      <c r="Q96" s="56"/>
      <c r="R96" s="56"/>
      <c r="S96" s="56"/>
      <c r="T96" s="56"/>
      <c r="U96" s="56"/>
      <c r="V96" s="56"/>
      <c r="W96" s="56" t="s">
        <v>732</v>
      </c>
      <c r="X96" s="42" t="s">
        <v>801</v>
      </c>
      <c r="Y96" s="55" t="s">
        <v>802</v>
      </c>
      <c r="Z96" s="44" t="s">
        <v>61</v>
      </c>
      <c r="AA96" s="45">
        <v>43200</v>
      </c>
      <c r="AB96" s="46" t="s">
        <v>30</v>
      </c>
      <c r="AC96" s="36" t="s">
        <v>26</v>
      </c>
      <c r="AD96" s="47" t="s">
        <v>49</v>
      </c>
      <c r="AE96" s="48" t="s">
        <v>49</v>
      </c>
      <c r="AF96" s="48" t="s">
        <v>49</v>
      </c>
      <c r="AG96" s="48" t="s">
        <v>49</v>
      </c>
      <c r="AH96" s="48" t="s">
        <v>49</v>
      </c>
      <c r="AI96" s="48" t="s">
        <v>49</v>
      </c>
      <c r="AJ96" s="49" t="s">
        <v>49</v>
      </c>
      <c r="AK96" s="48" t="s">
        <v>49</v>
      </c>
      <c r="AL96" s="62" t="s">
        <v>32</v>
      </c>
      <c r="AM96" s="59"/>
      <c r="AN96" s="10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1"/>
    </row>
    <row r="97" spans="1:51" x14ac:dyDescent="0.2">
      <c r="A97" s="33">
        <f t="shared" si="2"/>
        <v>92</v>
      </c>
      <c r="B97" s="34" t="s">
        <v>803</v>
      </c>
      <c r="C97" s="35" t="s">
        <v>804</v>
      </c>
      <c r="D97" s="36" t="s">
        <v>805</v>
      </c>
      <c r="E97" s="36" t="s">
        <v>54</v>
      </c>
      <c r="F97" s="34" t="s">
        <v>806</v>
      </c>
      <c r="G97" s="37" t="s">
        <v>73</v>
      </c>
      <c r="H97" s="37" t="s">
        <v>73</v>
      </c>
      <c r="I97" s="34" t="s">
        <v>807</v>
      </c>
      <c r="J97" s="34" t="s">
        <v>41</v>
      </c>
      <c r="K97" s="39" t="s">
        <v>42</v>
      </c>
      <c r="L97" s="40" t="s">
        <v>808</v>
      </c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2" t="s">
        <v>809</v>
      </c>
      <c r="Y97" s="52" t="s">
        <v>810</v>
      </c>
      <c r="Z97" s="44" t="s">
        <v>61</v>
      </c>
      <c r="AA97" s="45">
        <v>40815</v>
      </c>
      <c r="AB97" s="46" t="s">
        <v>30</v>
      </c>
      <c r="AC97" s="36" t="s">
        <v>26</v>
      </c>
      <c r="AD97" s="47" t="s">
        <v>49</v>
      </c>
      <c r="AE97" s="48" t="s">
        <v>49</v>
      </c>
      <c r="AF97" s="48" t="s">
        <v>49</v>
      </c>
      <c r="AG97" s="48" t="s">
        <v>49</v>
      </c>
      <c r="AH97" s="48" t="s">
        <v>49</v>
      </c>
      <c r="AI97" s="48" t="s">
        <v>49</v>
      </c>
      <c r="AJ97" s="49" t="s">
        <v>49</v>
      </c>
      <c r="AK97" s="48" t="s">
        <v>49</v>
      </c>
      <c r="AL97" s="62" t="s">
        <v>32</v>
      </c>
      <c r="AM97" s="59"/>
      <c r="AN97" s="10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1"/>
    </row>
    <row r="98" spans="1:51" x14ac:dyDescent="0.2">
      <c r="A98" s="33">
        <f t="shared" si="2"/>
        <v>93</v>
      </c>
      <c r="B98" s="34" t="s">
        <v>811</v>
      </c>
      <c r="C98" s="35" t="s">
        <v>812</v>
      </c>
      <c r="D98" s="73" t="s">
        <v>813</v>
      </c>
      <c r="E98" s="36" t="s">
        <v>54</v>
      </c>
      <c r="F98" s="98" t="s">
        <v>814</v>
      </c>
      <c r="G98" s="37" t="s">
        <v>360</v>
      </c>
      <c r="H98" s="37" t="s">
        <v>350</v>
      </c>
      <c r="I98" s="34" t="s">
        <v>815</v>
      </c>
      <c r="J98" s="34" t="s">
        <v>41</v>
      </c>
      <c r="K98" s="39" t="s">
        <v>42</v>
      </c>
      <c r="L98" s="53" t="s">
        <v>816</v>
      </c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42" t="s">
        <v>817</v>
      </c>
      <c r="Y98" s="69" t="s">
        <v>818</v>
      </c>
      <c r="Z98" s="44" t="s">
        <v>819</v>
      </c>
      <c r="AA98" s="45">
        <v>43200</v>
      </c>
      <c r="AB98" s="46" t="s">
        <v>30</v>
      </c>
      <c r="AC98" s="73" t="s">
        <v>26</v>
      </c>
      <c r="AD98" s="47" t="s">
        <v>49</v>
      </c>
      <c r="AE98" s="48" t="s">
        <v>49</v>
      </c>
      <c r="AF98" s="48" t="s">
        <v>49</v>
      </c>
      <c r="AG98" s="48" t="s">
        <v>49</v>
      </c>
      <c r="AH98" s="48" t="s">
        <v>49</v>
      </c>
      <c r="AI98" s="49" t="s">
        <v>41</v>
      </c>
      <c r="AJ98" s="49" t="s">
        <v>41</v>
      </c>
      <c r="AK98" s="48" t="s">
        <v>41</v>
      </c>
      <c r="AL98" s="62" t="s">
        <v>4589</v>
      </c>
      <c r="AM98" s="59"/>
      <c r="AN98" s="10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1"/>
    </row>
    <row r="99" spans="1:51" x14ac:dyDescent="0.2">
      <c r="A99" s="33">
        <f t="shared" si="2"/>
        <v>94</v>
      </c>
      <c r="B99" s="34" t="s">
        <v>820</v>
      </c>
      <c r="C99" s="35" t="s">
        <v>821</v>
      </c>
      <c r="D99" s="36" t="s">
        <v>822</v>
      </c>
      <c r="E99" s="36" t="s">
        <v>54</v>
      </c>
      <c r="F99" s="34" t="s">
        <v>823</v>
      </c>
      <c r="G99" s="37" t="s">
        <v>528</v>
      </c>
      <c r="H99" s="37" t="s">
        <v>57</v>
      </c>
      <c r="I99" s="38" t="s">
        <v>824</v>
      </c>
      <c r="J99" s="34" t="s">
        <v>41</v>
      </c>
      <c r="K99" s="39" t="s">
        <v>42</v>
      </c>
      <c r="L99" s="40" t="s">
        <v>825</v>
      </c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2" t="s">
        <v>826</v>
      </c>
      <c r="Y99" s="52" t="s">
        <v>827</v>
      </c>
      <c r="Z99" s="44" t="s">
        <v>828</v>
      </c>
      <c r="AA99" s="45">
        <v>44041</v>
      </c>
      <c r="AB99" s="46" t="s">
        <v>30</v>
      </c>
      <c r="AC99" s="36" t="s">
        <v>26</v>
      </c>
      <c r="AD99" s="47" t="s">
        <v>49</v>
      </c>
      <c r="AE99" s="48" t="s">
        <v>49</v>
      </c>
      <c r="AF99" s="48" t="s">
        <v>49</v>
      </c>
      <c r="AG99" s="48" t="s">
        <v>49</v>
      </c>
      <c r="AH99" s="48" t="s">
        <v>49</v>
      </c>
      <c r="AI99" s="48" t="s">
        <v>49</v>
      </c>
      <c r="AJ99" s="49" t="s">
        <v>49</v>
      </c>
      <c r="AK99" s="48" t="s">
        <v>41</v>
      </c>
      <c r="AL99" s="62" t="s">
        <v>148</v>
      </c>
      <c r="AM99" s="59"/>
      <c r="AN99" s="10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1"/>
    </row>
    <row r="100" spans="1:51" x14ac:dyDescent="0.2">
      <c r="A100" s="33">
        <f t="shared" si="2"/>
        <v>95</v>
      </c>
      <c r="B100" s="34" t="s">
        <v>829</v>
      </c>
      <c r="C100" s="35" t="s">
        <v>4618</v>
      </c>
      <c r="D100" s="36" t="s">
        <v>830</v>
      </c>
      <c r="E100" s="36" t="s">
        <v>54</v>
      </c>
      <c r="F100" s="34" t="s">
        <v>831</v>
      </c>
      <c r="G100" s="37" t="s">
        <v>747</v>
      </c>
      <c r="H100" s="37" t="s">
        <v>378</v>
      </c>
      <c r="I100" s="38" t="s">
        <v>832</v>
      </c>
      <c r="J100" s="34" t="s">
        <v>41</v>
      </c>
      <c r="K100" s="39" t="s">
        <v>42</v>
      </c>
      <c r="L100" s="40" t="s">
        <v>833</v>
      </c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42" t="s">
        <v>834</v>
      </c>
      <c r="Y100" s="58" t="s">
        <v>835</v>
      </c>
      <c r="Z100" s="44" t="s">
        <v>836</v>
      </c>
      <c r="AA100" s="45">
        <v>41793</v>
      </c>
      <c r="AB100" s="46" t="s">
        <v>30</v>
      </c>
      <c r="AC100" s="36" t="s">
        <v>26</v>
      </c>
      <c r="AD100" s="47" t="s">
        <v>49</v>
      </c>
      <c r="AE100" s="48" t="s">
        <v>49</v>
      </c>
      <c r="AF100" s="48" t="s">
        <v>49</v>
      </c>
      <c r="AG100" s="48" t="s">
        <v>49</v>
      </c>
      <c r="AH100" s="48" t="s">
        <v>49</v>
      </c>
      <c r="AI100" s="48" t="s">
        <v>49</v>
      </c>
      <c r="AJ100" s="49" t="s">
        <v>49</v>
      </c>
      <c r="AK100" s="48" t="s">
        <v>49</v>
      </c>
      <c r="AL100" s="62" t="s">
        <v>32</v>
      </c>
      <c r="AM100" s="59"/>
      <c r="AN100" s="10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1"/>
    </row>
    <row r="101" spans="1:51" x14ac:dyDescent="0.2">
      <c r="A101" s="33">
        <f t="shared" si="2"/>
        <v>96</v>
      </c>
      <c r="B101" s="34" t="s">
        <v>837</v>
      </c>
      <c r="C101" s="35" t="s">
        <v>838</v>
      </c>
      <c r="D101" s="36" t="s">
        <v>839</v>
      </c>
      <c r="E101" s="36" t="s">
        <v>54</v>
      </c>
      <c r="F101" s="34" t="s">
        <v>840</v>
      </c>
      <c r="G101" s="37" t="s">
        <v>38</v>
      </c>
      <c r="H101" s="37" t="s">
        <v>39</v>
      </c>
      <c r="I101" s="34" t="s">
        <v>841</v>
      </c>
      <c r="J101" s="38" t="s">
        <v>842</v>
      </c>
      <c r="K101" s="39" t="s">
        <v>42</v>
      </c>
      <c r="L101" s="40" t="s">
        <v>843</v>
      </c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2" t="s">
        <v>844</v>
      </c>
      <c r="Y101" s="100" t="s">
        <v>845</v>
      </c>
      <c r="Z101" s="44" t="s">
        <v>61</v>
      </c>
      <c r="AA101" s="45">
        <v>40280</v>
      </c>
      <c r="AB101" s="46" t="s">
        <v>30</v>
      </c>
      <c r="AC101" s="36" t="s">
        <v>26</v>
      </c>
      <c r="AD101" s="47" t="s">
        <v>49</v>
      </c>
      <c r="AE101" s="48" t="s">
        <v>49</v>
      </c>
      <c r="AF101" s="48" t="s">
        <v>49</v>
      </c>
      <c r="AG101" s="48" t="s">
        <v>49</v>
      </c>
      <c r="AH101" s="48" t="s">
        <v>49</v>
      </c>
      <c r="AI101" s="48" t="s">
        <v>49</v>
      </c>
      <c r="AJ101" s="49" t="s">
        <v>41</v>
      </c>
      <c r="AK101" s="48" t="s">
        <v>41</v>
      </c>
      <c r="AL101" s="62" t="s">
        <v>276</v>
      </c>
      <c r="AM101" s="59"/>
      <c r="AN101" s="10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1"/>
    </row>
    <row r="102" spans="1:51" x14ac:dyDescent="0.2">
      <c r="A102" s="33">
        <f t="shared" si="2"/>
        <v>97</v>
      </c>
      <c r="B102" s="34" t="s">
        <v>846</v>
      </c>
      <c r="C102" s="35" t="s">
        <v>847</v>
      </c>
      <c r="D102" s="36" t="s">
        <v>848</v>
      </c>
      <c r="E102" s="36" t="s">
        <v>54</v>
      </c>
      <c r="F102" s="34" t="s">
        <v>849</v>
      </c>
      <c r="G102" s="37" t="s">
        <v>73</v>
      </c>
      <c r="H102" s="37" t="s">
        <v>73</v>
      </c>
      <c r="I102" s="38" t="s">
        <v>850</v>
      </c>
      <c r="J102" s="38" t="s">
        <v>41</v>
      </c>
      <c r="K102" s="39" t="s">
        <v>42</v>
      </c>
      <c r="L102" s="40" t="s">
        <v>851</v>
      </c>
      <c r="M102" s="41"/>
      <c r="N102" s="41"/>
      <c r="O102" s="41"/>
      <c r="P102" s="41"/>
      <c r="Q102" s="41"/>
      <c r="R102" s="41"/>
      <c r="S102" s="41"/>
      <c r="T102" s="41" t="s">
        <v>44</v>
      </c>
      <c r="U102" s="41"/>
      <c r="V102" s="41"/>
      <c r="W102" s="41"/>
      <c r="X102" s="42" t="s">
        <v>852</v>
      </c>
      <c r="Y102" s="146" t="s">
        <v>853</v>
      </c>
      <c r="Z102" s="44"/>
      <c r="AA102" s="45">
        <v>45642</v>
      </c>
      <c r="AB102" s="46"/>
      <c r="AC102" s="36"/>
      <c r="AD102" s="47" t="s">
        <v>49</v>
      </c>
      <c r="AE102" s="48" t="s">
        <v>41</v>
      </c>
      <c r="AF102" s="48" t="s">
        <v>41</v>
      </c>
      <c r="AG102" s="48" t="s">
        <v>41</v>
      </c>
      <c r="AH102" s="48" t="s">
        <v>49</v>
      </c>
      <c r="AI102" s="48" t="s">
        <v>49</v>
      </c>
      <c r="AJ102" s="49" t="s">
        <v>49</v>
      </c>
      <c r="AK102" s="48" t="s">
        <v>49</v>
      </c>
      <c r="AL102" s="62" t="s">
        <v>32</v>
      </c>
      <c r="AM102" s="59"/>
      <c r="AN102" s="102" t="s">
        <v>2569</v>
      </c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1"/>
    </row>
    <row r="103" spans="1:51" x14ac:dyDescent="0.2">
      <c r="A103" s="33">
        <f t="shared" si="2"/>
        <v>98</v>
      </c>
      <c r="B103" s="34" t="s">
        <v>854</v>
      </c>
      <c r="C103" s="35" t="s">
        <v>855</v>
      </c>
      <c r="D103" s="104" t="s">
        <v>856</v>
      </c>
      <c r="E103" s="36" t="s">
        <v>36</v>
      </c>
      <c r="F103" s="34" t="s">
        <v>857</v>
      </c>
      <c r="G103" s="37" t="s">
        <v>858</v>
      </c>
      <c r="H103" s="37" t="s">
        <v>57</v>
      </c>
      <c r="I103" s="38" t="s">
        <v>859</v>
      </c>
      <c r="J103" s="38" t="s">
        <v>41</v>
      </c>
      <c r="K103" s="39" t="s">
        <v>42</v>
      </c>
      <c r="L103" s="53">
        <v>45078</v>
      </c>
      <c r="M103" s="41"/>
      <c r="N103" s="41"/>
      <c r="O103" s="41"/>
      <c r="P103" s="41"/>
      <c r="Q103" s="41"/>
      <c r="R103" s="41"/>
      <c r="S103" s="41"/>
      <c r="T103" s="41" t="s">
        <v>44</v>
      </c>
      <c r="U103" s="41"/>
      <c r="V103" s="41"/>
      <c r="W103" s="41"/>
      <c r="X103" s="42" t="s">
        <v>860</v>
      </c>
      <c r="Y103" s="100" t="s">
        <v>861</v>
      </c>
      <c r="Z103" s="44" t="s">
        <v>862</v>
      </c>
      <c r="AA103" s="45">
        <v>44944</v>
      </c>
      <c r="AB103" s="101" t="s">
        <v>30</v>
      </c>
      <c r="AC103" s="36"/>
      <c r="AD103" s="47" t="s">
        <v>49</v>
      </c>
      <c r="AE103" s="48" t="s">
        <v>41</v>
      </c>
      <c r="AF103" s="48" t="s">
        <v>41</v>
      </c>
      <c r="AG103" s="48" t="s">
        <v>41</v>
      </c>
      <c r="AH103" s="48" t="s">
        <v>49</v>
      </c>
      <c r="AI103" s="48" t="s">
        <v>41</v>
      </c>
      <c r="AJ103" s="49" t="s">
        <v>41</v>
      </c>
      <c r="AK103" s="48" t="s">
        <v>41</v>
      </c>
      <c r="AL103" s="62" t="s">
        <v>4589</v>
      </c>
      <c r="AM103" s="59"/>
      <c r="AN103" s="10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1"/>
    </row>
    <row r="104" spans="1:51" x14ac:dyDescent="0.2">
      <c r="A104" s="33">
        <f t="shared" si="2"/>
        <v>99</v>
      </c>
      <c r="B104" s="34" t="s">
        <v>863</v>
      </c>
      <c r="C104" s="35" t="s">
        <v>864</v>
      </c>
      <c r="D104" s="109" t="s">
        <v>865</v>
      </c>
      <c r="E104" s="36" t="s">
        <v>54</v>
      </c>
      <c r="F104" s="108" t="s">
        <v>866</v>
      </c>
      <c r="G104" s="37" t="s">
        <v>73</v>
      </c>
      <c r="H104" s="37" t="s">
        <v>73</v>
      </c>
      <c r="I104" s="108" t="s">
        <v>867</v>
      </c>
      <c r="J104" s="108" t="s">
        <v>868</v>
      </c>
      <c r="K104" s="39" t="s">
        <v>42</v>
      </c>
      <c r="L104" s="40" t="s">
        <v>869</v>
      </c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42" t="s">
        <v>870</v>
      </c>
      <c r="Y104" s="58" t="s">
        <v>871</v>
      </c>
      <c r="Z104" s="44" t="s">
        <v>872</v>
      </c>
      <c r="AA104" s="45">
        <v>44041</v>
      </c>
      <c r="AB104" s="46" t="s">
        <v>30</v>
      </c>
      <c r="AC104" s="109" t="s">
        <v>26</v>
      </c>
      <c r="AD104" s="47" t="s">
        <v>49</v>
      </c>
      <c r="AE104" s="48" t="s">
        <v>49</v>
      </c>
      <c r="AF104" s="48" t="s">
        <v>49</v>
      </c>
      <c r="AG104" s="48" t="s">
        <v>49</v>
      </c>
      <c r="AH104" s="48" t="s">
        <v>49</v>
      </c>
      <c r="AI104" s="48" t="s">
        <v>49</v>
      </c>
      <c r="AJ104" s="49" t="s">
        <v>41</v>
      </c>
      <c r="AK104" s="48" t="s">
        <v>41</v>
      </c>
      <c r="AL104" s="62" t="s">
        <v>276</v>
      </c>
      <c r="AM104" s="59"/>
      <c r="AN104" s="10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1"/>
    </row>
    <row r="105" spans="1:51" x14ac:dyDescent="0.2">
      <c r="A105" s="33">
        <f t="shared" si="2"/>
        <v>100</v>
      </c>
      <c r="B105" s="34" t="s">
        <v>873</v>
      </c>
      <c r="C105" s="35" t="s">
        <v>874</v>
      </c>
      <c r="D105" s="73" t="s">
        <v>875</v>
      </c>
      <c r="E105" s="36" t="s">
        <v>54</v>
      </c>
      <c r="F105" s="98" t="s">
        <v>876</v>
      </c>
      <c r="G105" s="37" t="s">
        <v>398</v>
      </c>
      <c r="H105" s="37" t="s">
        <v>205</v>
      </c>
      <c r="I105" s="34" t="s">
        <v>877</v>
      </c>
      <c r="J105" s="34" t="s">
        <v>41</v>
      </c>
      <c r="K105" s="39" t="s">
        <v>42</v>
      </c>
      <c r="L105" s="40" t="s">
        <v>878</v>
      </c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42" t="s">
        <v>879</v>
      </c>
      <c r="Y105" s="55" t="s">
        <v>880</v>
      </c>
      <c r="Z105" s="44" t="s">
        <v>881</v>
      </c>
      <c r="AA105" s="45">
        <v>42935</v>
      </c>
      <c r="AB105" s="46" t="s">
        <v>30</v>
      </c>
      <c r="AC105" s="73" t="s">
        <v>26</v>
      </c>
      <c r="AD105" s="47" t="s">
        <v>49</v>
      </c>
      <c r="AE105" s="48" t="s">
        <v>49</v>
      </c>
      <c r="AF105" s="48" t="s">
        <v>49</v>
      </c>
      <c r="AG105" s="48" t="s">
        <v>49</v>
      </c>
      <c r="AH105" s="48" t="s">
        <v>49</v>
      </c>
      <c r="AI105" s="48" t="s">
        <v>49</v>
      </c>
      <c r="AJ105" s="49" t="s">
        <v>49</v>
      </c>
      <c r="AK105" s="48" t="s">
        <v>49</v>
      </c>
      <c r="AL105" s="65" t="s">
        <v>32</v>
      </c>
      <c r="AM105" s="59"/>
      <c r="AN105" s="10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1"/>
    </row>
    <row r="106" spans="1:51" x14ac:dyDescent="0.2">
      <c r="A106" s="33">
        <f t="shared" si="2"/>
        <v>101</v>
      </c>
      <c r="B106" s="34" t="s">
        <v>882</v>
      </c>
      <c r="C106" s="35" t="s">
        <v>883</v>
      </c>
      <c r="D106" s="36" t="s">
        <v>884</v>
      </c>
      <c r="E106" s="36" t="s">
        <v>54</v>
      </c>
      <c r="F106" s="34" t="s">
        <v>885</v>
      </c>
      <c r="G106" s="37" t="s">
        <v>176</v>
      </c>
      <c r="H106" s="37" t="s">
        <v>39</v>
      </c>
      <c r="I106" s="34" t="s">
        <v>886</v>
      </c>
      <c r="J106" s="34" t="s">
        <v>41</v>
      </c>
      <c r="K106" s="39" t="s">
        <v>42</v>
      </c>
      <c r="L106" s="40" t="s">
        <v>887</v>
      </c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2" t="s">
        <v>888</v>
      </c>
      <c r="Y106" s="58" t="s">
        <v>889</v>
      </c>
      <c r="Z106" s="44" t="s">
        <v>61</v>
      </c>
      <c r="AA106" s="45">
        <v>38593</v>
      </c>
      <c r="AB106" s="46" t="s">
        <v>30</v>
      </c>
      <c r="AC106" s="36"/>
      <c r="AD106" s="47" t="s">
        <v>49</v>
      </c>
      <c r="AE106" s="48" t="s">
        <v>41</v>
      </c>
      <c r="AF106" s="48" t="s">
        <v>41</v>
      </c>
      <c r="AG106" s="48" t="s">
        <v>41</v>
      </c>
      <c r="AH106" s="48" t="s">
        <v>41</v>
      </c>
      <c r="AI106" s="48" t="s">
        <v>41</v>
      </c>
      <c r="AJ106" s="49" t="s">
        <v>41</v>
      </c>
      <c r="AK106" s="48" t="s">
        <v>41</v>
      </c>
      <c r="AL106" s="82" t="s">
        <v>4592</v>
      </c>
      <c r="AM106" s="59" t="s">
        <v>890</v>
      </c>
      <c r="AN106" s="10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1"/>
    </row>
    <row r="107" spans="1:51" x14ac:dyDescent="0.2">
      <c r="A107" s="33">
        <f t="shared" si="2"/>
        <v>102</v>
      </c>
      <c r="B107" s="34" t="s">
        <v>891</v>
      </c>
      <c r="C107" s="35" t="s">
        <v>892</v>
      </c>
      <c r="D107" s="36" t="s">
        <v>893</v>
      </c>
      <c r="E107" s="36" t="s">
        <v>36</v>
      </c>
      <c r="F107" s="87" t="s">
        <v>894</v>
      </c>
      <c r="G107" s="37" t="s">
        <v>176</v>
      </c>
      <c r="H107" s="37" t="s">
        <v>39</v>
      </c>
      <c r="I107" s="34" t="s">
        <v>895</v>
      </c>
      <c r="J107" s="34" t="s">
        <v>41</v>
      </c>
      <c r="K107" s="39" t="s">
        <v>42</v>
      </c>
      <c r="L107" s="40" t="s">
        <v>896</v>
      </c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42" t="s">
        <v>897</v>
      </c>
      <c r="Y107" s="58" t="s">
        <v>898</v>
      </c>
      <c r="Z107" s="44" t="s">
        <v>899</v>
      </c>
      <c r="AA107" s="45">
        <v>42325</v>
      </c>
      <c r="AB107" s="46" t="s">
        <v>30</v>
      </c>
      <c r="AC107" s="36"/>
      <c r="AD107" s="47" t="s">
        <v>49</v>
      </c>
      <c r="AE107" s="48" t="s">
        <v>41</v>
      </c>
      <c r="AF107" s="48" t="s">
        <v>41</v>
      </c>
      <c r="AG107" s="48" t="s">
        <v>41</v>
      </c>
      <c r="AH107" s="48" t="s">
        <v>41</v>
      </c>
      <c r="AI107" s="48" t="s">
        <v>41</v>
      </c>
      <c r="AJ107" s="49" t="s">
        <v>41</v>
      </c>
      <c r="AK107" s="48" t="s">
        <v>41</v>
      </c>
      <c r="AL107" s="65" t="s">
        <v>4588</v>
      </c>
      <c r="AM107" s="59"/>
      <c r="AN107" s="117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1"/>
    </row>
    <row r="108" spans="1:51" x14ac:dyDescent="0.2">
      <c r="A108" s="33">
        <f t="shared" si="2"/>
        <v>103</v>
      </c>
      <c r="B108" s="34" t="s">
        <v>900</v>
      </c>
      <c r="C108" s="35" t="s">
        <v>901</v>
      </c>
      <c r="D108" s="36" t="s">
        <v>902</v>
      </c>
      <c r="E108" s="36" t="s">
        <v>54</v>
      </c>
      <c r="F108" s="34" t="s">
        <v>903</v>
      </c>
      <c r="G108" s="37" t="s">
        <v>73</v>
      </c>
      <c r="H108" s="37" t="s">
        <v>73</v>
      </c>
      <c r="I108" s="34" t="s">
        <v>904</v>
      </c>
      <c r="J108" s="34" t="s">
        <v>905</v>
      </c>
      <c r="K108" s="39" t="s">
        <v>42</v>
      </c>
      <c r="L108" s="53">
        <v>37051</v>
      </c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2" t="s">
        <v>906</v>
      </c>
      <c r="Y108" s="52" t="s">
        <v>907</v>
      </c>
      <c r="Z108" s="44" t="s">
        <v>908</v>
      </c>
      <c r="AA108" s="45">
        <v>42325</v>
      </c>
      <c r="AB108" s="46" t="s">
        <v>30</v>
      </c>
      <c r="AC108" s="36" t="s">
        <v>26</v>
      </c>
      <c r="AD108" s="47" t="s">
        <v>49</v>
      </c>
      <c r="AE108" s="48" t="s">
        <v>49</v>
      </c>
      <c r="AF108" s="48" t="s">
        <v>49</v>
      </c>
      <c r="AG108" s="48" t="s">
        <v>49</v>
      </c>
      <c r="AH108" s="48" t="s">
        <v>49</v>
      </c>
      <c r="AI108" s="48" t="s">
        <v>41</v>
      </c>
      <c r="AJ108" s="49" t="s">
        <v>41</v>
      </c>
      <c r="AK108" s="48" t="s">
        <v>41</v>
      </c>
      <c r="AL108" s="62" t="s">
        <v>4589</v>
      </c>
      <c r="AM108" s="59"/>
      <c r="AN108" s="10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1"/>
    </row>
    <row r="109" spans="1:51" x14ac:dyDescent="0.2">
      <c r="A109" s="33">
        <f t="shared" si="2"/>
        <v>104</v>
      </c>
      <c r="B109" s="34" t="s">
        <v>909</v>
      </c>
      <c r="C109" s="35" t="s">
        <v>910</v>
      </c>
      <c r="D109" s="36" t="s">
        <v>911</v>
      </c>
      <c r="E109" s="36" t="s">
        <v>54</v>
      </c>
      <c r="F109" s="108" t="s">
        <v>912</v>
      </c>
      <c r="G109" s="37" t="s">
        <v>73</v>
      </c>
      <c r="H109" s="37" t="s">
        <v>73</v>
      </c>
      <c r="I109" s="34" t="s">
        <v>913</v>
      </c>
      <c r="J109" s="34" t="s">
        <v>914</v>
      </c>
      <c r="K109" s="39" t="s">
        <v>42</v>
      </c>
      <c r="L109" s="40" t="s">
        <v>915</v>
      </c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42" t="s">
        <v>916</v>
      </c>
      <c r="Y109" s="58" t="s">
        <v>917</v>
      </c>
      <c r="Z109" s="44"/>
      <c r="AA109" s="45" t="s">
        <v>47</v>
      </c>
      <c r="AB109" s="46"/>
      <c r="AC109" s="36">
        <v>1</v>
      </c>
      <c r="AD109" s="47" t="s">
        <v>49</v>
      </c>
      <c r="AE109" s="48" t="s">
        <v>41</v>
      </c>
      <c r="AF109" s="48" t="s">
        <v>41</v>
      </c>
      <c r="AG109" s="48" t="s">
        <v>41</v>
      </c>
      <c r="AH109" s="48" t="s">
        <v>41</v>
      </c>
      <c r="AI109" s="48" t="s">
        <v>41</v>
      </c>
      <c r="AJ109" s="49" t="s">
        <v>41</v>
      </c>
      <c r="AK109" s="48" t="s">
        <v>41</v>
      </c>
      <c r="AL109" s="65" t="s">
        <v>4591</v>
      </c>
      <c r="AM109" s="59"/>
      <c r="AN109" s="10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1"/>
    </row>
    <row r="110" spans="1:51" x14ac:dyDescent="0.2">
      <c r="A110" s="33">
        <f t="shared" si="2"/>
        <v>105</v>
      </c>
      <c r="B110" s="34" t="s">
        <v>918</v>
      </c>
      <c r="C110" s="35" t="s">
        <v>919</v>
      </c>
      <c r="D110" s="36" t="s">
        <v>920</v>
      </c>
      <c r="E110" s="36" t="s">
        <v>54</v>
      </c>
      <c r="F110" s="34" t="s">
        <v>921</v>
      </c>
      <c r="G110" s="37" t="s">
        <v>73</v>
      </c>
      <c r="H110" s="37" t="s">
        <v>73</v>
      </c>
      <c r="I110" s="38" t="s">
        <v>922</v>
      </c>
      <c r="J110" s="34" t="s">
        <v>41</v>
      </c>
      <c r="K110" s="39" t="s">
        <v>42</v>
      </c>
      <c r="L110" s="120">
        <v>44478</v>
      </c>
      <c r="M110" s="112"/>
      <c r="N110" s="112"/>
      <c r="O110" s="112"/>
      <c r="P110" s="112"/>
      <c r="Q110" s="112"/>
      <c r="R110" s="112"/>
      <c r="S110" s="112"/>
      <c r="T110" s="41"/>
      <c r="U110" s="41"/>
      <c r="V110" s="41"/>
      <c r="W110" s="41"/>
      <c r="X110" s="42" t="s">
        <v>923</v>
      </c>
      <c r="Y110" s="43" t="s">
        <v>924</v>
      </c>
      <c r="Z110" s="44" t="s">
        <v>925</v>
      </c>
      <c r="AA110" s="45">
        <v>44944</v>
      </c>
      <c r="AB110" s="101" t="s">
        <v>30</v>
      </c>
      <c r="AC110" s="36"/>
      <c r="AD110" s="47" t="s">
        <v>49</v>
      </c>
      <c r="AE110" s="48" t="s">
        <v>41</v>
      </c>
      <c r="AF110" s="48" t="s">
        <v>49</v>
      </c>
      <c r="AG110" s="48" t="s">
        <v>49</v>
      </c>
      <c r="AH110" s="48" t="s">
        <v>49</v>
      </c>
      <c r="AI110" s="48" t="s">
        <v>49</v>
      </c>
      <c r="AJ110" s="49" t="s">
        <v>49</v>
      </c>
      <c r="AK110" s="48" t="s">
        <v>49</v>
      </c>
      <c r="AL110" s="62" t="s">
        <v>32</v>
      </c>
      <c r="AM110" s="59"/>
      <c r="AN110" s="10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1"/>
    </row>
    <row r="111" spans="1:51" x14ac:dyDescent="0.2">
      <c r="A111" s="33">
        <f t="shared" si="2"/>
        <v>106</v>
      </c>
      <c r="B111" s="107" t="s">
        <v>926</v>
      </c>
      <c r="C111" s="35" t="s">
        <v>927</v>
      </c>
      <c r="D111" s="36" t="s">
        <v>928</v>
      </c>
      <c r="E111" s="36" t="s">
        <v>54</v>
      </c>
      <c r="F111" s="34" t="s">
        <v>929</v>
      </c>
      <c r="G111" s="37" t="s">
        <v>73</v>
      </c>
      <c r="H111" s="37" t="s">
        <v>73</v>
      </c>
      <c r="I111" s="107" t="s">
        <v>930</v>
      </c>
      <c r="J111" s="34" t="s">
        <v>931</v>
      </c>
      <c r="K111" s="39" t="s">
        <v>42</v>
      </c>
      <c r="L111" s="99" t="s">
        <v>932</v>
      </c>
      <c r="M111" s="115"/>
      <c r="N111" s="147"/>
      <c r="O111" s="147"/>
      <c r="P111" s="147"/>
      <c r="Q111" s="147"/>
      <c r="R111" s="147"/>
      <c r="S111" s="147"/>
      <c r="T111" s="115"/>
      <c r="U111" s="56"/>
      <c r="V111" s="56"/>
      <c r="W111" s="56"/>
      <c r="X111" s="42" t="s">
        <v>933</v>
      </c>
      <c r="Y111" s="58" t="s">
        <v>934</v>
      </c>
      <c r="Z111" s="44" t="s">
        <v>61</v>
      </c>
      <c r="AA111" s="45">
        <v>40815</v>
      </c>
      <c r="AB111" s="148" t="s">
        <v>30</v>
      </c>
      <c r="AC111" s="36" t="s">
        <v>26</v>
      </c>
      <c r="AD111" s="47" t="s">
        <v>49</v>
      </c>
      <c r="AE111" s="48" t="s">
        <v>49</v>
      </c>
      <c r="AF111" s="48" t="s">
        <v>49</v>
      </c>
      <c r="AG111" s="48" t="s">
        <v>49</v>
      </c>
      <c r="AH111" s="48" t="s">
        <v>49</v>
      </c>
      <c r="AI111" s="48" t="s">
        <v>49</v>
      </c>
      <c r="AJ111" s="49" t="s">
        <v>49</v>
      </c>
      <c r="AK111" s="48" t="s">
        <v>41</v>
      </c>
      <c r="AL111" s="62" t="s">
        <v>148</v>
      </c>
      <c r="AM111" s="59"/>
      <c r="AN111" s="10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1"/>
    </row>
    <row r="112" spans="1:51" x14ac:dyDescent="0.2">
      <c r="A112" s="33">
        <f t="shared" si="2"/>
        <v>107</v>
      </c>
      <c r="B112" s="149" t="s">
        <v>935</v>
      </c>
      <c r="C112" s="150" t="s">
        <v>936</v>
      </c>
      <c r="D112" s="73" t="s">
        <v>937</v>
      </c>
      <c r="E112" s="36" t="s">
        <v>54</v>
      </c>
      <c r="F112" s="52" t="s">
        <v>938</v>
      </c>
      <c r="G112" s="151" t="s">
        <v>939</v>
      </c>
      <c r="H112" s="151" t="s">
        <v>205</v>
      </c>
      <c r="I112" s="113" t="s">
        <v>940</v>
      </c>
      <c r="J112" s="34"/>
      <c r="K112" s="39" t="s">
        <v>42</v>
      </c>
      <c r="L112" s="152" t="s">
        <v>941</v>
      </c>
      <c r="M112" s="115" t="s">
        <v>179</v>
      </c>
      <c r="N112" s="147" t="s">
        <v>179</v>
      </c>
      <c r="O112" s="147"/>
      <c r="P112" s="147">
        <v>6</v>
      </c>
      <c r="Q112" s="147" t="s">
        <v>942</v>
      </c>
      <c r="R112" s="147"/>
      <c r="S112" s="147"/>
      <c r="T112" s="115"/>
      <c r="U112" s="56"/>
      <c r="V112" s="56"/>
      <c r="W112" s="56"/>
      <c r="X112" s="42" t="s">
        <v>943</v>
      </c>
      <c r="Y112" s="58" t="s">
        <v>944</v>
      </c>
      <c r="Z112" s="44" t="s">
        <v>945</v>
      </c>
      <c r="AA112" s="153">
        <v>43200</v>
      </c>
      <c r="AB112" s="101" t="s">
        <v>30</v>
      </c>
      <c r="AC112" s="73">
        <v>1</v>
      </c>
      <c r="AD112" s="47" t="s">
        <v>49</v>
      </c>
      <c r="AE112" s="48" t="s">
        <v>41</v>
      </c>
      <c r="AF112" s="48" t="s">
        <v>41</v>
      </c>
      <c r="AG112" s="48" t="s">
        <v>41</v>
      </c>
      <c r="AH112" s="48" t="s">
        <v>41</v>
      </c>
      <c r="AI112" s="48" t="s">
        <v>41</v>
      </c>
      <c r="AJ112" s="49" t="s">
        <v>41</v>
      </c>
      <c r="AK112" s="48" t="s">
        <v>41</v>
      </c>
      <c r="AL112" s="82" t="s">
        <v>4592</v>
      </c>
      <c r="AM112" s="59"/>
      <c r="AN112" s="10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1"/>
    </row>
    <row r="113" spans="1:51" x14ac:dyDescent="0.2">
      <c r="A113" s="33">
        <f t="shared" si="2"/>
        <v>108</v>
      </c>
      <c r="B113" s="34" t="s">
        <v>946</v>
      </c>
      <c r="C113" s="35" t="s">
        <v>947</v>
      </c>
      <c r="D113" s="36" t="s">
        <v>948</v>
      </c>
      <c r="E113" s="36" t="s">
        <v>54</v>
      </c>
      <c r="F113" s="34" t="s">
        <v>949</v>
      </c>
      <c r="G113" s="37" t="s">
        <v>73</v>
      </c>
      <c r="H113" s="37" t="s">
        <v>73</v>
      </c>
      <c r="I113" s="34" t="s">
        <v>950</v>
      </c>
      <c r="J113" s="34" t="s">
        <v>951</v>
      </c>
      <c r="K113" s="39" t="s">
        <v>42</v>
      </c>
      <c r="L113" s="120">
        <v>35919</v>
      </c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42" t="s">
        <v>952</v>
      </c>
      <c r="Y113" s="58" t="s">
        <v>953</v>
      </c>
      <c r="Z113" s="44" t="s">
        <v>61</v>
      </c>
      <c r="AA113" s="45">
        <v>36641</v>
      </c>
      <c r="AB113" s="101" t="s">
        <v>30</v>
      </c>
      <c r="AC113" s="36" t="s">
        <v>26</v>
      </c>
      <c r="AD113" s="47" t="s">
        <v>49</v>
      </c>
      <c r="AE113" s="48" t="s">
        <v>49</v>
      </c>
      <c r="AF113" s="48" t="s">
        <v>49</v>
      </c>
      <c r="AG113" s="48" t="s">
        <v>49</v>
      </c>
      <c r="AH113" s="48" t="s">
        <v>49</v>
      </c>
      <c r="AI113" s="48" t="s">
        <v>49</v>
      </c>
      <c r="AJ113" s="49" t="s">
        <v>41</v>
      </c>
      <c r="AK113" s="48" t="s">
        <v>41</v>
      </c>
      <c r="AL113" s="62" t="s">
        <v>276</v>
      </c>
      <c r="AM113" s="59"/>
      <c r="AN113" s="117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1"/>
    </row>
    <row r="114" spans="1:51" x14ac:dyDescent="0.2">
      <c r="A114" s="33">
        <f t="shared" si="2"/>
        <v>109</v>
      </c>
      <c r="B114" s="108" t="s">
        <v>954</v>
      </c>
      <c r="C114" s="35" t="s">
        <v>955</v>
      </c>
      <c r="D114" s="36" t="s">
        <v>956</v>
      </c>
      <c r="E114" s="36" t="s">
        <v>54</v>
      </c>
      <c r="F114" s="34" t="s">
        <v>957</v>
      </c>
      <c r="G114" s="37" t="s">
        <v>958</v>
      </c>
      <c r="H114" s="37" t="s">
        <v>187</v>
      </c>
      <c r="I114" s="38" t="s">
        <v>959</v>
      </c>
      <c r="J114" s="34" t="s">
        <v>41</v>
      </c>
      <c r="K114" s="39" t="s">
        <v>42</v>
      </c>
      <c r="L114" s="120">
        <v>41947</v>
      </c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2" t="s">
        <v>960</v>
      </c>
      <c r="Y114" s="69" t="s">
        <v>961</v>
      </c>
      <c r="Z114" s="119" t="s">
        <v>61</v>
      </c>
      <c r="AA114" s="45">
        <v>36641</v>
      </c>
      <c r="AB114" s="101" t="s">
        <v>30</v>
      </c>
      <c r="AC114" s="36" t="s">
        <v>26</v>
      </c>
      <c r="AD114" s="47" t="s">
        <v>49</v>
      </c>
      <c r="AE114" s="48" t="s">
        <v>49</v>
      </c>
      <c r="AF114" s="48" t="s">
        <v>49</v>
      </c>
      <c r="AG114" s="48" t="s">
        <v>49</v>
      </c>
      <c r="AH114" s="48" t="s">
        <v>49</v>
      </c>
      <c r="AI114" s="48" t="s">
        <v>49</v>
      </c>
      <c r="AJ114" s="49" t="s">
        <v>49</v>
      </c>
      <c r="AK114" s="48" t="s">
        <v>49</v>
      </c>
      <c r="AL114" s="65" t="s">
        <v>32</v>
      </c>
      <c r="AM114" s="59"/>
      <c r="AN114" s="117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1"/>
    </row>
    <row r="115" spans="1:51" x14ac:dyDescent="0.2">
      <c r="A115" s="33">
        <f t="shared" si="2"/>
        <v>110</v>
      </c>
      <c r="B115" s="52" t="s">
        <v>962</v>
      </c>
      <c r="C115" s="150" t="s">
        <v>963</v>
      </c>
      <c r="D115" s="73" t="s">
        <v>964</v>
      </c>
      <c r="E115" s="36" t="s">
        <v>36</v>
      </c>
      <c r="F115" s="52" t="s">
        <v>965</v>
      </c>
      <c r="G115" s="151" t="s">
        <v>243</v>
      </c>
      <c r="H115" s="151" t="s">
        <v>205</v>
      </c>
      <c r="I115" s="113" t="s">
        <v>966</v>
      </c>
      <c r="J115" s="34"/>
      <c r="K115" s="39" t="s">
        <v>42</v>
      </c>
      <c r="L115" s="152" t="s">
        <v>216</v>
      </c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42" t="s">
        <v>967</v>
      </c>
      <c r="Y115" s="58" t="s">
        <v>968</v>
      </c>
      <c r="Z115" s="44" t="s">
        <v>969</v>
      </c>
      <c r="AA115" s="45">
        <v>44041</v>
      </c>
      <c r="AB115" s="101" t="s">
        <v>30</v>
      </c>
      <c r="AC115" s="73"/>
      <c r="AD115" s="47" t="s">
        <v>49</v>
      </c>
      <c r="AE115" s="48" t="s">
        <v>41</v>
      </c>
      <c r="AF115" s="48" t="s">
        <v>49</v>
      </c>
      <c r="AG115" s="48" t="s">
        <v>49</v>
      </c>
      <c r="AH115" s="48" t="s">
        <v>49</v>
      </c>
      <c r="AI115" s="48" t="s">
        <v>49</v>
      </c>
      <c r="AJ115" s="49" t="s">
        <v>49</v>
      </c>
      <c r="AK115" s="48" t="s">
        <v>49</v>
      </c>
      <c r="AL115" s="65" t="s">
        <v>32</v>
      </c>
      <c r="AM115" s="59"/>
      <c r="AN115" s="10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1"/>
    </row>
    <row r="116" spans="1:51" x14ac:dyDescent="0.2">
      <c r="A116" s="33">
        <f t="shared" si="2"/>
        <v>111</v>
      </c>
      <c r="B116" s="107" t="s">
        <v>970</v>
      </c>
      <c r="C116" s="35" t="s">
        <v>971</v>
      </c>
      <c r="D116" s="36" t="s">
        <v>972</v>
      </c>
      <c r="E116" s="36" t="s">
        <v>241</v>
      </c>
      <c r="F116" s="34" t="s">
        <v>973</v>
      </c>
      <c r="G116" s="37" t="s">
        <v>205</v>
      </c>
      <c r="H116" s="37" t="s">
        <v>205</v>
      </c>
      <c r="I116" s="34" t="s">
        <v>974</v>
      </c>
      <c r="J116" s="34" t="s">
        <v>975</v>
      </c>
      <c r="K116" s="39" t="s">
        <v>42</v>
      </c>
      <c r="L116" s="120" t="s">
        <v>976</v>
      </c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2" t="s">
        <v>977</v>
      </c>
      <c r="Y116" s="58" t="s">
        <v>978</v>
      </c>
      <c r="Z116" s="121" t="s">
        <v>979</v>
      </c>
      <c r="AA116" s="153">
        <v>44650</v>
      </c>
      <c r="AB116" s="101" t="s">
        <v>30</v>
      </c>
      <c r="AC116" s="36" t="s">
        <v>26</v>
      </c>
      <c r="AD116" s="47" t="s">
        <v>49</v>
      </c>
      <c r="AE116" s="48" t="s">
        <v>49</v>
      </c>
      <c r="AF116" s="48" t="s">
        <v>49</v>
      </c>
      <c r="AG116" s="48" t="s">
        <v>49</v>
      </c>
      <c r="AH116" s="48" t="s">
        <v>49</v>
      </c>
      <c r="AI116" s="48" t="s">
        <v>49</v>
      </c>
      <c r="AJ116" s="49" t="s">
        <v>49</v>
      </c>
      <c r="AK116" s="48" t="s">
        <v>49</v>
      </c>
      <c r="AL116" s="62" t="s">
        <v>32</v>
      </c>
      <c r="AM116" s="59"/>
      <c r="AN116" s="117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1"/>
    </row>
    <row r="117" spans="1:51" x14ac:dyDescent="0.2">
      <c r="A117" s="33">
        <f t="shared" si="2"/>
        <v>112</v>
      </c>
      <c r="B117" s="72" t="s">
        <v>980</v>
      </c>
      <c r="C117" s="35" t="s">
        <v>981</v>
      </c>
      <c r="D117" s="154" t="s">
        <v>982</v>
      </c>
      <c r="E117" s="36" t="s">
        <v>54</v>
      </c>
      <c r="F117" s="69" t="s">
        <v>983</v>
      </c>
      <c r="G117" s="75" t="s">
        <v>205</v>
      </c>
      <c r="H117" s="75" t="s">
        <v>205</v>
      </c>
      <c r="I117" s="72" t="s">
        <v>984</v>
      </c>
      <c r="J117" s="72" t="s">
        <v>985</v>
      </c>
      <c r="K117" s="77" t="s">
        <v>986</v>
      </c>
      <c r="L117" s="155">
        <v>32911</v>
      </c>
      <c r="M117" s="156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42" t="s">
        <v>987</v>
      </c>
      <c r="Y117" s="58" t="s">
        <v>988</v>
      </c>
      <c r="Z117" s="119" t="s">
        <v>989</v>
      </c>
      <c r="AA117" s="45">
        <v>41793</v>
      </c>
      <c r="AB117" s="101" t="s">
        <v>30</v>
      </c>
      <c r="AC117" s="154"/>
      <c r="AD117" s="81" t="s">
        <v>49</v>
      </c>
      <c r="AE117" s="48" t="s">
        <v>41</v>
      </c>
      <c r="AF117" s="48" t="s">
        <v>41</v>
      </c>
      <c r="AG117" s="48" t="s">
        <v>41</v>
      </c>
      <c r="AH117" s="48" t="s">
        <v>41</v>
      </c>
      <c r="AI117" s="48" t="s">
        <v>41</v>
      </c>
      <c r="AJ117" s="49" t="s">
        <v>41</v>
      </c>
      <c r="AK117" s="48" t="s">
        <v>41</v>
      </c>
      <c r="AL117" s="65" t="s">
        <v>4592</v>
      </c>
      <c r="AM117" s="59" t="s">
        <v>990</v>
      </c>
      <c r="AN117" s="10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1"/>
    </row>
    <row r="118" spans="1:51" x14ac:dyDescent="0.2">
      <c r="A118" s="33">
        <f t="shared" si="2"/>
        <v>113</v>
      </c>
      <c r="B118" s="108" t="s">
        <v>991</v>
      </c>
      <c r="C118" s="35" t="s">
        <v>992</v>
      </c>
      <c r="D118" s="36" t="s">
        <v>993</v>
      </c>
      <c r="E118" s="36" t="s">
        <v>54</v>
      </c>
      <c r="F118" s="34" t="s">
        <v>994</v>
      </c>
      <c r="G118" s="37" t="s">
        <v>73</v>
      </c>
      <c r="H118" s="37" t="s">
        <v>73</v>
      </c>
      <c r="I118" s="38" t="s">
        <v>995</v>
      </c>
      <c r="J118" s="34" t="s">
        <v>41</v>
      </c>
      <c r="K118" s="39" t="s">
        <v>42</v>
      </c>
      <c r="L118" s="120" t="s">
        <v>996</v>
      </c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2" t="s">
        <v>997</v>
      </c>
      <c r="Y118" s="58" t="s">
        <v>998</v>
      </c>
      <c r="Z118" s="121" t="s">
        <v>999</v>
      </c>
      <c r="AA118" s="153">
        <v>44650</v>
      </c>
      <c r="AB118" s="101" t="s">
        <v>30</v>
      </c>
      <c r="AC118" s="36" t="s">
        <v>26</v>
      </c>
      <c r="AD118" s="47" t="s">
        <v>49</v>
      </c>
      <c r="AE118" s="48" t="s">
        <v>49</v>
      </c>
      <c r="AF118" s="48" t="s">
        <v>49</v>
      </c>
      <c r="AG118" s="48" t="s">
        <v>49</v>
      </c>
      <c r="AH118" s="48" t="s">
        <v>49</v>
      </c>
      <c r="AI118" s="48" t="s">
        <v>49</v>
      </c>
      <c r="AJ118" s="49" t="s">
        <v>41</v>
      </c>
      <c r="AK118" s="48" t="s">
        <v>41</v>
      </c>
      <c r="AL118" s="62" t="s">
        <v>276</v>
      </c>
      <c r="AM118" s="59"/>
      <c r="AN118" s="117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1"/>
    </row>
    <row r="119" spans="1:51" x14ac:dyDescent="0.2">
      <c r="A119" s="33">
        <f t="shared" si="2"/>
        <v>114</v>
      </c>
      <c r="B119" s="34" t="s">
        <v>1000</v>
      </c>
      <c r="C119" s="35" t="s">
        <v>1001</v>
      </c>
      <c r="D119" s="36" t="s">
        <v>1002</v>
      </c>
      <c r="E119" s="36" t="s">
        <v>54</v>
      </c>
      <c r="F119" s="34" t="s">
        <v>1003</v>
      </c>
      <c r="G119" s="37" t="s">
        <v>73</v>
      </c>
      <c r="H119" s="37" t="s">
        <v>73</v>
      </c>
      <c r="I119" s="38" t="s">
        <v>1004</v>
      </c>
      <c r="J119" s="38" t="s">
        <v>1005</v>
      </c>
      <c r="K119" s="39" t="s">
        <v>42</v>
      </c>
      <c r="L119" s="99" t="s">
        <v>1006</v>
      </c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2" t="s">
        <v>1007</v>
      </c>
      <c r="Y119" s="52" t="s">
        <v>1008</v>
      </c>
      <c r="Z119" s="44" t="s">
        <v>61</v>
      </c>
      <c r="AA119" s="45">
        <v>37877</v>
      </c>
      <c r="AB119" s="101" t="s">
        <v>30</v>
      </c>
      <c r="AC119" s="36" t="s">
        <v>26</v>
      </c>
      <c r="AD119" s="47" t="s">
        <v>49</v>
      </c>
      <c r="AE119" s="48" t="s">
        <v>49</v>
      </c>
      <c r="AF119" s="48" t="s">
        <v>49</v>
      </c>
      <c r="AG119" s="48" t="s">
        <v>49</v>
      </c>
      <c r="AH119" s="48" t="s">
        <v>49</v>
      </c>
      <c r="AI119" s="48" t="s">
        <v>49</v>
      </c>
      <c r="AJ119" s="49" t="s">
        <v>49</v>
      </c>
      <c r="AK119" s="48" t="s">
        <v>49</v>
      </c>
      <c r="AL119" s="62" t="s">
        <v>32</v>
      </c>
      <c r="AM119" s="59"/>
      <c r="AN119" s="10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1"/>
    </row>
    <row r="120" spans="1:51" x14ac:dyDescent="0.2">
      <c r="A120" s="33">
        <f t="shared" si="2"/>
        <v>115</v>
      </c>
      <c r="B120" s="34" t="s">
        <v>1009</v>
      </c>
      <c r="C120" s="35" t="s">
        <v>1010</v>
      </c>
      <c r="D120" s="36" t="s">
        <v>1011</v>
      </c>
      <c r="E120" s="36" t="s">
        <v>54</v>
      </c>
      <c r="F120" s="34" t="s">
        <v>1012</v>
      </c>
      <c r="G120" s="37" t="s">
        <v>73</v>
      </c>
      <c r="H120" s="37" t="s">
        <v>73</v>
      </c>
      <c r="I120" s="38" t="s">
        <v>1013</v>
      </c>
      <c r="J120" s="38"/>
      <c r="K120" s="39" t="s">
        <v>42</v>
      </c>
      <c r="L120" s="99" t="s">
        <v>1014</v>
      </c>
      <c r="M120" s="41"/>
      <c r="N120" s="41"/>
      <c r="O120" s="41"/>
      <c r="P120" s="41"/>
      <c r="Q120" s="41"/>
      <c r="R120" s="41"/>
      <c r="S120" s="41"/>
      <c r="T120" s="41" t="s">
        <v>44</v>
      </c>
      <c r="U120" s="41"/>
      <c r="V120" s="41"/>
      <c r="W120" s="41"/>
      <c r="X120" s="42" t="s">
        <v>1015</v>
      </c>
      <c r="Y120" s="43" t="s">
        <v>1016</v>
      </c>
      <c r="Z120" s="44"/>
      <c r="AA120" s="45">
        <v>45642</v>
      </c>
      <c r="AB120" s="101"/>
      <c r="AC120" s="36"/>
      <c r="AD120" s="47" t="s">
        <v>49</v>
      </c>
      <c r="AE120" s="48" t="s">
        <v>41</v>
      </c>
      <c r="AF120" s="48" t="s">
        <v>41</v>
      </c>
      <c r="AG120" s="48" t="s">
        <v>41</v>
      </c>
      <c r="AH120" s="48" t="s">
        <v>49</v>
      </c>
      <c r="AI120" s="48" t="s">
        <v>49</v>
      </c>
      <c r="AJ120" s="49" t="s">
        <v>49</v>
      </c>
      <c r="AK120" s="48" t="s">
        <v>49</v>
      </c>
      <c r="AL120" s="65" t="s">
        <v>32</v>
      </c>
      <c r="AM120" s="103" t="s">
        <v>41</v>
      </c>
      <c r="AN120" s="10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1"/>
    </row>
    <row r="121" spans="1:51" x14ac:dyDescent="0.2">
      <c r="A121" s="33">
        <f t="shared" si="2"/>
        <v>116</v>
      </c>
      <c r="B121" s="34" t="s">
        <v>1017</v>
      </c>
      <c r="C121" s="35" t="s">
        <v>1018</v>
      </c>
      <c r="D121" s="36" t="s">
        <v>1019</v>
      </c>
      <c r="E121" s="36" t="s">
        <v>54</v>
      </c>
      <c r="F121" s="34" t="s">
        <v>1020</v>
      </c>
      <c r="G121" s="37" t="s">
        <v>73</v>
      </c>
      <c r="H121" s="37" t="s">
        <v>73</v>
      </c>
      <c r="I121" s="38" t="s">
        <v>1021</v>
      </c>
      <c r="J121" s="38" t="s">
        <v>41</v>
      </c>
      <c r="K121" s="39" t="s">
        <v>42</v>
      </c>
      <c r="L121" s="99" t="s">
        <v>1022</v>
      </c>
      <c r="M121" s="41"/>
      <c r="N121" s="41"/>
      <c r="O121" s="41"/>
      <c r="P121" s="41"/>
      <c r="Q121" s="41"/>
      <c r="R121" s="41"/>
      <c r="S121" s="41" t="s">
        <v>44</v>
      </c>
      <c r="T121" s="41"/>
      <c r="U121" s="41"/>
      <c r="V121" s="41"/>
      <c r="W121" s="41"/>
      <c r="X121" s="42" t="s">
        <v>1023</v>
      </c>
      <c r="Y121" s="55" t="s">
        <v>1024</v>
      </c>
      <c r="Z121" s="44" t="s">
        <v>1025</v>
      </c>
      <c r="AA121" s="45">
        <v>44944</v>
      </c>
      <c r="AB121" s="101" t="s">
        <v>30</v>
      </c>
      <c r="AC121" s="36"/>
      <c r="AD121" s="47" t="s">
        <v>49</v>
      </c>
      <c r="AE121" s="48" t="s">
        <v>41</v>
      </c>
      <c r="AF121" s="48" t="s">
        <v>41</v>
      </c>
      <c r="AG121" s="48" t="s">
        <v>49</v>
      </c>
      <c r="AH121" s="48" t="s">
        <v>49</v>
      </c>
      <c r="AI121" s="48" t="s">
        <v>49</v>
      </c>
      <c r="AJ121" s="49" t="s">
        <v>49</v>
      </c>
      <c r="AK121" s="48" t="s">
        <v>49</v>
      </c>
      <c r="AL121" s="62" t="s">
        <v>32</v>
      </c>
      <c r="AM121" s="59"/>
      <c r="AN121" s="10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1"/>
    </row>
    <row r="122" spans="1:51" x14ac:dyDescent="0.2">
      <c r="A122" s="33">
        <f t="shared" si="2"/>
        <v>117</v>
      </c>
      <c r="B122" s="34" t="s">
        <v>1026</v>
      </c>
      <c r="C122" s="35" t="s">
        <v>1027</v>
      </c>
      <c r="D122" s="36" t="s">
        <v>1028</v>
      </c>
      <c r="E122" s="36" t="s">
        <v>54</v>
      </c>
      <c r="F122" s="34" t="s">
        <v>1029</v>
      </c>
      <c r="G122" s="37" t="s">
        <v>858</v>
      </c>
      <c r="H122" s="37" t="s">
        <v>57</v>
      </c>
      <c r="I122" s="38" t="s">
        <v>1030</v>
      </c>
      <c r="J122" s="34"/>
      <c r="K122" s="39" t="s">
        <v>42</v>
      </c>
      <c r="L122" s="120">
        <v>43416</v>
      </c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42" t="s">
        <v>1031</v>
      </c>
      <c r="Y122" s="58" t="s">
        <v>1032</v>
      </c>
      <c r="Z122" s="44" t="s">
        <v>1033</v>
      </c>
      <c r="AA122" s="45">
        <v>44041</v>
      </c>
      <c r="AB122" s="101" t="s">
        <v>30</v>
      </c>
      <c r="AC122" s="36" t="s">
        <v>26</v>
      </c>
      <c r="AD122" s="47" t="s">
        <v>49</v>
      </c>
      <c r="AE122" s="48" t="s">
        <v>49</v>
      </c>
      <c r="AF122" s="48" t="s">
        <v>49</v>
      </c>
      <c r="AG122" s="48" t="s">
        <v>41</v>
      </c>
      <c r="AH122" s="48" t="s">
        <v>41</v>
      </c>
      <c r="AI122" s="48" t="s">
        <v>41</v>
      </c>
      <c r="AJ122" s="49" t="s">
        <v>41</v>
      </c>
      <c r="AK122" s="48" t="s">
        <v>41</v>
      </c>
      <c r="AL122" s="62" t="s">
        <v>110</v>
      </c>
      <c r="AM122" s="59"/>
      <c r="AN122" s="10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1"/>
    </row>
    <row r="123" spans="1:51" x14ac:dyDescent="0.2">
      <c r="A123" s="33">
        <f t="shared" si="2"/>
        <v>118</v>
      </c>
      <c r="B123" s="34" t="s">
        <v>1034</v>
      </c>
      <c r="C123" s="35" t="s">
        <v>1035</v>
      </c>
      <c r="D123" s="36" t="s">
        <v>1036</v>
      </c>
      <c r="E123" s="36" t="s">
        <v>54</v>
      </c>
      <c r="F123" s="34" t="s">
        <v>1037</v>
      </c>
      <c r="G123" s="37" t="s">
        <v>73</v>
      </c>
      <c r="H123" s="37" t="s">
        <v>73</v>
      </c>
      <c r="I123" s="107" t="s">
        <v>1038</v>
      </c>
      <c r="J123" s="34" t="s">
        <v>1039</v>
      </c>
      <c r="K123" s="39" t="s">
        <v>42</v>
      </c>
      <c r="L123" s="99" t="s">
        <v>1040</v>
      </c>
      <c r="M123" s="56" t="s">
        <v>179</v>
      </c>
      <c r="N123" s="137" t="s">
        <v>179</v>
      </c>
      <c r="O123" s="137"/>
      <c r="P123" s="137">
        <v>4</v>
      </c>
      <c r="Q123" s="137" t="s">
        <v>1041</v>
      </c>
      <c r="R123" s="137"/>
      <c r="S123" s="137"/>
      <c r="T123" s="137"/>
      <c r="U123" s="137"/>
      <c r="V123" s="137"/>
      <c r="W123" s="137"/>
      <c r="X123" s="42" t="s">
        <v>1042</v>
      </c>
      <c r="Y123" s="58" t="s">
        <v>1043</v>
      </c>
      <c r="Z123" s="44"/>
      <c r="AA123" s="45" t="s">
        <v>47</v>
      </c>
      <c r="AB123" s="101"/>
      <c r="AC123" s="36" t="s">
        <v>26</v>
      </c>
      <c r="AD123" s="47" t="s">
        <v>49</v>
      </c>
      <c r="AE123" s="48" t="s">
        <v>49</v>
      </c>
      <c r="AF123" s="48" t="s">
        <v>41</v>
      </c>
      <c r="AG123" s="48" t="s">
        <v>41</v>
      </c>
      <c r="AH123" s="48" t="s">
        <v>41</v>
      </c>
      <c r="AI123" s="48" t="s">
        <v>41</v>
      </c>
      <c r="AJ123" s="49" t="s">
        <v>41</v>
      </c>
      <c r="AK123" s="48" t="s">
        <v>41</v>
      </c>
      <c r="AL123" s="62" t="s">
        <v>4587</v>
      </c>
      <c r="AM123" s="59"/>
      <c r="AN123" s="10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1"/>
    </row>
    <row r="124" spans="1:51" x14ac:dyDescent="0.2">
      <c r="A124" s="33">
        <f t="shared" si="2"/>
        <v>119</v>
      </c>
      <c r="B124" s="34" t="s">
        <v>1044</v>
      </c>
      <c r="C124" s="35" t="s">
        <v>1045</v>
      </c>
      <c r="D124" s="36" t="s">
        <v>1046</v>
      </c>
      <c r="E124" s="36" t="s">
        <v>54</v>
      </c>
      <c r="F124" s="34" t="s">
        <v>1047</v>
      </c>
      <c r="G124" s="37" t="s">
        <v>73</v>
      </c>
      <c r="H124" s="37" t="s">
        <v>73</v>
      </c>
      <c r="I124" s="57" t="s">
        <v>1048</v>
      </c>
      <c r="J124" s="157" t="s">
        <v>1049</v>
      </c>
      <c r="K124" s="39" t="s">
        <v>42</v>
      </c>
      <c r="L124" s="120">
        <v>40287</v>
      </c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2" t="s">
        <v>1050</v>
      </c>
      <c r="Y124" s="55" t="s">
        <v>1051</v>
      </c>
      <c r="Z124" s="55"/>
      <c r="AA124" s="45" t="s">
        <v>47</v>
      </c>
      <c r="AB124" s="101"/>
      <c r="AC124" s="36" t="s">
        <v>26</v>
      </c>
      <c r="AD124" s="47" t="s">
        <v>49</v>
      </c>
      <c r="AE124" s="48" t="s">
        <v>49</v>
      </c>
      <c r="AF124" s="48" t="s">
        <v>49</v>
      </c>
      <c r="AG124" s="48" t="s">
        <v>49</v>
      </c>
      <c r="AH124" s="48" t="s">
        <v>49</v>
      </c>
      <c r="AI124" s="48" t="s">
        <v>49</v>
      </c>
      <c r="AJ124" s="49" t="s">
        <v>49</v>
      </c>
      <c r="AK124" s="48" t="s">
        <v>49</v>
      </c>
      <c r="AL124" s="62" t="s">
        <v>32</v>
      </c>
      <c r="AM124" s="59"/>
      <c r="AN124" s="10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1"/>
    </row>
    <row r="125" spans="1:51" x14ac:dyDescent="0.2">
      <c r="A125" s="33">
        <f t="shared" si="2"/>
        <v>120</v>
      </c>
      <c r="B125" s="34" t="s">
        <v>1052</v>
      </c>
      <c r="C125" s="35" t="s">
        <v>1053</v>
      </c>
      <c r="D125" s="36" t="s">
        <v>1054</v>
      </c>
      <c r="E125" s="36" t="s">
        <v>54</v>
      </c>
      <c r="F125" s="34" t="s">
        <v>1055</v>
      </c>
      <c r="G125" s="37" t="s">
        <v>456</v>
      </c>
      <c r="H125" s="37" t="s">
        <v>187</v>
      </c>
      <c r="I125" s="38" t="s">
        <v>1056</v>
      </c>
      <c r="J125" s="38" t="s">
        <v>1057</v>
      </c>
      <c r="K125" s="39" t="s">
        <v>42</v>
      </c>
      <c r="L125" s="99" t="s">
        <v>1058</v>
      </c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2" t="s">
        <v>1059</v>
      </c>
      <c r="Y125" s="58" t="s">
        <v>1060</v>
      </c>
      <c r="Z125" s="44" t="s">
        <v>61</v>
      </c>
      <c r="AA125" s="45">
        <v>40280</v>
      </c>
      <c r="AB125" s="101" t="s">
        <v>30</v>
      </c>
      <c r="AC125" s="36" t="s">
        <v>26</v>
      </c>
      <c r="AD125" s="47" t="s">
        <v>49</v>
      </c>
      <c r="AE125" s="48" t="s">
        <v>49</v>
      </c>
      <c r="AF125" s="48" t="s">
        <v>41</v>
      </c>
      <c r="AG125" s="48" t="s">
        <v>41</v>
      </c>
      <c r="AH125" s="48" t="s">
        <v>41</v>
      </c>
      <c r="AI125" s="48" t="s">
        <v>41</v>
      </c>
      <c r="AJ125" s="49" t="s">
        <v>41</v>
      </c>
      <c r="AK125" s="48" t="s">
        <v>41</v>
      </c>
      <c r="AL125" s="62" t="s">
        <v>4587</v>
      </c>
      <c r="AM125" s="59"/>
      <c r="AN125" s="10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1"/>
    </row>
    <row r="126" spans="1:51" x14ac:dyDescent="0.2">
      <c r="A126" s="33">
        <f t="shared" si="2"/>
        <v>121</v>
      </c>
      <c r="B126" s="34" t="s">
        <v>1061</v>
      </c>
      <c r="C126" s="35" t="s">
        <v>1062</v>
      </c>
      <c r="D126" s="36" t="s">
        <v>1063</v>
      </c>
      <c r="E126" s="36" t="s">
        <v>36</v>
      </c>
      <c r="F126" s="34" t="s">
        <v>1064</v>
      </c>
      <c r="G126" s="37" t="s">
        <v>73</v>
      </c>
      <c r="H126" s="37" t="s">
        <v>73</v>
      </c>
      <c r="I126" s="34" t="s">
        <v>1065</v>
      </c>
      <c r="J126" s="34" t="s">
        <v>41</v>
      </c>
      <c r="K126" s="39" t="s">
        <v>42</v>
      </c>
      <c r="L126" s="120">
        <v>37718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2" t="s">
        <v>1066</v>
      </c>
      <c r="Y126" s="52" t="s">
        <v>1067</v>
      </c>
      <c r="Z126" s="44" t="s">
        <v>61</v>
      </c>
      <c r="AA126" s="45">
        <v>37877</v>
      </c>
      <c r="AB126" s="101" t="s">
        <v>30</v>
      </c>
      <c r="AC126" s="36"/>
      <c r="AD126" s="47" t="s">
        <v>49</v>
      </c>
      <c r="AE126" s="48" t="s">
        <v>41</v>
      </c>
      <c r="AF126" s="48" t="s">
        <v>41</v>
      </c>
      <c r="AG126" s="48" t="s">
        <v>41</v>
      </c>
      <c r="AH126" s="48" t="s">
        <v>41</v>
      </c>
      <c r="AI126" s="48" t="s">
        <v>41</v>
      </c>
      <c r="AJ126" s="49" t="s">
        <v>41</v>
      </c>
      <c r="AK126" s="48" t="s">
        <v>41</v>
      </c>
      <c r="AL126" s="65" t="s">
        <v>4590</v>
      </c>
      <c r="AM126" s="59" t="s">
        <v>1068</v>
      </c>
      <c r="AN126" s="10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1"/>
    </row>
    <row r="127" spans="1:51" x14ac:dyDescent="0.2">
      <c r="A127" s="33">
        <f t="shared" si="2"/>
        <v>122</v>
      </c>
      <c r="B127" s="34" t="s">
        <v>1069</v>
      </c>
      <c r="C127" s="35" t="s">
        <v>1070</v>
      </c>
      <c r="D127" s="36" t="s">
        <v>1071</v>
      </c>
      <c r="E127" s="36" t="s">
        <v>54</v>
      </c>
      <c r="F127" s="34" t="s">
        <v>1072</v>
      </c>
      <c r="G127" s="37" t="s">
        <v>39</v>
      </c>
      <c r="H127" s="37" t="s">
        <v>39</v>
      </c>
      <c r="I127" s="34" t="s">
        <v>1073</v>
      </c>
      <c r="J127" s="34" t="s">
        <v>41</v>
      </c>
      <c r="K127" s="39" t="s">
        <v>42</v>
      </c>
      <c r="L127" s="99" t="s">
        <v>1074</v>
      </c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2" t="s">
        <v>1075</v>
      </c>
      <c r="Y127" s="100" t="s">
        <v>1076</v>
      </c>
      <c r="Z127" s="44" t="s">
        <v>61</v>
      </c>
      <c r="AA127" s="45">
        <v>37877</v>
      </c>
      <c r="AB127" s="101" t="s">
        <v>30</v>
      </c>
      <c r="AC127" s="36" t="s">
        <v>26</v>
      </c>
      <c r="AD127" s="47" t="s">
        <v>49</v>
      </c>
      <c r="AE127" s="48" t="s">
        <v>49</v>
      </c>
      <c r="AF127" s="48" t="s">
        <v>49</v>
      </c>
      <c r="AG127" s="48" t="s">
        <v>49</v>
      </c>
      <c r="AH127" s="48" t="s">
        <v>49</v>
      </c>
      <c r="AI127" s="48" t="s">
        <v>49</v>
      </c>
      <c r="AJ127" s="49" t="s">
        <v>49</v>
      </c>
      <c r="AK127" s="48" t="s">
        <v>41</v>
      </c>
      <c r="AL127" s="62" t="s">
        <v>148</v>
      </c>
      <c r="AM127" s="59"/>
      <c r="AN127" s="10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1"/>
    </row>
    <row r="128" spans="1:51" x14ac:dyDescent="0.2">
      <c r="A128" s="33">
        <f t="shared" si="2"/>
        <v>123</v>
      </c>
      <c r="B128" s="34" t="s">
        <v>1077</v>
      </c>
      <c r="C128" s="35" t="s">
        <v>1078</v>
      </c>
      <c r="D128" s="73" t="s">
        <v>1079</v>
      </c>
      <c r="E128" s="36" t="s">
        <v>54</v>
      </c>
      <c r="F128" s="98" t="s">
        <v>1080</v>
      </c>
      <c r="G128" s="37" t="s">
        <v>252</v>
      </c>
      <c r="H128" s="37" t="s">
        <v>57</v>
      </c>
      <c r="I128" s="38" t="s">
        <v>1081</v>
      </c>
      <c r="J128" s="38" t="s">
        <v>41</v>
      </c>
      <c r="K128" s="39" t="s">
        <v>42</v>
      </c>
      <c r="L128" s="99" t="s">
        <v>1082</v>
      </c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42" t="s">
        <v>1083</v>
      </c>
      <c r="Y128" s="69" t="s">
        <v>1084</v>
      </c>
      <c r="Z128" s="44" t="s">
        <v>1085</v>
      </c>
      <c r="AA128" s="45">
        <v>44041</v>
      </c>
      <c r="AB128" s="101" t="s">
        <v>30</v>
      </c>
      <c r="AC128" s="73" t="s">
        <v>26</v>
      </c>
      <c r="AD128" s="47" t="s">
        <v>49</v>
      </c>
      <c r="AE128" s="48" t="s">
        <v>49</v>
      </c>
      <c r="AF128" s="48" t="s">
        <v>49</v>
      </c>
      <c r="AG128" s="48" t="s">
        <v>49</v>
      </c>
      <c r="AH128" s="48" t="s">
        <v>49</v>
      </c>
      <c r="AI128" s="48" t="s">
        <v>49</v>
      </c>
      <c r="AJ128" s="49" t="s">
        <v>49</v>
      </c>
      <c r="AK128" s="48" t="s">
        <v>41</v>
      </c>
      <c r="AL128" s="65" t="s">
        <v>148</v>
      </c>
      <c r="AM128" s="59"/>
      <c r="AN128" s="10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1"/>
    </row>
    <row r="129" spans="1:51" x14ac:dyDescent="0.2">
      <c r="A129" s="33">
        <f t="shared" si="2"/>
        <v>124</v>
      </c>
      <c r="B129" s="34" t="s">
        <v>1086</v>
      </c>
      <c r="C129" s="35" t="s">
        <v>1087</v>
      </c>
      <c r="D129" s="36" t="s">
        <v>1088</v>
      </c>
      <c r="E129" s="36" t="s">
        <v>54</v>
      </c>
      <c r="F129" s="34" t="s">
        <v>1089</v>
      </c>
      <c r="G129" s="37" t="s">
        <v>73</v>
      </c>
      <c r="H129" s="37" t="s">
        <v>73</v>
      </c>
      <c r="I129" s="34" t="s">
        <v>1090</v>
      </c>
      <c r="J129" s="34" t="s">
        <v>41</v>
      </c>
      <c r="K129" s="39" t="s">
        <v>42</v>
      </c>
      <c r="L129" s="99" t="s">
        <v>1091</v>
      </c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2" t="s">
        <v>1092</v>
      </c>
      <c r="Y129" s="69" t="s">
        <v>1093</v>
      </c>
      <c r="Z129" s="44" t="s">
        <v>1094</v>
      </c>
      <c r="AA129" s="45">
        <v>43200</v>
      </c>
      <c r="AB129" s="101" t="s">
        <v>30</v>
      </c>
      <c r="AC129" s="36" t="s">
        <v>26</v>
      </c>
      <c r="AD129" s="47" t="s">
        <v>49</v>
      </c>
      <c r="AE129" s="48" t="s">
        <v>49</v>
      </c>
      <c r="AF129" s="48" t="s">
        <v>49</v>
      </c>
      <c r="AG129" s="48" t="s">
        <v>49</v>
      </c>
      <c r="AH129" s="48" t="s">
        <v>49</v>
      </c>
      <c r="AI129" s="48" t="s">
        <v>41</v>
      </c>
      <c r="AJ129" s="49" t="s">
        <v>41</v>
      </c>
      <c r="AK129" s="48" t="s">
        <v>41</v>
      </c>
      <c r="AL129" s="62" t="s">
        <v>4589</v>
      </c>
      <c r="AM129" s="59"/>
      <c r="AN129" s="10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1"/>
    </row>
    <row r="130" spans="1:51" x14ac:dyDescent="0.2">
      <c r="A130" s="33">
        <f t="shared" si="2"/>
        <v>125</v>
      </c>
      <c r="B130" s="34" t="s">
        <v>1095</v>
      </c>
      <c r="C130" s="35" t="s">
        <v>1096</v>
      </c>
      <c r="D130" s="73" t="s">
        <v>1097</v>
      </c>
      <c r="E130" s="36" t="s">
        <v>36</v>
      </c>
      <c r="F130" s="98" t="s">
        <v>1098</v>
      </c>
      <c r="G130" s="37" t="s">
        <v>73</v>
      </c>
      <c r="H130" s="37" t="s">
        <v>73</v>
      </c>
      <c r="I130" s="38" t="s">
        <v>1099</v>
      </c>
      <c r="J130" s="38" t="s">
        <v>41</v>
      </c>
      <c r="K130" s="39" t="s">
        <v>42</v>
      </c>
      <c r="L130" s="99" t="s">
        <v>1100</v>
      </c>
      <c r="M130" s="56"/>
      <c r="N130" s="56"/>
      <c r="O130" s="56"/>
      <c r="P130" s="56"/>
      <c r="Q130" s="56"/>
      <c r="R130" s="56"/>
      <c r="S130" s="56" t="s">
        <v>44</v>
      </c>
      <c r="T130" s="56"/>
      <c r="U130" s="56"/>
      <c r="V130" s="56"/>
      <c r="W130" s="56"/>
      <c r="X130" s="42" t="s">
        <v>1101</v>
      </c>
      <c r="Y130" s="58" t="s">
        <v>1102</v>
      </c>
      <c r="Z130" s="44" t="s">
        <v>1103</v>
      </c>
      <c r="AA130" s="45">
        <v>44944</v>
      </c>
      <c r="AB130" s="101" t="s">
        <v>30</v>
      </c>
      <c r="AC130" s="73"/>
      <c r="AD130" s="47" t="s">
        <v>49</v>
      </c>
      <c r="AE130" s="48" t="s">
        <v>41</v>
      </c>
      <c r="AF130" s="48" t="s">
        <v>41</v>
      </c>
      <c r="AG130" s="48" t="s">
        <v>49</v>
      </c>
      <c r="AH130" s="48" t="s">
        <v>49</v>
      </c>
      <c r="AI130" s="48" t="s">
        <v>41</v>
      </c>
      <c r="AJ130" s="49" t="s">
        <v>41</v>
      </c>
      <c r="AK130" s="48" t="s">
        <v>41</v>
      </c>
      <c r="AL130" s="62" t="s">
        <v>4589</v>
      </c>
      <c r="AM130" s="59"/>
      <c r="AN130" s="117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1"/>
    </row>
    <row r="131" spans="1:51" x14ac:dyDescent="0.2">
      <c r="A131" s="33">
        <f t="shared" si="2"/>
        <v>126</v>
      </c>
      <c r="B131" s="34" t="s">
        <v>1104</v>
      </c>
      <c r="C131" s="35" t="s">
        <v>1105</v>
      </c>
      <c r="D131" s="36" t="s">
        <v>1106</v>
      </c>
      <c r="E131" s="36" t="s">
        <v>54</v>
      </c>
      <c r="F131" s="34" t="s">
        <v>1107</v>
      </c>
      <c r="G131" s="37" t="s">
        <v>252</v>
      </c>
      <c r="H131" s="37" t="s">
        <v>57</v>
      </c>
      <c r="I131" s="38" t="s">
        <v>1108</v>
      </c>
      <c r="J131" s="34" t="s">
        <v>41</v>
      </c>
      <c r="K131" s="39" t="s">
        <v>42</v>
      </c>
      <c r="L131" s="158" t="s">
        <v>1109</v>
      </c>
      <c r="M131" s="41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42" t="s">
        <v>1110</v>
      </c>
      <c r="Y131" s="58" t="s">
        <v>1111</v>
      </c>
      <c r="Z131" s="44" t="s">
        <v>1112</v>
      </c>
      <c r="AA131" s="45">
        <v>44041</v>
      </c>
      <c r="AB131" s="101" t="s">
        <v>30</v>
      </c>
      <c r="AC131" s="36" t="s">
        <v>26</v>
      </c>
      <c r="AD131" s="47" t="s">
        <v>49</v>
      </c>
      <c r="AE131" s="48" t="s">
        <v>49</v>
      </c>
      <c r="AF131" s="48" t="s">
        <v>49</v>
      </c>
      <c r="AG131" s="48" t="s">
        <v>49</v>
      </c>
      <c r="AH131" s="48" t="s">
        <v>49</v>
      </c>
      <c r="AI131" s="48" t="s">
        <v>49</v>
      </c>
      <c r="AJ131" s="49" t="s">
        <v>49</v>
      </c>
      <c r="AK131" s="48" t="s">
        <v>49</v>
      </c>
      <c r="AL131" s="62" t="s">
        <v>32</v>
      </c>
      <c r="AM131" s="59"/>
      <c r="AN131" s="10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1"/>
    </row>
    <row r="132" spans="1:51" x14ac:dyDescent="0.2">
      <c r="A132" s="33">
        <f t="shared" si="2"/>
        <v>127</v>
      </c>
      <c r="B132" s="34" t="s">
        <v>1113</v>
      </c>
      <c r="C132" s="35" t="s">
        <v>1114</v>
      </c>
      <c r="D132" s="36" t="s">
        <v>1115</v>
      </c>
      <c r="E132" s="36" t="s">
        <v>54</v>
      </c>
      <c r="F132" s="98" t="s">
        <v>1116</v>
      </c>
      <c r="G132" s="37" t="s">
        <v>73</v>
      </c>
      <c r="H132" s="37" t="s">
        <v>73</v>
      </c>
      <c r="I132" s="34" t="s">
        <v>1117</v>
      </c>
      <c r="J132" s="34" t="s">
        <v>1118</v>
      </c>
      <c r="K132" s="39" t="s">
        <v>42</v>
      </c>
      <c r="L132" s="99" t="s">
        <v>1119</v>
      </c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42" t="s">
        <v>1120</v>
      </c>
      <c r="Y132" s="58" t="s">
        <v>1121</v>
      </c>
      <c r="Z132" s="44" t="s">
        <v>61</v>
      </c>
      <c r="AA132" s="45">
        <v>38593</v>
      </c>
      <c r="AB132" s="101" t="s">
        <v>30</v>
      </c>
      <c r="AC132" s="36" t="s">
        <v>26</v>
      </c>
      <c r="AD132" s="47" t="s">
        <v>49</v>
      </c>
      <c r="AE132" s="48" t="s">
        <v>49</v>
      </c>
      <c r="AF132" s="48" t="s">
        <v>49</v>
      </c>
      <c r="AG132" s="48" t="s">
        <v>49</v>
      </c>
      <c r="AH132" s="48" t="s">
        <v>49</v>
      </c>
      <c r="AI132" s="48" t="s">
        <v>49</v>
      </c>
      <c r="AJ132" s="49" t="s">
        <v>49</v>
      </c>
      <c r="AK132" s="48" t="s">
        <v>41</v>
      </c>
      <c r="AL132" s="62" t="s">
        <v>148</v>
      </c>
      <c r="AM132" s="59"/>
      <c r="AN132" s="10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1"/>
    </row>
    <row r="133" spans="1:51" x14ac:dyDescent="0.2">
      <c r="A133" s="33">
        <f t="shared" si="2"/>
        <v>128</v>
      </c>
      <c r="B133" s="34" t="s">
        <v>1122</v>
      </c>
      <c r="C133" s="35" t="s">
        <v>1123</v>
      </c>
      <c r="D133" s="36" t="s">
        <v>1124</v>
      </c>
      <c r="E133" s="36" t="s">
        <v>36</v>
      </c>
      <c r="F133" s="34" t="s">
        <v>1125</v>
      </c>
      <c r="G133" s="37" t="s">
        <v>73</v>
      </c>
      <c r="H133" s="37" t="s">
        <v>73</v>
      </c>
      <c r="I133" s="34" t="s">
        <v>1126</v>
      </c>
      <c r="J133" s="34" t="s">
        <v>41</v>
      </c>
      <c r="K133" s="39" t="s">
        <v>42</v>
      </c>
      <c r="L133" s="120">
        <v>34156</v>
      </c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42" t="s">
        <v>1127</v>
      </c>
      <c r="Y133" s="58" t="s">
        <v>1128</v>
      </c>
      <c r="Z133" s="44" t="s">
        <v>1129</v>
      </c>
      <c r="AA133" s="45" t="s">
        <v>1130</v>
      </c>
      <c r="AB133" s="101" t="s">
        <v>30</v>
      </c>
      <c r="AC133" s="36"/>
      <c r="AD133" s="47" t="s">
        <v>49</v>
      </c>
      <c r="AE133" s="48" t="s">
        <v>41</v>
      </c>
      <c r="AF133" s="48" t="s">
        <v>41</v>
      </c>
      <c r="AG133" s="48" t="s">
        <v>41</v>
      </c>
      <c r="AH133" s="48" t="s">
        <v>41</v>
      </c>
      <c r="AI133" s="48" t="s">
        <v>41</v>
      </c>
      <c r="AJ133" s="49" t="s">
        <v>41</v>
      </c>
      <c r="AK133" s="48" t="s">
        <v>41</v>
      </c>
      <c r="AL133" s="65" t="s">
        <v>4592</v>
      </c>
      <c r="AM133" s="59" t="s">
        <v>1068</v>
      </c>
      <c r="AN133" s="10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1"/>
    </row>
    <row r="134" spans="1:51" x14ac:dyDescent="0.2">
      <c r="A134" s="33">
        <f t="shared" si="2"/>
        <v>129</v>
      </c>
      <c r="B134" s="34" t="s">
        <v>1131</v>
      </c>
      <c r="C134" s="35" t="s">
        <v>1132</v>
      </c>
      <c r="D134" s="36" t="s">
        <v>1133</v>
      </c>
      <c r="E134" s="36" t="s">
        <v>54</v>
      </c>
      <c r="F134" s="87" t="s">
        <v>1134</v>
      </c>
      <c r="G134" s="37" t="s">
        <v>73</v>
      </c>
      <c r="H134" s="37" t="s">
        <v>73</v>
      </c>
      <c r="I134" s="107" t="s">
        <v>1135</v>
      </c>
      <c r="J134" s="34" t="s">
        <v>1136</v>
      </c>
      <c r="K134" s="39" t="s">
        <v>42</v>
      </c>
      <c r="L134" s="120">
        <v>31057</v>
      </c>
      <c r="M134" s="41" t="s">
        <v>179</v>
      </c>
      <c r="N134" s="41" t="s">
        <v>179</v>
      </c>
      <c r="O134" s="41"/>
      <c r="P134" s="41">
        <v>1</v>
      </c>
      <c r="Q134" s="41" t="s">
        <v>732</v>
      </c>
      <c r="R134" s="41"/>
      <c r="S134" s="41"/>
      <c r="T134" s="41"/>
      <c r="U134" s="41"/>
      <c r="V134" s="41"/>
      <c r="W134" s="41"/>
      <c r="X134" s="42" t="s">
        <v>1137</v>
      </c>
      <c r="Y134" s="69" t="s">
        <v>1138</v>
      </c>
      <c r="Z134" s="44" t="s">
        <v>61</v>
      </c>
      <c r="AA134" s="45">
        <v>34597</v>
      </c>
      <c r="AB134" s="101" t="s">
        <v>30</v>
      </c>
      <c r="AC134" s="36" t="s">
        <v>26</v>
      </c>
      <c r="AD134" s="64" t="s">
        <v>120</v>
      </c>
      <c r="AE134" s="48" t="s">
        <v>120</v>
      </c>
      <c r="AF134" s="48" t="s">
        <v>120</v>
      </c>
      <c r="AG134" s="48" t="s">
        <v>120</v>
      </c>
      <c r="AH134" s="48" t="s">
        <v>120</v>
      </c>
      <c r="AI134" s="48" t="s">
        <v>120</v>
      </c>
      <c r="AJ134" s="49" t="s">
        <v>41</v>
      </c>
      <c r="AK134" s="48" t="s">
        <v>41</v>
      </c>
      <c r="AL134" s="62" t="s">
        <v>276</v>
      </c>
      <c r="AM134" s="59"/>
      <c r="AN134" s="10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1"/>
    </row>
    <row r="135" spans="1:51" x14ac:dyDescent="0.2">
      <c r="A135" s="33">
        <f t="shared" si="2"/>
        <v>130</v>
      </c>
      <c r="B135" s="34" t="s">
        <v>1139</v>
      </c>
      <c r="C135" s="35" t="s">
        <v>1140</v>
      </c>
      <c r="D135" s="36" t="s">
        <v>1141</v>
      </c>
      <c r="E135" s="36" t="s">
        <v>54</v>
      </c>
      <c r="F135" s="34" t="s">
        <v>1142</v>
      </c>
      <c r="G135" s="37" t="s">
        <v>252</v>
      </c>
      <c r="H135" s="37" t="s">
        <v>57</v>
      </c>
      <c r="I135" s="34" t="s">
        <v>1143</v>
      </c>
      <c r="J135" s="34" t="s">
        <v>1144</v>
      </c>
      <c r="K135" s="39" t="s">
        <v>42</v>
      </c>
      <c r="L135" s="120">
        <v>30355</v>
      </c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2" t="s">
        <v>1145</v>
      </c>
      <c r="Y135" s="58" t="s">
        <v>1146</v>
      </c>
      <c r="Z135" s="44" t="s">
        <v>61</v>
      </c>
      <c r="AA135" s="45">
        <v>34597</v>
      </c>
      <c r="AB135" s="101" t="s">
        <v>30</v>
      </c>
      <c r="AC135" s="36"/>
      <c r="AD135" s="47" t="s">
        <v>49</v>
      </c>
      <c r="AE135" s="48" t="s">
        <v>41</v>
      </c>
      <c r="AF135" s="48" t="s">
        <v>41</v>
      </c>
      <c r="AG135" s="48" t="s">
        <v>41</v>
      </c>
      <c r="AH135" s="48" t="s">
        <v>41</v>
      </c>
      <c r="AI135" s="48" t="s">
        <v>41</v>
      </c>
      <c r="AJ135" s="49" t="s">
        <v>41</v>
      </c>
      <c r="AK135" s="48" t="s">
        <v>41</v>
      </c>
      <c r="AL135" s="65" t="s">
        <v>4592</v>
      </c>
      <c r="AM135" s="59" t="s">
        <v>50</v>
      </c>
      <c r="AN135" s="117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1"/>
    </row>
    <row r="136" spans="1:51" x14ac:dyDescent="0.2">
      <c r="A136" s="33">
        <f t="shared" si="2"/>
        <v>131</v>
      </c>
      <c r="B136" s="34" t="s">
        <v>1147</v>
      </c>
      <c r="C136" s="35" t="s">
        <v>1148</v>
      </c>
      <c r="D136" s="36" t="s">
        <v>1149</v>
      </c>
      <c r="E136" s="36" t="s">
        <v>36</v>
      </c>
      <c r="F136" s="98" t="s">
        <v>1150</v>
      </c>
      <c r="G136" s="37" t="s">
        <v>205</v>
      </c>
      <c r="H136" s="37" t="s">
        <v>205</v>
      </c>
      <c r="I136" s="38" t="s">
        <v>1151</v>
      </c>
      <c r="J136" s="38" t="s">
        <v>41</v>
      </c>
      <c r="K136" s="39" t="s">
        <v>42</v>
      </c>
      <c r="L136" s="120">
        <v>44290</v>
      </c>
      <c r="M136" s="56"/>
      <c r="N136" s="56"/>
      <c r="O136" s="56"/>
      <c r="P136" s="56"/>
      <c r="Q136" s="56"/>
      <c r="R136" s="56" t="s">
        <v>44</v>
      </c>
      <c r="S136" s="56"/>
      <c r="T136" s="56"/>
      <c r="U136" s="56"/>
      <c r="V136" s="56"/>
      <c r="W136" s="56"/>
      <c r="X136" s="42" t="s">
        <v>1152</v>
      </c>
      <c r="Y136" s="58" t="s">
        <v>1153</v>
      </c>
      <c r="Z136" s="44" t="s">
        <v>1154</v>
      </c>
      <c r="AA136" s="45">
        <v>44944</v>
      </c>
      <c r="AB136" s="101" t="s">
        <v>30</v>
      </c>
      <c r="AC136" s="36"/>
      <c r="AD136" s="47" t="s">
        <v>49</v>
      </c>
      <c r="AE136" s="48" t="s">
        <v>41</v>
      </c>
      <c r="AF136" s="48" t="s">
        <v>49</v>
      </c>
      <c r="AG136" s="48" t="s">
        <v>49</v>
      </c>
      <c r="AH136" s="48" t="s">
        <v>49</v>
      </c>
      <c r="AI136" s="48" t="s">
        <v>49</v>
      </c>
      <c r="AJ136" s="49" t="s">
        <v>41</v>
      </c>
      <c r="AK136" s="48" t="s">
        <v>41</v>
      </c>
      <c r="AL136" s="62" t="s">
        <v>276</v>
      </c>
      <c r="AM136" s="59"/>
      <c r="AN136" s="10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1"/>
    </row>
    <row r="137" spans="1:51" x14ac:dyDescent="0.2">
      <c r="A137" s="33">
        <f t="shared" ref="A137:A200" si="3">+A136+1</f>
        <v>132</v>
      </c>
      <c r="B137" s="34" t="s">
        <v>1155</v>
      </c>
      <c r="C137" s="35" t="s">
        <v>1156</v>
      </c>
      <c r="D137" s="36" t="s">
        <v>1157</v>
      </c>
      <c r="E137" s="36" t="s">
        <v>54</v>
      </c>
      <c r="F137" s="108" t="s">
        <v>1158</v>
      </c>
      <c r="G137" s="37" t="s">
        <v>73</v>
      </c>
      <c r="H137" s="37" t="s">
        <v>73</v>
      </c>
      <c r="I137" s="108" t="s">
        <v>1159</v>
      </c>
      <c r="J137" s="34" t="s">
        <v>41</v>
      </c>
      <c r="K137" s="39" t="s">
        <v>42</v>
      </c>
      <c r="L137" s="99" t="s">
        <v>1160</v>
      </c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7" t="s">
        <v>1161</v>
      </c>
      <c r="Y137" s="58" t="s">
        <v>1162</v>
      </c>
      <c r="Z137" s="44" t="s">
        <v>61</v>
      </c>
      <c r="AA137" s="45">
        <v>42935</v>
      </c>
      <c r="AB137" s="101" t="s">
        <v>30</v>
      </c>
      <c r="AC137" s="36" t="s">
        <v>26</v>
      </c>
      <c r="AD137" s="47" t="s">
        <v>49</v>
      </c>
      <c r="AE137" s="48" t="s">
        <v>49</v>
      </c>
      <c r="AF137" s="48" t="s">
        <v>49</v>
      </c>
      <c r="AG137" s="48" t="s">
        <v>49</v>
      </c>
      <c r="AH137" s="48" t="s">
        <v>49</v>
      </c>
      <c r="AI137" s="48" t="s">
        <v>49</v>
      </c>
      <c r="AJ137" s="49" t="s">
        <v>49</v>
      </c>
      <c r="AK137" s="48" t="s">
        <v>49</v>
      </c>
      <c r="AL137" s="62" t="s">
        <v>32</v>
      </c>
      <c r="AM137" s="59"/>
      <c r="AN137" s="10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1"/>
    </row>
    <row r="138" spans="1:51" x14ac:dyDescent="0.2">
      <c r="A138" s="33">
        <f t="shared" si="3"/>
        <v>133</v>
      </c>
      <c r="B138" s="34" t="s">
        <v>1163</v>
      </c>
      <c r="C138" s="35" t="s">
        <v>1164</v>
      </c>
      <c r="D138" s="73" t="s">
        <v>1165</v>
      </c>
      <c r="E138" s="36" t="s">
        <v>54</v>
      </c>
      <c r="F138" s="98" t="s">
        <v>1166</v>
      </c>
      <c r="G138" s="37" t="s">
        <v>56</v>
      </c>
      <c r="H138" s="37" t="s">
        <v>57</v>
      </c>
      <c r="I138" s="140" t="s">
        <v>1167</v>
      </c>
      <c r="J138" s="34" t="s">
        <v>41</v>
      </c>
      <c r="K138" s="39" t="s">
        <v>42</v>
      </c>
      <c r="L138" s="120">
        <v>41951</v>
      </c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42" t="s">
        <v>1168</v>
      </c>
      <c r="Y138" s="58" t="s">
        <v>1169</v>
      </c>
      <c r="Z138" s="44" t="s">
        <v>61</v>
      </c>
      <c r="AA138" s="45">
        <v>41793</v>
      </c>
      <c r="AB138" s="101" t="s">
        <v>30</v>
      </c>
      <c r="AC138" s="73" t="s">
        <v>26</v>
      </c>
      <c r="AD138" s="47" t="s">
        <v>49</v>
      </c>
      <c r="AE138" s="48" t="s">
        <v>49</v>
      </c>
      <c r="AF138" s="48" t="s">
        <v>49</v>
      </c>
      <c r="AG138" s="48" t="s">
        <v>49</v>
      </c>
      <c r="AH138" s="48" t="s">
        <v>49</v>
      </c>
      <c r="AI138" s="48" t="s">
        <v>49</v>
      </c>
      <c r="AJ138" s="49" t="s">
        <v>49</v>
      </c>
      <c r="AK138" s="48" t="s">
        <v>49</v>
      </c>
      <c r="AL138" s="65" t="s">
        <v>32</v>
      </c>
      <c r="AM138" s="59"/>
      <c r="AN138" s="10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1"/>
    </row>
    <row r="139" spans="1:51" x14ac:dyDescent="0.2">
      <c r="A139" s="33">
        <f t="shared" si="3"/>
        <v>134</v>
      </c>
      <c r="B139" s="34" t="s">
        <v>1170</v>
      </c>
      <c r="C139" s="35" t="s">
        <v>1171</v>
      </c>
      <c r="D139" s="36" t="s">
        <v>1172</v>
      </c>
      <c r="E139" s="36" t="s">
        <v>54</v>
      </c>
      <c r="F139" s="34" t="s">
        <v>1173</v>
      </c>
      <c r="G139" s="37" t="s">
        <v>349</v>
      </c>
      <c r="H139" s="37" t="s">
        <v>350</v>
      </c>
      <c r="I139" s="34" t="s">
        <v>1174</v>
      </c>
      <c r="J139" s="38" t="s">
        <v>1175</v>
      </c>
      <c r="K139" s="39" t="s">
        <v>42</v>
      </c>
      <c r="L139" s="99" t="s">
        <v>59</v>
      </c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2" t="s">
        <v>1176</v>
      </c>
      <c r="Y139" s="43" t="s">
        <v>1177</v>
      </c>
      <c r="Z139" s="44" t="s">
        <v>1178</v>
      </c>
      <c r="AA139" s="45">
        <v>44041</v>
      </c>
      <c r="AB139" s="101" t="s">
        <v>30</v>
      </c>
      <c r="AC139" s="36" t="s">
        <v>26</v>
      </c>
      <c r="AD139" s="47" t="s">
        <v>49</v>
      </c>
      <c r="AE139" s="48" t="s">
        <v>49</v>
      </c>
      <c r="AF139" s="48" t="s">
        <v>49</v>
      </c>
      <c r="AG139" s="48" t="s">
        <v>49</v>
      </c>
      <c r="AH139" s="48" t="s">
        <v>49</v>
      </c>
      <c r="AI139" s="48" t="s">
        <v>41</v>
      </c>
      <c r="AJ139" s="49" t="s">
        <v>41</v>
      </c>
      <c r="AK139" s="48" t="s">
        <v>41</v>
      </c>
      <c r="AL139" s="62" t="s">
        <v>4589</v>
      </c>
      <c r="AM139" s="59"/>
      <c r="AN139" s="10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1"/>
    </row>
    <row r="140" spans="1:51" x14ac:dyDescent="0.2">
      <c r="A140" s="33">
        <f t="shared" si="3"/>
        <v>135</v>
      </c>
      <c r="B140" s="34" t="s">
        <v>1179</v>
      </c>
      <c r="C140" s="35" t="s">
        <v>1180</v>
      </c>
      <c r="D140" s="36" t="s">
        <v>1181</v>
      </c>
      <c r="E140" s="36" t="s">
        <v>36</v>
      </c>
      <c r="F140" s="34" t="s">
        <v>1182</v>
      </c>
      <c r="G140" s="37" t="s">
        <v>456</v>
      </c>
      <c r="H140" s="37" t="s">
        <v>187</v>
      </c>
      <c r="I140" s="38" t="s">
        <v>1183</v>
      </c>
      <c r="J140" s="38" t="s">
        <v>41</v>
      </c>
      <c r="K140" s="39" t="s">
        <v>42</v>
      </c>
      <c r="L140" s="159" t="s">
        <v>1184</v>
      </c>
      <c r="M140" s="70"/>
      <c r="N140" s="70"/>
      <c r="O140" s="70"/>
      <c r="P140" s="70"/>
      <c r="Q140" s="70"/>
      <c r="R140" s="70"/>
      <c r="S140" s="70" t="s">
        <v>44</v>
      </c>
      <c r="T140" s="70"/>
      <c r="U140" s="70"/>
      <c r="V140" s="70"/>
      <c r="W140" s="70"/>
      <c r="X140" s="54" t="s">
        <v>1185</v>
      </c>
      <c r="Y140" s="43" t="s">
        <v>1186</v>
      </c>
      <c r="Z140" s="44" t="s">
        <v>1154</v>
      </c>
      <c r="AA140" s="45">
        <v>44944</v>
      </c>
      <c r="AB140" s="160" t="s">
        <v>30</v>
      </c>
      <c r="AC140" s="36"/>
      <c r="AD140" s="47" t="s">
        <v>49</v>
      </c>
      <c r="AE140" s="48" t="s">
        <v>41</v>
      </c>
      <c r="AF140" s="48" t="s">
        <v>41</v>
      </c>
      <c r="AG140" s="48" t="s">
        <v>49</v>
      </c>
      <c r="AH140" s="48" t="s">
        <v>49</v>
      </c>
      <c r="AI140" s="48" t="s">
        <v>41</v>
      </c>
      <c r="AJ140" s="49" t="s">
        <v>41</v>
      </c>
      <c r="AK140" s="48" t="s">
        <v>41</v>
      </c>
      <c r="AL140" s="62" t="s">
        <v>4589</v>
      </c>
      <c r="AM140" s="138"/>
      <c r="AN140" s="10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1"/>
    </row>
    <row r="141" spans="1:51" x14ac:dyDescent="0.2">
      <c r="A141" s="33">
        <f t="shared" si="3"/>
        <v>136</v>
      </c>
      <c r="B141" s="34" t="s">
        <v>1187</v>
      </c>
      <c r="C141" s="35" t="s">
        <v>1188</v>
      </c>
      <c r="D141" s="73" t="s">
        <v>1189</v>
      </c>
      <c r="E141" s="36" t="s">
        <v>54</v>
      </c>
      <c r="F141" s="98" t="s">
        <v>1190</v>
      </c>
      <c r="G141" s="37" t="s">
        <v>858</v>
      </c>
      <c r="H141" s="37" t="s">
        <v>57</v>
      </c>
      <c r="I141" s="140" t="s">
        <v>1191</v>
      </c>
      <c r="J141" s="38" t="s">
        <v>1192</v>
      </c>
      <c r="K141" s="39" t="s">
        <v>42</v>
      </c>
      <c r="L141" s="161" t="s">
        <v>1193</v>
      </c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42" t="s">
        <v>1194</v>
      </c>
      <c r="Y141" s="58" t="s">
        <v>1195</v>
      </c>
      <c r="Z141" s="119" t="s">
        <v>1196</v>
      </c>
      <c r="AA141" s="45">
        <v>44041</v>
      </c>
      <c r="AB141" s="160" t="s">
        <v>30</v>
      </c>
      <c r="AC141" s="73" t="s">
        <v>26</v>
      </c>
      <c r="AD141" s="47" t="s">
        <v>49</v>
      </c>
      <c r="AE141" s="48" t="s">
        <v>49</v>
      </c>
      <c r="AF141" s="48" t="s">
        <v>49</v>
      </c>
      <c r="AG141" s="48" t="s">
        <v>49</v>
      </c>
      <c r="AH141" s="48" t="s">
        <v>49</v>
      </c>
      <c r="AI141" s="48" t="s">
        <v>41</v>
      </c>
      <c r="AJ141" s="49" t="s">
        <v>41</v>
      </c>
      <c r="AK141" s="48" t="s">
        <v>41</v>
      </c>
      <c r="AL141" s="62" t="s">
        <v>4589</v>
      </c>
      <c r="AM141" s="138"/>
      <c r="AN141" s="10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1"/>
    </row>
    <row r="142" spans="1:51" x14ac:dyDescent="0.2">
      <c r="A142" s="33">
        <f t="shared" si="3"/>
        <v>137</v>
      </c>
      <c r="B142" s="34" t="s">
        <v>1197</v>
      </c>
      <c r="C142" s="35" t="s">
        <v>1198</v>
      </c>
      <c r="D142" s="36" t="s">
        <v>1199</v>
      </c>
      <c r="E142" s="36" t="s">
        <v>36</v>
      </c>
      <c r="F142" s="34" t="s">
        <v>1200</v>
      </c>
      <c r="G142" s="37" t="s">
        <v>73</v>
      </c>
      <c r="H142" s="37" t="s">
        <v>73</v>
      </c>
      <c r="I142" s="34" t="s">
        <v>1201</v>
      </c>
      <c r="J142" s="34" t="s">
        <v>1202</v>
      </c>
      <c r="K142" s="39" t="s">
        <v>42</v>
      </c>
      <c r="L142" s="159" t="s">
        <v>1203</v>
      </c>
      <c r="M142" s="68" t="s">
        <v>179</v>
      </c>
      <c r="N142" s="68" t="s">
        <v>179</v>
      </c>
      <c r="O142" s="68" t="s">
        <v>4615</v>
      </c>
      <c r="P142" s="68">
        <v>2</v>
      </c>
      <c r="Q142" s="68"/>
      <c r="R142" s="68"/>
      <c r="S142" s="68"/>
      <c r="T142" s="68" t="s">
        <v>732</v>
      </c>
      <c r="U142" s="68"/>
      <c r="V142" s="68"/>
      <c r="W142" s="68"/>
      <c r="X142" s="42" t="s">
        <v>1204</v>
      </c>
      <c r="Y142" s="58" t="s">
        <v>1205</v>
      </c>
      <c r="Z142" s="162"/>
      <c r="AA142" s="45" t="s">
        <v>47</v>
      </c>
      <c r="AB142" s="160"/>
      <c r="AC142" s="36" t="s">
        <v>26</v>
      </c>
      <c r="AD142" s="47" t="s">
        <v>49</v>
      </c>
      <c r="AE142" s="48" t="s">
        <v>49</v>
      </c>
      <c r="AF142" s="48" t="s">
        <v>49</v>
      </c>
      <c r="AG142" s="48" t="s">
        <v>49</v>
      </c>
      <c r="AH142" s="48" t="s">
        <v>49</v>
      </c>
      <c r="AI142" s="48" t="s">
        <v>49</v>
      </c>
      <c r="AJ142" s="49" t="s">
        <v>49</v>
      </c>
      <c r="AK142" s="48" t="s">
        <v>41</v>
      </c>
      <c r="AL142" s="62" t="s">
        <v>148</v>
      </c>
      <c r="AM142" s="138"/>
      <c r="AN142" s="10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1"/>
    </row>
    <row r="143" spans="1:51" x14ac:dyDescent="0.2">
      <c r="A143" s="33">
        <f t="shared" si="3"/>
        <v>138</v>
      </c>
      <c r="B143" s="107" t="s">
        <v>1206</v>
      </c>
      <c r="C143" s="35" t="s">
        <v>1207</v>
      </c>
      <c r="D143" s="36" t="s">
        <v>1208</v>
      </c>
      <c r="E143" s="36" t="s">
        <v>54</v>
      </c>
      <c r="F143" s="34" t="s">
        <v>1209</v>
      </c>
      <c r="G143" s="37" t="s">
        <v>176</v>
      </c>
      <c r="H143" s="37" t="s">
        <v>39</v>
      </c>
      <c r="I143" s="34" t="s">
        <v>1210</v>
      </c>
      <c r="J143" s="38" t="s">
        <v>1211</v>
      </c>
      <c r="K143" s="39" t="s">
        <v>42</v>
      </c>
      <c r="L143" s="99" t="s">
        <v>825</v>
      </c>
      <c r="M143" s="115"/>
      <c r="N143" s="147"/>
      <c r="O143" s="147"/>
      <c r="P143" s="147"/>
      <c r="Q143" s="147"/>
      <c r="R143" s="147"/>
      <c r="S143" s="115"/>
      <c r="T143" s="114"/>
      <c r="U143" s="115"/>
      <c r="V143" s="56"/>
      <c r="W143" s="56"/>
      <c r="X143" s="42" t="s">
        <v>1212</v>
      </c>
      <c r="Y143" s="58" t="s">
        <v>1213</v>
      </c>
      <c r="Z143" s="44" t="s">
        <v>61</v>
      </c>
      <c r="AA143" s="45">
        <v>39286</v>
      </c>
      <c r="AB143" s="101" t="s">
        <v>30</v>
      </c>
      <c r="AC143" s="36" t="s">
        <v>26</v>
      </c>
      <c r="AD143" s="47" t="s">
        <v>49</v>
      </c>
      <c r="AE143" s="48" t="s">
        <v>49</v>
      </c>
      <c r="AF143" s="48" t="s">
        <v>49</v>
      </c>
      <c r="AG143" s="48" t="s">
        <v>49</v>
      </c>
      <c r="AH143" s="48" t="s">
        <v>49</v>
      </c>
      <c r="AI143" s="48" t="s">
        <v>49</v>
      </c>
      <c r="AJ143" s="49" t="s">
        <v>49</v>
      </c>
      <c r="AK143" s="48" t="s">
        <v>49</v>
      </c>
      <c r="AL143" s="62" t="s">
        <v>32</v>
      </c>
      <c r="AM143" s="138"/>
      <c r="AN143" s="10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1"/>
    </row>
    <row r="144" spans="1:51" x14ac:dyDescent="0.2">
      <c r="A144" s="33">
        <f t="shared" si="3"/>
        <v>139</v>
      </c>
      <c r="B144" s="34" t="s">
        <v>1214</v>
      </c>
      <c r="C144" s="35" t="s">
        <v>1215</v>
      </c>
      <c r="D144" s="36" t="s">
        <v>1216</v>
      </c>
      <c r="E144" s="36" t="s">
        <v>36</v>
      </c>
      <c r="F144" s="34" t="s">
        <v>1217</v>
      </c>
      <c r="G144" s="37" t="s">
        <v>73</v>
      </c>
      <c r="H144" s="37" t="s">
        <v>73</v>
      </c>
      <c r="I144" s="34">
        <v>85781123929</v>
      </c>
      <c r="J144" s="34" t="s">
        <v>41</v>
      </c>
      <c r="K144" s="39" t="s">
        <v>42</v>
      </c>
      <c r="L144" s="163" t="s">
        <v>1218</v>
      </c>
      <c r="M144" s="115"/>
      <c r="N144" s="147"/>
      <c r="O144" s="147"/>
      <c r="P144" s="147"/>
      <c r="Q144" s="147"/>
      <c r="R144" s="147"/>
      <c r="S144" s="115"/>
      <c r="T144" s="114"/>
      <c r="U144" s="115"/>
      <c r="V144" s="56"/>
      <c r="W144" s="56"/>
      <c r="X144" s="42" t="s">
        <v>1219</v>
      </c>
      <c r="Y144" s="58" t="s">
        <v>1220</v>
      </c>
      <c r="Z144" s="121" t="s">
        <v>1221</v>
      </c>
      <c r="AA144" s="45">
        <v>44650</v>
      </c>
      <c r="AB144" s="164" t="s">
        <v>30</v>
      </c>
      <c r="AC144" s="36" t="s">
        <v>26</v>
      </c>
      <c r="AD144" s="47" t="s">
        <v>49</v>
      </c>
      <c r="AE144" s="48" t="s">
        <v>49</v>
      </c>
      <c r="AF144" s="48" t="s">
        <v>49</v>
      </c>
      <c r="AG144" s="48" t="s">
        <v>49</v>
      </c>
      <c r="AH144" s="48" t="s">
        <v>49</v>
      </c>
      <c r="AI144" s="48" t="s">
        <v>49</v>
      </c>
      <c r="AJ144" s="49" t="s">
        <v>49</v>
      </c>
      <c r="AK144" s="48" t="s">
        <v>49</v>
      </c>
      <c r="AL144" s="65" t="s">
        <v>32</v>
      </c>
      <c r="AM144" s="103"/>
      <c r="AN144" s="10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1"/>
    </row>
    <row r="145" spans="1:51" x14ac:dyDescent="0.2">
      <c r="A145" s="33">
        <f t="shared" si="3"/>
        <v>140</v>
      </c>
      <c r="B145" s="34" t="s">
        <v>1222</v>
      </c>
      <c r="C145" s="35" t="s">
        <v>1223</v>
      </c>
      <c r="D145" s="73" t="s">
        <v>1224</v>
      </c>
      <c r="E145" s="36" t="s">
        <v>54</v>
      </c>
      <c r="F145" s="98" t="s">
        <v>1225</v>
      </c>
      <c r="G145" s="37" t="s">
        <v>73</v>
      </c>
      <c r="H145" s="37" t="s">
        <v>73</v>
      </c>
      <c r="I145" s="140" t="s">
        <v>1226</v>
      </c>
      <c r="J145" s="34" t="s">
        <v>41</v>
      </c>
      <c r="K145" s="39" t="s">
        <v>42</v>
      </c>
      <c r="L145" s="165" t="s">
        <v>1227</v>
      </c>
      <c r="M145" s="115" t="s">
        <v>179</v>
      </c>
      <c r="N145" s="147" t="s">
        <v>179</v>
      </c>
      <c r="O145" s="147"/>
      <c r="P145" s="147">
        <v>6</v>
      </c>
      <c r="Q145" s="147" t="s">
        <v>1041</v>
      </c>
      <c r="R145" s="147"/>
      <c r="S145" s="115"/>
      <c r="T145" s="114"/>
      <c r="U145" s="115"/>
      <c r="V145" s="56"/>
      <c r="W145" s="56"/>
      <c r="X145" s="42" t="s">
        <v>1228</v>
      </c>
      <c r="Y145" s="58" t="s">
        <v>1229</v>
      </c>
      <c r="Z145" s="44"/>
      <c r="AA145" s="45" t="s">
        <v>47</v>
      </c>
      <c r="AB145" s="164"/>
      <c r="AC145" s="73"/>
      <c r="AD145" s="47" t="s">
        <v>49</v>
      </c>
      <c r="AE145" s="48" t="s">
        <v>41</v>
      </c>
      <c r="AF145" s="48" t="s">
        <v>41</v>
      </c>
      <c r="AG145" s="48" t="s">
        <v>41</v>
      </c>
      <c r="AH145" s="48" t="s">
        <v>41</v>
      </c>
      <c r="AI145" s="48" t="s">
        <v>41</v>
      </c>
      <c r="AJ145" s="49" t="s">
        <v>41</v>
      </c>
      <c r="AK145" s="48" t="s">
        <v>41</v>
      </c>
      <c r="AL145" s="65" t="s">
        <v>4588</v>
      </c>
      <c r="AM145" s="59" t="s">
        <v>1230</v>
      </c>
      <c r="AN145" s="10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1"/>
    </row>
    <row r="146" spans="1:51" x14ac:dyDescent="0.2">
      <c r="A146" s="33">
        <f t="shared" si="3"/>
        <v>141</v>
      </c>
      <c r="B146" s="38" t="s">
        <v>1231</v>
      </c>
      <c r="C146" s="35" t="s">
        <v>1232</v>
      </c>
      <c r="D146" s="36" t="s">
        <v>1233</v>
      </c>
      <c r="E146" s="36" t="s">
        <v>54</v>
      </c>
      <c r="F146" s="34" t="s">
        <v>1234</v>
      </c>
      <c r="G146" s="37" t="s">
        <v>39</v>
      </c>
      <c r="H146" s="37" t="s">
        <v>39</v>
      </c>
      <c r="I146" s="38" t="s">
        <v>1235</v>
      </c>
      <c r="J146" s="34" t="s">
        <v>41</v>
      </c>
      <c r="K146" s="39" t="s">
        <v>42</v>
      </c>
      <c r="L146" s="163" t="s">
        <v>1236</v>
      </c>
      <c r="M146" s="115"/>
      <c r="N146" s="147"/>
      <c r="O146" s="147"/>
      <c r="P146" s="147"/>
      <c r="Q146" s="147"/>
      <c r="R146" s="147"/>
      <c r="S146" s="115" t="s">
        <v>44</v>
      </c>
      <c r="T146" s="114" t="s">
        <v>732</v>
      </c>
      <c r="U146" s="115"/>
      <c r="V146" s="56"/>
      <c r="W146" s="56"/>
      <c r="X146" s="42" t="s">
        <v>1237</v>
      </c>
      <c r="Y146" s="58" t="s">
        <v>1238</v>
      </c>
      <c r="Z146" s="84" t="s">
        <v>1239</v>
      </c>
      <c r="AA146" s="45">
        <v>44650</v>
      </c>
      <c r="AB146" s="164" t="s">
        <v>30</v>
      </c>
      <c r="AC146" s="36"/>
      <c r="AD146" s="47" t="s">
        <v>49</v>
      </c>
      <c r="AE146" s="48" t="s">
        <v>41</v>
      </c>
      <c r="AF146" s="48" t="s">
        <v>41</v>
      </c>
      <c r="AG146" s="48" t="s">
        <v>49</v>
      </c>
      <c r="AH146" s="48" t="s">
        <v>49</v>
      </c>
      <c r="AI146" s="48" t="s">
        <v>49</v>
      </c>
      <c r="AJ146" s="49" t="s">
        <v>49</v>
      </c>
      <c r="AK146" s="48" t="s">
        <v>49</v>
      </c>
      <c r="AL146" s="65" t="s">
        <v>32</v>
      </c>
      <c r="AM146" s="59"/>
      <c r="AN146" s="10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1"/>
    </row>
    <row r="147" spans="1:51" x14ac:dyDescent="0.2">
      <c r="A147" s="33">
        <f t="shared" si="3"/>
        <v>142</v>
      </c>
      <c r="B147" s="34" t="s">
        <v>1240</v>
      </c>
      <c r="C147" s="35" t="s">
        <v>1241</v>
      </c>
      <c r="D147" s="36" t="s">
        <v>1242</v>
      </c>
      <c r="E147" s="36" t="s">
        <v>54</v>
      </c>
      <c r="F147" s="34" t="s">
        <v>4625</v>
      </c>
      <c r="G147" s="37" t="s">
        <v>360</v>
      </c>
      <c r="H147" s="37" t="s">
        <v>350</v>
      </c>
      <c r="I147" s="38" t="s">
        <v>1244</v>
      </c>
      <c r="J147" s="34"/>
      <c r="K147" s="39" t="s">
        <v>42</v>
      </c>
      <c r="L147" s="165" t="s">
        <v>1245</v>
      </c>
      <c r="M147" s="56"/>
      <c r="N147" s="115"/>
      <c r="O147" s="114"/>
      <c r="P147" s="115"/>
      <c r="Q147" s="114"/>
      <c r="R147" s="115"/>
      <c r="S147" s="115"/>
      <c r="T147" s="114"/>
      <c r="U147" s="115"/>
      <c r="V147" s="56"/>
      <c r="W147" s="56"/>
      <c r="X147" s="42" t="s">
        <v>1246</v>
      </c>
      <c r="Y147" s="58" t="s">
        <v>1247</v>
      </c>
      <c r="Z147" s="144" t="s">
        <v>1248</v>
      </c>
      <c r="AA147" s="45">
        <v>44650</v>
      </c>
      <c r="AB147" s="164" t="s">
        <v>30</v>
      </c>
      <c r="AC147" s="36" t="s">
        <v>26</v>
      </c>
      <c r="AD147" s="47" t="s">
        <v>49</v>
      </c>
      <c r="AE147" s="48" t="s">
        <v>49</v>
      </c>
      <c r="AF147" s="48" t="s">
        <v>49</v>
      </c>
      <c r="AG147" s="48" t="s">
        <v>49</v>
      </c>
      <c r="AH147" s="48" t="s">
        <v>49</v>
      </c>
      <c r="AI147" s="48" t="s">
        <v>49</v>
      </c>
      <c r="AJ147" s="49" t="s">
        <v>49</v>
      </c>
      <c r="AK147" s="48" t="s">
        <v>49</v>
      </c>
      <c r="AL147" s="65" t="s">
        <v>32</v>
      </c>
      <c r="AM147" s="59"/>
      <c r="AN147" s="10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1"/>
    </row>
    <row r="148" spans="1:51" x14ac:dyDescent="0.2">
      <c r="A148" s="33">
        <f t="shared" si="3"/>
        <v>143</v>
      </c>
      <c r="B148" s="34" t="s">
        <v>1249</v>
      </c>
      <c r="C148" s="35" t="s">
        <v>1250</v>
      </c>
      <c r="D148" s="36" t="s">
        <v>1251</v>
      </c>
      <c r="E148" s="36" t="s">
        <v>54</v>
      </c>
      <c r="F148" s="34" t="s">
        <v>1252</v>
      </c>
      <c r="G148" s="37" t="s">
        <v>176</v>
      </c>
      <c r="H148" s="37" t="s">
        <v>39</v>
      </c>
      <c r="I148" s="34" t="s">
        <v>1253</v>
      </c>
      <c r="J148" s="34" t="s">
        <v>41</v>
      </c>
      <c r="K148" s="39" t="s">
        <v>42</v>
      </c>
      <c r="L148" s="166" t="s">
        <v>1254</v>
      </c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2" t="s">
        <v>1255</v>
      </c>
      <c r="Y148" s="52" t="s">
        <v>1256</v>
      </c>
      <c r="Z148" s="44" t="s">
        <v>1257</v>
      </c>
      <c r="AA148" s="45">
        <v>42935</v>
      </c>
      <c r="AB148" s="101" t="s">
        <v>30</v>
      </c>
      <c r="AC148" s="36" t="s">
        <v>26</v>
      </c>
      <c r="AD148" s="47" t="s">
        <v>49</v>
      </c>
      <c r="AE148" s="48" t="s">
        <v>49</v>
      </c>
      <c r="AF148" s="48" t="s">
        <v>49</v>
      </c>
      <c r="AG148" s="48" t="s">
        <v>49</v>
      </c>
      <c r="AH148" s="48" t="s">
        <v>49</v>
      </c>
      <c r="AI148" s="48" t="s">
        <v>49</v>
      </c>
      <c r="AJ148" s="49" t="s">
        <v>49</v>
      </c>
      <c r="AK148" s="48" t="s">
        <v>49</v>
      </c>
      <c r="AL148" s="62" t="s">
        <v>32</v>
      </c>
      <c r="AM148" s="59"/>
      <c r="AN148" s="10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1"/>
    </row>
    <row r="149" spans="1:51" x14ac:dyDescent="0.2">
      <c r="A149" s="33">
        <f t="shared" si="3"/>
        <v>144</v>
      </c>
      <c r="B149" s="34" t="s">
        <v>1258</v>
      </c>
      <c r="C149" s="35" t="s">
        <v>1259</v>
      </c>
      <c r="D149" s="36" t="s">
        <v>1260</v>
      </c>
      <c r="E149" s="36" t="s">
        <v>54</v>
      </c>
      <c r="F149" s="34" t="s">
        <v>1261</v>
      </c>
      <c r="G149" s="37" t="s">
        <v>73</v>
      </c>
      <c r="H149" s="37" t="s">
        <v>73</v>
      </c>
      <c r="I149" s="38" t="s">
        <v>1262</v>
      </c>
      <c r="J149" s="34"/>
      <c r="K149" s="39" t="s">
        <v>42</v>
      </c>
      <c r="L149" s="120">
        <v>45376</v>
      </c>
      <c r="M149" s="56"/>
      <c r="N149" s="56"/>
      <c r="O149" s="56"/>
      <c r="P149" s="56"/>
      <c r="Q149" s="56"/>
      <c r="R149" s="56"/>
      <c r="S149" s="56"/>
      <c r="T149" s="56"/>
      <c r="U149" s="56" t="s">
        <v>44</v>
      </c>
      <c r="V149" s="56"/>
      <c r="W149" s="56"/>
      <c r="X149" s="42" t="s">
        <v>1263</v>
      </c>
      <c r="Y149" s="58" t="s">
        <v>1264</v>
      </c>
      <c r="Z149" s="121"/>
      <c r="AA149" s="45"/>
      <c r="AB149" s="101"/>
      <c r="AC149" s="36"/>
      <c r="AD149" s="47" t="s">
        <v>49</v>
      </c>
      <c r="AE149" s="48" t="s">
        <v>41</v>
      </c>
      <c r="AF149" s="48" t="s">
        <v>41</v>
      </c>
      <c r="AG149" s="48" t="s">
        <v>41</v>
      </c>
      <c r="AH149" s="48" t="s">
        <v>41</v>
      </c>
      <c r="AI149" s="48" t="s">
        <v>49</v>
      </c>
      <c r="AJ149" s="49" t="s">
        <v>49</v>
      </c>
      <c r="AK149" s="48" t="s">
        <v>49</v>
      </c>
      <c r="AL149" s="62" t="s">
        <v>32</v>
      </c>
      <c r="AM149" s="59"/>
      <c r="AN149" s="10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1"/>
    </row>
    <row r="150" spans="1:51" x14ac:dyDescent="0.2">
      <c r="A150" s="33">
        <f t="shared" si="3"/>
        <v>145</v>
      </c>
      <c r="B150" s="34" t="s">
        <v>1265</v>
      </c>
      <c r="C150" s="35" t="s">
        <v>1266</v>
      </c>
      <c r="D150" s="36" t="s">
        <v>1267</v>
      </c>
      <c r="E150" s="36" t="s">
        <v>36</v>
      </c>
      <c r="F150" s="34" t="s">
        <v>1268</v>
      </c>
      <c r="G150" s="37" t="s">
        <v>73</v>
      </c>
      <c r="H150" s="37" t="s">
        <v>73</v>
      </c>
      <c r="I150" s="42" t="s">
        <v>1269</v>
      </c>
      <c r="J150" s="34"/>
      <c r="K150" s="39" t="s">
        <v>42</v>
      </c>
      <c r="L150" s="120">
        <v>45607</v>
      </c>
      <c r="M150" s="56" t="s">
        <v>179</v>
      </c>
      <c r="N150" s="56" t="s">
        <v>179</v>
      </c>
      <c r="O150" s="56"/>
      <c r="P150" s="56">
        <v>1</v>
      </c>
      <c r="Q150" s="56"/>
      <c r="R150" s="56"/>
      <c r="S150" s="56"/>
      <c r="T150" s="56"/>
      <c r="U150" s="56" t="s">
        <v>44</v>
      </c>
      <c r="V150" s="56"/>
      <c r="W150" s="56"/>
      <c r="X150" s="42" t="s">
        <v>1270</v>
      </c>
      <c r="Y150" s="58" t="s">
        <v>1271</v>
      </c>
      <c r="Z150" s="121"/>
      <c r="AA150" s="45"/>
      <c r="AB150" s="101"/>
      <c r="AC150" s="36"/>
      <c r="AD150" s="47" t="s">
        <v>49</v>
      </c>
      <c r="AE150" s="48" t="s">
        <v>41</v>
      </c>
      <c r="AF150" s="48" t="s">
        <v>41</v>
      </c>
      <c r="AG150" s="48" t="s">
        <v>41</v>
      </c>
      <c r="AH150" s="48" t="s">
        <v>41</v>
      </c>
      <c r="AI150" s="48" t="s">
        <v>49</v>
      </c>
      <c r="AJ150" s="49" t="s">
        <v>41</v>
      </c>
      <c r="AK150" s="48" t="s">
        <v>41</v>
      </c>
      <c r="AL150" s="62" t="s">
        <v>276</v>
      </c>
      <c r="AM150" s="59"/>
      <c r="AN150" s="10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1"/>
    </row>
    <row r="151" spans="1:51" x14ac:dyDescent="0.2">
      <c r="A151" s="33">
        <f t="shared" si="3"/>
        <v>146</v>
      </c>
      <c r="B151" s="34" t="s">
        <v>1272</v>
      </c>
      <c r="C151" s="35" t="s">
        <v>1273</v>
      </c>
      <c r="D151" s="36" t="s">
        <v>1274</v>
      </c>
      <c r="E151" s="36" t="s">
        <v>36</v>
      </c>
      <c r="F151" s="34" t="s">
        <v>1275</v>
      </c>
      <c r="G151" s="37" t="s">
        <v>73</v>
      </c>
      <c r="H151" s="37" t="s">
        <v>73</v>
      </c>
      <c r="I151" s="38" t="s">
        <v>1276</v>
      </c>
      <c r="J151" s="34" t="s">
        <v>41</v>
      </c>
      <c r="K151" s="39" t="s">
        <v>42</v>
      </c>
      <c r="L151" s="166" t="s">
        <v>1277</v>
      </c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2" t="s">
        <v>1278</v>
      </c>
      <c r="Y151" s="52" t="s">
        <v>1279</v>
      </c>
      <c r="Z151" s="44" t="s">
        <v>1280</v>
      </c>
      <c r="AA151" s="45">
        <v>41793</v>
      </c>
      <c r="AB151" s="101" t="s">
        <v>30</v>
      </c>
      <c r="AC151" s="36" t="s">
        <v>26</v>
      </c>
      <c r="AD151" s="47" t="s">
        <v>49</v>
      </c>
      <c r="AE151" s="48" t="s">
        <v>49</v>
      </c>
      <c r="AF151" s="48" t="s">
        <v>49</v>
      </c>
      <c r="AG151" s="48" t="s">
        <v>49</v>
      </c>
      <c r="AH151" s="48" t="s">
        <v>49</v>
      </c>
      <c r="AI151" s="48" t="s">
        <v>41</v>
      </c>
      <c r="AJ151" s="49" t="s">
        <v>41</v>
      </c>
      <c r="AK151" s="48" t="s">
        <v>41</v>
      </c>
      <c r="AL151" s="62" t="s">
        <v>4589</v>
      </c>
      <c r="AM151" s="59"/>
      <c r="AN151" s="10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1"/>
    </row>
    <row r="152" spans="1:51" x14ac:dyDescent="0.2">
      <c r="A152" s="33">
        <f t="shared" si="3"/>
        <v>147</v>
      </c>
      <c r="B152" s="34" t="s">
        <v>1281</v>
      </c>
      <c r="C152" s="35" t="s">
        <v>1282</v>
      </c>
      <c r="D152" s="36" t="s">
        <v>1283</v>
      </c>
      <c r="E152" s="36" t="s">
        <v>54</v>
      </c>
      <c r="F152" s="34" t="s">
        <v>1284</v>
      </c>
      <c r="G152" s="37" t="s">
        <v>1285</v>
      </c>
      <c r="H152" s="37" t="s">
        <v>350</v>
      </c>
      <c r="I152" s="34" t="s">
        <v>1286</v>
      </c>
      <c r="J152" s="34" t="s">
        <v>41</v>
      </c>
      <c r="K152" s="39" t="s">
        <v>42</v>
      </c>
      <c r="L152" s="158" t="s">
        <v>1287</v>
      </c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42" t="s">
        <v>1288</v>
      </c>
      <c r="Y152" s="58" t="s">
        <v>1289</v>
      </c>
      <c r="Z152" s="44" t="s">
        <v>1290</v>
      </c>
      <c r="AA152" s="45">
        <v>42935</v>
      </c>
      <c r="AB152" s="101" t="s">
        <v>30</v>
      </c>
      <c r="AC152" s="36" t="s">
        <v>26</v>
      </c>
      <c r="AD152" s="47" t="s">
        <v>49</v>
      </c>
      <c r="AE152" s="48" t="s">
        <v>49</v>
      </c>
      <c r="AF152" s="48" t="s">
        <v>49</v>
      </c>
      <c r="AG152" s="48" t="s">
        <v>49</v>
      </c>
      <c r="AH152" s="48" t="s">
        <v>49</v>
      </c>
      <c r="AI152" s="48" t="s">
        <v>49</v>
      </c>
      <c r="AJ152" s="49" t="s">
        <v>41</v>
      </c>
      <c r="AK152" s="48" t="s">
        <v>41</v>
      </c>
      <c r="AL152" s="62" t="s">
        <v>276</v>
      </c>
      <c r="AM152" s="59"/>
      <c r="AN152" s="10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1"/>
    </row>
    <row r="153" spans="1:51" x14ac:dyDescent="0.2">
      <c r="A153" s="33">
        <f t="shared" si="3"/>
        <v>148</v>
      </c>
      <c r="B153" s="34" t="s">
        <v>1291</v>
      </c>
      <c r="C153" s="35" t="s">
        <v>1292</v>
      </c>
      <c r="D153" s="36" t="s">
        <v>1293</v>
      </c>
      <c r="E153" s="36" t="s">
        <v>54</v>
      </c>
      <c r="F153" s="34" t="s">
        <v>1294</v>
      </c>
      <c r="G153" s="37" t="s">
        <v>73</v>
      </c>
      <c r="H153" s="37" t="s">
        <v>73</v>
      </c>
      <c r="I153" s="167" t="s">
        <v>1295</v>
      </c>
      <c r="J153" s="57" t="s">
        <v>1296</v>
      </c>
      <c r="K153" s="39" t="s">
        <v>42</v>
      </c>
      <c r="L153" s="99" t="s">
        <v>307</v>
      </c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42" t="s">
        <v>1297</v>
      </c>
      <c r="Y153" s="100" t="s">
        <v>1298</v>
      </c>
      <c r="Z153" s="44" t="s">
        <v>61</v>
      </c>
      <c r="AA153" s="45">
        <v>39286</v>
      </c>
      <c r="AB153" s="101" t="s">
        <v>30</v>
      </c>
      <c r="AC153" s="36"/>
      <c r="AD153" s="47" t="s">
        <v>49</v>
      </c>
      <c r="AE153" s="48" t="s">
        <v>41</v>
      </c>
      <c r="AF153" s="48" t="s">
        <v>41</v>
      </c>
      <c r="AG153" s="48" t="s">
        <v>41</v>
      </c>
      <c r="AH153" s="48" t="s">
        <v>41</v>
      </c>
      <c r="AI153" s="48" t="s">
        <v>41</v>
      </c>
      <c r="AJ153" s="49" t="s">
        <v>41</v>
      </c>
      <c r="AK153" s="48" t="s">
        <v>41</v>
      </c>
      <c r="AL153" s="65" t="s">
        <v>4590</v>
      </c>
      <c r="AM153" s="59" t="s">
        <v>192</v>
      </c>
      <c r="AN153" s="10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1"/>
    </row>
    <row r="154" spans="1:51" x14ac:dyDescent="0.2">
      <c r="A154" s="33">
        <f t="shared" si="3"/>
        <v>149</v>
      </c>
      <c r="B154" s="34" t="s">
        <v>1299</v>
      </c>
      <c r="C154" s="35" t="s">
        <v>1300</v>
      </c>
      <c r="D154" s="36" t="s">
        <v>1301</v>
      </c>
      <c r="E154" s="36" t="s">
        <v>54</v>
      </c>
      <c r="F154" s="34" t="s">
        <v>1302</v>
      </c>
      <c r="G154" s="37" t="s">
        <v>186</v>
      </c>
      <c r="H154" s="37" t="s">
        <v>187</v>
      </c>
      <c r="I154" s="167" t="s">
        <v>1303</v>
      </c>
      <c r="J154" s="57" t="s">
        <v>41</v>
      </c>
      <c r="K154" s="39" t="s">
        <v>42</v>
      </c>
      <c r="L154" s="120">
        <v>45694</v>
      </c>
      <c r="M154" s="56"/>
      <c r="N154" s="56"/>
      <c r="O154" s="56"/>
      <c r="P154" s="56"/>
      <c r="Q154" s="56"/>
      <c r="R154" s="56"/>
      <c r="S154" s="56"/>
      <c r="T154" s="56"/>
      <c r="U154" s="56"/>
      <c r="V154" s="56" t="s">
        <v>44</v>
      </c>
      <c r="W154" s="56"/>
      <c r="X154" s="167" t="s">
        <v>1304</v>
      </c>
      <c r="Y154" s="146" t="s">
        <v>1305</v>
      </c>
      <c r="Z154" s="44"/>
      <c r="AA154" s="45"/>
      <c r="AB154" s="101"/>
      <c r="AC154" s="36"/>
      <c r="AD154" s="47" t="s">
        <v>49</v>
      </c>
      <c r="AE154" s="48" t="s">
        <v>41</v>
      </c>
      <c r="AF154" s="48" t="s">
        <v>41</v>
      </c>
      <c r="AG154" s="48" t="s">
        <v>41</v>
      </c>
      <c r="AH154" s="48" t="s">
        <v>41</v>
      </c>
      <c r="AI154" s="48" t="s">
        <v>41</v>
      </c>
      <c r="AJ154" s="49" t="s">
        <v>49</v>
      </c>
      <c r="AK154" s="48" t="s">
        <v>49</v>
      </c>
      <c r="AL154" s="65" t="s">
        <v>32</v>
      </c>
      <c r="AM154" s="59"/>
      <c r="AN154" s="10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1"/>
    </row>
    <row r="155" spans="1:51" x14ac:dyDescent="0.2">
      <c r="A155" s="33">
        <f t="shared" si="3"/>
        <v>150</v>
      </c>
      <c r="B155" s="34" t="s">
        <v>1306</v>
      </c>
      <c r="C155" s="35" t="s">
        <v>1307</v>
      </c>
      <c r="D155" s="36" t="s">
        <v>1308</v>
      </c>
      <c r="E155" s="36" t="s">
        <v>54</v>
      </c>
      <c r="F155" s="34" t="s">
        <v>1309</v>
      </c>
      <c r="G155" s="37" t="s">
        <v>186</v>
      </c>
      <c r="H155" s="37" t="s">
        <v>187</v>
      </c>
      <c r="I155" s="34" t="s">
        <v>1310</v>
      </c>
      <c r="J155" s="34" t="s">
        <v>41</v>
      </c>
      <c r="K155" s="39" t="s">
        <v>42</v>
      </c>
      <c r="L155" s="158" t="s">
        <v>1311</v>
      </c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2" t="s">
        <v>1312</v>
      </c>
      <c r="Y155" s="58" t="s">
        <v>1313</v>
      </c>
      <c r="Z155" s="44" t="s">
        <v>61</v>
      </c>
      <c r="AA155" s="45">
        <v>37208</v>
      </c>
      <c r="AB155" s="101" t="s">
        <v>30</v>
      </c>
      <c r="AC155" s="36" t="s">
        <v>26</v>
      </c>
      <c r="AD155" s="47" t="s">
        <v>49</v>
      </c>
      <c r="AE155" s="48" t="s">
        <v>49</v>
      </c>
      <c r="AF155" s="48" t="s">
        <v>49</v>
      </c>
      <c r="AG155" s="48" t="s">
        <v>49</v>
      </c>
      <c r="AH155" s="48" t="s">
        <v>49</v>
      </c>
      <c r="AI155" s="48" t="s">
        <v>49</v>
      </c>
      <c r="AJ155" s="49" t="s">
        <v>49</v>
      </c>
      <c r="AK155" s="48" t="s">
        <v>41</v>
      </c>
      <c r="AL155" s="65" t="s">
        <v>148</v>
      </c>
      <c r="AM155" s="59"/>
      <c r="AN155" s="10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1"/>
    </row>
    <row r="156" spans="1:51" x14ac:dyDescent="0.2">
      <c r="A156" s="33">
        <f t="shared" si="3"/>
        <v>151</v>
      </c>
      <c r="B156" s="34" t="s">
        <v>1314</v>
      </c>
      <c r="C156" s="35" t="s">
        <v>1315</v>
      </c>
      <c r="D156" s="36" t="s">
        <v>1316</v>
      </c>
      <c r="E156" s="36" t="s">
        <v>54</v>
      </c>
      <c r="F156" s="34" t="s">
        <v>1317</v>
      </c>
      <c r="G156" s="37" t="s">
        <v>858</v>
      </c>
      <c r="H156" s="37" t="s">
        <v>57</v>
      </c>
      <c r="I156" s="38" t="s">
        <v>1318</v>
      </c>
      <c r="J156" s="34" t="s">
        <v>41</v>
      </c>
      <c r="K156" s="39" t="s">
        <v>42</v>
      </c>
      <c r="L156" s="158" t="s">
        <v>1319</v>
      </c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2" t="s">
        <v>1320</v>
      </c>
      <c r="Y156" s="58" t="s">
        <v>1321</v>
      </c>
      <c r="Z156" s="119" t="s">
        <v>1322</v>
      </c>
      <c r="AA156" s="45">
        <v>44944</v>
      </c>
      <c r="AB156" s="101" t="s">
        <v>30</v>
      </c>
      <c r="AC156" s="36" t="s">
        <v>26</v>
      </c>
      <c r="AD156" s="47" t="s">
        <v>49</v>
      </c>
      <c r="AE156" s="48" t="s">
        <v>49</v>
      </c>
      <c r="AF156" s="48" t="s">
        <v>49</v>
      </c>
      <c r="AG156" s="48" t="s">
        <v>49</v>
      </c>
      <c r="AH156" s="48" t="s">
        <v>49</v>
      </c>
      <c r="AI156" s="48" t="s">
        <v>41</v>
      </c>
      <c r="AJ156" s="49" t="s">
        <v>41</v>
      </c>
      <c r="AK156" s="48" t="s">
        <v>41</v>
      </c>
      <c r="AL156" s="62" t="s">
        <v>4589</v>
      </c>
      <c r="AM156" s="59"/>
      <c r="AN156" s="10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1"/>
    </row>
    <row r="157" spans="1:51" x14ac:dyDescent="0.2">
      <c r="A157" s="33">
        <f t="shared" si="3"/>
        <v>152</v>
      </c>
      <c r="B157" s="34" t="s">
        <v>1323</v>
      </c>
      <c r="C157" s="35" t="s">
        <v>1324</v>
      </c>
      <c r="D157" s="36" t="s">
        <v>1325</v>
      </c>
      <c r="E157" s="36" t="s">
        <v>36</v>
      </c>
      <c r="F157" s="34" t="s">
        <v>1326</v>
      </c>
      <c r="G157" s="37" t="s">
        <v>377</v>
      </c>
      <c r="H157" s="37" t="s">
        <v>378</v>
      </c>
      <c r="I157" s="38" t="s">
        <v>1327</v>
      </c>
      <c r="J157" s="34" t="s">
        <v>41</v>
      </c>
      <c r="K157" s="39" t="s">
        <v>42</v>
      </c>
      <c r="L157" s="158" t="s">
        <v>1328</v>
      </c>
      <c r="M157" s="41"/>
      <c r="N157" s="41"/>
      <c r="O157" s="41"/>
      <c r="P157" s="41"/>
      <c r="Q157" s="41"/>
      <c r="R157" s="41"/>
      <c r="S157" s="168" t="s">
        <v>44</v>
      </c>
      <c r="T157" s="41"/>
      <c r="U157" s="41"/>
      <c r="V157" s="41"/>
      <c r="W157" s="41"/>
      <c r="X157" s="42" t="s">
        <v>1329</v>
      </c>
      <c r="Y157" s="58" t="s">
        <v>1330</v>
      </c>
      <c r="Z157" s="121" t="s">
        <v>1331</v>
      </c>
      <c r="AA157" s="45">
        <v>44650</v>
      </c>
      <c r="AB157" s="101" t="s">
        <v>30</v>
      </c>
      <c r="AC157" s="36"/>
      <c r="AD157" s="47" t="s">
        <v>49</v>
      </c>
      <c r="AE157" s="48"/>
      <c r="AF157" s="48" t="s">
        <v>41</v>
      </c>
      <c r="AG157" s="48" t="s">
        <v>49</v>
      </c>
      <c r="AH157" s="48" t="s">
        <v>41</v>
      </c>
      <c r="AI157" s="48" t="s">
        <v>41</v>
      </c>
      <c r="AJ157" s="49" t="s">
        <v>41</v>
      </c>
      <c r="AK157" s="48" t="s">
        <v>41</v>
      </c>
      <c r="AL157" s="62" t="s">
        <v>139</v>
      </c>
      <c r="AM157" s="59"/>
      <c r="AN157" s="10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1"/>
    </row>
    <row r="158" spans="1:51" x14ac:dyDescent="0.2">
      <c r="A158" s="33">
        <f t="shared" si="3"/>
        <v>153</v>
      </c>
      <c r="B158" s="34" t="s">
        <v>1332</v>
      </c>
      <c r="C158" s="35" t="s">
        <v>1333</v>
      </c>
      <c r="D158" s="36" t="s">
        <v>1334</v>
      </c>
      <c r="E158" s="36" t="s">
        <v>54</v>
      </c>
      <c r="F158" s="34" t="s">
        <v>1335</v>
      </c>
      <c r="G158" s="37" t="s">
        <v>73</v>
      </c>
      <c r="H158" s="37" t="s">
        <v>73</v>
      </c>
      <c r="I158" s="34" t="s">
        <v>1336</v>
      </c>
      <c r="J158" s="34" t="s">
        <v>1337</v>
      </c>
      <c r="K158" s="39" t="s">
        <v>42</v>
      </c>
      <c r="L158" s="158" t="s">
        <v>1338</v>
      </c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42" t="s">
        <v>1339</v>
      </c>
      <c r="Y158" s="58" t="s">
        <v>1340</v>
      </c>
      <c r="Z158" s="44" t="s">
        <v>1341</v>
      </c>
      <c r="AA158" s="45">
        <v>44944</v>
      </c>
      <c r="AB158" s="101" t="s">
        <v>30</v>
      </c>
      <c r="AC158" s="36" t="s">
        <v>26</v>
      </c>
      <c r="AD158" s="64" t="s">
        <v>120</v>
      </c>
      <c r="AE158" s="48" t="s">
        <v>120</v>
      </c>
      <c r="AF158" s="48" t="s">
        <v>120</v>
      </c>
      <c r="AG158" s="48" t="s">
        <v>120</v>
      </c>
      <c r="AH158" s="48" t="s">
        <v>120</v>
      </c>
      <c r="AI158" s="48" t="s">
        <v>120</v>
      </c>
      <c r="AJ158" s="49" t="s">
        <v>120</v>
      </c>
      <c r="AK158" s="48" t="s">
        <v>41</v>
      </c>
      <c r="AL158" s="62" t="s">
        <v>148</v>
      </c>
      <c r="AM158" s="59"/>
      <c r="AN158" s="10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1"/>
    </row>
    <row r="159" spans="1:51" x14ac:dyDescent="0.2">
      <c r="A159" s="33">
        <f t="shared" si="3"/>
        <v>154</v>
      </c>
      <c r="B159" s="34" t="s">
        <v>1342</v>
      </c>
      <c r="C159" s="35" t="s">
        <v>1343</v>
      </c>
      <c r="D159" s="36" t="s">
        <v>4616</v>
      </c>
      <c r="E159" s="36" t="s">
        <v>54</v>
      </c>
      <c r="F159" s="34" t="s">
        <v>1345</v>
      </c>
      <c r="G159" s="37" t="s">
        <v>176</v>
      </c>
      <c r="H159" s="37" t="s">
        <v>39</v>
      </c>
      <c r="I159" s="34" t="s">
        <v>1346</v>
      </c>
      <c r="J159" s="34" t="s">
        <v>41</v>
      </c>
      <c r="K159" s="39" t="s">
        <v>42</v>
      </c>
      <c r="L159" s="158" t="s">
        <v>1347</v>
      </c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42" t="s">
        <v>4617</v>
      </c>
      <c r="Y159" s="69" t="s">
        <v>1349</v>
      </c>
      <c r="Z159" s="69"/>
      <c r="AA159" s="45" t="s">
        <v>47</v>
      </c>
      <c r="AB159" s="101"/>
      <c r="AC159" s="36" t="s">
        <v>26</v>
      </c>
      <c r="AD159" s="47" t="s">
        <v>49</v>
      </c>
      <c r="AE159" s="48" t="s">
        <v>49</v>
      </c>
      <c r="AF159" s="48" t="s">
        <v>49</v>
      </c>
      <c r="AG159" s="48" t="s">
        <v>49</v>
      </c>
      <c r="AH159" s="48" t="s">
        <v>49</v>
      </c>
      <c r="AI159" s="48" t="s">
        <v>49</v>
      </c>
      <c r="AJ159" s="49" t="s">
        <v>49</v>
      </c>
      <c r="AK159" s="48" t="s">
        <v>49</v>
      </c>
      <c r="AL159" s="62" t="s">
        <v>32</v>
      </c>
      <c r="AM159" s="59"/>
      <c r="AN159" s="10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1"/>
    </row>
    <row r="160" spans="1:51" x14ac:dyDescent="0.2">
      <c r="A160" s="33">
        <f t="shared" si="3"/>
        <v>155</v>
      </c>
      <c r="B160" s="34" t="s">
        <v>1350</v>
      </c>
      <c r="C160" s="35" t="s">
        <v>1351</v>
      </c>
      <c r="D160" s="36" t="s">
        <v>1352</v>
      </c>
      <c r="E160" s="36" t="s">
        <v>36</v>
      </c>
      <c r="F160" s="98" t="s">
        <v>1353</v>
      </c>
      <c r="G160" s="37" t="s">
        <v>1354</v>
      </c>
      <c r="H160" s="37" t="s">
        <v>57</v>
      </c>
      <c r="I160" s="38" t="s">
        <v>1355</v>
      </c>
      <c r="J160" s="34" t="s">
        <v>41</v>
      </c>
      <c r="K160" s="39" t="s">
        <v>42</v>
      </c>
      <c r="L160" s="169" t="s">
        <v>59</v>
      </c>
      <c r="M160" s="56" t="s">
        <v>179</v>
      </c>
      <c r="N160" s="56" t="s">
        <v>179</v>
      </c>
      <c r="O160" s="56"/>
      <c r="P160" s="56">
        <v>6</v>
      </c>
      <c r="Q160" s="56" t="s">
        <v>942</v>
      </c>
      <c r="R160" s="56"/>
      <c r="S160" s="56"/>
      <c r="T160" s="56"/>
      <c r="U160" s="56"/>
      <c r="V160" s="56"/>
      <c r="W160" s="56"/>
      <c r="X160" s="42" t="s">
        <v>1356</v>
      </c>
      <c r="Y160" s="58" t="s">
        <v>1357</v>
      </c>
      <c r="Z160" s="58"/>
      <c r="AA160" s="45" t="s">
        <v>47</v>
      </c>
      <c r="AB160" s="46"/>
      <c r="AC160" s="73"/>
      <c r="AD160" s="47" t="s">
        <v>49</v>
      </c>
      <c r="AE160" s="48" t="s">
        <v>41</v>
      </c>
      <c r="AF160" s="48" t="s">
        <v>41</v>
      </c>
      <c r="AG160" s="48" t="s">
        <v>41</v>
      </c>
      <c r="AH160" s="48" t="s">
        <v>41</v>
      </c>
      <c r="AI160" s="48" t="s">
        <v>41</v>
      </c>
      <c r="AJ160" s="49" t="s">
        <v>41</v>
      </c>
      <c r="AK160" s="48" t="s">
        <v>41</v>
      </c>
      <c r="AL160" s="65" t="s">
        <v>4591</v>
      </c>
      <c r="AM160" s="59"/>
      <c r="AN160" s="10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1"/>
    </row>
    <row r="161" spans="1:51" x14ac:dyDescent="0.2">
      <c r="A161" s="33">
        <f t="shared" si="3"/>
        <v>156</v>
      </c>
      <c r="B161" s="34" t="s">
        <v>1358</v>
      </c>
      <c r="C161" s="35" t="s">
        <v>1359</v>
      </c>
      <c r="D161" s="36" t="s">
        <v>1360</v>
      </c>
      <c r="E161" s="36" t="s">
        <v>36</v>
      </c>
      <c r="F161" s="34" t="s">
        <v>1361</v>
      </c>
      <c r="G161" s="37" t="s">
        <v>252</v>
      </c>
      <c r="H161" s="37" t="s">
        <v>57</v>
      </c>
      <c r="I161" s="34" t="s">
        <v>1362</v>
      </c>
      <c r="J161" s="34" t="s">
        <v>41</v>
      </c>
      <c r="K161" s="39" t="s">
        <v>42</v>
      </c>
      <c r="L161" s="142" t="s">
        <v>1363</v>
      </c>
      <c r="M161" s="41" t="s">
        <v>179</v>
      </c>
      <c r="N161" s="41" t="s">
        <v>179</v>
      </c>
      <c r="O161" s="41"/>
      <c r="P161" s="41">
        <v>6</v>
      </c>
      <c r="Q161" s="41" t="s">
        <v>942</v>
      </c>
      <c r="R161" s="41"/>
      <c r="S161" s="41"/>
      <c r="T161" s="41"/>
      <c r="U161" s="41"/>
      <c r="V161" s="41"/>
      <c r="W161" s="41"/>
      <c r="X161" s="42" t="s">
        <v>1145</v>
      </c>
      <c r="Y161" s="58" t="s">
        <v>1364</v>
      </c>
      <c r="Z161" s="58"/>
      <c r="AA161" s="45" t="s">
        <v>47</v>
      </c>
      <c r="AB161" s="46"/>
      <c r="AC161" s="36"/>
      <c r="AD161" s="47" t="s">
        <v>49</v>
      </c>
      <c r="AE161" s="48" t="s">
        <v>41</v>
      </c>
      <c r="AF161" s="48" t="s">
        <v>41</v>
      </c>
      <c r="AG161" s="48" t="s">
        <v>41</v>
      </c>
      <c r="AH161" s="48" t="s">
        <v>41</v>
      </c>
      <c r="AI161" s="48" t="s">
        <v>41</v>
      </c>
      <c r="AJ161" s="49" t="s">
        <v>41</v>
      </c>
      <c r="AK161" s="48" t="s">
        <v>41</v>
      </c>
      <c r="AL161" s="65" t="s">
        <v>4591</v>
      </c>
      <c r="AM161" s="59" t="s">
        <v>460</v>
      </c>
      <c r="AN161" s="10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1"/>
    </row>
    <row r="162" spans="1:51" x14ac:dyDescent="0.2">
      <c r="A162" s="33">
        <f t="shared" si="3"/>
        <v>157</v>
      </c>
      <c r="B162" s="34" t="s">
        <v>1365</v>
      </c>
      <c r="C162" s="35" t="s">
        <v>1366</v>
      </c>
      <c r="D162" s="36" t="s">
        <v>1367</v>
      </c>
      <c r="E162" s="36" t="s">
        <v>54</v>
      </c>
      <c r="F162" s="34" t="s">
        <v>1368</v>
      </c>
      <c r="G162" s="37" t="s">
        <v>350</v>
      </c>
      <c r="H162" s="37" t="s">
        <v>350</v>
      </c>
      <c r="I162" s="34">
        <v>81226003225</v>
      </c>
      <c r="J162" s="34" t="s">
        <v>41</v>
      </c>
      <c r="K162" s="39" t="s">
        <v>42</v>
      </c>
      <c r="L162" s="158" t="s">
        <v>1369</v>
      </c>
      <c r="M162" s="56"/>
      <c r="N162" s="56"/>
      <c r="O162" s="56"/>
      <c r="P162" s="56"/>
      <c r="Q162" s="56"/>
      <c r="R162" s="56"/>
      <c r="S162" s="56"/>
      <c r="T162" s="56"/>
      <c r="U162" s="56" t="s">
        <v>44</v>
      </c>
      <c r="V162" s="56"/>
      <c r="W162" s="56"/>
      <c r="X162" s="42" t="s">
        <v>1370</v>
      </c>
      <c r="Y162" s="58" t="s">
        <v>1371</v>
      </c>
      <c r="Z162" s="69"/>
      <c r="AA162" s="45"/>
      <c r="AB162" s="101"/>
      <c r="AC162" s="36"/>
      <c r="AD162" s="47" t="s">
        <v>49</v>
      </c>
      <c r="AE162" s="48" t="s">
        <v>41</v>
      </c>
      <c r="AF162" s="48" t="s">
        <v>41</v>
      </c>
      <c r="AG162" s="48" t="s">
        <v>41</v>
      </c>
      <c r="AH162" s="48" t="s">
        <v>41</v>
      </c>
      <c r="AI162" s="48" t="s">
        <v>49</v>
      </c>
      <c r="AJ162" s="49" t="s">
        <v>49</v>
      </c>
      <c r="AK162" s="48" t="s">
        <v>49</v>
      </c>
      <c r="AL162" s="62" t="s">
        <v>32</v>
      </c>
      <c r="AM162" s="59"/>
      <c r="AN162" s="10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1"/>
    </row>
    <row r="163" spans="1:51" x14ac:dyDescent="0.2">
      <c r="A163" s="33">
        <f t="shared" si="3"/>
        <v>158</v>
      </c>
      <c r="B163" s="34" t="s">
        <v>1372</v>
      </c>
      <c r="C163" s="35" t="s">
        <v>1373</v>
      </c>
      <c r="D163" s="36" t="s">
        <v>1374</v>
      </c>
      <c r="E163" s="36" t="s">
        <v>54</v>
      </c>
      <c r="F163" s="34" t="s">
        <v>1375</v>
      </c>
      <c r="G163" s="37" t="s">
        <v>73</v>
      </c>
      <c r="H163" s="37" t="s">
        <v>73</v>
      </c>
      <c r="I163" s="108" t="s">
        <v>1376</v>
      </c>
      <c r="J163" s="108" t="s">
        <v>1377</v>
      </c>
      <c r="K163" s="39" t="s">
        <v>42</v>
      </c>
      <c r="L163" s="99" t="s">
        <v>1378</v>
      </c>
      <c r="M163" s="56" t="s">
        <v>179</v>
      </c>
      <c r="N163" s="56" t="s">
        <v>179</v>
      </c>
      <c r="O163" s="56"/>
      <c r="P163" s="56">
        <v>4</v>
      </c>
      <c r="Q163" s="56" t="s">
        <v>1041</v>
      </c>
      <c r="R163" s="56"/>
      <c r="S163" s="56"/>
      <c r="T163" s="56"/>
      <c r="U163" s="56"/>
      <c r="V163" s="56"/>
      <c r="W163" s="56"/>
      <c r="X163" s="42" t="s">
        <v>1379</v>
      </c>
      <c r="Y163" s="58" t="s">
        <v>1380</v>
      </c>
      <c r="Z163" s="44"/>
      <c r="AA163" s="45" t="s">
        <v>47</v>
      </c>
      <c r="AB163" s="101"/>
      <c r="AC163" s="36" t="s">
        <v>26</v>
      </c>
      <c r="AD163" s="47" t="s">
        <v>49</v>
      </c>
      <c r="AE163" s="48" t="s">
        <v>49</v>
      </c>
      <c r="AF163" s="48" t="s">
        <v>41</v>
      </c>
      <c r="AG163" s="48" t="s">
        <v>41</v>
      </c>
      <c r="AH163" s="48" t="s">
        <v>41</v>
      </c>
      <c r="AI163" s="48" t="s">
        <v>41</v>
      </c>
      <c r="AJ163" s="49" t="s">
        <v>41</v>
      </c>
      <c r="AK163" s="48" t="s">
        <v>41</v>
      </c>
      <c r="AL163" s="62" t="s">
        <v>4587</v>
      </c>
      <c r="AM163" s="59"/>
      <c r="AN163" s="10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1"/>
    </row>
    <row r="164" spans="1:51" x14ac:dyDescent="0.2">
      <c r="A164" s="33">
        <f t="shared" si="3"/>
        <v>159</v>
      </c>
      <c r="B164" s="34" t="s">
        <v>1381</v>
      </c>
      <c r="C164" s="35" t="s">
        <v>1382</v>
      </c>
      <c r="D164" s="170" t="s">
        <v>1383</v>
      </c>
      <c r="E164" s="36" t="s">
        <v>54</v>
      </c>
      <c r="F164" s="34" t="s">
        <v>1384</v>
      </c>
      <c r="G164" s="37" t="s">
        <v>73</v>
      </c>
      <c r="H164" s="37" t="s">
        <v>73</v>
      </c>
      <c r="I164" s="107" t="s">
        <v>1385</v>
      </c>
      <c r="J164" s="171" t="s">
        <v>41</v>
      </c>
      <c r="K164" s="172" t="s">
        <v>42</v>
      </c>
      <c r="L164" s="173" t="s">
        <v>1363</v>
      </c>
      <c r="M164" s="70"/>
      <c r="N164" s="111"/>
      <c r="O164" s="111"/>
      <c r="P164" s="111"/>
      <c r="Q164" s="112"/>
      <c r="R164" s="112"/>
      <c r="S164" s="112"/>
      <c r="T164" s="41"/>
      <c r="U164" s="41"/>
      <c r="V164" s="41"/>
      <c r="W164" s="41"/>
      <c r="X164" s="42" t="s">
        <v>1386</v>
      </c>
      <c r="Y164" s="58" t="s">
        <v>1387</v>
      </c>
      <c r="Z164" s="44" t="s">
        <v>61</v>
      </c>
      <c r="AA164" s="45">
        <v>41793</v>
      </c>
      <c r="AB164" s="160" t="s">
        <v>30</v>
      </c>
      <c r="AC164" s="36" t="s">
        <v>26</v>
      </c>
      <c r="AD164" s="47" t="s">
        <v>49</v>
      </c>
      <c r="AE164" s="48" t="s">
        <v>49</v>
      </c>
      <c r="AF164" s="48" t="s">
        <v>41</v>
      </c>
      <c r="AG164" s="48" t="s">
        <v>41</v>
      </c>
      <c r="AH164" s="48" t="s">
        <v>41</v>
      </c>
      <c r="AI164" s="48" t="s">
        <v>41</v>
      </c>
      <c r="AJ164" s="49" t="s">
        <v>41</v>
      </c>
      <c r="AK164" s="48" t="s">
        <v>41</v>
      </c>
      <c r="AL164" s="62" t="s">
        <v>4587</v>
      </c>
      <c r="AM164" s="59"/>
      <c r="AN164" s="10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1"/>
    </row>
    <row r="165" spans="1:51" x14ac:dyDescent="0.2">
      <c r="A165" s="33">
        <f t="shared" si="3"/>
        <v>160</v>
      </c>
      <c r="B165" s="34" t="s">
        <v>1388</v>
      </c>
      <c r="C165" s="35" t="s">
        <v>1389</v>
      </c>
      <c r="D165" s="170" t="s">
        <v>1390</v>
      </c>
      <c r="E165" s="36" t="s">
        <v>36</v>
      </c>
      <c r="F165" s="34" t="s">
        <v>1391</v>
      </c>
      <c r="G165" s="37" t="s">
        <v>73</v>
      </c>
      <c r="H165" s="37" t="s">
        <v>73</v>
      </c>
      <c r="I165" s="108" t="s">
        <v>1392</v>
      </c>
      <c r="J165" s="108" t="s">
        <v>41</v>
      </c>
      <c r="K165" s="39" t="s">
        <v>42</v>
      </c>
      <c r="L165" s="99" t="s">
        <v>1393</v>
      </c>
      <c r="M165" s="115" t="s">
        <v>179</v>
      </c>
      <c r="N165" s="115" t="s">
        <v>179</v>
      </c>
      <c r="O165" s="115"/>
      <c r="P165" s="115">
        <v>3</v>
      </c>
      <c r="Q165" s="115"/>
      <c r="R165" s="115" t="s">
        <v>44</v>
      </c>
      <c r="S165" s="115"/>
      <c r="T165" s="56"/>
      <c r="U165" s="56"/>
      <c r="V165" s="56"/>
      <c r="W165" s="56"/>
      <c r="X165" s="42" t="s">
        <v>1394</v>
      </c>
      <c r="Y165" s="58" t="s">
        <v>1395</v>
      </c>
      <c r="Z165" s="58"/>
      <c r="AA165" s="45" t="s">
        <v>47</v>
      </c>
      <c r="AB165" s="101"/>
      <c r="AC165" s="36"/>
      <c r="AD165" s="47" t="s">
        <v>49</v>
      </c>
      <c r="AE165" s="48" t="s">
        <v>41</v>
      </c>
      <c r="AF165" s="48" t="s">
        <v>49</v>
      </c>
      <c r="AG165" s="48" t="s">
        <v>49</v>
      </c>
      <c r="AH165" s="48" t="s">
        <v>49</v>
      </c>
      <c r="AI165" s="48" t="s">
        <v>49</v>
      </c>
      <c r="AJ165" s="49" t="s">
        <v>49</v>
      </c>
      <c r="AK165" s="48" t="s">
        <v>49</v>
      </c>
      <c r="AL165" s="62" t="s">
        <v>32</v>
      </c>
      <c r="AM165" s="59"/>
      <c r="AN165" s="10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1"/>
    </row>
    <row r="166" spans="1:51" x14ac:dyDescent="0.2">
      <c r="A166" s="33">
        <f t="shared" si="3"/>
        <v>161</v>
      </c>
      <c r="B166" s="34" t="s">
        <v>1396</v>
      </c>
      <c r="C166" s="35" t="s">
        <v>1397</v>
      </c>
      <c r="D166" s="170" t="s">
        <v>1398</v>
      </c>
      <c r="E166" s="36" t="s">
        <v>54</v>
      </c>
      <c r="F166" s="34" t="s">
        <v>1399</v>
      </c>
      <c r="G166" s="37" t="s">
        <v>205</v>
      </c>
      <c r="H166" s="37" t="s">
        <v>205</v>
      </c>
      <c r="I166" s="34" t="s">
        <v>1400</v>
      </c>
      <c r="J166" s="34" t="s">
        <v>41</v>
      </c>
      <c r="K166" s="39" t="s">
        <v>42</v>
      </c>
      <c r="L166" s="99" t="s">
        <v>1401</v>
      </c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2" t="s">
        <v>1402</v>
      </c>
      <c r="Y166" s="58" t="s">
        <v>1403</v>
      </c>
      <c r="Z166" s="44" t="s">
        <v>61</v>
      </c>
      <c r="AA166" s="45">
        <v>36641</v>
      </c>
      <c r="AB166" s="101" t="s">
        <v>30</v>
      </c>
      <c r="AC166" s="36" t="s">
        <v>26</v>
      </c>
      <c r="AD166" s="47" t="s">
        <v>49</v>
      </c>
      <c r="AE166" s="48" t="s">
        <v>49</v>
      </c>
      <c r="AF166" s="48" t="s">
        <v>49</v>
      </c>
      <c r="AG166" s="48" t="s">
        <v>49</v>
      </c>
      <c r="AH166" s="48" t="s">
        <v>49</v>
      </c>
      <c r="AI166" s="48" t="s">
        <v>49</v>
      </c>
      <c r="AJ166" s="49" t="s">
        <v>49</v>
      </c>
      <c r="AK166" s="48" t="s">
        <v>41</v>
      </c>
      <c r="AL166" s="65" t="s">
        <v>148</v>
      </c>
      <c r="AM166" s="59"/>
      <c r="AN166" s="10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1"/>
    </row>
    <row r="167" spans="1:51" x14ac:dyDescent="0.2">
      <c r="A167" s="33">
        <f t="shared" si="3"/>
        <v>162</v>
      </c>
      <c r="B167" s="34" t="s">
        <v>1404</v>
      </c>
      <c r="C167" s="35" t="s">
        <v>1405</v>
      </c>
      <c r="D167" s="174" t="s">
        <v>1406</v>
      </c>
      <c r="E167" s="36" t="s">
        <v>54</v>
      </c>
      <c r="F167" s="34" t="s">
        <v>1407</v>
      </c>
      <c r="G167" s="37" t="s">
        <v>858</v>
      </c>
      <c r="H167" s="37" t="s">
        <v>57</v>
      </c>
      <c r="I167" s="34" t="s">
        <v>1408</v>
      </c>
      <c r="J167" s="34" t="s">
        <v>41</v>
      </c>
      <c r="K167" s="39" t="s">
        <v>42</v>
      </c>
      <c r="L167" s="99" t="s">
        <v>1409</v>
      </c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42" t="s">
        <v>1410</v>
      </c>
      <c r="Y167" s="58" t="s">
        <v>1411</v>
      </c>
      <c r="Z167" s="44" t="s">
        <v>1412</v>
      </c>
      <c r="AA167" s="45">
        <v>42935</v>
      </c>
      <c r="AB167" s="101" t="s">
        <v>30</v>
      </c>
      <c r="AC167" s="109" t="s">
        <v>26</v>
      </c>
      <c r="AD167" s="47" t="s">
        <v>49</v>
      </c>
      <c r="AE167" s="48" t="s">
        <v>49</v>
      </c>
      <c r="AF167" s="48" t="s">
        <v>49</v>
      </c>
      <c r="AG167" s="48" t="s">
        <v>49</v>
      </c>
      <c r="AH167" s="48" t="s">
        <v>49</v>
      </c>
      <c r="AI167" s="48" t="s">
        <v>49</v>
      </c>
      <c r="AJ167" s="49" t="s">
        <v>41</v>
      </c>
      <c r="AK167" s="48" t="s">
        <v>41</v>
      </c>
      <c r="AL167" s="62" t="s">
        <v>276</v>
      </c>
      <c r="AM167" s="59"/>
      <c r="AN167" s="10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1"/>
    </row>
    <row r="168" spans="1:51" x14ac:dyDescent="0.2">
      <c r="A168" s="33">
        <f t="shared" si="3"/>
        <v>163</v>
      </c>
      <c r="B168" s="34" t="s">
        <v>1413</v>
      </c>
      <c r="C168" s="35" t="s">
        <v>1414</v>
      </c>
      <c r="D168" s="36" t="s">
        <v>1415</v>
      </c>
      <c r="E168" s="36" t="s">
        <v>54</v>
      </c>
      <c r="F168" s="34" t="s">
        <v>1416</v>
      </c>
      <c r="G168" s="37" t="s">
        <v>1417</v>
      </c>
      <c r="H168" s="37" t="s">
        <v>187</v>
      </c>
      <c r="I168" s="34" t="s">
        <v>1418</v>
      </c>
      <c r="J168" s="34" t="s">
        <v>1419</v>
      </c>
      <c r="K168" s="39" t="s">
        <v>42</v>
      </c>
      <c r="L168" s="158" t="s">
        <v>1420</v>
      </c>
      <c r="M168" s="56" t="s">
        <v>179</v>
      </c>
      <c r="N168" s="56" t="s">
        <v>179</v>
      </c>
      <c r="O168" s="56"/>
      <c r="P168" s="56">
        <v>6</v>
      </c>
      <c r="Q168" s="56" t="s">
        <v>942</v>
      </c>
      <c r="R168" s="56"/>
      <c r="S168" s="56"/>
      <c r="T168" s="56"/>
      <c r="U168" s="56"/>
      <c r="V168" s="56"/>
      <c r="W168" s="56"/>
      <c r="X168" s="42" t="s">
        <v>1421</v>
      </c>
      <c r="Y168" s="58" t="s">
        <v>1422</v>
      </c>
      <c r="Z168" s="58"/>
      <c r="AA168" s="45" t="s">
        <v>47</v>
      </c>
      <c r="AB168" s="101"/>
      <c r="AC168" s="36"/>
      <c r="AD168" s="47" t="s">
        <v>49</v>
      </c>
      <c r="AE168" s="48" t="s">
        <v>41</v>
      </c>
      <c r="AF168" s="48" t="s">
        <v>41</v>
      </c>
      <c r="AG168" s="48" t="s">
        <v>41</v>
      </c>
      <c r="AH168" s="48" t="s">
        <v>41</v>
      </c>
      <c r="AI168" s="48" t="s">
        <v>41</v>
      </c>
      <c r="AJ168" s="49" t="s">
        <v>41</v>
      </c>
      <c r="AK168" s="48" t="s">
        <v>41</v>
      </c>
      <c r="AL168" s="65" t="s">
        <v>4588</v>
      </c>
      <c r="AM168" s="59"/>
      <c r="AN168" s="117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1"/>
    </row>
    <row r="169" spans="1:51" x14ac:dyDescent="0.2">
      <c r="A169" s="33">
        <f t="shared" si="3"/>
        <v>164</v>
      </c>
      <c r="B169" s="34" t="s">
        <v>1423</v>
      </c>
      <c r="C169" s="35" t="s">
        <v>1424</v>
      </c>
      <c r="D169" s="36" t="s">
        <v>1425</v>
      </c>
      <c r="E169" s="36" t="s">
        <v>36</v>
      </c>
      <c r="F169" s="87" t="s">
        <v>1426</v>
      </c>
      <c r="G169" s="37" t="s">
        <v>360</v>
      </c>
      <c r="H169" s="37" t="s">
        <v>350</v>
      </c>
      <c r="I169" s="34" t="s">
        <v>1427</v>
      </c>
      <c r="J169" s="34" t="s">
        <v>41</v>
      </c>
      <c r="K169" s="39" t="s">
        <v>42</v>
      </c>
      <c r="L169" s="158" t="s">
        <v>1428</v>
      </c>
      <c r="M169" s="56" t="s">
        <v>179</v>
      </c>
      <c r="N169" s="56" t="s">
        <v>179</v>
      </c>
      <c r="O169" s="56"/>
      <c r="P169" s="56">
        <v>6</v>
      </c>
      <c r="Q169" s="56" t="s">
        <v>942</v>
      </c>
      <c r="R169" s="56"/>
      <c r="S169" s="56"/>
      <c r="T169" s="56"/>
      <c r="U169" s="56"/>
      <c r="V169" s="56"/>
      <c r="W169" s="56"/>
      <c r="X169" s="42" t="s">
        <v>1429</v>
      </c>
      <c r="Y169" s="52" t="s">
        <v>1430</v>
      </c>
      <c r="Z169" s="52"/>
      <c r="AA169" s="45" t="s">
        <v>47</v>
      </c>
      <c r="AB169" s="101"/>
      <c r="AC169" s="36">
        <v>1</v>
      </c>
      <c r="AD169" s="47" t="s">
        <v>49</v>
      </c>
      <c r="AE169" s="48" t="s">
        <v>41</v>
      </c>
      <c r="AF169" s="48" t="s">
        <v>41</v>
      </c>
      <c r="AG169" s="48" t="s">
        <v>41</v>
      </c>
      <c r="AH169" s="48" t="s">
        <v>41</v>
      </c>
      <c r="AI169" s="48" t="s">
        <v>41</v>
      </c>
      <c r="AJ169" s="49" t="s">
        <v>41</v>
      </c>
      <c r="AK169" s="48" t="s">
        <v>41</v>
      </c>
      <c r="AL169" s="65" t="s">
        <v>4588</v>
      </c>
      <c r="AM169" s="59" t="s">
        <v>1431</v>
      </c>
      <c r="AN169" s="117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1"/>
    </row>
    <row r="170" spans="1:51" x14ac:dyDescent="0.2">
      <c r="A170" s="33">
        <f t="shared" si="3"/>
        <v>165</v>
      </c>
      <c r="B170" s="34" t="s">
        <v>1432</v>
      </c>
      <c r="C170" s="35" t="s">
        <v>1433</v>
      </c>
      <c r="D170" s="36" t="s">
        <v>1434</v>
      </c>
      <c r="E170" s="36" t="s">
        <v>54</v>
      </c>
      <c r="F170" s="34" t="s">
        <v>1435</v>
      </c>
      <c r="G170" s="37" t="s">
        <v>38</v>
      </c>
      <c r="H170" s="37" t="s">
        <v>39</v>
      </c>
      <c r="I170" s="38" t="s">
        <v>1436</v>
      </c>
      <c r="J170" s="34" t="s">
        <v>41</v>
      </c>
      <c r="K170" s="39" t="s">
        <v>42</v>
      </c>
      <c r="L170" s="166" t="s">
        <v>1437</v>
      </c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42" t="s">
        <v>1438</v>
      </c>
      <c r="Y170" s="58" t="s">
        <v>1439</v>
      </c>
      <c r="Z170" s="44" t="s">
        <v>1440</v>
      </c>
      <c r="AA170" s="45">
        <v>44041</v>
      </c>
      <c r="AB170" s="101" t="s">
        <v>30</v>
      </c>
      <c r="AC170" s="36" t="s">
        <v>26</v>
      </c>
      <c r="AD170" s="175" t="s">
        <v>49</v>
      </c>
      <c r="AE170" s="48" t="s">
        <v>49</v>
      </c>
      <c r="AF170" s="48" t="s">
        <v>49</v>
      </c>
      <c r="AG170" s="48" t="s">
        <v>49</v>
      </c>
      <c r="AH170" s="48" t="s">
        <v>49</v>
      </c>
      <c r="AI170" s="48" t="s">
        <v>49</v>
      </c>
      <c r="AJ170" s="49" t="s">
        <v>41</v>
      </c>
      <c r="AK170" s="48" t="s">
        <v>41</v>
      </c>
      <c r="AL170" s="62" t="s">
        <v>276</v>
      </c>
      <c r="AM170" s="59"/>
      <c r="AN170" s="10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1"/>
    </row>
    <row r="171" spans="1:51" x14ac:dyDescent="0.2">
      <c r="A171" s="33">
        <f t="shared" si="3"/>
        <v>166</v>
      </c>
      <c r="B171" s="34" t="s">
        <v>1441</v>
      </c>
      <c r="C171" s="35" t="s">
        <v>1442</v>
      </c>
      <c r="D171" s="36" t="s">
        <v>1443</v>
      </c>
      <c r="E171" s="36" t="s">
        <v>54</v>
      </c>
      <c r="F171" s="34" t="s">
        <v>1444</v>
      </c>
      <c r="G171" s="37" t="s">
        <v>73</v>
      </c>
      <c r="H171" s="37" t="s">
        <v>73</v>
      </c>
      <c r="I171" s="34" t="s">
        <v>1445</v>
      </c>
      <c r="J171" s="34" t="s">
        <v>1445</v>
      </c>
      <c r="K171" s="39" t="s">
        <v>42</v>
      </c>
      <c r="L171" s="166" t="s">
        <v>1446</v>
      </c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42" t="s">
        <v>1447</v>
      </c>
      <c r="Y171" s="58" t="s">
        <v>1448</v>
      </c>
      <c r="Z171" s="44" t="s">
        <v>61</v>
      </c>
      <c r="AA171" s="45">
        <v>34597</v>
      </c>
      <c r="AB171" s="101" t="s">
        <v>30</v>
      </c>
      <c r="AC171" s="36" t="s">
        <v>26</v>
      </c>
      <c r="AD171" s="47" t="s">
        <v>49</v>
      </c>
      <c r="AE171" s="48" t="s">
        <v>49</v>
      </c>
      <c r="AF171" s="48" t="s">
        <v>49</v>
      </c>
      <c r="AG171" s="48" t="s">
        <v>49</v>
      </c>
      <c r="AH171" s="48" t="s">
        <v>49</v>
      </c>
      <c r="AI171" s="48" t="s">
        <v>49</v>
      </c>
      <c r="AJ171" s="49" t="s">
        <v>49</v>
      </c>
      <c r="AK171" s="48" t="s">
        <v>49</v>
      </c>
      <c r="AL171" s="65" t="s">
        <v>32</v>
      </c>
      <c r="AM171" s="59"/>
      <c r="AN171" s="10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1"/>
    </row>
    <row r="172" spans="1:51" x14ac:dyDescent="0.2">
      <c r="A172" s="33">
        <f t="shared" si="3"/>
        <v>167</v>
      </c>
      <c r="B172" s="34" t="s">
        <v>1449</v>
      </c>
      <c r="C172" s="35" t="s">
        <v>1450</v>
      </c>
      <c r="D172" s="36" t="s">
        <v>1451</v>
      </c>
      <c r="E172" s="36" t="s">
        <v>54</v>
      </c>
      <c r="F172" s="34" t="s">
        <v>1452</v>
      </c>
      <c r="G172" s="37" t="s">
        <v>73</v>
      </c>
      <c r="H172" s="37" t="s">
        <v>73</v>
      </c>
      <c r="I172" s="34" t="s">
        <v>1453</v>
      </c>
      <c r="J172" s="34" t="s">
        <v>41</v>
      </c>
      <c r="K172" s="39" t="s">
        <v>42</v>
      </c>
      <c r="L172" s="166" t="s">
        <v>1454</v>
      </c>
      <c r="M172" s="56"/>
      <c r="N172" s="56"/>
      <c r="O172" s="56"/>
      <c r="P172" s="56"/>
      <c r="Q172" s="56"/>
      <c r="R172" s="56" t="s">
        <v>44</v>
      </c>
      <c r="S172" s="56"/>
      <c r="T172" s="56"/>
      <c r="U172" s="56"/>
      <c r="V172" s="56"/>
      <c r="W172" s="56"/>
      <c r="X172" s="42" t="s">
        <v>1455</v>
      </c>
      <c r="Y172" s="58" t="s">
        <v>1456</v>
      </c>
      <c r="Z172" s="84" t="s">
        <v>1457</v>
      </c>
      <c r="AA172" s="45">
        <v>44650</v>
      </c>
      <c r="AB172" s="101" t="s">
        <v>129</v>
      </c>
      <c r="AC172" s="36"/>
      <c r="AD172" s="47" t="s">
        <v>49</v>
      </c>
      <c r="AE172" s="48" t="s">
        <v>41</v>
      </c>
      <c r="AF172" s="48" t="s">
        <v>49</v>
      </c>
      <c r="AG172" s="48" t="s">
        <v>41</v>
      </c>
      <c r="AH172" s="48" t="s">
        <v>41</v>
      </c>
      <c r="AI172" s="48" t="s">
        <v>41</v>
      </c>
      <c r="AJ172" s="49" t="s">
        <v>41</v>
      </c>
      <c r="AK172" s="48" t="s">
        <v>41</v>
      </c>
      <c r="AL172" s="62" t="s">
        <v>110</v>
      </c>
      <c r="AM172" s="59"/>
      <c r="AN172" s="10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1"/>
    </row>
    <row r="173" spans="1:51" x14ac:dyDescent="0.2">
      <c r="A173" s="33">
        <f t="shared" si="3"/>
        <v>168</v>
      </c>
      <c r="B173" s="34" t="s">
        <v>1458</v>
      </c>
      <c r="C173" s="35" t="s">
        <v>1459</v>
      </c>
      <c r="D173" s="36" t="s">
        <v>1460</v>
      </c>
      <c r="E173" s="36" t="s">
        <v>54</v>
      </c>
      <c r="F173" s="34" t="s">
        <v>1461</v>
      </c>
      <c r="G173" s="176" t="s">
        <v>39</v>
      </c>
      <c r="H173" s="176" t="s">
        <v>39</v>
      </c>
      <c r="I173" s="34" t="s">
        <v>1462</v>
      </c>
      <c r="J173" s="34" t="s">
        <v>1463</v>
      </c>
      <c r="K173" s="39" t="s">
        <v>42</v>
      </c>
      <c r="L173" s="99" t="s">
        <v>1464</v>
      </c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42" t="s">
        <v>1465</v>
      </c>
      <c r="Y173" s="58" t="s">
        <v>1466</v>
      </c>
      <c r="Z173" s="44" t="s">
        <v>1467</v>
      </c>
      <c r="AA173" s="45">
        <v>44041</v>
      </c>
      <c r="AB173" s="101" t="s">
        <v>129</v>
      </c>
      <c r="AC173" s="36" t="s">
        <v>26</v>
      </c>
      <c r="AD173" s="47" t="s">
        <v>49</v>
      </c>
      <c r="AE173" s="48" t="s">
        <v>49</v>
      </c>
      <c r="AF173" s="48" t="s">
        <v>49</v>
      </c>
      <c r="AG173" s="48" t="s">
        <v>49</v>
      </c>
      <c r="AH173" s="48" t="s">
        <v>49</v>
      </c>
      <c r="AI173" s="48" t="s">
        <v>49</v>
      </c>
      <c r="AJ173" s="49" t="s">
        <v>49</v>
      </c>
      <c r="AK173" s="48" t="s">
        <v>49</v>
      </c>
      <c r="AL173" s="62" t="s">
        <v>32</v>
      </c>
      <c r="AM173" s="59"/>
      <c r="AN173" s="10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1"/>
    </row>
    <row r="174" spans="1:51" x14ac:dyDescent="0.2">
      <c r="A174" s="33">
        <f t="shared" si="3"/>
        <v>169</v>
      </c>
      <c r="B174" s="34" t="s">
        <v>1468</v>
      </c>
      <c r="C174" s="35" t="s">
        <v>1469</v>
      </c>
      <c r="D174" s="36" t="s">
        <v>1470</v>
      </c>
      <c r="E174" s="36" t="s">
        <v>36</v>
      </c>
      <c r="F174" s="34" t="s">
        <v>1471</v>
      </c>
      <c r="G174" s="176" t="s">
        <v>38</v>
      </c>
      <c r="H174" s="176" t="s">
        <v>39</v>
      </c>
      <c r="I174" s="38" t="s">
        <v>1472</v>
      </c>
      <c r="J174" s="34" t="s">
        <v>41</v>
      </c>
      <c r="K174" s="39" t="s">
        <v>42</v>
      </c>
      <c r="L174" s="120">
        <v>45320</v>
      </c>
      <c r="M174" s="56"/>
      <c r="N174" s="56"/>
      <c r="O174" s="56"/>
      <c r="P174" s="56"/>
      <c r="Q174" s="56"/>
      <c r="R174" s="115"/>
      <c r="S174" s="56"/>
      <c r="T174" s="56"/>
      <c r="U174" s="56" t="s">
        <v>44</v>
      </c>
      <c r="V174" s="56"/>
      <c r="W174" s="56"/>
      <c r="X174" s="42" t="s">
        <v>1473</v>
      </c>
      <c r="Y174" s="83" t="s">
        <v>1474</v>
      </c>
      <c r="Z174" s="44"/>
      <c r="AA174" s="45"/>
      <c r="AB174" s="101"/>
      <c r="AC174" s="36"/>
      <c r="AD174" s="47" t="s">
        <v>49</v>
      </c>
      <c r="AE174" s="48" t="s">
        <v>41</v>
      </c>
      <c r="AF174" s="48" t="s">
        <v>41</v>
      </c>
      <c r="AG174" s="48" t="s">
        <v>41</v>
      </c>
      <c r="AH174" s="48" t="s">
        <v>41</v>
      </c>
      <c r="AI174" s="48" t="s">
        <v>49</v>
      </c>
      <c r="AJ174" s="49" t="s">
        <v>49</v>
      </c>
      <c r="AK174" s="48" t="s">
        <v>41</v>
      </c>
      <c r="AL174" s="65" t="s">
        <v>148</v>
      </c>
      <c r="AM174" s="59"/>
      <c r="AN174" s="10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1"/>
    </row>
    <row r="175" spans="1:51" x14ac:dyDescent="0.2">
      <c r="A175" s="33">
        <f t="shared" si="3"/>
        <v>170</v>
      </c>
      <c r="B175" s="34" t="s">
        <v>1475</v>
      </c>
      <c r="C175" s="35" t="s">
        <v>1476</v>
      </c>
      <c r="D175" s="36" t="s">
        <v>1477</v>
      </c>
      <c r="E175" s="36" t="s">
        <v>36</v>
      </c>
      <c r="F175" s="34" t="s">
        <v>1478</v>
      </c>
      <c r="G175" s="37" t="s">
        <v>205</v>
      </c>
      <c r="H175" s="37" t="s">
        <v>205</v>
      </c>
      <c r="I175" s="34" t="s">
        <v>1479</v>
      </c>
      <c r="J175" s="34" t="s">
        <v>1480</v>
      </c>
      <c r="K175" s="39" t="s">
        <v>42</v>
      </c>
      <c r="L175" s="120">
        <v>37112</v>
      </c>
      <c r="M175" s="41"/>
      <c r="N175" s="41"/>
      <c r="O175" s="41"/>
      <c r="P175" s="41"/>
      <c r="Q175" s="41"/>
      <c r="R175" s="177"/>
      <c r="S175" s="112"/>
      <c r="T175" s="41" t="s">
        <v>732</v>
      </c>
      <c r="U175" s="41"/>
      <c r="V175" s="41"/>
      <c r="W175" s="41"/>
      <c r="X175" s="42" t="s">
        <v>1481</v>
      </c>
      <c r="Y175" s="58" t="s">
        <v>1482</v>
      </c>
      <c r="Z175" s="58"/>
      <c r="AA175" s="45">
        <v>45642</v>
      </c>
      <c r="AB175" s="101"/>
      <c r="AC175" s="36" t="s">
        <v>26</v>
      </c>
      <c r="AD175" s="47" t="s">
        <v>49</v>
      </c>
      <c r="AE175" s="48" t="s">
        <v>49</v>
      </c>
      <c r="AF175" s="48" t="s">
        <v>49</v>
      </c>
      <c r="AG175" s="48" t="s">
        <v>49</v>
      </c>
      <c r="AH175" s="48" t="s">
        <v>49</v>
      </c>
      <c r="AI175" s="48" t="s">
        <v>49</v>
      </c>
      <c r="AJ175" s="49" t="s">
        <v>49</v>
      </c>
      <c r="AK175" s="48" t="s">
        <v>41</v>
      </c>
      <c r="AL175" s="65" t="s">
        <v>148</v>
      </c>
      <c r="AM175" s="59"/>
      <c r="AN175" s="10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1"/>
    </row>
    <row r="176" spans="1:51" x14ac:dyDescent="0.2">
      <c r="A176" s="33">
        <f t="shared" si="3"/>
        <v>171</v>
      </c>
      <c r="B176" s="34" t="s">
        <v>1483</v>
      </c>
      <c r="C176" s="35" t="s">
        <v>1484</v>
      </c>
      <c r="D176" s="36" t="s">
        <v>1485</v>
      </c>
      <c r="E176" s="36" t="s">
        <v>54</v>
      </c>
      <c r="F176" s="34" t="s">
        <v>1486</v>
      </c>
      <c r="G176" s="37" t="s">
        <v>73</v>
      </c>
      <c r="H176" s="37" t="s">
        <v>73</v>
      </c>
      <c r="I176" s="34" t="s">
        <v>1445</v>
      </c>
      <c r="J176" s="34" t="s">
        <v>1445</v>
      </c>
      <c r="K176" s="39" t="s">
        <v>42</v>
      </c>
      <c r="L176" s="166" t="s">
        <v>1487</v>
      </c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2" t="s">
        <v>1488</v>
      </c>
      <c r="Y176" s="43" t="s">
        <v>1489</v>
      </c>
      <c r="Z176" s="44" t="s">
        <v>61</v>
      </c>
      <c r="AA176" s="45">
        <v>39286</v>
      </c>
      <c r="AB176" s="101" t="s">
        <v>30</v>
      </c>
      <c r="AC176" s="36" t="s">
        <v>26</v>
      </c>
      <c r="AD176" s="47" t="s">
        <v>49</v>
      </c>
      <c r="AE176" s="48" t="s">
        <v>49</v>
      </c>
      <c r="AF176" s="48" t="s">
        <v>49</v>
      </c>
      <c r="AG176" s="48" t="s">
        <v>49</v>
      </c>
      <c r="AH176" s="48" t="s">
        <v>49</v>
      </c>
      <c r="AI176" s="48" t="s">
        <v>49</v>
      </c>
      <c r="AJ176" s="49" t="s">
        <v>49</v>
      </c>
      <c r="AK176" s="48" t="s">
        <v>49</v>
      </c>
      <c r="AL176" s="65" t="s">
        <v>32</v>
      </c>
      <c r="AM176" s="59"/>
      <c r="AN176" s="10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1"/>
    </row>
    <row r="177" spans="1:51" x14ac:dyDescent="0.2">
      <c r="A177" s="33">
        <f t="shared" si="3"/>
        <v>172</v>
      </c>
      <c r="B177" s="34" t="s">
        <v>1490</v>
      </c>
      <c r="C177" s="35" t="s">
        <v>1491</v>
      </c>
      <c r="D177" s="36" t="s">
        <v>1492</v>
      </c>
      <c r="E177" s="36" t="s">
        <v>54</v>
      </c>
      <c r="F177" s="98" t="s">
        <v>1493</v>
      </c>
      <c r="G177" s="37" t="s">
        <v>528</v>
      </c>
      <c r="H177" s="37" t="s">
        <v>57</v>
      </c>
      <c r="I177" s="34" t="s">
        <v>1494</v>
      </c>
      <c r="J177" s="34" t="s">
        <v>1495</v>
      </c>
      <c r="K177" s="39" t="s">
        <v>42</v>
      </c>
      <c r="L177" s="99" t="s">
        <v>1496</v>
      </c>
      <c r="M177" s="115"/>
      <c r="N177" s="115"/>
      <c r="O177" s="115"/>
      <c r="P177" s="115"/>
      <c r="Q177" s="115"/>
      <c r="R177" s="115"/>
      <c r="S177" s="115"/>
      <c r="T177" s="56"/>
      <c r="U177" s="56"/>
      <c r="V177" s="56"/>
      <c r="W177" s="56"/>
      <c r="X177" s="42" t="s">
        <v>1497</v>
      </c>
      <c r="Y177" s="58" t="s">
        <v>1498</v>
      </c>
      <c r="Z177" s="44" t="s">
        <v>61</v>
      </c>
      <c r="AA177" s="45">
        <v>36641</v>
      </c>
      <c r="AB177" s="101" t="s">
        <v>30</v>
      </c>
      <c r="AC177" s="36" t="s">
        <v>26</v>
      </c>
      <c r="AD177" s="47" t="s">
        <v>49</v>
      </c>
      <c r="AE177" s="48" t="s">
        <v>49</v>
      </c>
      <c r="AF177" s="48" t="s">
        <v>41</v>
      </c>
      <c r="AG177" s="48" t="s">
        <v>41</v>
      </c>
      <c r="AH177" s="48" t="s">
        <v>41</v>
      </c>
      <c r="AI177" s="48" t="s">
        <v>41</v>
      </c>
      <c r="AJ177" s="49" t="s">
        <v>41</v>
      </c>
      <c r="AK177" s="48" t="s">
        <v>41</v>
      </c>
      <c r="AL177" s="62" t="s">
        <v>4587</v>
      </c>
      <c r="AM177" s="59"/>
      <c r="AN177" s="10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1"/>
    </row>
    <row r="178" spans="1:51" x14ac:dyDescent="0.2">
      <c r="A178" s="33">
        <f t="shared" si="3"/>
        <v>173</v>
      </c>
      <c r="B178" s="34" t="s">
        <v>1499</v>
      </c>
      <c r="C178" s="35" t="s">
        <v>1500</v>
      </c>
      <c r="D178" s="36" t="s">
        <v>4611</v>
      </c>
      <c r="E178" s="36" t="s">
        <v>54</v>
      </c>
      <c r="F178" s="34" t="s">
        <v>1501</v>
      </c>
      <c r="G178" s="37" t="s">
        <v>73</v>
      </c>
      <c r="H178" s="37" t="s">
        <v>73</v>
      </c>
      <c r="I178" s="34" t="s">
        <v>1502</v>
      </c>
      <c r="J178" s="34" t="s">
        <v>41</v>
      </c>
      <c r="K178" s="39" t="s">
        <v>42</v>
      </c>
      <c r="L178" s="99" t="s">
        <v>1503</v>
      </c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42" t="s">
        <v>4612</v>
      </c>
      <c r="Y178" s="58" t="s">
        <v>1504</v>
      </c>
      <c r="Z178" s="44" t="s">
        <v>61</v>
      </c>
      <c r="AA178" s="45">
        <v>36641</v>
      </c>
      <c r="AB178" s="101" t="s">
        <v>30</v>
      </c>
      <c r="AC178" s="36" t="s">
        <v>26</v>
      </c>
      <c r="AD178" s="47" t="s">
        <v>49</v>
      </c>
      <c r="AE178" s="48" t="s">
        <v>49</v>
      </c>
      <c r="AF178" s="48" t="s">
        <v>49</v>
      </c>
      <c r="AG178" s="48" t="s">
        <v>49</v>
      </c>
      <c r="AH178" s="48" t="s">
        <v>49</v>
      </c>
      <c r="AI178" s="48" t="s">
        <v>49</v>
      </c>
      <c r="AJ178" s="49" t="s">
        <v>49</v>
      </c>
      <c r="AK178" s="48" t="s">
        <v>49</v>
      </c>
      <c r="AL178" s="65" t="s">
        <v>32</v>
      </c>
      <c r="AM178" s="59"/>
      <c r="AN178" s="10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1"/>
    </row>
    <row r="179" spans="1:51" x14ac:dyDescent="0.2">
      <c r="A179" s="33">
        <f t="shared" si="3"/>
        <v>174</v>
      </c>
      <c r="B179" s="34" t="s">
        <v>1505</v>
      </c>
      <c r="C179" s="35" t="s">
        <v>1506</v>
      </c>
      <c r="D179" s="36" t="s">
        <v>1507</v>
      </c>
      <c r="E179" s="36" t="s">
        <v>54</v>
      </c>
      <c r="F179" s="34" t="s">
        <v>1508</v>
      </c>
      <c r="G179" s="37" t="s">
        <v>176</v>
      </c>
      <c r="H179" s="37" t="s">
        <v>39</v>
      </c>
      <c r="I179" s="34" t="s">
        <v>1509</v>
      </c>
      <c r="J179" s="34" t="s">
        <v>1509</v>
      </c>
      <c r="K179" s="39" t="s">
        <v>42</v>
      </c>
      <c r="L179" s="158" t="s">
        <v>1510</v>
      </c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2" t="s">
        <v>1511</v>
      </c>
      <c r="Y179" s="69" t="s">
        <v>1512</v>
      </c>
      <c r="Z179" s="44" t="s">
        <v>61</v>
      </c>
      <c r="AA179" s="45">
        <v>36803</v>
      </c>
      <c r="AB179" s="101" t="s">
        <v>30</v>
      </c>
      <c r="AC179" s="36"/>
      <c r="AD179" s="47" t="s">
        <v>49</v>
      </c>
      <c r="AE179" s="48" t="s">
        <v>49</v>
      </c>
      <c r="AF179" s="48" t="s">
        <v>49</v>
      </c>
      <c r="AG179" s="48" t="s">
        <v>49</v>
      </c>
      <c r="AH179" s="48" t="s">
        <v>49</v>
      </c>
      <c r="AI179" s="48" t="s">
        <v>49</v>
      </c>
      <c r="AJ179" s="49" t="s">
        <v>49</v>
      </c>
      <c r="AK179" s="48" t="s">
        <v>41</v>
      </c>
      <c r="AL179" s="65" t="s">
        <v>148</v>
      </c>
      <c r="AM179" s="59"/>
      <c r="AN179" s="10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1"/>
    </row>
    <row r="180" spans="1:51" x14ac:dyDescent="0.2">
      <c r="A180" s="33">
        <f t="shared" si="3"/>
        <v>175</v>
      </c>
      <c r="B180" s="34" t="s">
        <v>1513</v>
      </c>
      <c r="C180" s="35" t="s">
        <v>1514</v>
      </c>
      <c r="D180" s="89" t="s">
        <v>1515</v>
      </c>
      <c r="E180" s="36" t="s">
        <v>36</v>
      </c>
      <c r="F180" s="34" t="s">
        <v>1516</v>
      </c>
      <c r="G180" s="37" t="s">
        <v>205</v>
      </c>
      <c r="H180" s="37" t="s">
        <v>205</v>
      </c>
      <c r="I180" s="38" t="s">
        <v>1517</v>
      </c>
      <c r="J180" s="107" t="s">
        <v>41</v>
      </c>
      <c r="K180" s="39" t="s">
        <v>42</v>
      </c>
      <c r="L180" s="158" t="s">
        <v>1518</v>
      </c>
      <c r="M180" s="41"/>
      <c r="N180" s="41"/>
      <c r="O180" s="41"/>
      <c r="P180" s="41"/>
      <c r="Q180" s="41"/>
      <c r="R180" s="41"/>
      <c r="S180" s="41"/>
      <c r="T180" s="41" t="s">
        <v>44</v>
      </c>
      <c r="U180" s="41"/>
      <c r="V180" s="41"/>
      <c r="W180" s="41"/>
      <c r="X180" s="42" t="s">
        <v>1519</v>
      </c>
      <c r="Y180" s="58" t="s">
        <v>1520</v>
      </c>
      <c r="Z180" s="44"/>
      <c r="AA180" s="45">
        <v>45642</v>
      </c>
      <c r="AB180" s="101"/>
      <c r="AC180" s="36"/>
      <c r="AD180" s="47" t="s">
        <v>49</v>
      </c>
      <c r="AE180" s="48" t="s">
        <v>41</v>
      </c>
      <c r="AF180" s="48" t="s">
        <v>41</v>
      </c>
      <c r="AG180" s="48" t="s">
        <v>41</v>
      </c>
      <c r="AH180" s="48" t="s">
        <v>49</v>
      </c>
      <c r="AI180" s="48" t="s">
        <v>49</v>
      </c>
      <c r="AJ180" s="49" t="s">
        <v>49</v>
      </c>
      <c r="AK180" s="48" t="s">
        <v>49</v>
      </c>
      <c r="AL180" s="65" t="s">
        <v>32</v>
      </c>
      <c r="AM180" s="59"/>
      <c r="AN180" s="10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1"/>
    </row>
    <row r="181" spans="1:51" x14ac:dyDescent="0.2">
      <c r="A181" s="33">
        <f t="shared" si="3"/>
        <v>176</v>
      </c>
      <c r="B181" s="34" t="s">
        <v>1521</v>
      </c>
      <c r="C181" s="35" t="s">
        <v>1522</v>
      </c>
      <c r="D181" s="36" t="s">
        <v>1523</v>
      </c>
      <c r="E181" s="36" t="s">
        <v>54</v>
      </c>
      <c r="F181" s="34" t="s">
        <v>1524</v>
      </c>
      <c r="G181" s="37" t="s">
        <v>73</v>
      </c>
      <c r="H181" s="37" t="s">
        <v>73</v>
      </c>
      <c r="I181" s="38" t="s">
        <v>1525</v>
      </c>
      <c r="J181" s="38" t="s">
        <v>1525</v>
      </c>
      <c r="K181" s="178" t="s">
        <v>42</v>
      </c>
      <c r="L181" s="158" t="s">
        <v>1526</v>
      </c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42" t="s">
        <v>1527</v>
      </c>
      <c r="Y181" s="58" t="s">
        <v>1528</v>
      </c>
      <c r="Z181" s="44" t="s">
        <v>1529</v>
      </c>
      <c r="AA181" s="45">
        <v>42935</v>
      </c>
      <c r="AB181" s="180" t="s">
        <v>30</v>
      </c>
      <c r="AC181" s="36" t="s">
        <v>26</v>
      </c>
      <c r="AD181" s="181" t="s">
        <v>49</v>
      </c>
      <c r="AE181" s="48" t="s">
        <v>49</v>
      </c>
      <c r="AF181" s="48" t="s">
        <v>49</v>
      </c>
      <c r="AG181" s="48" t="s">
        <v>41</v>
      </c>
      <c r="AH181" s="48" t="s">
        <v>41</v>
      </c>
      <c r="AI181" s="48" t="s">
        <v>41</v>
      </c>
      <c r="AJ181" s="49" t="s">
        <v>41</v>
      </c>
      <c r="AK181" s="48" t="s">
        <v>41</v>
      </c>
      <c r="AL181" s="62" t="s">
        <v>110</v>
      </c>
      <c r="AM181" s="59"/>
      <c r="AN181" s="10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1"/>
    </row>
    <row r="182" spans="1:51" x14ac:dyDescent="0.2">
      <c r="A182" s="33">
        <f t="shared" si="3"/>
        <v>177</v>
      </c>
      <c r="B182" s="34" t="s">
        <v>1530</v>
      </c>
      <c r="C182" s="35" t="s">
        <v>1531</v>
      </c>
      <c r="D182" s="36" t="s">
        <v>1532</v>
      </c>
      <c r="E182" s="36" t="s">
        <v>36</v>
      </c>
      <c r="F182" s="87" t="s">
        <v>1533</v>
      </c>
      <c r="G182" s="182" t="s">
        <v>73</v>
      </c>
      <c r="H182" s="182" t="s">
        <v>73</v>
      </c>
      <c r="I182" s="183" t="s">
        <v>1534</v>
      </c>
      <c r="J182" s="38" t="s">
        <v>1534</v>
      </c>
      <c r="K182" s="178" t="s">
        <v>42</v>
      </c>
      <c r="L182" s="158" t="s">
        <v>1535</v>
      </c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42" t="s">
        <v>1536</v>
      </c>
      <c r="Y182" s="58" t="s">
        <v>1537</v>
      </c>
      <c r="Z182" s="119" t="s">
        <v>1538</v>
      </c>
      <c r="AA182" s="45">
        <v>42935</v>
      </c>
      <c r="AB182" s="180" t="s">
        <v>30</v>
      </c>
      <c r="AC182" s="36" t="s">
        <v>26</v>
      </c>
      <c r="AD182" s="181" t="s">
        <v>49</v>
      </c>
      <c r="AE182" s="48" t="s">
        <v>49</v>
      </c>
      <c r="AF182" s="48" t="s">
        <v>49</v>
      </c>
      <c r="AG182" s="48" t="s">
        <v>49</v>
      </c>
      <c r="AH182" s="48" t="s">
        <v>49</v>
      </c>
      <c r="AI182" s="48" t="s">
        <v>49</v>
      </c>
      <c r="AJ182" s="49" t="s">
        <v>49</v>
      </c>
      <c r="AK182" s="48" t="s">
        <v>49</v>
      </c>
      <c r="AL182" s="65" t="s">
        <v>32</v>
      </c>
      <c r="AM182" s="184"/>
      <c r="AN182" s="10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1"/>
    </row>
    <row r="183" spans="1:51" x14ac:dyDescent="0.2">
      <c r="A183" s="33">
        <f t="shared" si="3"/>
        <v>178</v>
      </c>
      <c r="B183" s="34" t="s">
        <v>1539</v>
      </c>
      <c r="C183" s="35" t="s">
        <v>1540</v>
      </c>
      <c r="D183" s="174" t="s">
        <v>4614</v>
      </c>
      <c r="E183" s="36" t="s">
        <v>36</v>
      </c>
      <c r="F183" s="108" t="s">
        <v>1542</v>
      </c>
      <c r="G183" s="37" t="s">
        <v>1285</v>
      </c>
      <c r="H183" s="37" t="s">
        <v>350</v>
      </c>
      <c r="I183" s="140" t="s">
        <v>1543</v>
      </c>
      <c r="J183" s="108" t="s">
        <v>41</v>
      </c>
      <c r="K183" s="39" t="s">
        <v>42</v>
      </c>
      <c r="L183" s="158" t="s">
        <v>1544</v>
      </c>
      <c r="M183" s="56" t="s">
        <v>179</v>
      </c>
      <c r="N183" s="56"/>
      <c r="O183" s="56"/>
      <c r="P183" s="56"/>
      <c r="Q183" s="56"/>
      <c r="R183" s="56"/>
      <c r="S183" s="56"/>
      <c r="T183" s="56" t="s">
        <v>44</v>
      </c>
      <c r="U183" s="56"/>
      <c r="V183" s="56"/>
      <c r="W183" s="56"/>
      <c r="X183" s="42" t="s">
        <v>1545</v>
      </c>
      <c r="Y183" s="58" t="s">
        <v>1546</v>
      </c>
      <c r="Z183" s="58"/>
      <c r="AA183" s="45">
        <v>45642</v>
      </c>
      <c r="AB183" s="101"/>
      <c r="AC183" s="109"/>
      <c r="AD183" s="47" t="s">
        <v>49</v>
      </c>
      <c r="AE183" s="48" t="s">
        <v>41</v>
      </c>
      <c r="AF183" s="48" t="s">
        <v>41</v>
      </c>
      <c r="AG183" s="48" t="s">
        <v>41</v>
      </c>
      <c r="AH183" s="48" t="s">
        <v>49</v>
      </c>
      <c r="AI183" s="48" t="s">
        <v>49</v>
      </c>
      <c r="AJ183" s="49" t="s">
        <v>49</v>
      </c>
      <c r="AK183" s="48" t="s">
        <v>49</v>
      </c>
      <c r="AL183" s="65" t="s">
        <v>32</v>
      </c>
      <c r="AM183" s="59"/>
      <c r="AN183" s="10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1"/>
    </row>
    <row r="184" spans="1:51" x14ac:dyDescent="0.2">
      <c r="A184" s="33">
        <f t="shared" si="3"/>
        <v>179</v>
      </c>
      <c r="B184" s="34" t="s">
        <v>1547</v>
      </c>
      <c r="C184" s="35" t="s">
        <v>1548</v>
      </c>
      <c r="D184" s="174" t="s">
        <v>1549</v>
      </c>
      <c r="E184" s="36" t="s">
        <v>54</v>
      </c>
      <c r="F184" s="185" t="s">
        <v>1550</v>
      </c>
      <c r="G184" s="126" t="s">
        <v>73</v>
      </c>
      <c r="H184" s="126" t="s">
        <v>73</v>
      </c>
      <c r="I184" s="139" t="s">
        <v>1551</v>
      </c>
      <c r="J184" s="108" t="s">
        <v>1552</v>
      </c>
      <c r="K184" s="39" t="s">
        <v>42</v>
      </c>
      <c r="L184" s="158" t="s">
        <v>1553</v>
      </c>
      <c r="M184" s="56"/>
      <c r="N184" s="137"/>
      <c r="O184" s="137"/>
      <c r="P184" s="137"/>
      <c r="Q184" s="137"/>
      <c r="R184" s="186"/>
      <c r="S184" s="115"/>
      <c r="T184" s="56"/>
      <c r="U184" s="56"/>
      <c r="V184" s="56"/>
      <c r="W184" s="56"/>
      <c r="X184" s="42" t="s">
        <v>1554</v>
      </c>
      <c r="Y184" s="58" t="s">
        <v>1555</v>
      </c>
      <c r="Z184" s="121" t="s">
        <v>1556</v>
      </c>
      <c r="AA184" s="45">
        <v>44650</v>
      </c>
      <c r="AB184" s="101" t="s">
        <v>30</v>
      </c>
      <c r="AC184" s="109" t="s">
        <v>26</v>
      </c>
      <c r="AD184" s="47" t="s">
        <v>49</v>
      </c>
      <c r="AE184" s="48" t="s">
        <v>49</v>
      </c>
      <c r="AF184" s="48" t="s">
        <v>49</v>
      </c>
      <c r="AG184" s="48" t="s">
        <v>49</v>
      </c>
      <c r="AH184" s="48" t="s">
        <v>49</v>
      </c>
      <c r="AI184" s="48" t="s">
        <v>49</v>
      </c>
      <c r="AJ184" s="49" t="s">
        <v>49</v>
      </c>
      <c r="AK184" s="48" t="s">
        <v>49</v>
      </c>
      <c r="AL184" s="62" t="s">
        <v>32</v>
      </c>
      <c r="AM184" s="59"/>
      <c r="AN184" s="10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1"/>
    </row>
    <row r="185" spans="1:51" x14ac:dyDescent="0.2">
      <c r="A185" s="33">
        <f t="shared" si="3"/>
        <v>180</v>
      </c>
      <c r="B185" s="34" t="s">
        <v>1557</v>
      </c>
      <c r="C185" s="35" t="s">
        <v>1558</v>
      </c>
      <c r="D185" s="174" t="s">
        <v>1559</v>
      </c>
      <c r="E185" s="36" t="s">
        <v>54</v>
      </c>
      <c r="F185" s="108" t="s">
        <v>1560</v>
      </c>
      <c r="G185" s="37" t="s">
        <v>73</v>
      </c>
      <c r="H185" s="37" t="s">
        <v>73</v>
      </c>
      <c r="I185" s="140" t="s">
        <v>1561</v>
      </c>
      <c r="J185" s="108"/>
      <c r="K185" s="39" t="s">
        <v>42</v>
      </c>
      <c r="L185" s="158" t="s">
        <v>1562</v>
      </c>
      <c r="M185" s="56"/>
      <c r="N185" s="56"/>
      <c r="O185" s="56"/>
      <c r="P185" s="56"/>
      <c r="Q185" s="115"/>
      <c r="R185" s="115" t="s">
        <v>44</v>
      </c>
      <c r="S185" s="115"/>
      <c r="T185" s="56"/>
      <c r="U185" s="56"/>
      <c r="V185" s="56"/>
      <c r="W185" s="56"/>
      <c r="X185" s="42" t="s">
        <v>1563</v>
      </c>
      <c r="Y185" s="58" t="s">
        <v>1564</v>
      </c>
      <c r="Z185" s="44" t="s">
        <v>1565</v>
      </c>
      <c r="AA185" s="45">
        <v>44944</v>
      </c>
      <c r="AB185" s="101" t="s">
        <v>30</v>
      </c>
      <c r="AC185" s="109"/>
      <c r="AD185" s="47" t="s">
        <v>49</v>
      </c>
      <c r="AE185" s="48" t="s">
        <v>41</v>
      </c>
      <c r="AF185" s="48" t="s">
        <v>49</v>
      </c>
      <c r="AG185" s="48" t="s">
        <v>49</v>
      </c>
      <c r="AH185" s="48" t="s">
        <v>49</v>
      </c>
      <c r="AI185" s="48" t="s">
        <v>49</v>
      </c>
      <c r="AJ185" s="49" t="s">
        <v>49</v>
      </c>
      <c r="AK185" s="48" t="s">
        <v>49</v>
      </c>
      <c r="AL185" s="62" t="s">
        <v>32</v>
      </c>
      <c r="AM185" s="59"/>
      <c r="AN185" s="10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1"/>
    </row>
    <row r="186" spans="1:51" x14ac:dyDescent="0.2">
      <c r="A186" s="33">
        <f t="shared" si="3"/>
        <v>181</v>
      </c>
      <c r="B186" s="34" t="s">
        <v>1566</v>
      </c>
      <c r="C186" s="35" t="s">
        <v>1567</v>
      </c>
      <c r="D186" s="36" t="s">
        <v>1568</v>
      </c>
      <c r="E186" s="36" t="s">
        <v>54</v>
      </c>
      <c r="F186" s="98" t="s">
        <v>1569</v>
      </c>
      <c r="G186" s="37" t="s">
        <v>73</v>
      </c>
      <c r="H186" s="37" t="s">
        <v>73</v>
      </c>
      <c r="I186" s="34" t="s">
        <v>1570</v>
      </c>
      <c r="J186" s="34" t="s">
        <v>1571</v>
      </c>
      <c r="K186" s="39" t="s">
        <v>42</v>
      </c>
      <c r="L186" s="158" t="s">
        <v>1572</v>
      </c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2" t="s">
        <v>1573</v>
      </c>
      <c r="Y186" s="52" t="s">
        <v>1574</v>
      </c>
      <c r="Z186" s="44" t="s">
        <v>61</v>
      </c>
      <c r="AA186" s="45">
        <v>36641</v>
      </c>
      <c r="AB186" s="101" t="s">
        <v>30</v>
      </c>
      <c r="AC186" s="36"/>
      <c r="AD186" s="47" t="s">
        <v>49</v>
      </c>
      <c r="AE186" s="48" t="s">
        <v>41</v>
      </c>
      <c r="AF186" s="48" t="s">
        <v>41</v>
      </c>
      <c r="AG186" s="48" t="s">
        <v>41</v>
      </c>
      <c r="AH186" s="48" t="s">
        <v>41</v>
      </c>
      <c r="AI186" s="48" t="s">
        <v>41</v>
      </c>
      <c r="AJ186" s="49" t="s">
        <v>41</v>
      </c>
      <c r="AK186" s="48" t="s">
        <v>41</v>
      </c>
      <c r="AL186" s="65" t="s">
        <v>4592</v>
      </c>
      <c r="AM186" s="59"/>
      <c r="AN186" s="10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1"/>
    </row>
    <row r="187" spans="1:51" x14ac:dyDescent="0.2">
      <c r="A187" s="33">
        <f t="shared" si="3"/>
        <v>182</v>
      </c>
      <c r="B187" s="34" t="s">
        <v>1575</v>
      </c>
      <c r="C187" s="35" t="s">
        <v>1576</v>
      </c>
      <c r="D187" s="36" t="s">
        <v>1577</v>
      </c>
      <c r="E187" s="36" t="s">
        <v>54</v>
      </c>
      <c r="F187" s="34" t="s">
        <v>1578</v>
      </c>
      <c r="G187" s="37" t="s">
        <v>73</v>
      </c>
      <c r="H187" s="37" t="s">
        <v>73</v>
      </c>
      <c r="I187" s="34" t="s">
        <v>1579</v>
      </c>
      <c r="J187" s="34" t="s">
        <v>1579</v>
      </c>
      <c r="K187" s="39" t="s">
        <v>42</v>
      </c>
      <c r="L187" s="99" t="s">
        <v>1580</v>
      </c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42" t="s">
        <v>1581</v>
      </c>
      <c r="Y187" s="52" t="s">
        <v>1582</v>
      </c>
      <c r="Z187" s="44" t="s">
        <v>61</v>
      </c>
      <c r="AA187" s="45">
        <v>40815</v>
      </c>
      <c r="AB187" s="101" t="s">
        <v>129</v>
      </c>
      <c r="AC187" s="73" t="s">
        <v>26</v>
      </c>
      <c r="AD187" s="61" t="s">
        <v>49</v>
      </c>
      <c r="AE187" s="48" t="s">
        <v>49</v>
      </c>
      <c r="AF187" s="48" t="s">
        <v>49</v>
      </c>
      <c r="AG187" s="48" t="s">
        <v>49</v>
      </c>
      <c r="AH187" s="48" t="s">
        <v>49</v>
      </c>
      <c r="AI187" s="48" t="s">
        <v>49</v>
      </c>
      <c r="AJ187" s="49" t="s">
        <v>49</v>
      </c>
      <c r="AK187" s="48" t="s">
        <v>41</v>
      </c>
      <c r="AL187" s="65" t="s">
        <v>148</v>
      </c>
      <c r="AM187" s="59"/>
      <c r="AN187" s="10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1"/>
    </row>
    <row r="188" spans="1:51" x14ac:dyDescent="0.2">
      <c r="A188" s="33">
        <f t="shared" si="3"/>
        <v>183</v>
      </c>
      <c r="B188" s="34" t="s">
        <v>1583</v>
      </c>
      <c r="C188" s="35" t="s">
        <v>1584</v>
      </c>
      <c r="D188" s="36" t="s">
        <v>1585</v>
      </c>
      <c r="E188" s="36" t="s">
        <v>54</v>
      </c>
      <c r="F188" s="98" t="s">
        <v>1586</v>
      </c>
      <c r="G188" s="37" t="s">
        <v>73</v>
      </c>
      <c r="H188" s="37" t="s">
        <v>73</v>
      </c>
      <c r="I188" s="54" t="s">
        <v>1587</v>
      </c>
      <c r="J188" s="34" t="s">
        <v>41</v>
      </c>
      <c r="K188" s="39" t="s">
        <v>42</v>
      </c>
      <c r="L188" s="158" t="s">
        <v>1588</v>
      </c>
      <c r="M188" s="56"/>
      <c r="N188" s="56"/>
      <c r="O188" s="56"/>
      <c r="P188" s="56"/>
      <c r="Q188" s="56"/>
      <c r="R188" s="56"/>
      <c r="S188" s="56"/>
      <c r="T188" s="56"/>
      <c r="U188" s="56"/>
      <c r="V188" s="56" t="s">
        <v>732</v>
      </c>
      <c r="W188" s="56"/>
      <c r="X188" s="54" t="s">
        <v>1589</v>
      </c>
      <c r="Y188" s="58" t="s">
        <v>1590</v>
      </c>
      <c r="Z188" s="44"/>
      <c r="AA188" s="45"/>
      <c r="AB188" s="101" t="s">
        <v>30</v>
      </c>
      <c r="AC188" s="36" t="s">
        <v>26</v>
      </c>
      <c r="AD188" s="47" t="s">
        <v>49</v>
      </c>
      <c r="AE188" s="48" t="s">
        <v>49</v>
      </c>
      <c r="AF188" s="48" t="s">
        <v>49</v>
      </c>
      <c r="AG188" s="48" t="s">
        <v>49</v>
      </c>
      <c r="AH188" s="48" t="s">
        <v>49</v>
      </c>
      <c r="AI188" s="48" t="s">
        <v>49</v>
      </c>
      <c r="AJ188" s="49" t="s">
        <v>49</v>
      </c>
      <c r="AK188" s="48" t="s">
        <v>49</v>
      </c>
      <c r="AL188" s="62" t="s">
        <v>32</v>
      </c>
      <c r="AM188" s="59"/>
      <c r="AN188" s="10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1"/>
    </row>
    <row r="189" spans="1:51" x14ac:dyDescent="0.2">
      <c r="A189" s="33">
        <f t="shared" si="3"/>
        <v>184</v>
      </c>
      <c r="B189" s="34" t="s">
        <v>1591</v>
      </c>
      <c r="C189" s="35" t="s">
        <v>1592</v>
      </c>
      <c r="D189" s="36" t="s">
        <v>1593</v>
      </c>
      <c r="E189" s="36" t="s">
        <v>54</v>
      </c>
      <c r="F189" s="98" t="s">
        <v>1594</v>
      </c>
      <c r="G189" s="37" t="s">
        <v>205</v>
      </c>
      <c r="H189" s="37" t="s">
        <v>205</v>
      </c>
      <c r="I189" s="38" t="s">
        <v>1595</v>
      </c>
      <c r="J189" s="34" t="s">
        <v>41</v>
      </c>
      <c r="K189" s="39" t="s">
        <v>42</v>
      </c>
      <c r="L189" s="158" t="s">
        <v>1596</v>
      </c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42" t="s">
        <v>1152</v>
      </c>
      <c r="Y189" s="52" t="s">
        <v>1597</v>
      </c>
      <c r="Z189" s="44" t="s">
        <v>1598</v>
      </c>
      <c r="AA189" s="45">
        <v>44041</v>
      </c>
      <c r="AB189" s="101" t="s">
        <v>30</v>
      </c>
      <c r="AC189" s="36" t="s">
        <v>26</v>
      </c>
      <c r="AD189" s="47" t="s">
        <v>49</v>
      </c>
      <c r="AE189" s="48" t="s">
        <v>49</v>
      </c>
      <c r="AF189" s="48" t="s">
        <v>49</v>
      </c>
      <c r="AG189" s="48" t="s">
        <v>49</v>
      </c>
      <c r="AH189" s="48" t="s">
        <v>49</v>
      </c>
      <c r="AI189" s="48" t="s">
        <v>49</v>
      </c>
      <c r="AJ189" s="49" t="s">
        <v>41</v>
      </c>
      <c r="AK189" s="48" t="s">
        <v>41</v>
      </c>
      <c r="AL189" s="62" t="s">
        <v>276</v>
      </c>
      <c r="AM189" s="59"/>
      <c r="AN189" s="10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1"/>
    </row>
    <row r="190" spans="1:51" x14ac:dyDescent="0.2">
      <c r="A190" s="33">
        <f t="shared" si="3"/>
        <v>185</v>
      </c>
      <c r="B190" s="34" t="s">
        <v>1599</v>
      </c>
      <c r="C190" s="35" t="s">
        <v>1600</v>
      </c>
      <c r="D190" s="36" t="s">
        <v>1601</v>
      </c>
      <c r="E190" s="36" t="s">
        <v>54</v>
      </c>
      <c r="F190" s="98" t="s">
        <v>1602</v>
      </c>
      <c r="G190" s="37" t="s">
        <v>176</v>
      </c>
      <c r="H190" s="37" t="s">
        <v>39</v>
      </c>
      <c r="I190" s="57" t="s">
        <v>1603</v>
      </c>
      <c r="J190" s="34" t="s">
        <v>41</v>
      </c>
      <c r="K190" s="39" t="s">
        <v>42</v>
      </c>
      <c r="L190" s="158" t="s">
        <v>1604</v>
      </c>
      <c r="M190" s="56"/>
      <c r="N190" s="56"/>
      <c r="O190" s="56"/>
      <c r="P190" s="56"/>
      <c r="Q190" s="56"/>
      <c r="R190" s="56"/>
      <c r="S190" s="56"/>
      <c r="T190" s="56" t="s">
        <v>44</v>
      </c>
      <c r="U190" s="56"/>
      <c r="V190" s="56" t="s">
        <v>732</v>
      </c>
      <c r="W190" s="56"/>
      <c r="X190" s="42" t="s">
        <v>1605</v>
      </c>
      <c r="Y190" s="58" t="s">
        <v>1606</v>
      </c>
      <c r="Z190" s="58"/>
      <c r="AA190" s="45">
        <v>45642</v>
      </c>
      <c r="AB190" s="101"/>
      <c r="AC190" s="36"/>
      <c r="AD190" s="47" t="s">
        <v>49</v>
      </c>
      <c r="AE190" s="48" t="s">
        <v>41</v>
      </c>
      <c r="AF190" s="48" t="s">
        <v>41</v>
      </c>
      <c r="AG190" s="48" t="s">
        <v>41</v>
      </c>
      <c r="AH190" s="48" t="s">
        <v>49</v>
      </c>
      <c r="AI190" s="48" t="s">
        <v>49</v>
      </c>
      <c r="AJ190" s="49" t="s">
        <v>49</v>
      </c>
      <c r="AK190" s="48" t="s">
        <v>41</v>
      </c>
      <c r="AL190" s="65" t="s">
        <v>148</v>
      </c>
      <c r="AM190" s="59"/>
      <c r="AN190" s="10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1"/>
    </row>
    <row r="191" spans="1:51" x14ac:dyDescent="0.2">
      <c r="A191" s="33">
        <f t="shared" si="3"/>
        <v>186</v>
      </c>
      <c r="B191" s="34" t="s">
        <v>1607</v>
      </c>
      <c r="C191" s="35" t="s">
        <v>1608</v>
      </c>
      <c r="D191" s="36" t="s">
        <v>1609</v>
      </c>
      <c r="E191" s="36" t="s">
        <v>36</v>
      </c>
      <c r="F191" s="98" t="s">
        <v>1610</v>
      </c>
      <c r="G191" s="37" t="s">
        <v>252</v>
      </c>
      <c r="H191" s="37" t="s">
        <v>57</v>
      </c>
      <c r="I191" s="38" t="s">
        <v>1611</v>
      </c>
      <c r="J191" s="34" t="s">
        <v>41</v>
      </c>
      <c r="K191" s="39" t="s">
        <v>42</v>
      </c>
      <c r="L191" s="158" t="s">
        <v>1604</v>
      </c>
      <c r="M191" s="56"/>
      <c r="N191" s="56"/>
      <c r="O191" s="56"/>
      <c r="P191" s="56"/>
      <c r="Q191" s="56"/>
      <c r="R191" s="56"/>
      <c r="S191" s="56"/>
      <c r="T191" s="56" t="s">
        <v>44</v>
      </c>
      <c r="U191" s="56"/>
      <c r="V191" s="56"/>
      <c r="W191" s="56"/>
      <c r="X191" s="42" t="s">
        <v>1612</v>
      </c>
      <c r="Y191" s="58" t="s">
        <v>1613</v>
      </c>
      <c r="Z191" s="58"/>
      <c r="AA191" s="45">
        <v>45642</v>
      </c>
      <c r="AB191" s="101"/>
      <c r="AC191" s="36"/>
      <c r="AD191" s="47" t="s">
        <v>49</v>
      </c>
      <c r="AE191" s="48" t="s">
        <v>41</v>
      </c>
      <c r="AF191" s="48" t="s">
        <v>41</v>
      </c>
      <c r="AG191" s="48" t="s">
        <v>41</v>
      </c>
      <c r="AH191" s="48" t="s">
        <v>49</v>
      </c>
      <c r="AI191" s="48" t="s">
        <v>41</v>
      </c>
      <c r="AJ191" s="49" t="s">
        <v>41</v>
      </c>
      <c r="AK191" s="48" t="s">
        <v>41</v>
      </c>
      <c r="AL191" s="62" t="s">
        <v>4589</v>
      </c>
      <c r="AM191" s="59"/>
      <c r="AN191" s="10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1"/>
    </row>
    <row r="192" spans="1:51" x14ac:dyDescent="0.2">
      <c r="A192" s="33">
        <f t="shared" si="3"/>
        <v>187</v>
      </c>
      <c r="B192" s="34" t="s">
        <v>1614</v>
      </c>
      <c r="C192" s="35" t="s">
        <v>1615</v>
      </c>
      <c r="D192" s="36" t="s">
        <v>1616</v>
      </c>
      <c r="E192" s="36" t="s">
        <v>54</v>
      </c>
      <c r="F192" s="98" t="s">
        <v>1166</v>
      </c>
      <c r="G192" s="37" t="s">
        <v>56</v>
      </c>
      <c r="H192" s="37" t="s">
        <v>57</v>
      </c>
      <c r="I192" s="38" t="s">
        <v>1617</v>
      </c>
      <c r="J192" s="34" t="s">
        <v>41</v>
      </c>
      <c r="K192" s="39" t="s">
        <v>42</v>
      </c>
      <c r="L192" s="158" t="s">
        <v>1618</v>
      </c>
      <c r="M192" s="115"/>
      <c r="N192" s="115"/>
      <c r="O192" s="115"/>
      <c r="P192" s="115"/>
      <c r="Q192" s="115"/>
      <c r="R192" s="115" t="s">
        <v>44</v>
      </c>
      <c r="S192" s="115"/>
      <c r="T192" s="56"/>
      <c r="U192" s="56"/>
      <c r="V192" s="56"/>
      <c r="W192" s="56"/>
      <c r="X192" s="42" t="s">
        <v>1619</v>
      </c>
      <c r="Y192" s="43" t="s">
        <v>1620</v>
      </c>
      <c r="Z192" s="44" t="s">
        <v>1621</v>
      </c>
      <c r="AA192" s="45">
        <v>44650</v>
      </c>
      <c r="AB192" s="101" t="s">
        <v>30</v>
      </c>
      <c r="AC192" s="36"/>
      <c r="AD192" s="47" t="s">
        <v>49</v>
      </c>
      <c r="AE192" s="48" t="s">
        <v>41</v>
      </c>
      <c r="AF192" s="48" t="s">
        <v>49</v>
      </c>
      <c r="AG192" s="48" t="s">
        <v>49</v>
      </c>
      <c r="AH192" s="48" t="s">
        <v>49</v>
      </c>
      <c r="AI192" s="48" t="s">
        <v>49</v>
      </c>
      <c r="AJ192" s="49" t="s">
        <v>49</v>
      </c>
      <c r="AK192" s="48" t="s">
        <v>49</v>
      </c>
      <c r="AL192" s="65" t="s">
        <v>32</v>
      </c>
      <c r="AM192" s="59"/>
      <c r="AN192" s="10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1"/>
    </row>
    <row r="193" spans="1:59" x14ac:dyDescent="0.2">
      <c r="A193" s="33">
        <f t="shared" si="3"/>
        <v>188</v>
      </c>
      <c r="B193" s="34" t="s">
        <v>1622</v>
      </c>
      <c r="C193" s="35" t="s">
        <v>1623</v>
      </c>
      <c r="D193" s="36" t="s">
        <v>1624</v>
      </c>
      <c r="E193" s="36" t="s">
        <v>54</v>
      </c>
      <c r="F193" s="34" t="s">
        <v>1625</v>
      </c>
      <c r="G193" s="37" t="s">
        <v>73</v>
      </c>
      <c r="H193" s="37" t="s">
        <v>73</v>
      </c>
      <c r="I193" s="38" t="s">
        <v>1626</v>
      </c>
      <c r="J193" s="34" t="s">
        <v>41</v>
      </c>
      <c r="K193" s="39" t="s">
        <v>42</v>
      </c>
      <c r="L193" s="187">
        <v>45315</v>
      </c>
      <c r="M193" s="188"/>
      <c r="N193" s="188"/>
      <c r="O193" s="188"/>
      <c r="P193" s="188"/>
      <c r="Q193" s="188"/>
      <c r="R193" s="188"/>
      <c r="S193" s="188"/>
      <c r="T193" s="188"/>
      <c r="U193" s="188" t="s">
        <v>44</v>
      </c>
      <c r="V193" s="188"/>
      <c r="W193" s="188"/>
      <c r="X193" s="38" t="s">
        <v>1627</v>
      </c>
      <c r="Y193" s="43" t="s">
        <v>1628</v>
      </c>
      <c r="Z193" s="44"/>
      <c r="AA193" s="45"/>
      <c r="AB193" s="164"/>
      <c r="AC193" s="36"/>
      <c r="AD193" s="47" t="s">
        <v>49</v>
      </c>
      <c r="AE193" s="48" t="s">
        <v>41</v>
      </c>
      <c r="AF193" s="48" t="s">
        <v>41</v>
      </c>
      <c r="AG193" s="48" t="s">
        <v>41</v>
      </c>
      <c r="AH193" s="48" t="s">
        <v>41</v>
      </c>
      <c r="AI193" s="48" t="s">
        <v>49</v>
      </c>
      <c r="AJ193" s="49" t="s">
        <v>49</v>
      </c>
      <c r="AK193" s="48" t="s">
        <v>49</v>
      </c>
      <c r="AL193" s="65" t="s">
        <v>32</v>
      </c>
      <c r="AM193" s="59"/>
      <c r="AN193" s="10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1"/>
    </row>
    <row r="194" spans="1:59" x14ac:dyDescent="0.2">
      <c r="A194" s="33">
        <f t="shared" si="3"/>
        <v>189</v>
      </c>
      <c r="B194" s="34" t="s">
        <v>1629</v>
      </c>
      <c r="C194" s="35" t="s">
        <v>1630</v>
      </c>
      <c r="D194" s="36" t="s">
        <v>1631</v>
      </c>
      <c r="E194" s="36" t="s">
        <v>54</v>
      </c>
      <c r="F194" s="98" t="s">
        <v>1632</v>
      </c>
      <c r="G194" s="37" t="s">
        <v>360</v>
      </c>
      <c r="H194" s="37" t="s">
        <v>350</v>
      </c>
      <c r="I194" s="34" t="s">
        <v>1633</v>
      </c>
      <c r="J194" s="34" t="s">
        <v>41</v>
      </c>
      <c r="K194" s="39" t="s">
        <v>42</v>
      </c>
      <c r="L194" s="165" t="s">
        <v>1634</v>
      </c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42" t="s">
        <v>1635</v>
      </c>
      <c r="Y194" s="58" t="s">
        <v>1636</v>
      </c>
      <c r="Z194" s="44" t="s">
        <v>1637</v>
      </c>
      <c r="AA194" s="45">
        <v>44041</v>
      </c>
      <c r="AB194" s="164" t="s">
        <v>30</v>
      </c>
      <c r="AC194" s="36" t="s">
        <v>26</v>
      </c>
      <c r="AD194" s="47" t="s">
        <v>49</v>
      </c>
      <c r="AE194" s="48" t="s">
        <v>49</v>
      </c>
      <c r="AF194" s="48" t="s">
        <v>49</v>
      </c>
      <c r="AG194" s="48" t="s">
        <v>49</v>
      </c>
      <c r="AH194" s="48" t="s">
        <v>49</v>
      </c>
      <c r="AI194" s="48" t="s">
        <v>49</v>
      </c>
      <c r="AJ194" s="49" t="s">
        <v>49</v>
      </c>
      <c r="AK194" s="48" t="s">
        <v>41</v>
      </c>
      <c r="AL194" s="62" t="s">
        <v>148</v>
      </c>
      <c r="AM194" s="59"/>
      <c r="AN194" s="10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1"/>
    </row>
    <row r="195" spans="1:59" x14ac:dyDescent="0.2">
      <c r="A195" s="33">
        <f t="shared" si="3"/>
        <v>190</v>
      </c>
      <c r="B195" s="34" t="s">
        <v>1638</v>
      </c>
      <c r="C195" s="35" t="s">
        <v>1639</v>
      </c>
      <c r="D195" s="36" t="s">
        <v>1640</v>
      </c>
      <c r="E195" s="36" t="s">
        <v>54</v>
      </c>
      <c r="F195" s="98" t="s">
        <v>1641</v>
      </c>
      <c r="G195" s="37" t="s">
        <v>73</v>
      </c>
      <c r="H195" s="37" t="s">
        <v>73</v>
      </c>
      <c r="I195" s="34" t="s">
        <v>1642</v>
      </c>
      <c r="J195" s="34" t="s">
        <v>41</v>
      </c>
      <c r="K195" s="39" t="s">
        <v>42</v>
      </c>
      <c r="L195" s="165">
        <v>31054</v>
      </c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42" t="s">
        <v>1643</v>
      </c>
      <c r="Y195" s="58" t="s">
        <v>1644</v>
      </c>
      <c r="Z195" s="44" t="s">
        <v>61</v>
      </c>
      <c r="AA195" s="45">
        <v>36641</v>
      </c>
      <c r="AB195" s="164" t="s">
        <v>30</v>
      </c>
      <c r="AC195" s="36"/>
      <c r="AD195" s="47" t="s">
        <v>49</v>
      </c>
      <c r="AE195" s="48" t="s">
        <v>41</v>
      </c>
      <c r="AF195" s="48" t="s">
        <v>41</v>
      </c>
      <c r="AG195" s="48" t="s">
        <v>41</v>
      </c>
      <c r="AH195" s="48" t="s">
        <v>41</v>
      </c>
      <c r="AI195" s="48" t="s">
        <v>41</v>
      </c>
      <c r="AJ195" s="49" t="s">
        <v>41</v>
      </c>
      <c r="AK195" s="48" t="s">
        <v>41</v>
      </c>
      <c r="AL195" s="62" t="s">
        <v>4590</v>
      </c>
      <c r="AM195" s="59" t="s">
        <v>192</v>
      </c>
      <c r="AN195" s="10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1"/>
    </row>
    <row r="196" spans="1:59" x14ac:dyDescent="0.2">
      <c r="A196" s="33">
        <f t="shared" si="3"/>
        <v>191</v>
      </c>
      <c r="B196" s="34" t="s">
        <v>1645</v>
      </c>
      <c r="C196" s="35" t="s">
        <v>1646</v>
      </c>
      <c r="D196" s="36" t="s">
        <v>1647</v>
      </c>
      <c r="E196" s="36" t="s">
        <v>54</v>
      </c>
      <c r="F196" s="34" t="s">
        <v>1648</v>
      </c>
      <c r="G196" s="37" t="s">
        <v>73</v>
      </c>
      <c r="H196" s="37" t="s">
        <v>73</v>
      </c>
      <c r="I196" s="34" t="s">
        <v>1649</v>
      </c>
      <c r="J196" s="34" t="s">
        <v>41</v>
      </c>
      <c r="K196" s="39" t="s">
        <v>42</v>
      </c>
      <c r="L196" s="189" t="s">
        <v>1650</v>
      </c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90" t="s">
        <v>1651</v>
      </c>
      <c r="Y196" s="58" t="s">
        <v>1652</v>
      </c>
      <c r="Z196" s="44" t="s">
        <v>61</v>
      </c>
      <c r="AA196" s="45">
        <v>36640</v>
      </c>
      <c r="AB196" s="191" t="s">
        <v>129</v>
      </c>
      <c r="AC196" s="36" t="s">
        <v>26</v>
      </c>
      <c r="AD196" s="47" t="s">
        <v>49</v>
      </c>
      <c r="AE196" s="48" t="s">
        <v>49</v>
      </c>
      <c r="AF196" s="48" t="s">
        <v>49</v>
      </c>
      <c r="AG196" s="48" t="s">
        <v>49</v>
      </c>
      <c r="AH196" s="48" t="s">
        <v>49</v>
      </c>
      <c r="AI196" s="48" t="s">
        <v>49</v>
      </c>
      <c r="AJ196" s="49" t="s">
        <v>41</v>
      </c>
      <c r="AK196" s="48" t="s">
        <v>41</v>
      </c>
      <c r="AL196" s="62" t="s">
        <v>276</v>
      </c>
      <c r="AM196" s="59"/>
      <c r="AN196" s="10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1"/>
    </row>
    <row r="197" spans="1:59" x14ac:dyDescent="0.2">
      <c r="A197" s="33">
        <f t="shared" si="3"/>
        <v>192</v>
      </c>
      <c r="B197" s="34" t="s">
        <v>1653</v>
      </c>
      <c r="C197" s="35" t="s">
        <v>1654</v>
      </c>
      <c r="D197" s="36" t="s">
        <v>1655</v>
      </c>
      <c r="E197" s="36" t="s">
        <v>241</v>
      </c>
      <c r="F197" s="34" t="s">
        <v>1656</v>
      </c>
      <c r="G197" s="37" t="s">
        <v>73</v>
      </c>
      <c r="H197" s="37" t="s">
        <v>73</v>
      </c>
      <c r="I197" s="34" t="s">
        <v>1657</v>
      </c>
      <c r="J197" s="34" t="s">
        <v>41</v>
      </c>
      <c r="K197" s="39" t="s">
        <v>42</v>
      </c>
      <c r="L197" s="158" t="s">
        <v>556</v>
      </c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57" t="s">
        <v>1658</v>
      </c>
      <c r="Y197" s="43" t="s">
        <v>1659</v>
      </c>
      <c r="Z197" s="44" t="s">
        <v>61</v>
      </c>
      <c r="AA197" s="45">
        <v>36641</v>
      </c>
      <c r="AB197" s="101" t="s">
        <v>30</v>
      </c>
      <c r="AC197" s="36" t="s">
        <v>26</v>
      </c>
      <c r="AD197" s="47" t="s">
        <v>49</v>
      </c>
      <c r="AE197" s="48" t="s">
        <v>49</v>
      </c>
      <c r="AF197" s="48" t="s">
        <v>49</v>
      </c>
      <c r="AG197" s="48" t="s">
        <v>49</v>
      </c>
      <c r="AH197" s="48" t="s">
        <v>49</v>
      </c>
      <c r="AI197" s="48" t="s">
        <v>49</v>
      </c>
      <c r="AJ197" s="49" t="s">
        <v>49</v>
      </c>
      <c r="AK197" s="48" t="s">
        <v>49</v>
      </c>
      <c r="AL197" s="65" t="s">
        <v>32</v>
      </c>
      <c r="AM197" s="103" t="s">
        <v>41</v>
      </c>
      <c r="AN197" s="10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1"/>
    </row>
    <row r="198" spans="1:59" x14ac:dyDescent="0.2">
      <c r="A198" s="33">
        <f t="shared" si="3"/>
        <v>193</v>
      </c>
      <c r="B198" s="34" t="s">
        <v>1660</v>
      </c>
      <c r="C198" s="35" t="s">
        <v>1661</v>
      </c>
      <c r="D198" s="36" t="s">
        <v>1662</v>
      </c>
      <c r="E198" s="36" t="s">
        <v>36</v>
      </c>
      <c r="F198" s="34" t="s">
        <v>1663</v>
      </c>
      <c r="G198" s="37" t="s">
        <v>73</v>
      </c>
      <c r="H198" s="37" t="s">
        <v>73</v>
      </c>
      <c r="I198" s="34" t="s">
        <v>1664</v>
      </c>
      <c r="J198" s="34" t="s">
        <v>41</v>
      </c>
      <c r="K198" s="39" t="s">
        <v>42</v>
      </c>
      <c r="L198" s="120">
        <v>45143</v>
      </c>
      <c r="M198" s="56"/>
      <c r="N198" s="56"/>
      <c r="O198" s="56"/>
      <c r="P198" s="56"/>
      <c r="Q198" s="56"/>
      <c r="R198" s="56"/>
      <c r="S198" s="56"/>
      <c r="T198" s="56" t="s">
        <v>44</v>
      </c>
      <c r="U198" s="56"/>
      <c r="V198" s="56"/>
      <c r="W198" s="56"/>
      <c r="X198" s="42" t="s">
        <v>1665</v>
      </c>
      <c r="Y198" s="83" t="s">
        <v>1666</v>
      </c>
      <c r="Z198" s="44"/>
      <c r="AA198" s="45">
        <v>45642</v>
      </c>
      <c r="AB198" s="101"/>
      <c r="AC198" s="36"/>
      <c r="AD198" s="64" t="s">
        <v>120</v>
      </c>
      <c r="AE198" s="48" t="s">
        <v>41</v>
      </c>
      <c r="AF198" s="48" t="s">
        <v>41</v>
      </c>
      <c r="AG198" s="48" t="s">
        <v>41</v>
      </c>
      <c r="AH198" s="48" t="s">
        <v>120</v>
      </c>
      <c r="AI198" s="48" t="s">
        <v>120</v>
      </c>
      <c r="AJ198" s="49" t="s">
        <v>120</v>
      </c>
      <c r="AK198" s="48" t="s">
        <v>41</v>
      </c>
      <c r="AL198" s="62" t="s">
        <v>148</v>
      </c>
      <c r="AM198" s="59"/>
      <c r="AN198" s="10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1"/>
    </row>
    <row r="199" spans="1:59" x14ac:dyDescent="0.2">
      <c r="A199" s="33">
        <f t="shared" si="3"/>
        <v>194</v>
      </c>
      <c r="B199" s="34" t="s">
        <v>1667</v>
      </c>
      <c r="C199" s="35" t="s">
        <v>1668</v>
      </c>
      <c r="D199" s="36" t="s">
        <v>1669</v>
      </c>
      <c r="E199" s="36" t="s">
        <v>54</v>
      </c>
      <c r="F199" s="34" t="s">
        <v>1670</v>
      </c>
      <c r="G199" s="37" t="s">
        <v>73</v>
      </c>
      <c r="H199" s="37" t="s">
        <v>73</v>
      </c>
      <c r="I199" s="34" t="s">
        <v>1671</v>
      </c>
      <c r="J199" s="34" t="s">
        <v>1671</v>
      </c>
      <c r="K199" s="39" t="s">
        <v>42</v>
      </c>
      <c r="L199" s="163" t="s">
        <v>1040</v>
      </c>
      <c r="M199" s="130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42" t="s">
        <v>1672</v>
      </c>
      <c r="Y199" s="43" t="s">
        <v>1673</v>
      </c>
      <c r="Z199" s="44" t="s">
        <v>61</v>
      </c>
      <c r="AA199" s="45">
        <v>36803</v>
      </c>
      <c r="AB199" s="164" t="s">
        <v>30</v>
      </c>
      <c r="AC199" s="36" t="s">
        <v>26</v>
      </c>
      <c r="AD199" s="61" t="s">
        <v>49</v>
      </c>
      <c r="AE199" s="48" t="s">
        <v>49</v>
      </c>
      <c r="AF199" s="48" t="s">
        <v>49</v>
      </c>
      <c r="AG199" s="48" t="s">
        <v>49</v>
      </c>
      <c r="AH199" s="48" t="s">
        <v>49</v>
      </c>
      <c r="AI199" s="48" t="s">
        <v>49</v>
      </c>
      <c r="AJ199" s="49" t="s">
        <v>49</v>
      </c>
      <c r="AK199" s="48" t="s">
        <v>49</v>
      </c>
      <c r="AL199" s="65" t="s">
        <v>32</v>
      </c>
      <c r="AM199" s="59"/>
      <c r="AN199" s="10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1"/>
    </row>
    <row r="200" spans="1:59" x14ac:dyDescent="0.2">
      <c r="A200" s="33">
        <f t="shared" si="3"/>
        <v>195</v>
      </c>
      <c r="B200" s="34" t="s">
        <v>1674</v>
      </c>
      <c r="C200" s="35" t="s">
        <v>1675</v>
      </c>
      <c r="D200" s="36" t="s">
        <v>1676</v>
      </c>
      <c r="E200" s="36" t="s">
        <v>36</v>
      </c>
      <c r="F200" s="87" t="s">
        <v>1677</v>
      </c>
      <c r="G200" s="37" t="s">
        <v>73</v>
      </c>
      <c r="H200" s="37" t="s">
        <v>73</v>
      </c>
      <c r="I200" s="34" t="s">
        <v>1678</v>
      </c>
      <c r="J200" s="34" t="s">
        <v>1679</v>
      </c>
      <c r="K200" s="39" t="s">
        <v>42</v>
      </c>
      <c r="L200" s="120">
        <v>34984</v>
      </c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2" t="s">
        <v>1680</v>
      </c>
      <c r="Y200" s="43" t="s">
        <v>1681</v>
      </c>
      <c r="Z200" s="44" t="s">
        <v>61</v>
      </c>
      <c r="AA200" s="45">
        <v>40815</v>
      </c>
      <c r="AB200" s="101" t="s">
        <v>30</v>
      </c>
      <c r="AC200" s="36" t="s">
        <v>26</v>
      </c>
      <c r="AD200" s="47" t="s">
        <v>49</v>
      </c>
      <c r="AE200" s="48" t="s">
        <v>49</v>
      </c>
      <c r="AF200" s="48" t="s">
        <v>49</v>
      </c>
      <c r="AG200" s="48" t="s">
        <v>49</v>
      </c>
      <c r="AH200" s="48" t="s">
        <v>49</v>
      </c>
      <c r="AI200" s="48" t="s">
        <v>49</v>
      </c>
      <c r="AJ200" s="49" t="s">
        <v>49</v>
      </c>
      <c r="AK200" s="48" t="s">
        <v>49</v>
      </c>
      <c r="AL200" s="65" t="s">
        <v>32</v>
      </c>
      <c r="AM200" s="103" t="s">
        <v>41</v>
      </c>
      <c r="AN200" s="10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1"/>
    </row>
    <row r="201" spans="1:59" x14ac:dyDescent="0.2">
      <c r="A201" s="33">
        <f t="shared" ref="A201:A264" si="4">+A200+1</f>
        <v>196</v>
      </c>
      <c r="B201" s="98" t="s">
        <v>1682</v>
      </c>
      <c r="C201" s="35" t="s">
        <v>1683</v>
      </c>
      <c r="D201" s="73" t="s">
        <v>1684</v>
      </c>
      <c r="E201" s="36" t="s">
        <v>36</v>
      </c>
      <c r="F201" s="192" t="s">
        <v>1685</v>
      </c>
      <c r="G201" s="37" t="s">
        <v>73</v>
      </c>
      <c r="H201" s="37" t="s">
        <v>73</v>
      </c>
      <c r="I201" s="193" t="s">
        <v>41</v>
      </c>
      <c r="J201" s="193" t="s">
        <v>1686</v>
      </c>
      <c r="K201" s="39" t="s">
        <v>42</v>
      </c>
      <c r="L201" s="194">
        <v>45728</v>
      </c>
      <c r="M201" s="137"/>
      <c r="N201" s="137"/>
      <c r="O201" s="137"/>
      <c r="P201" s="137"/>
      <c r="Q201" s="137"/>
      <c r="R201" s="137"/>
      <c r="S201" s="137"/>
      <c r="T201" s="137"/>
      <c r="U201" s="137"/>
      <c r="V201" s="137" t="s">
        <v>44</v>
      </c>
      <c r="W201" s="137"/>
      <c r="X201" s="193" t="s">
        <v>1687</v>
      </c>
      <c r="Y201" s="58" t="s">
        <v>1688</v>
      </c>
      <c r="Z201" s="58"/>
      <c r="AA201" s="58"/>
      <c r="AB201" s="101"/>
      <c r="AC201" s="36"/>
      <c r="AD201" s="47" t="s">
        <v>49</v>
      </c>
      <c r="AE201" s="48" t="s">
        <v>41</v>
      </c>
      <c r="AF201" s="48" t="s">
        <v>41</v>
      </c>
      <c r="AG201" s="48" t="s">
        <v>41</v>
      </c>
      <c r="AH201" s="48" t="s">
        <v>41</v>
      </c>
      <c r="AI201" s="48" t="s">
        <v>41</v>
      </c>
      <c r="AJ201" s="49" t="s">
        <v>49</v>
      </c>
      <c r="AK201" s="48" t="s">
        <v>49</v>
      </c>
      <c r="AL201" s="65" t="s">
        <v>32</v>
      </c>
      <c r="AM201" s="134"/>
      <c r="AN201" s="195"/>
      <c r="AO201" s="196"/>
      <c r="AP201" s="196"/>
      <c r="AQ201" s="196"/>
      <c r="AR201" s="196"/>
      <c r="AS201" s="196"/>
      <c r="AT201" s="196"/>
      <c r="AU201" s="196"/>
      <c r="AV201" s="196"/>
      <c r="AW201" s="196"/>
      <c r="AX201" s="196"/>
      <c r="AY201" s="197"/>
      <c r="AZ201" s="198"/>
      <c r="BA201" s="198"/>
      <c r="BB201" s="198"/>
      <c r="BC201" s="198"/>
      <c r="BD201" s="198"/>
      <c r="BE201" s="198"/>
      <c r="BF201" s="198"/>
      <c r="BG201" s="198"/>
    </row>
    <row r="202" spans="1:59" x14ac:dyDescent="0.2">
      <c r="A202" s="33">
        <f t="shared" si="4"/>
        <v>197</v>
      </c>
      <c r="B202" s="34" t="s">
        <v>1689</v>
      </c>
      <c r="C202" s="35" t="s">
        <v>1690</v>
      </c>
      <c r="D202" s="36" t="s">
        <v>1691</v>
      </c>
      <c r="E202" s="36" t="s">
        <v>54</v>
      </c>
      <c r="F202" s="34" t="s">
        <v>1692</v>
      </c>
      <c r="G202" s="37" t="s">
        <v>73</v>
      </c>
      <c r="H202" s="37" t="s">
        <v>73</v>
      </c>
      <c r="I202" s="34" t="s">
        <v>1671</v>
      </c>
      <c r="J202" s="34" t="s">
        <v>1671</v>
      </c>
      <c r="K202" s="39" t="s">
        <v>42</v>
      </c>
      <c r="L202" s="120">
        <v>30353</v>
      </c>
      <c r="M202" s="115"/>
      <c r="N202" s="115"/>
      <c r="O202" s="115"/>
      <c r="P202" s="115"/>
      <c r="Q202" s="115"/>
      <c r="R202" s="115"/>
      <c r="S202" s="115"/>
      <c r="T202" s="56"/>
      <c r="U202" s="56"/>
      <c r="V202" s="56"/>
      <c r="W202" s="56"/>
      <c r="X202" s="42" t="s">
        <v>1693</v>
      </c>
      <c r="Y202" s="58" t="s">
        <v>1694</v>
      </c>
      <c r="Z202" s="44" t="s">
        <v>1695</v>
      </c>
      <c r="AA202" s="45">
        <v>42325</v>
      </c>
      <c r="AB202" s="101" t="s">
        <v>30</v>
      </c>
      <c r="AC202" s="36" t="s">
        <v>26</v>
      </c>
      <c r="AD202" s="64" t="s">
        <v>120</v>
      </c>
      <c r="AE202" s="48" t="s">
        <v>120</v>
      </c>
      <c r="AF202" s="48" t="s">
        <v>120</v>
      </c>
      <c r="AG202" s="48" t="s">
        <v>120</v>
      </c>
      <c r="AH202" s="48" t="s">
        <v>120</v>
      </c>
      <c r="AI202" s="48" t="s">
        <v>120</v>
      </c>
      <c r="AJ202" s="49" t="s">
        <v>120</v>
      </c>
      <c r="AK202" s="48" t="s">
        <v>120</v>
      </c>
      <c r="AL202" s="65" t="s">
        <v>32</v>
      </c>
      <c r="AM202" s="134"/>
      <c r="AN202" s="10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1"/>
    </row>
    <row r="203" spans="1:59" x14ac:dyDescent="0.2">
      <c r="A203" s="33">
        <f t="shared" si="4"/>
        <v>198</v>
      </c>
      <c r="B203" s="34" t="s">
        <v>1696</v>
      </c>
      <c r="C203" s="35" t="s">
        <v>1697</v>
      </c>
      <c r="D203" s="36" t="s">
        <v>1698</v>
      </c>
      <c r="E203" s="36" t="s">
        <v>54</v>
      </c>
      <c r="F203" s="34" t="s">
        <v>1699</v>
      </c>
      <c r="G203" s="37" t="s">
        <v>73</v>
      </c>
      <c r="H203" s="37" t="s">
        <v>73</v>
      </c>
      <c r="I203" s="34" t="s">
        <v>1700</v>
      </c>
      <c r="J203" s="34" t="s">
        <v>1700</v>
      </c>
      <c r="K203" s="39" t="s">
        <v>42</v>
      </c>
      <c r="L203" s="194">
        <v>30353</v>
      </c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42" t="s">
        <v>1701</v>
      </c>
      <c r="Y203" s="58" t="s">
        <v>1702</v>
      </c>
      <c r="Z203" s="44" t="s">
        <v>61</v>
      </c>
      <c r="AA203" s="45">
        <v>34597</v>
      </c>
      <c r="AB203" s="191" t="s">
        <v>30</v>
      </c>
      <c r="AC203" s="36"/>
      <c r="AD203" s="47" t="s">
        <v>49</v>
      </c>
      <c r="AE203" s="48" t="s">
        <v>41</v>
      </c>
      <c r="AF203" s="48" t="s">
        <v>41</v>
      </c>
      <c r="AG203" s="48" t="s">
        <v>41</v>
      </c>
      <c r="AH203" s="48" t="s">
        <v>41</v>
      </c>
      <c r="AI203" s="48" t="s">
        <v>41</v>
      </c>
      <c r="AJ203" s="49" t="s">
        <v>41</v>
      </c>
      <c r="AK203" s="48" t="s">
        <v>41</v>
      </c>
      <c r="AL203" s="65" t="s">
        <v>4591</v>
      </c>
      <c r="AM203" s="59" t="s">
        <v>460</v>
      </c>
      <c r="AN203" s="10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1"/>
    </row>
    <row r="204" spans="1:59" x14ac:dyDescent="0.2">
      <c r="A204" s="33">
        <f t="shared" si="4"/>
        <v>199</v>
      </c>
      <c r="B204" s="34" t="s">
        <v>1703</v>
      </c>
      <c r="C204" s="35" t="s">
        <v>1704</v>
      </c>
      <c r="D204" s="36" t="s">
        <v>1705</v>
      </c>
      <c r="E204" s="36" t="s">
        <v>36</v>
      </c>
      <c r="F204" s="34" t="s">
        <v>1706</v>
      </c>
      <c r="G204" s="37" t="s">
        <v>214</v>
      </c>
      <c r="H204" s="37" t="s">
        <v>205</v>
      </c>
      <c r="I204" s="38" t="s">
        <v>1707</v>
      </c>
      <c r="J204" s="34"/>
      <c r="K204" s="39" t="s">
        <v>42</v>
      </c>
      <c r="L204" s="166" t="s">
        <v>1708</v>
      </c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42" t="s">
        <v>1709</v>
      </c>
      <c r="Y204" s="52" t="s">
        <v>1710</v>
      </c>
      <c r="Z204" s="44" t="s">
        <v>1711</v>
      </c>
      <c r="AA204" s="45">
        <v>44041</v>
      </c>
      <c r="AB204" s="101" t="s">
        <v>30</v>
      </c>
      <c r="AC204" s="36" t="s">
        <v>26</v>
      </c>
      <c r="AD204" s="47" t="s">
        <v>49</v>
      </c>
      <c r="AE204" s="48" t="s">
        <v>49</v>
      </c>
      <c r="AF204" s="48" t="s">
        <v>49</v>
      </c>
      <c r="AG204" s="48" t="s">
        <v>49</v>
      </c>
      <c r="AH204" s="48" t="s">
        <v>49</v>
      </c>
      <c r="AI204" s="48" t="s">
        <v>49</v>
      </c>
      <c r="AJ204" s="49" t="s">
        <v>49</v>
      </c>
      <c r="AK204" s="48" t="s">
        <v>49</v>
      </c>
      <c r="AL204" s="62" t="s">
        <v>32</v>
      </c>
      <c r="AM204" s="59"/>
      <c r="AN204" s="10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1"/>
    </row>
    <row r="205" spans="1:59" x14ac:dyDescent="0.2">
      <c r="A205" s="33">
        <f t="shared" si="4"/>
        <v>200</v>
      </c>
      <c r="B205" s="34" t="s">
        <v>1712</v>
      </c>
      <c r="C205" s="35" t="s">
        <v>1713</v>
      </c>
      <c r="D205" s="36" t="s">
        <v>1714</v>
      </c>
      <c r="E205" s="36" t="s">
        <v>36</v>
      </c>
      <c r="F205" s="34" t="s">
        <v>1715</v>
      </c>
      <c r="G205" s="37" t="s">
        <v>39</v>
      </c>
      <c r="H205" s="37" t="s">
        <v>39</v>
      </c>
      <c r="I205" s="34" t="s">
        <v>1716</v>
      </c>
      <c r="J205" s="34" t="s">
        <v>41</v>
      </c>
      <c r="K205" s="39" t="s">
        <v>42</v>
      </c>
      <c r="L205" s="120">
        <v>42010</v>
      </c>
      <c r="M205" s="56" t="s">
        <v>179</v>
      </c>
      <c r="N205" s="56" t="s">
        <v>179</v>
      </c>
      <c r="O205" s="56"/>
      <c r="P205" s="56">
        <v>2</v>
      </c>
      <c r="Q205" s="56"/>
      <c r="R205" s="56"/>
      <c r="S205" s="56"/>
      <c r="T205" s="56" t="s">
        <v>732</v>
      </c>
      <c r="U205" s="56"/>
      <c r="V205" s="56"/>
      <c r="W205" s="56"/>
      <c r="X205" s="57" t="s">
        <v>1717</v>
      </c>
      <c r="Y205" s="100" t="s">
        <v>1718</v>
      </c>
      <c r="Z205" s="44" t="s">
        <v>1719</v>
      </c>
      <c r="AA205" s="45">
        <v>42325</v>
      </c>
      <c r="AB205" s="101" t="s">
        <v>30</v>
      </c>
      <c r="AC205" s="36" t="s">
        <v>26</v>
      </c>
      <c r="AD205" s="47" t="s">
        <v>49</v>
      </c>
      <c r="AE205" s="48" t="s">
        <v>49</v>
      </c>
      <c r="AF205" s="48" t="s">
        <v>49</v>
      </c>
      <c r="AG205" s="48" t="s">
        <v>49</v>
      </c>
      <c r="AH205" s="48" t="s">
        <v>49</v>
      </c>
      <c r="AI205" s="48" t="s">
        <v>49</v>
      </c>
      <c r="AJ205" s="49" t="s">
        <v>49</v>
      </c>
      <c r="AK205" s="48" t="s">
        <v>49</v>
      </c>
      <c r="AL205" s="62" t="s">
        <v>32</v>
      </c>
      <c r="AM205" s="59"/>
      <c r="AN205" s="10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1"/>
    </row>
    <row r="206" spans="1:59" x14ac:dyDescent="0.2">
      <c r="A206" s="33">
        <f t="shared" si="4"/>
        <v>201</v>
      </c>
      <c r="B206" s="34" t="s">
        <v>1720</v>
      </c>
      <c r="C206" s="35" t="s">
        <v>1721</v>
      </c>
      <c r="D206" s="36" t="s">
        <v>1722</v>
      </c>
      <c r="E206" s="36" t="s">
        <v>36</v>
      </c>
      <c r="F206" s="34" t="s">
        <v>1723</v>
      </c>
      <c r="G206" s="37" t="s">
        <v>398</v>
      </c>
      <c r="H206" s="37" t="s">
        <v>205</v>
      </c>
      <c r="I206" s="38" t="s">
        <v>1724</v>
      </c>
      <c r="J206" s="34" t="s">
        <v>41</v>
      </c>
      <c r="K206" s="39" t="s">
        <v>42</v>
      </c>
      <c r="L206" s="120" t="s">
        <v>1725</v>
      </c>
      <c r="M206" s="56" t="s">
        <v>179</v>
      </c>
      <c r="N206" s="56" t="s">
        <v>179</v>
      </c>
      <c r="O206" s="56"/>
      <c r="P206" s="56">
        <v>2</v>
      </c>
      <c r="Q206" s="56" t="s">
        <v>179</v>
      </c>
      <c r="R206" s="56"/>
      <c r="S206" s="56"/>
      <c r="T206" s="56" t="s">
        <v>44</v>
      </c>
      <c r="U206" s="56"/>
      <c r="V206" s="56"/>
      <c r="W206" s="56"/>
      <c r="X206" s="54" t="s">
        <v>1726</v>
      </c>
      <c r="Y206" s="100" t="s">
        <v>1727</v>
      </c>
      <c r="Z206" s="44"/>
      <c r="AA206" s="45" t="s">
        <v>47</v>
      </c>
      <c r="AB206" s="101"/>
      <c r="AC206" s="36"/>
      <c r="AD206" s="47" t="s">
        <v>49</v>
      </c>
      <c r="AE206" s="48" t="s">
        <v>41</v>
      </c>
      <c r="AF206" s="48" t="s">
        <v>41</v>
      </c>
      <c r="AG206" s="48" t="s">
        <v>49</v>
      </c>
      <c r="AH206" s="48" t="s">
        <v>49</v>
      </c>
      <c r="AI206" s="48" t="s">
        <v>49</v>
      </c>
      <c r="AJ206" s="49" t="s">
        <v>49</v>
      </c>
      <c r="AK206" s="48" t="s">
        <v>49</v>
      </c>
      <c r="AL206" s="62" t="s">
        <v>32</v>
      </c>
      <c r="AM206" s="59"/>
      <c r="AN206" s="10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1"/>
    </row>
    <row r="207" spans="1:59" ht="15" customHeight="1" x14ac:dyDescent="0.2">
      <c r="A207" s="33">
        <f t="shared" si="4"/>
        <v>202</v>
      </c>
      <c r="B207" s="38" t="s">
        <v>1728</v>
      </c>
      <c r="C207" s="35" t="s">
        <v>1729</v>
      </c>
      <c r="D207" s="36" t="s">
        <v>1730</v>
      </c>
      <c r="E207" s="36" t="s">
        <v>54</v>
      </c>
      <c r="F207" s="34" t="s">
        <v>1731</v>
      </c>
      <c r="G207" s="37" t="s">
        <v>205</v>
      </c>
      <c r="H207" s="37" t="s">
        <v>205</v>
      </c>
      <c r="I207" s="199" t="s">
        <v>1732</v>
      </c>
      <c r="J207" s="34" t="s">
        <v>41</v>
      </c>
      <c r="K207" s="39" t="s">
        <v>42</v>
      </c>
      <c r="L207" s="120">
        <v>43292</v>
      </c>
      <c r="M207" s="137"/>
      <c r="N207" s="137"/>
      <c r="O207" s="137"/>
      <c r="P207" s="137"/>
      <c r="Q207" s="137"/>
      <c r="R207" s="137"/>
      <c r="S207" s="137"/>
      <c r="T207" s="137"/>
      <c r="U207" s="137"/>
      <c r="V207" s="137" t="s">
        <v>732</v>
      </c>
      <c r="W207" s="137"/>
      <c r="X207" s="42" t="s">
        <v>1733</v>
      </c>
      <c r="Y207" s="100" t="s">
        <v>1734</v>
      </c>
      <c r="Z207" s="44"/>
      <c r="AA207" s="45">
        <v>44041</v>
      </c>
      <c r="AB207" s="101" t="s">
        <v>30</v>
      </c>
      <c r="AC207" s="36" t="s">
        <v>26</v>
      </c>
      <c r="AD207" s="47" t="s">
        <v>49</v>
      </c>
      <c r="AE207" s="48" t="s">
        <v>49</v>
      </c>
      <c r="AF207" s="48" t="s">
        <v>49</v>
      </c>
      <c r="AG207" s="48" t="s">
        <v>49</v>
      </c>
      <c r="AH207" s="48" t="s">
        <v>49</v>
      </c>
      <c r="AI207" s="48" t="s">
        <v>49</v>
      </c>
      <c r="AJ207" s="49" t="s">
        <v>49</v>
      </c>
      <c r="AK207" s="48" t="s">
        <v>49</v>
      </c>
      <c r="AL207" s="62" t="s">
        <v>32</v>
      </c>
      <c r="AM207" s="59"/>
      <c r="AN207" s="10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1"/>
    </row>
    <row r="208" spans="1:59" ht="15" customHeight="1" x14ac:dyDescent="0.2">
      <c r="A208" s="33">
        <f t="shared" si="4"/>
        <v>203</v>
      </c>
      <c r="B208" s="38" t="s">
        <v>1735</v>
      </c>
      <c r="C208" s="35" t="s">
        <v>1736</v>
      </c>
      <c r="D208" s="36" t="s">
        <v>1737</v>
      </c>
      <c r="E208" s="36" t="s">
        <v>54</v>
      </c>
      <c r="F208" s="34" t="s">
        <v>1738</v>
      </c>
      <c r="G208" s="37" t="s">
        <v>73</v>
      </c>
      <c r="H208" s="37" t="s">
        <v>73</v>
      </c>
      <c r="I208" s="199" t="s">
        <v>1739</v>
      </c>
      <c r="J208" s="34" t="s">
        <v>41</v>
      </c>
      <c r="K208" s="39" t="s">
        <v>42</v>
      </c>
      <c r="L208" s="120">
        <v>45610</v>
      </c>
      <c r="M208" s="115"/>
      <c r="N208" s="115"/>
      <c r="O208" s="115"/>
      <c r="P208" s="115"/>
      <c r="Q208" s="115"/>
      <c r="R208" s="115"/>
      <c r="S208" s="115"/>
      <c r="T208" s="115"/>
      <c r="U208" s="115" t="s">
        <v>44</v>
      </c>
      <c r="V208" s="115"/>
      <c r="W208" s="115"/>
      <c r="X208" s="199" t="s">
        <v>1740</v>
      </c>
      <c r="Y208" s="100" t="s">
        <v>1741</v>
      </c>
      <c r="Z208" s="44"/>
      <c r="AA208" s="45"/>
      <c r="AB208" s="101"/>
      <c r="AC208" s="36"/>
      <c r="AD208" s="47" t="s">
        <v>49</v>
      </c>
      <c r="AE208" s="48" t="s">
        <v>41</v>
      </c>
      <c r="AF208" s="48" t="s">
        <v>41</v>
      </c>
      <c r="AG208" s="48" t="s">
        <v>41</v>
      </c>
      <c r="AH208" s="48" t="s">
        <v>41</v>
      </c>
      <c r="AI208" s="48" t="s">
        <v>49</v>
      </c>
      <c r="AJ208" s="49" t="s">
        <v>49</v>
      </c>
      <c r="AK208" s="48" t="s">
        <v>41</v>
      </c>
      <c r="AL208" s="62" t="s">
        <v>148</v>
      </c>
      <c r="AM208" s="59"/>
      <c r="AN208" s="10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1"/>
    </row>
    <row r="209" spans="1:51" x14ac:dyDescent="0.2">
      <c r="A209" s="33">
        <f t="shared" si="4"/>
        <v>204</v>
      </c>
      <c r="B209" s="34" t="s">
        <v>1742</v>
      </c>
      <c r="C209" s="35" t="s">
        <v>1743</v>
      </c>
      <c r="D209" s="36" t="s">
        <v>1744</v>
      </c>
      <c r="E209" s="36" t="s">
        <v>36</v>
      </c>
      <c r="F209" s="34" t="s">
        <v>1745</v>
      </c>
      <c r="G209" s="37" t="s">
        <v>323</v>
      </c>
      <c r="H209" s="37" t="s">
        <v>39</v>
      </c>
      <c r="I209" s="38" t="s">
        <v>1746</v>
      </c>
      <c r="J209" s="34"/>
      <c r="K209" s="39" t="s">
        <v>42</v>
      </c>
      <c r="L209" s="194">
        <v>42463</v>
      </c>
      <c r="M209" s="115"/>
      <c r="N209" s="114"/>
      <c r="O209" s="115"/>
      <c r="P209" s="114"/>
      <c r="Q209" s="115"/>
      <c r="R209" s="115"/>
      <c r="S209" s="115"/>
      <c r="T209" s="56"/>
      <c r="U209" s="56"/>
      <c r="V209" s="56"/>
      <c r="W209" s="56"/>
      <c r="X209" s="42" t="s">
        <v>1747</v>
      </c>
      <c r="Y209" s="100" t="s">
        <v>1748</v>
      </c>
      <c r="Z209" s="44" t="s">
        <v>61</v>
      </c>
      <c r="AA209" s="45">
        <v>42935</v>
      </c>
      <c r="AB209" s="191" t="s">
        <v>30</v>
      </c>
      <c r="AC209" s="36" t="s">
        <v>26</v>
      </c>
      <c r="AD209" s="47" t="s">
        <v>49</v>
      </c>
      <c r="AE209" s="48" t="s">
        <v>49</v>
      </c>
      <c r="AF209" s="48" t="s">
        <v>49</v>
      </c>
      <c r="AG209" s="48" t="s">
        <v>49</v>
      </c>
      <c r="AH209" s="48" t="s">
        <v>49</v>
      </c>
      <c r="AI209" s="48" t="s">
        <v>49</v>
      </c>
      <c r="AJ209" s="49" t="s">
        <v>49</v>
      </c>
      <c r="AK209" s="48" t="s">
        <v>49</v>
      </c>
      <c r="AL209" s="62" t="s">
        <v>32</v>
      </c>
      <c r="AM209" s="59"/>
      <c r="AN209" s="10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1"/>
    </row>
    <row r="210" spans="1:51" x14ac:dyDescent="0.2">
      <c r="A210" s="33">
        <f t="shared" si="4"/>
        <v>205</v>
      </c>
      <c r="B210" s="34" t="s">
        <v>1749</v>
      </c>
      <c r="C210" s="35" t="s">
        <v>1750</v>
      </c>
      <c r="D210" s="36" t="s">
        <v>1751</v>
      </c>
      <c r="E210" s="36" t="s">
        <v>54</v>
      </c>
      <c r="F210" s="34" t="s">
        <v>1752</v>
      </c>
      <c r="G210" s="37" t="s">
        <v>73</v>
      </c>
      <c r="H210" s="37" t="s">
        <v>73</v>
      </c>
      <c r="I210" s="34" t="s">
        <v>1753</v>
      </c>
      <c r="J210" s="34" t="s">
        <v>1753</v>
      </c>
      <c r="K210" s="39" t="s">
        <v>42</v>
      </c>
      <c r="L210" s="158" t="s">
        <v>1311</v>
      </c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2" t="s">
        <v>1754</v>
      </c>
      <c r="Y210" s="58" t="s">
        <v>1755</v>
      </c>
      <c r="Z210" s="44" t="s">
        <v>61</v>
      </c>
      <c r="AA210" s="45">
        <v>37208</v>
      </c>
      <c r="AB210" s="101" t="s">
        <v>30</v>
      </c>
      <c r="AC210" s="36" t="s">
        <v>26</v>
      </c>
      <c r="AD210" s="47" t="s">
        <v>49</v>
      </c>
      <c r="AE210" s="48" t="s">
        <v>49</v>
      </c>
      <c r="AF210" s="48" t="s">
        <v>49</v>
      </c>
      <c r="AG210" s="48" t="s">
        <v>49</v>
      </c>
      <c r="AH210" s="48" t="s">
        <v>49</v>
      </c>
      <c r="AI210" s="48" t="s">
        <v>49</v>
      </c>
      <c r="AJ210" s="49" t="s">
        <v>49</v>
      </c>
      <c r="AK210" s="48" t="s">
        <v>41</v>
      </c>
      <c r="AL210" s="62" t="s">
        <v>148</v>
      </c>
      <c r="AM210" s="103"/>
      <c r="AN210" s="10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1"/>
    </row>
    <row r="211" spans="1:51" x14ac:dyDescent="0.2">
      <c r="A211" s="33">
        <f t="shared" si="4"/>
        <v>206</v>
      </c>
      <c r="B211" s="34" t="s">
        <v>1756</v>
      </c>
      <c r="C211" s="35" t="s">
        <v>1757</v>
      </c>
      <c r="D211" s="36" t="s">
        <v>1758</v>
      </c>
      <c r="E211" s="36" t="s">
        <v>54</v>
      </c>
      <c r="F211" s="34" t="s">
        <v>1759</v>
      </c>
      <c r="G211" s="37" t="s">
        <v>73</v>
      </c>
      <c r="H211" s="37" t="s">
        <v>73</v>
      </c>
      <c r="I211" s="34">
        <v>85741499797</v>
      </c>
      <c r="J211" s="34" t="s">
        <v>41</v>
      </c>
      <c r="K211" s="39" t="s">
        <v>42</v>
      </c>
      <c r="L211" s="158" t="s">
        <v>1760</v>
      </c>
      <c r="M211" s="41"/>
      <c r="N211" s="41"/>
      <c r="O211" s="41"/>
      <c r="P211" s="41"/>
      <c r="Q211" s="41"/>
      <c r="R211" s="41"/>
      <c r="S211" s="41"/>
      <c r="T211" s="41" t="s">
        <v>44</v>
      </c>
      <c r="U211" s="41"/>
      <c r="V211" s="41"/>
      <c r="W211" s="41"/>
      <c r="X211" s="42" t="s">
        <v>1761</v>
      </c>
      <c r="Y211" s="58" t="s">
        <v>1762</v>
      </c>
      <c r="Z211" s="44"/>
      <c r="AA211" s="45">
        <v>45642</v>
      </c>
      <c r="AB211" s="101"/>
      <c r="AC211" s="36"/>
      <c r="AD211" s="47" t="s">
        <v>49</v>
      </c>
      <c r="AE211" s="48" t="s">
        <v>41</v>
      </c>
      <c r="AF211" s="48" t="s">
        <v>41</v>
      </c>
      <c r="AG211" s="48" t="s">
        <v>1763</v>
      </c>
      <c r="AH211" s="48" t="s">
        <v>49</v>
      </c>
      <c r="AI211" s="48" t="s">
        <v>49</v>
      </c>
      <c r="AJ211" s="49" t="s">
        <v>49</v>
      </c>
      <c r="AK211" s="48" t="s">
        <v>49</v>
      </c>
      <c r="AL211" s="62" t="s">
        <v>32</v>
      </c>
      <c r="AM211" s="59"/>
      <c r="AN211" s="10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1"/>
    </row>
    <row r="212" spans="1:51" x14ac:dyDescent="0.2">
      <c r="A212" s="33">
        <f t="shared" si="4"/>
        <v>207</v>
      </c>
      <c r="B212" s="34" t="s">
        <v>1764</v>
      </c>
      <c r="C212" s="35" t="s">
        <v>1765</v>
      </c>
      <c r="D212" s="36" t="s">
        <v>1766</v>
      </c>
      <c r="E212" s="36" t="s">
        <v>54</v>
      </c>
      <c r="F212" s="34" t="s">
        <v>1767</v>
      </c>
      <c r="G212" s="37" t="s">
        <v>73</v>
      </c>
      <c r="H212" s="37" t="s">
        <v>73</v>
      </c>
      <c r="I212" s="34" t="s">
        <v>1753</v>
      </c>
      <c r="J212" s="34" t="s">
        <v>1753</v>
      </c>
      <c r="K212" s="39" t="s">
        <v>42</v>
      </c>
      <c r="L212" s="120">
        <v>30353</v>
      </c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2" t="s">
        <v>1768</v>
      </c>
      <c r="Y212" s="58" t="s">
        <v>1769</v>
      </c>
      <c r="Z212" s="44" t="s">
        <v>1770</v>
      </c>
      <c r="AA212" s="45">
        <v>44041</v>
      </c>
      <c r="AB212" s="101" t="s">
        <v>30</v>
      </c>
      <c r="AC212" s="36" t="s">
        <v>26</v>
      </c>
      <c r="AD212" s="64" t="s">
        <v>120</v>
      </c>
      <c r="AE212" s="48" t="s">
        <v>120</v>
      </c>
      <c r="AF212" s="48" t="s">
        <v>120</v>
      </c>
      <c r="AG212" s="48" t="s">
        <v>120</v>
      </c>
      <c r="AH212" s="48" t="s">
        <v>120</v>
      </c>
      <c r="AI212" s="48" t="s">
        <v>120</v>
      </c>
      <c r="AJ212" s="49" t="s">
        <v>41</v>
      </c>
      <c r="AK212" s="48" t="s">
        <v>41</v>
      </c>
      <c r="AL212" s="62" t="s">
        <v>276</v>
      </c>
      <c r="AM212" s="59"/>
      <c r="AN212" s="10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1"/>
    </row>
    <row r="213" spans="1:51" x14ac:dyDescent="0.2">
      <c r="A213" s="33">
        <f t="shared" si="4"/>
        <v>208</v>
      </c>
      <c r="B213" s="34" t="s">
        <v>1771</v>
      </c>
      <c r="C213" s="35" t="s">
        <v>1772</v>
      </c>
      <c r="D213" s="36" t="s">
        <v>1773</v>
      </c>
      <c r="E213" s="36" t="s">
        <v>54</v>
      </c>
      <c r="F213" s="34" t="s">
        <v>1774</v>
      </c>
      <c r="G213" s="37" t="s">
        <v>360</v>
      </c>
      <c r="H213" s="37" t="s">
        <v>350</v>
      </c>
      <c r="I213" s="34" t="s">
        <v>1775</v>
      </c>
      <c r="J213" s="34" t="s">
        <v>41</v>
      </c>
      <c r="K213" s="39" t="s">
        <v>42</v>
      </c>
      <c r="L213" s="158" t="s">
        <v>1776</v>
      </c>
      <c r="M213" s="41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42" t="s">
        <v>1777</v>
      </c>
      <c r="Y213" s="52" t="s">
        <v>1778</v>
      </c>
      <c r="Z213" s="44" t="s">
        <v>61</v>
      </c>
      <c r="AA213" s="45">
        <v>40815</v>
      </c>
      <c r="AB213" s="101" t="s">
        <v>30</v>
      </c>
      <c r="AC213" s="36" t="s">
        <v>26</v>
      </c>
      <c r="AD213" s="47" t="s">
        <v>49</v>
      </c>
      <c r="AE213" s="48" t="s">
        <v>49</v>
      </c>
      <c r="AF213" s="48" t="s">
        <v>49</v>
      </c>
      <c r="AG213" s="48" t="s">
        <v>49</v>
      </c>
      <c r="AH213" s="48" t="s">
        <v>49</v>
      </c>
      <c r="AI213" s="48" t="s">
        <v>49</v>
      </c>
      <c r="AJ213" s="49" t="s">
        <v>49</v>
      </c>
      <c r="AK213" s="48" t="s">
        <v>41</v>
      </c>
      <c r="AL213" s="65" t="s">
        <v>148</v>
      </c>
      <c r="AM213" s="59"/>
      <c r="AN213" s="10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1"/>
    </row>
    <row r="214" spans="1:51" x14ac:dyDescent="0.2">
      <c r="A214" s="33">
        <f t="shared" si="4"/>
        <v>209</v>
      </c>
      <c r="B214" s="34" t="s">
        <v>1779</v>
      </c>
      <c r="C214" s="35" t="s">
        <v>1780</v>
      </c>
      <c r="D214" s="36" t="s">
        <v>1781</v>
      </c>
      <c r="E214" s="36" t="s">
        <v>36</v>
      </c>
      <c r="F214" s="34" t="s">
        <v>1782</v>
      </c>
      <c r="G214" s="37" t="s">
        <v>38</v>
      </c>
      <c r="H214" s="37" t="s">
        <v>39</v>
      </c>
      <c r="I214" s="38" t="s">
        <v>1783</v>
      </c>
      <c r="J214" s="34" t="s">
        <v>41</v>
      </c>
      <c r="K214" s="39" t="s">
        <v>42</v>
      </c>
      <c r="L214" s="99" t="s">
        <v>1650</v>
      </c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42" t="s">
        <v>1784</v>
      </c>
      <c r="Y214" s="52" t="s">
        <v>1785</v>
      </c>
      <c r="Z214" s="44" t="s">
        <v>1786</v>
      </c>
      <c r="AA214" s="45">
        <v>43200</v>
      </c>
      <c r="AB214" s="101" t="s">
        <v>30</v>
      </c>
      <c r="AC214" s="36" t="s">
        <v>26</v>
      </c>
      <c r="AD214" s="47" t="s">
        <v>49</v>
      </c>
      <c r="AE214" s="48" t="s">
        <v>49</v>
      </c>
      <c r="AF214" s="48" t="s">
        <v>49</v>
      </c>
      <c r="AG214" s="48" t="s">
        <v>49</v>
      </c>
      <c r="AH214" s="48" t="s">
        <v>49</v>
      </c>
      <c r="AI214" s="48" t="s">
        <v>49</v>
      </c>
      <c r="AJ214" s="49" t="s">
        <v>49</v>
      </c>
      <c r="AK214" s="48" t="s">
        <v>49</v>
      </c>
      <c r="AL214" s="65" t="s">
        <v>32</v>
      </c>
      <c r="AM214" s="59"/>
      <c r="AN214" s="10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1"/>
    </row>
    <row r="215" spans="1:51" x14ac:dyDescent="0.2">
      <c r="A215" s="33">
        <f t="shared" si="4"/>
        <v>210</v>
      </c>
      <c r="B215" s="34" t="s">
        <v>1787</v>
      </c>
      <c r="C215" s="35" t="s">
        <v>1788</v>
      </c>
      <c r="D215" s="36" t="s">
        <v>1789</v>
      </c>
      <c r="E215" s="36" t="s">
        <v>54</v>
      </c>
      <c r="F215" s="34" t="s">
        <v>1790</v>
      </c>
      <c r="G215" s="37" t="s">
        <v>73</v>
      </c>
      <c r="H215" s="37" t="s">
        <v>73</v>
      </c>
      <c r="I215" s="34" t="s">
        <v>1791</v>
      </c>
      <c r="J215" s="34" t="s">
        <v>41</v>
      </c>
      <c r="K215" s="39" t="s">
        <v>42</v>
      </c>
      <c r="L215" s="99" t="s">
        <v>1650</v>
      </c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42" t="s">
        <v>1792</v>
      </c>
      <c r="Y215" s="100" t="s">
        <v>1793</v>
      </c>
      <c r="Z215" s="44" t="s">
        <v>61</v>
      </c>
      <c r="AA215" s="45">
        <v>37208</v>
      </c>
      <c r="AB215" s="101" t="s">
        <v>30</v>
      </c>
      <c r="AC215" s="36" t="s">
        <v>26</v>
      </c>
      <c r="AD215" s="47" t="s">
        <v>49</v>
      </c>
      <c r="AE215" s="48" t="s">
        <v>49</v>
      </c>
      <c r="AF215" s="48" t="s">
        <v>41</v>
      </c>
      <c r="AG215" s="48" t="s">
        <v>41</v>
      </c>
      <c r="AH215" s="48" t="s">
        <v>41</v>
      </c>
      <c r="AI215" s="48" t="s">
        <v>41</v>
      </c>
      <c r="AJ215" s="49" t="s">
        <v>41</v>
      </c>
      <c r="AK215" s="48" t="s">
        <v>41</v>
      </c>
      <c r="AL215" s="62" t="s">
        <v>4587</v>
      </c>
      <c r="AM215" s="59"/>
      <c r="AN215" s="10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1"/>
    </row>
    <row r="216" spans="1:51" x14ac:dyDescent="0.2">
      <c r="A216" s="33">
        <f t="shared" si="4"/>
        <v>211</v>
      </c>
      <c r="B216" s="34" t="s">
        <v>1794</v>
      </c>
      <c r="C216" s="35" t="s">
        <v>1795</v>
      </c>
      <c r="D216" s="36" t="s">
        <v>1796</v>
      </c>
      <c r="E216" s="36" t="s">
        <v>54</v>
      </c>
      <c r="F216" s="87" t="s">
        <v>1797</v>
      </c>
      <c r="G216" s="37" t="s">
        <v>39</v>
      </c>
      <c r="H216" s="37" t="s">
        <v>39</v>
      </c>
      <c r="I216" s="38" t="s">
        <v>1798</v>
      </c>
      <c r="J216" s="34" t="s">
        <v>41</v>
      </c>
      <c r="K216" s="39" t="s">
        <v>42</v>
      </c>
      <c r="L216" s="158" t="s">
        <v>1799</v>
      </c>
      <c r="M216" s="56"/>
      <c r="N216" s="56"/>
      <c r="O216" s="56"/>
      <c r="P216" s="56"/>
      <c r="Q216" s="56"/>
      <c r="R216" s="56"/>
      <c r="S216" s="56"/>
      <c r="T216" s="56"/>
      <c r="U216" s="56"/>
      <c r="V216" s="56" t="s">
        <v>732</v>
      </c>
      <c r="W216" s="56"/>
      <c r="X216" s="42" t="s">
        <v>1800</v>
      </c>
      <c r="Y216" s="69" t="s">
        <v>1801</v>
      </c>
      <c r="Z216" s="44"/>
      <c r="AA216" s="45"/>
      <c r="AB216" s="101"/>
      <c r="AC216" s="36" t="s">
        <v>26</v>
      </c>
      <c r="AD216" s="47" t="s">
        <v>49</v>
      </c>
      <c r="AE216" s="48" t="s">
        <v>49</v>
      </c>
      <c r="AF216" s="48" t="s">
        <v>49</v>
      </c>
      <c r="AG216" s="48" t="s">
        <v>49</v>
      </c>
      <c r="AH216" s="48" t="s">
        <v>49</v>
      </c>
      <c r="AI216" s="48" t="s">
        <v>49</v>
      </c>
      <c r="AJ216" s="49" t="s">
        <v>49</v>
      </c>
      <c r="AK216" s="48" t="s">
        <v>49</v>
      </c>
      <c r="AL216" s="65" t="s">
        <v>32</v>
      </c>
      <c r="AM216" s="59"/>
      <c r="AN216" s="10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1"/>
    </row>
    <row r="217" spans="1:51" x14ac:dyDescent="0.2">
      <c r="A217" s="33">
        <f t="shared" si="4"/>
        <v>212</v>
      </c>
      <c r="B217" s="34" t="s">
        <v>1802</v>
      </c>
      <c r="C217" s="35" t="s">
        <v>1803</v>
      </c>
      <c r="D217" s="36" t="s">
        <v>1804</v>
      </c>
      <c r="E217" s="36" t="s">
        <v>54</v>
      </c>
      <c r="F217" s="200" t="s">
        <v>1805</v>
      </c>
      <c r="G217" s="37" t="s">
        <v>528</v>
      </c>
      <c r="H217" s="37" t="s">
        <v>57</v>
      </c>
      <c r="I217" s="201" t="s">
        <v>1806</v>
      </c>
      <c r="J217" s="34" t="s">
        <v>41</v>
      </c>
      <c r="K217" s="39" t="s">
        <v>42</v>
      </c>
      <c r="L217" s="158" t="s">
        <v>1006</v>
      </c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2" t="s">
        <v>1807</v>
      </c>
      <c r="Y217" s="58" t="s">
        <v>1808</v>
      </c>
      <c r="Z217" s="44" t="s">
        <v>1809</v>
      </c>
      <c r="AA217" s="45">
        <v>43200</v>
      </c>
      <c r="AB217" s="101" t="s">
        <v>30</v>
      </c>
      <c r="AC217" s="36" t="s">
        <v>26</v>
      </c>
      <c r="AD217" s="47" t="s">
        <v>49</v>
      </c>
      <c r="AE217" s="48" t="s">
        <v>49</v>
      </c>
      <c r="AF217" s="48" t="s">
        <v>49</v>
      </c>
      <c r="AG217" s="48" t="s">
        <v>49</v>
      </c>
      <c r="AH217" s="48" t="s">
        <v>49</v>
      </c>
      <c r="AI217" s="48" t="s">
        <v>49</v>
      </c>
      <c r="AJ217" s="49" t="s">
        <v>41</v>
      </c>
      <c r="AK217" s="48" t="s">
        <v>41</v>
      </c>
      <c r="AL217" s="62" t="s">
        <v>276</v>
      </c>
      <c r="AM217" s="59"/>
      <c r="AN217" s="10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1"/>
    </row>
    <row r="218" spans="1:51" x14ac:dyDescent="0.2">
      <c r="A218" s="33">
        <f t="shared" si="4"/>
        <v>213</v>
      </c>
      <c r="B218" s="34" t="s">
        <v>1810</v>
      </c>
      <c r="C218" s="35" t="s">
        <v>1811</v>
      </c>
      <c r="D218" s="89" t="s">
        <v>1812</v>
      </c>
      <c r="E218" s="36" t="s">
        <v>36</v>
      </c>
      <c r="F218" s="200" t="s">
        <v>1813</v>
      </c>
      <c r="G218" s="37" t="s">
        <v>252</v>
      </c>
      <c r="H218" s="37" t="s">
        <v>57</v>
      </c>
      <c r="I218" s="201" t="s">
        <v>1814</v>
      </c>
      <c r="J218" s="34"/>
      <c r="K218" s="39" t="s">
        <v>42</v>
      </c>
      <c r="L218" s="158" t="s">
        <v>1815</v>
      </c>
      <c r="M218" s="41"/>
      <c r="N218" s="41"/>
      <c r="O218" s="41"/>
      <c r="P218" s="41"/>
      <c r="Q218" s="41"/>
      <c r="R218" s="41"/>
      <c r="S218" s="41"/>
      <c r="T218" s="41"/>
      <c r="U218" s="41"/>
      <c r="V218" s="41" t="s">
        <v>44</v>
      </c>
      <c r="W218" s="41"/>
      <c r="X218" s="201" t="s">
        <v>1816</v>
      </c>
      <c r="Y218" s="58" t="s">
        <v>1817</v>
      </c>
      <c r="Z218" s="44"/>
      <c r="AA218" s="45"/>
      <c r="AB218" s="101"/>
      <c r="AC218" s="36"/>
      <c r="AD218" s="47" t="s">
        <v>49</v>
      </c>
      <c r="AE218" s="48" t="s">
        <v>41</v>
      </c>
      <c r="AF218" s="48" t="s">
        <v>41</v>
      </c>
      <c r="AG218" s="48" t="s">
        <v>41</v>
      </c>
      <c r="AH218" s="48" t="s">
        <v>41</v>
      </c>
      <c r="AI218" s="48" t="s">
        <v>41</v>
      </c>
      <c r="AJ218" s="49" t="s">
        <v>49</v>
      </c>
      <c r="AK218" s="48" t="s">
        <v>41</v>
      </c>
      <c r="AL218" s="65" t="s">
        <v>148</v>
      </c>
      <c r="AM218" s="59"/>
      <c r="AN218" s="10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1"/>
    </row>
    <row r="219" spans="1:51" x14ac:dyDescent="0.2">
      <c r="A219" s="33">
        <f t="shared" si="4"/>
        <v>214</v>
      </c>
      <c r="B219" s="34" t="s">
        <v>1818</v>
      </c>
      <c r="C219" s="35" t="s">
        <v>1819</v>
      </c>
      <c r="D219" s="174" t="s">
        <v>1820</v>
      </c>
      <c r="E219" s="36" t="s">
        <v>54</v>
      </c>
      <c r="F219" s="34" t="s">
        <v>1821</v>
      </c>
      <c r="G219" s="37" t="s">
        <v>39</v>
      </c>
      <c r="H219" s="37" t="s">
        <v>39</v>
      </c>
      <c r="I219" s="34" t="s">
        <v>1822</v>
      </c>
      <c r="J219" s="34" t="s">
        <v>1823</v>
      </c>
      <c r="K219" s="39" t="s">
        <v>42</v>
      </c>
      <c r="L219" s="158" t="s">
        <v>1824</v>
      </c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2" t="s">
        <v>1825</v>
      </c>
      <c r="Y219" s="58" t="s">
        <v>1826</v>
      </c>
      <c r="Z219" s="44" t="s">
        <v>1827</v>
      </c>
      <c r="AA219" s="45">
        <v>43200</v>
      </c>
      <c r="AB219" s="101" t="s">
        <v>30</v>
      </c>
      <c r="AC219" s="109"/>
      <c r="AD219" s="47" t="s">
        <v>49</v>
      </c>
      <c r="AE219" s="48" t="s">
        <v>41</v>
      </c>
      <c r="AF219" s="48" t="s">
        <v>41</v>
      </c>
      <c r="AG219" s="48" t="s">
        <v>41</v>
      </c>
      <c r="AH219" s="48" t="s">
        <v>41</v>
      </c>
      <c r="AI219" s="48" t="s">
        <v>41</v>
      </c>
      <c r="AJ219" s="49" t="s">
        <v>41</v>
      </c>
      <c r="AK219" s="48" t="s">
        <v>41</v>
      </c>
      <c r="AL219" s="65" t="s">
        <v>4590</v>
      </c>
      <c r="AM219" s="59" t="s">
        <v>1828</v>
      </c>
      <c r="AN219" s="10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1"/>
    </row>
    <row r="220" spans="1:51" x14ac:dyDescent="0.2">
      <c r="A220" s="33">
        <f t="shared" si="4"/>
        <v>215</v>
      </c>
      <c r="B220" s="34" t="s">
        <v>1829</v>
      </c>
      <c r="C220" s="35" t="s">
        <v>1830</v>
      </c>
      <c r="D220" s="36" t="s">
        <v>1831</v>
      </c>
      <c r="E220" s="36" t="s">
        <v>36</v>
      </c>
      <c r="F220" s="108" t="s">
        <v>1832</v>
      </c>
      <c r="G220" s="37" t="s">
        <v>73</v>
      </c>
      <c r="H220" s="37" t="s">
        <v>73</v>
      </c>
      <c r="I220" s="38" t="s">
        <v>1833</v>
      </c>
      <c r="J220" s="38" t="s">
        <v>1834</v>
      </c>
      <c r="K220" s="39" t="s">
        <v>42</v>
      </c>
      <c r="L220" s="99" t="s">
        <v>1835</v>
      </c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42" t="s">
        <v>1836</v>
      </c>
      <c r="Y220" s="58" t="s">
        <v>1837</v>
      </c>
      <c r="Z220" s="44" t="s">
        <v>1838</v>
      </c>
      <c r="AA220" s="45">
        <v>43200</v>
      </c>
      <c r="AB220" s="101" t="s">
        <v>30</v>
      </c>
      <c r="AC220" s="36" t="s">
        <v>26</v>
      </c>
      <c r="AD220" s="47" t="s">
        <v>49</v>
      </c>
      <c r="AE220" s="48" t="s">
        <v>49</v>
      </c>
      <c r="AF220" s="48" t="s">
        <v>41</v>
      </c>
      <c r="AG220" s="48" t="s">
        <v>41</v>
      </c>
      <c r="AH220" s="48" t="s">
        <v>41</v>
      </c>
      <c r="AI220" s="48" t="s">
        <v>41</v>
      </c>
      <c r="AJ220" s="49" t="s">
        <v>41</v>
      </c>
      <c r="AK220" s="48" t="s">
        <v>41</v>
      </c>
      <c r="AL220" s="62" t="s">
        <v>4587</v>
      </c>
      <c r="AM220" s="59"/>
      <c r="AN220" s="10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1"/>
    </row>
    <row r="221" spans="1:51" x14ac:dyDescent="0.2">
      <c r="A221" s="33">
        <f t="shared" si="4"/>
        <v>216</v>
      </c>
      <c r="B221" s="34" t="s">
        <v>1839</v>
      </c>
      <c r="C221" s="35" t="s">
        <v>1840</v>
      </c>
      <c r="D221" s="36" t="s">
        <v>1841</v>
      </c>
      <c r="E221" s="36" t="s">
        <v>36</v>
      </c>
      <c r="F221" s="108" t="s">
        <v>1842</v>
      </c>
      <c r="G221" s="37" t="s">
        <v>205</v>
      </c>
      <c r="H221" s="37" t="s">
        <v>205</v>
      </c>
      <c r="I221" s="38" t="s">
        <v>1843</v>
      </c>
      <c r="J221" s="38" t="s">
        <v>41</v>
      </c>
      <c r="K221" s="39" t="s">
        <v>42</v>
      </c>
      <c r="L221" s="120">
        <v>44658</v>
      </c>
      <c r="M221" s="56"/>
      <c r="N221" s="56"/>
      <c r="O221" s="56"/>
      <c r="P221" s="56"/>
      <c r="Q221" s="56"/>
      <c r="R221" s="56"/>
      <c r="S221" s="56" t="s">
        <v>44</v>
      </c>
      <c r="T221" s="56"/>
      <c r="U221" s="56"/>
      <c r="V221" s="56"/>
      <c r="W221" s="56"/>
      <c r="X221" s="42" t="s">
        <v>1844</v>
      </c>
      <c r="Y221" s="58" t="s">
        <v>1845</v>
      </c>
      <c r="Z221" s="44" t="s">
        <v>1846</v>
      </c>
      <c r="AA221" s="45">
        <v>44944</v>
      </c>
      <c r="AB221" s="101" t="s">
        <v>30</v>
      </c>
      <c r="AC221" s="36"/>
      <c r="AD221" s="47" t="s">
        <v>49</v>
      </c>
      <c r="AE221" s="48" t="s">
        <v>41</v>
      </c>
      <c r="AF221" s="48" t="s">
        <v>41</v>
      </c>
      <c r="AG221" s="48" t="s">
        <v>49</v>
      </c>
      <c r="AH221" s="48" t="s">
        <v>49</v>
      </c>
      <c r="AI221" s="48" t="s">
        <v>49</v>
      </c>
      <c r="AJ221" s="49" t="s">
        <v>49</v>
      </c>
      <c r="AK221" s="48" t="s">
        <v>49</v>
      </c>
      <c r="AL221" s="62" t="s">
        <v>32</v>
      </c>
      <c r="AM221" s="59"/>
      <c r="AN221" s="10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1"/>
    </row>
    <row r="222" spans="1:51" x14ac:dyDescent="0.2">
      <c r="A222" s="33">
        <f t="shared" si="4"/>
        <v>217</v>
      </c>
      <c r="B222" s="108" t="s">
        <v>1847</v>
      </c>
      <c r="C222" s="35" t="s">
        <v>1848</v>
      </c>
      <c r="D222" s="174" t="s">
        <v>1849</v>
      </c>
      <c r="E222" s="36" t="s">
        <v>54</v>
      </c>
      <c r="F222" s="108" t="s">
        <v>1850</v>
      </c>
      <c r="G222" s="37" t="s">
        <v>73</v>
      </c>
      <c r="H222" s="37" t="s">
        <v>73</v>
      </c>
      <c r="I222" s="108" t="s">
        <v>1851</v>
      </c>
      <c r="J222" s="108" t="s">
        <v>1851</v>
      </c>
      <c r="K222" s="39" t="s">
        <v>42</v>
      </c>
      <c r="L222" s="158" t="s">
        <v>1852</v>
      </c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2" t="s">
        <v>1853</v>
      </c>
      <c r="Y222" s="58" t="s">
        <v>1854</v>
      </c>
      <c r="Z222" s="44" t="s">
        <v>1855</v>
      </c>
      <c r="AA222" s="45">
        <v>42935</v>
      </c>
      <c r="AB222" s="101" t="s">
        <v>30</v>
      </c>
      <c r="AC222" s="109" t="s">
        <v>26</v>
      </c>
      <c r="AD222" s="61" t="s">
        <v>49</v>
      </c>
      <c r="AE222" s="48" t="s">
        <v>49</v>
      </c>
      <c r="AF222" s="48" t="s">
        <v>49</v>
      </c>
      <c r="AG222" s="48" t="s">
        <v>49</v>
      </c>
      <c r="AH222" s="48" t="s">
        <v>49</v>
      </c>
      <c r="AI222" s="48" t="s">
        <v>41</v>
      </c>
      <c r="AJ222" s="49" t="s">
        <v>41</v>
      </c>
      <c r="AK222" s="48" t="s">
        <v>41</v>
      </c>
      <c r="AL222" s="62" t="s">
        <v>4589</v>
      </c>
      <c r="AM222" s="59"/>
      <c r="AN222" s="10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1"/>
    </row>
    <row r="223" spans="1:51" x14ac:dyDescent="0.2">
      <c r="A223" s="33">
        <f t="shared" si="4"/>
        <v>218</v>
      </c>
      <c r="B223" s="34" t="s">
        <v>1856</v>
      </c>
      <c r="C223" s="35" t="s">
        <v>1857</v>
      </c>
      <c r="D223" s="202" t="s">
        <v>1858</v>
      </c>
      <c r="E223" s="36" t="s">
        <v>54</v>
      </c>
      <c r="F223" s="87" t="s">
        <v>1859</v>
      </c>
      <c r="G223" s="37" t="s">
        <v>73</v>
      </c>
      <c r="H223" s="37" t="s">
        <v>73</v>
      </c>
      <c r="I223" s="107" t="s">
        <v>1860</v>
      </c>
      <c r="J223" s="34" t="s">
        <v>1861</v>
      </c>
      <c r="K223" s="39" t="s">
        <v>42</v>
      </c>
      <c r="L223" s="158" t="s">
        <v>1862</v>
      </c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2" t="s">
        <v>1863</v>
      </c>
      <c r="Y223" s="52" t="s">
        <v>1864</v>
      </c>
      <c r="Z223" s="44" t="s">
        <v>61</v>
      </c>
      <c r="AA223" s="45">
        <v>41793</v>
      </c>
      <c r="AB223" s="101" t="s">
        <v>30</v>
      </c>
      <c r="AC223" s="36" t="s">
        <v>26</v>
      </c>
      <c r="AD223" s="61" t="s">
        <v>49</v>
      </c>
      <c r="AE223" s="48" t="s">
        <v>49</v>
      </c>
      <c r="AF223" s="48" t="s">
        <v>49</v>
      </c>
      <c r="AG223" s="48" t="s">
        <v>49</v>
      </c>
      <c r="AH223" s="48" t="s">
        <v>49</v>
      </c>
      <c r="AI223" s="48" t="s">
        <v>49</v>
      </c>
      <c r="AJ223" s="49" t="s">
        <v>49</v>
      </c>
      <c r="AK223" s="48" t="s">
        <v>49</v>
      </c>
      <c r="AL223" s="65" t="s">
        <v>32</v>
      </c>
      <c r="AM223" s="59"/>
      <c r="AN223" s="10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1"/>
    </row>
    <row r="224" spans="1:51" x14ac:dyDescent="0.2">
      <c r="A224" s="33">
        <f t="shared" si="4"/>
        <v>219</v>
      </c>
      <c r="B224" s="34" t="s">
        <v>1865</v>
      </c>
      <c r="C224" s="35" t="s">
        <v>1866</v>
      </c>
      <c r="D224" s="104" t="s">
        <v>1867</v>
      </c>
      <c r="E224" s="36" t="s">
        <v>54</v>
      </c>
      <c r="F224" s="34" t="s">
        <v>1868</v>
      </c>
      <c r="G224" s="37" t="s">
        <v>73</v>
      </c>
      <c r="H224" s="37" t="s">
        <v>73</v>
      </c>
      <c r="I224" s="34" t="s">
        <v>1860</v>
      </c>
      <c r="J224" s="34" t="s">
        <v>1861</v>
      </c>
      <c r="K224" s="39" t="s">
        <v>42</v>
      </c>
      <c r="L224" s="99" t="s">
        <v>1869</v>
      </c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2" t="s">
        <v>1870</v>
      </c>
      <c r="Y224" s="52" t="s">
        <v>1871</v>
      </c>
      <c r="Z224" s="44" t="s">
        <v>1872</v>
      </c>
      <c r="AA224" s="45">
        <v>40876</v>
      </c>
      <c r="AB224" s="101" t="s">
        <v>30</v>
      </c>
      <c r="AC224" s="36" t="s">
        <v>26</v>
      </c>
      <c r="AD224" s="47" t="s">
        <v>49</v>
      </c>
      <c r="AE224" s="48" t="s">
        <v>49</v>
      </c>
      <c r="AF224" s="48" t="s">
        <v>49</v>
      </c>
      <c r="AG224" s="48" t="s">
        <v>49</v>
      </c>
      <c r="AH224" s="48" t="s">
        <v>49</v>
      </c>
      <c r="AI224" s="48" t="s">
        <v>49</v>
      </c>
      <c r="AJ224" s="49" t="s">
        <v>49</v>
      </c>
      <c r="AK224" s="48" t="s">
        <v>49</v>
      </c>
      <c r="AL224" s="65" t="s">
        <v>32</v>
      </c>
      <c r="AM224" s="59"/>
      <c r="AN224" s="10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1"/>
    </row>
    <row r="225" spans="1:51" x14ac:dyDescent="0.2">
      <c r="A225" s="33">
        <f t="shared" si="4"/>
        <v>220</v>
      </c>
      <c r="B225" s="34" t="s">
        <v>1873</v>
      </c>
      <c r="C225" s="35" t="s">
        <v>1874</v>
      </c>
      <c r="D225" s="174" t="s">
        <v>1875</v>
      </c>
      <c r="E225" s="36" t="s">
        <v>54</v>
      </c>
      <c r="F225" s="34" t="s">
        <v>1876</v>
      </c>
      <c r="G225" s="37" t="s">
        <v>73</v>
      </c>
      <c r="H225" s="37" t="s">
        <v>73</v>
      </c>
      <c r="I225" s="34" t="s">
        <v>1679</v>
      </c>
      <c r="J225" s="34" t="s">
        <v>1877</v>
      </c>
      <c r="K225" s="39" t="s">
        <v>42</v>
      </c>
      <c r="L225" s="120">
        <v>34984</v>
      </c>
      <c r="M225" s="56"/>
      <c r="N225" s="56"/>
      <c r="O225" s="56"/>
      <c r="P225" s="56"/>
      <c r="Q225" s="56"/>
      <c r="R225" s="56"/>
      <c r="S225" s="56"/>
      <c r="T225" s="56"/>
      <c r="U225" s="56" t="s">
        <v>732</v>
      </c>
      <c r="V225" s="56"/>
      <c r="W225" s="56"/>
      <c r="X225" s="42" t="s">
        <v>1879</v>
      </c>
      <c r="Y225" s="58" t="s">
        <v>1880</v>
      </c>
      <c r="Z225" s="44"/>
      <c r="AA225" s="45"/>
      <c r="AB225" s="101"/>
      <c r="AC225" s="36" t="s">
        <v>26</v>
      </c>
      <c r="AD225" s="47" t="s">
        <v>49</v>
      </c>
      <c r="AE225" s="48" t="s">
        <v>49</v>
      </c>
      <c r="AF225" s="48" t="s">
        <v>49</v>
      </c>
      <c r="AG225" s="48" t="s">
        <v>49</v>
      </c>
      <c r="AH225" s="48" t="s">
        <v>49</v>
      </c>
      <c r="AI225" s="48" t="s">
        <v>49</v>
      </c>
      <c r="AJ225" s="49" t="s">
        <v>49</v>
      </c>
      <c r="AK225" s="48" t="s">
        <v>49</v>
      </c>
      <c r="AL225" s="65" t="s">
        <v>32</v>
      </c>
      <c r="AM225" s="59"/>
      <c r="AN225" s="10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1"/>
    </row>
    <row r="226" spans="1:51" x14ac:dyDescent="0.2">
      <c r="A226" s="33">
        <f t="shared" si="4"/>
        <v>221</v>
      </c>
      <c r="B226" s="34" t="s">
        <v>1881</v>
      </c>
      <c r="C226" s="35" t="s">
        <v>1882</v>
      </c>
      <c r="D226" s="174" t="s">
        <v>1883</v>
      </c>
      <c r="E226" s="36" t="s">
        <v>54</v>
      </c>
      <c r="F226" s="34" t="s">
        <v>1884</v>
      </c>
      <c r="G226" s="37" t="s">
        <v>73</v>
      </c>
      <c r="H226" s="37" t="s">
        <v>73</v>
      </c>
      <c r="I226" s="38" t="s">
        <v>1885</v>
      </c>
      <c r="J226" s="34" t="s">
        <v>1886</v>
      </c>
      <c r="K226" s="39" t="s">
        <v>42</v>
      </c>
      <c r="L226" s="120" t="s">
        <v>1887</v>
      </c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42" t="s">
        <v>1888</v>
      </c>
      <c r="Y226" s="58" t="s">
        <v>1889</v>
      </c>
      <c r="Z226" s="44" t="s">
        <v>1890</v>
      </c>
      <c r="AA226" s="45">
        <v>44041</v>
      </c>
      <c r="AB226" s="101" t="s">
        <v>30</v>
      </c>
      <c r="AC226" s="36" t="s">
        <v>26</v>
      </c>
      <c r="AD226" s="47" t="s">
        <v>49</v>
      </c>
      <c r="AE226" s="48" t="s">
        <v>49</v>
      </c>
      <c r="AF226" s="48" t="s">
        <v>49</v>
      </c>
      <c r="AG226" s="48" t="s">
        <v>49</v>
      </c>
      <c r="AH226" s="48" t="s">
        <v>49</v>
      </c>
      <c r="AI226" s="48" t="s">
        <v>49</v>
      </c>
      <c r="AJ226" s="49" t="s">
        <v>49</v>
      </c>
      <c r="AK226" s="48" t="s">
        <v>41</v>
      </c>
      <c r="AL226" s="65" t="s">
        <v>148</v>
      </c>
      <c r="AM226" s="59"/>
      <c r="AN226" s="10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1"/>
    </row>
    <row r="227" spans="1:51" x14ac:dyDescent="0.2">
      <c r="A227" s="33">
        <f t="shared" si="4"/>
        <v>222</v>
      </c>
      <c r="B227" s="72" t="s">
        <v>1891</v>
      </c>
      <c r="C227" s="35" t="s">
        <v>1892</v>
      </c>
      <c r="D227" s="36" t="s">
        <v>1893</v>
      </c>
      <c r="E227" s="36" t="s">
        <v>54</v>
      </c>
      <c r="F227" s="72" t="s">
        <v>1894</v>
      </c>
      <c r="G227" s="75" t="s">
        <v>252</v>
      </c>
      <c r="H227" s="75" t="s">
        <v>57</v>
      </c>
      <c r="I227" s="72" t="s">
        <v>1895</v>
      </c>
      <c r="J227" s="72" t="s">
        <v>41</v>
      </c>
      <c r="K227" s="77" t="s">
        <v>42</v>
      </c>
      <c r="L227" s="203" t="s">
        <v>556</v>
      </c>
      <c r="M227" s="156"/>
      <c r="N227" s="204"/>
      <c r="O227" s="205"/>
      <c r="P227" s="204"/>
      <c r="Q227" s="205"/>
      <c r="R227" s="205"/>
      <c r="S227" s="205"/>
      <c r="T227" s="156"/>
      <c r="U227" s="156" t="s">
        <v>732</v>
      </c>
      <c r="V227" s="156"/>
      <c r="W227" s="156"/>
      <c r="X227" s="42" t="s">
        <v>1896</v>
      </c>
      <c r="Y227" s="52" t="s">
        <v>1897</v>
      </c>
      <c r="Z227" s="44"/>
      <c r="AA227" s="45"/>
      <c r="AB227" s="206"/>
      <c r="AC227" s="154" t="s">
        <v>26</v>
      </c>
      <c r="AD227" s="81" t="s">
        <v>49</v>
      </c>
      <c r="AE227" s="48" t="s">
        <v>49</v>
      </c>
      <c r="AF227" s="48" t="s">
        <v>49</v>
      </c>
      <c r="AG227" s="48" t="s">
        <v>49</v>
      </c>
      <c r="AH227" s="48" t="s">
        <v>49</v>
      </c>
      <c r="AI227" s="48" t="s">
        <v>49</v>
      </c>
      <c r="AJ227" s="49" t="s">
        <v>49</v>
      </c>
      <c r="AK227" s="48" t="s">
        <v>41</v>
      </c>
      <c r="AL227" s="62" t="s">
        <v>148</v>
      </c>
      <c r="AM227" s="59"/>
      <c r="AN227" s="10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1"/>
    </row>
    <row r="228" spans="1:51" x14ac:dyDescent="0.2">
      <c r="A228" s="33">
        <f t="shared" si="4"/>
        <v>223</v>
      </c>
      <c r="B228" s="34" t="s">
        <v>1898</v>
      </c>
      <c r="C228" s="35" t="s">
        <v>1899</v>
      </c>
      <c r="D228" s="36" t="s">
        <v>1900</v>
      </c>
      <c r="E228" s="36" t="s">
        <v>54</v>
      </c>
      <c r="F228" s="34" t="s">
        <v>1901</v>
      </c>
      <c r="G228" s="37" t="s">
        <v>205</v>
      </c>
      <c r="H228" s="37" t="s">
        <v>205</v>
      </c>
      <c r="I228" s="34" t="s">
        <v>1902</v>
      </c>
      <c r="J228" s="34" t="s">
        <v>1903</v>
      </c>
      <c r="K228" s="39" t="s">
        <v>42</v>
      </c>
      <c r="L228" s="120">
        <v>34761</v>
      </c>
      <c r="M228" s="41"/>
      <c r="N228" s="177"/>
      <c r="O228" s="112"/>
      <c r="P228" s="177"/>
      <c r="Q228" s="112"/>
      <c r="R228" s="112"/>
      <c r="S228" s="112"/>
      <c r="T228" s="41"/>
      <c r="U228" s="41"/>
      <c r="V228" s="41"/>
      <c r="W228" s="41"/>
      <c r="X228" s="42" t="s">
        <v>1904</v>
      </c>
      <c r="Y228" s="43" t="s">
        <v>1905</v>
      </c>
      <c r="Z228" s="44" t="s">
        <v>61</v>
      </c>
      <c r="AA228" s="45">
        <v>36641</v>
      </c>
      <c r="AB228" s="101" t="s">
        <v>30</v>
      </c>
      <c r="AC228" s="36" t="s">
        <v>26</v>
      </c>
      <c r="AD228" s="47" t="s">
        <v>49</v>
      </c>
      <c r="AE228" s="48" t="s">
        <v>49</v>
      </c>
      <c r="AF228" s="48" t="s">
        <v>49</v>
      </c>
      <c r="AG228" s="48" t="s">
        <v>49</v>
      </c>
      <c r="AH228" s="48" t="s">
        <v>49</v>
      </c>
      <c r="AI228" s="48" t="s">
        <v>41</v>
      </c>
      <c r="AJ228" s="49" t="s">
        <v>41</v>
      </c>
      <c r="AK228" s="48" t="s">
        <v>41</v>
      </c>
      <c r="AL228" s="62" t="s">
        <v>4589</v>
      </c>
      <c r="AM228" s="59"/>
      <c r="AN228" s="10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1"/>
    </row>
    <row r="229" spans="1:51" x14ac:dyDescent="0.2">
      <c r="A229" s="33">
        <f t="shared" si="4"/>
        <v>224</v>
      </c>
      <c r="B229" s="34" t="s">
        <v>1906</v>
      </c>
      <c r="C229" s="35" t="s">
        <v>1907</v>
      </c>
      <c r="D229" s="36" t="s">
        <v>1908</v>
      </c>
      <c r="E229" s="36" t="s">
        <v>54</v>
      </c>
      <c r="F229" s="34" t="s">
        <v>1909</v>
      </c>
      <c r="G229" s="37" t="s">
        <v>205</v>
      </c>
      <c r="H229" s="37" t="s">
        <v>205</v>
      </c>
      <c r="I229" s="34" t="s">
        <v>1910</v>
      </c>
      <c r="J229" s="34" t="s">
        <v>41</v>
      </c>
      <c r="K229" s="39" t="s">
        <v>42</v>
      </c>
      <c r="L229" s="120">
        <v>33428</v>
      </c>
      <c r="M229" s="56"/>
      <c r="N229" s="114"/>
      <c r="O229" s="115"/>
      <c r="P229" s="114"/>
      <c r="Q229" s="115"/>
      <c r="R229" s="115"/>
      <c r="S229" s="115"/>
      <c r="T229" s="56"/>
      <c r="U229" s="56"/>
      <c r="V229" s="56"/>
      <c r="W229" s="56"/>
      <c r="X229" s="42" t="s">
        <v>1911</v>
      </c>
      <c r="Y229" s="43" t="s">
        <v>1912</v>
      </c>
      <c r="Z229" s="119" t="s">
        <v>61</v>
      </c>
      <c r="AA229" s="45">
        <v>36641</v>
      </c>
      <c r="AB229" s="101" t="s">
        <v>30</v>
      </c>
      <c r="AC229" s="36" t="s">
        <v>26</v>
      </c>
      <c r="AD229" s="47" t="s">
        <v>49</v>
      </c>
      <c r="AE229" s="48" t="s">
        <v>49</v>
      </c>
      <c r="AF229" s="48" t="s">
        <v>49</v>
      </c>
      <c r="AG229" s="48" t="s">
        <v>49</v>
      </c>
      <c r="AH229" s="48" t="s">
        <v>41</v>
      </c>
      <c r="AI229" s="48" t="s">
        <v>41</v>
      </c>
      <c r="AJ229" s="49" t="s">
        <v>41</v>
      </c>
      <c r="AK229" s="48" t="s">
        <v>41</v>
      </c>
      <c r="AL229" s="62" t="s">
        <v>139</v>
      </c>
      <c r="AM229" s="59"/>
      <c r="AN229" s="10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1"/>
    </row>
    <row r="230" spans="1:51" ht="18" customHeight="1" x14ac:dyDescent="0.2">
      <c r="A230" s="33">
        <f t="shared" si="4"/>
        <v>225</v>
      </c>
      <c r="B230" s="107" t="s">
        <v>1913</v>
      </c>
      <c r="C230" s="35" t="s">
        <v>1914</v>
      </c>
      <c r="D230" s="36" t="s">
        <v>1915</v>
      </c>
      <c r="E230" s="36" t="s">
        <v>54</v>
      </c>
      <c r="F230" s="34" t="s">
        <v>1916</v>
      </c>
      <c r="G230" s="37" t="s">
        <v>73</v>
      </c>
      <c r="H230" s="37" t="s">
        <v>73</v>
      </c>
      <c r="I230" s="183" t="s">
        <v>1917</v>
      </c>
      <c r="J230" s="34" t="s">
        <v>41</v>
      </c>
      <c r="K230" s="39" t="s">
        <v>42</v>
      </c>
      <c r="L230" s="120">
        <v>44447</v>
      </c>
      <c r="M230" s="56"/>
      <c r="N230" s="186"/>
      <c r="O230" s="115"/>
      <c r="P230" s="186"/>
      <c r="Q230" s="115"/>
      <c r="R230" s="115" t="s">
        <v>44</v>
      </c>
      <c r="S230" s="115"/>
      <c r="T230" s="56"/>
      <c r="U230" s="56"/>
      <c r="V230" s="56"/>
      <c r="W230" s="56"/>
      <c r="X230" s="42" t="s">
        <v>1918</v>
      </c>
      <c r="Y230" s="43" t="s">
        <v>1919</v>
      </c>
      <c r="Z230" s="207" t="s">
        <v>1920</v>
      </c>
      <c r="AA230" s="45">
        <v>44944</v>
      </c>
      <c r="AB230" s="101" t="s">
        <v>30</v>
      </c>
      <c r="AC230" s="36"/>
      <c r="AD230" s="47" t="s">
        <v>49</v>
      </c>
      <c r="AE230" s="48" t="s">
        <v>41</v>
      </c>
      <c r="AF230" s="48" t="s">
        <v>49</v>
      </c>
      <c r="AG230" s="48" t="s">
        <v>49</v>
      </c>
      <c r="AH230" s="48" t="s">
        <v>49</v>
      </c>
      <c r="AI230" s="48" t="s">
        <v>41</v>
      </c>
      <c r="AJ230" s="49" t="s">
        <v>41</v>
      </c>
      <c r="AK230" s="48" t="s">
        <v>41</v>
      </c>
      <c r="AL230" s="62" t="s">
        <v>4589</v>
      </c>
      <c r="AM230" s="59"/>
      <c r="AN230" s="10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1"/>
    </row>
    <row r="231" spans="1:51" x14ac:dyDescent="0.2">
      <c r="A231" s="33">
        <f t="shared" si="4"/>
        <v>226</v>
      </c>
      <c r="B231" s="34" t="s">
        <v>1921</v>
      </c>
      <c r="C231" s="35" t="s">
        <v>1922</v>
      </c>
      <c r="D231" s="36" t="s">
        <v>1923</v>
      </c>
      <c r="E231" s="36" t="s">
        <v>54</v>
      </c>
      <c r="F231" s="34" t="s">
        <v>1924</v>
      </c>
      <c r="G231" s="37" t="s">
        <v>176</v>
      </c>
      <c r="H231" s="37" t="s">
        <v>39</v>
      </c>
      <c r="I231" s="38" t="s">
        <v>1925</v>
      </c>
      <c r="J231" s="34" t="s">
        <v>41</v>
      </c>
      <c r="K231" s="39" t="s">
        <v>42</v>
      </c>
      <c r="L231" s="120">
        <v>45803</v>
      </c>
      <c r="M231" s="56" t="s">
        <v>179</v>
      </c>
      <c r="N231" s="147" t="s">
        <v>179</v>
      </c>
      <c r="O231" s="115"/>
      <c r="P231" s="56"/>
      <c r="Q231" s="115" t="s">
        <v>179</v>
      </c>
      <c r="R231" s="115"/>
      <c r="S231" s="115"/>
      <c r="T231" s="56"/>
      <c r="U231" s="56"/>
      <c r="V231" s="56" t="s">
        <v>44</v>
      </c>
      <c r="W231" s="56"/>
      <c r="X231" s="38" t="s">
        <v>1926</v>
      </c>
      <c r="Y231" s="55" t="s">
        <v>1927</v>
      </c>
      <c r="Z231" s="207"/>
      <c r="AA231" s="45"/>
      <c r="AB231" s="101"/>
      <c r="AC231" s="36"/>
      <c r="AD231" s="47" t="s">
        <v>49</v>
      </c>
      <c r="AE231" s="48" t="s">
        <v>41</v>
      </c>
      <c r="AF231" s="48" t="s">
        <v>41</v>
      </c>
      <c r="AG231" s="48" t="s">
        <v>41</v>
      </c>
      <c r="AH231" s="48" t="s">
        <v>41</v>
      </c>
      <c r="AI231" s="48" t="s">
        <v>41</v>
      </c>
      <c r="AJ231" s="49" t="s">
        <v>49</v>
      </c>
      <c r="AK231" s="48" t="s">
        <v>49</v>
      </c>
      <c r="AL231" s="62" t="s">
        <v>32</v>
      </c>
      <c r="AM231" s="59"/>
      <c r="AN231" s="10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1"/>
    </row>
    <row r="232" spans="1:51" x14ac:dyDescent="0.2">
      <c r="A232" s="33">
        <f t="shared" si="4"/>
        <v>227</v>
      </c>
      <c r="B232" s="108" t="s">
        <v>1928</v>
      </c>
      <c r="C232" s="35" t="s">
        <v>1929</v>
      </c>
      <c r="D232" s="36" t="s">
        <v>1930</v>
      </c>
      <c r="E232" s="36" t="s">
        <v>54</v>
      </c>
      <c r="F232" s="34" t="s">
        <v>1931</v>
      </c>
      <c r="G232" s="37" t="s">
        <v>243</v>
      </c>
      <c r="H232" s="37" t="s">
        <v>205</v>
      </c>
      <c r="I232" s="140" t="s">
        <v>1932</v>
      </c>
      <c r="J232" s="34" t="s">
        <v>41</v>
      </c>
      <c r="K232" s="39" t="s">
        <v>42</v>
      </c>
      <c r="L232" s="120">
        <v>43070</v>
      </c>
      <c r="M232" s="56"/>
      <c r="N232" s="114"/>
      <c r="O232" s="115"/>
      <c r="P232" s="114"/>
      <c r="Q232" s="115"/>
      <c r="R232" s="115"/>
      <c r="S232" s="115"/>
      <c r="T232" s="56"/>
      <c r="U232" s="56"/>
      <c r="V232" s="56"/>
      <c r="W232" s="56"/>
      <c r="X232" s="42" t="s">
        <v>1933</v>
      </c>
      <c r="Y232" s="52" t="s">
        <v>1934</v>
      </c>
      <c r="Z232" s="44" t="s">
        <v>1935</v>
      </c>
      <c r="AA232" s="45">
        <v>42935</v>
      </c>
      <c r="AB232" s="101" t="s">
        <v>30</v>
      </c>
      <c r="AC232" s="73" t="s">
        <v>26</v>
      </c>
      <c r="AD232" s="47" t="s">
        <v>49</v>
      </c>
      <c r="AE232" s="48" t="s">
        <v>49</v>
      </c>
      <c r="AF232" s="48" t="s">
        <v>49</v>
      </c>
      <c r="AG232" s="48" t="s">
        <v>49</v>
      </c>
      <c r="AH232" s="48" t="s">
        <v>49</v>
      </c>
      <c r="AI232" s="48" t="s">
        <v>49</v>
      </c>
      <c r="AJ232" s="49" t="s">
        <v>49</v>
      </c>
      <c r="AK232" s="48" t="s">
        <v>49</v>
      </c>
      <c r="AL232" s="62" t="s">
        <v>32</v>
      </c>
      <c r="AM232" s="59"/>
      <c r="AN232" s="117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1"/>
    </row>
    <row r="233" spans="1:51" x14ac:dyDescent="0.2">
      <c r="A233" s="33">
        <f t="shared" si="4"/>
        <v>228</v>
      </c>
      <c r="B233" s="34" t="s">
        <v>1936</v>
      </c>
      <c r="C233" s="35" t="s">
        <v>1937</v>
      </c>
      <c r="D233" s="36" t="s">
        <v>1938</v>
      </c>
      <c r="E233" s="36" t="s">
        <v>54</v>
      </c>
      <c r="F233" s="34" t="s">
        <v>1939</v>
      </c>
      <c r="G233" s="37" t="s">
        <v>323</v>
      </c>
      <c r="H233" s="37" t="s">
        <v>39</v>
      </c>
      <c r="I233" s="34" t="s">
        <v>1940</v>
      </c>
      <c r="J233" s="34" t="s">
        <v>41</v>
      </c>
      <c r="K233" s="39" t="s">
        <v>42</v>
      </c>
      <c r="L233" s="120">
        <v>37718</v>
      </c>
      <c r="M233" s="41"/>
      <c r="N233" s="177"/>
      <c r="O233" s="112"/>
      <c r="P233" s="177"/>
      <c r="Q233" s="112"/>
      <c r="R233" s="112"/>
      <c r="S233" s="41"/>
      <c r="T233" s="41"/>
      <c r="U233" s="41"/>
      <c r="V233" s="41"/>
      <c r="W233" s="41"/>
      <c r="X233" s="42" t="s">
        <v>1941</v>
      </c>
      <c r="Y233" s="52" t="s">
        <v>1942</v>
      </c>
      <c r="Z233" s="44" t="s">
        <v>61</v>
      </c>
      <c r="AA233" s="45">
        <v>38593</v>
      </c>
      <c r="AB233" s="101" t="s">
        <v>30</v>
      </c>
      <c r="AC233" s="36" t="s">
        <v>26</v>
      </c>
      <c r="AD233" s="47" t="s">
        <v>49</v>
      </c>
      <c r="AE233" s="48" t="s">
        <v>49</v>
      </c>
      <c r="AF233" s="48" t="s">
        <v>49</v>
      </c>
      <c r="AG233" s="48" t="s">
        <v>41</v>
      </c>
      <c r="AH233" s="48" t="s">
        <v>41</v>
      </c>
      <c r="AI233" s="48" t="s">
        <v>41</v>
      </c>
      <c r="AJ233" s="49" t="s">
        <v>41</v>
      </c>
      <c r="AK233" s="48" t="s">
        <v>41</v>
      </c>
      <c r="AL233" s="62" t="s">
        <v>110</v>
      </c>
      <c r="AM233" s="59"/>
      <c r="AN233" s="10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1"/>
    </row>
    <row r="234" spans="1:51" x14ac:dyDescent="0.2">
      <c r="A234" s="33">
        <f t="shared" si="4"/>
        <v>229</v>
      </c>
      <c r="B234" s="34" t="s">
        <v>1943</v>
      </c>
      <c r="C234" s="35" t="s">
        <v>1944</v>
      </c>
      <c r="D234" s="36" t="s">
        <v>1945</v>
      </c>
      <c r="E234" s="36" t="s">
        <v>54</v>
      </c>
      <c r="F234" s="98" t="s">
        <v>1946</v>
      </c>
      <c r="G234" s="37" t="s">
        <v>73</v>
      </c>
      <c r="H234" s="37" t="s">
        <v>73</v>
      </c>
      <c r="I234" s="38" t="s">
        <v>1947</v>
      </c>
      <c r="J234" s="34" t="s">
        <v>41</v>
      </c>
      <c r="K234" s="39" t="s">
        <v>42</v>
      </c>
      <c r="L234" s="120">
        <v>45084</v>
      </c>
      <c r="M234" s="41" t="s">
        <v>179</v>
      </c>
      <c r="N234" s="177" t="s">
        <v>179</v>
      </c>
      <c r="O234" s="112"/>
      <c r="P234" s="177">
        <v>1</v>
      </c>
      <c r="Q234" s="112"/>
      <c r="R234" s="112"/>
      <c r="S234" s="41"/>
      <c r="T234" s="41" t="s">
        <v>44</v>
      </c>
      <c r="U234" s="41"/>
      <c r="V234" s="41"/>
      <c r="W234" s="41"/>
      <c r="X234" s="42" t="s">
        <v>1948</v>
      </c>
      <c r="Y234" s="55" t="s">
        <v>1949</v>
      </c>
      <c r="Z234" s="119"/>
      <c r="AA234" s="45" t="s">
        <v>47</v>
      </c>
      <c r="AB234" s="101"/>
      <c r="AC234" s="36"/>
      <c r="AD234" s="66" t="s">
        <v>130</v>
      </c>
      <c r="AE234" s="48" t="s">
        <v>41</v>
      </c>
      <c r="AF234" s="48" t="s">
        <v>41</v>
      </c>
      <c r="AG234" s="48" t="s">
        <v>41</v>
      </c>
      <c r="AH234" s="48" t="s">
        <v>130</v>
      </c>
      <c r="AI234" s="48" t="s">
        <v>130</v>
      </c>
      <c r="AJ234" s="49" t="s">
        <v>130</v>
      </c>
      <c r="AK234" s="48" t="s">
        <v>130</v>
      </c>
      <c r="AL234" s="65" t="s">
        <v>32</v>
      </c>
      <c r="AM234" s="59"/>
      <c r="AN234" s="10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1"/>
    </row>
    <row r="235" spans="1:51" x14ac:dyDescent="0.2">
      <c r="A235" s="33">
        <f t="shared" si="4"/>
        <v>230</v>
      </c>
      <c r="B235" s="34" t="s">
        <v>1950</v>
      </c>
      <c r="C235" s="35" t="s">
        <v>1951</v>
      </c>
      <c r="D235" s="36" t="s">
        <v>1952</v>
      </c>
      <c r="E235" s="36" t="s">
        <v>54</v>
      </c>
      <c r="F235" s="34" t="s">
        <v>1953</v>
      </c>
      <c r="G235" s="37" t="s">
        <v>39</v>
      </c>
      <c r="H235" s="37" t="s">
        <v>39</v>
      </c>
      <c r="I235" s="38" t="s">
        <v>1954</v>
      </c>
      <c r="J235" s="34" t="s">
        <v>41</v>
      </c>
      <c r="K235" s="39" t="s">
        <v>42</v>
      </c>
      <c r="L235" s="120" t="s">
        <v>1955</v>
      </c>
      <c r="M235" s="41" t="s">
        <v>179</v>
      </c>
      <c r="N235" s="41" t="s">
        <v>179</v>
      </c>
      <c r="O235" s="41"/>
      <c r="P235" s="41"/>
      <c r="Q235" s="41"/>
      <c r="R235" s="41"/>
      <c r="S235" s="41" t="s">
        <v>44</v>
      </c>
      <c r="T235" s="41"/>
      <c r="U235" s="41"/>
      <c r="V235" s="41" t="s">
        <v>732</v>
      </c>
      <c r="W235" s="41"/>
      <c r="X235" s="42" t="s">
        <v>1956</v>
      </c>
      <c r="Y235" s="43" t="s">
        <v>1957</v>
      </c>
      <c r="Z235" s="84" t="s">
        <v>1958</v>
      </c>
      <c r="AA235" s="45">
        <v>44650</v>
      </c>
      <c r="AB235" s="101" t="s">
        <v>30</v>
      </c>
      <c r="AC235" s="36"/>
      <c r="AD235" s="47" t="s">
        <v>49</v>
      </c>
      <c r="AE235" s="48" t="s">
        <v>41</v>
      </c>
      <c r="AF235" s="48" t="s">
        <v>41</v>
      </c>
      <c r="AG235" s="48" t="s">
        <v>49</v>
      </c>
      <c r="AH235" s="48" t="s">
        <v>49</v>
      </c>
      <c r="AI235" s="48" t="s">
        <v>49</v>
      </c>
      <c r="AJ235" s="49" t="s">
        <v>49</v>
      </c>
      <c r="AK235" s="48" t="s">
        <v>41</v>
      </c>
      <c r="AL235" s="62" t="s">
        <v>148</v>
      </c>
      <c r="AM235" s="59"/>
      <c r="AN235" s="10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1"/>
    </row>
    <row r="236" spans="1:51" ht="26.25" customHeight="1" x14ac:dyDescent="0.2">
      <c r="A236" s="33">
        <f t="shared" si="4"/>
        <v>231</v>
      </c>
      <c r="B236" s="34" t="s">
        <v>1959</v>
      </c>
      <c r="C236" s="35" t="s">
        <v>1960</v>
      </c>
      <c r="D236" s="36" t="s">
        <v>1961</v>
      </c>
      <c r="E236" s="36" t="s">
        <v>54</v>
      </c>
      <c r="F236" s="34" t="s">
        <v>1962</v>
      </c>
      <c r="G236" s="37" t="s">
        <v>73</v>
      </c>
      <c r="H236" s="37" t="s">
        <v>73</v>
      </c>
      <c r="I236" s="34" t="s">
        <v>1963</v>
      </c>
      <c r="J236" s="34" t="s">
        <v>1964</v>
      </c>
      <c r="K236" s="39" t="s">
        <v>42</v>
      </c>
      <c r="L236" s="120" t="s">
        <v>628</v>
      </c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57" t="s">
        <v>1965</v>
      </c>
      <c r="Y236" s="43" t="s">
        <v>1966</v>
      </c>
      <c r="Z236" s="207" t="s">
        <v>1967</v>
      </c>
      <c r="AA236" s="45">
        <v>44944</v>
      </c>
      <c r="AB236" s="101" t="s">
        <v>30</v>
      </c>
      <c r="AC236" s="36" t="s">
        <v>26</v>
      </c>
      <c r="AD236" s="47" t="s">
        <v>49</v>
      </c>
      <c r="AE236" s="48" t="s">
        <v>49</v>
      </c>
      <c r="AF236" s="48" t="s">
        <v>49</v>
      </c>
      <c r="AG236" s="48" t="s">
        <v>49</v>
      </c>
      <c r="AH236" s="48" t="s">
        <v>49</v>
      </c>
      <c r="AI236" s="48" t="s">
        <v>49</v>
      </c>
      <c r="AJ236" s="49" t="s">
        <v>49</v>
      </c>
      <c r="AK236" s="48" t="s">
        <v>49</v>
      </c>
      <c r="AL236" s="65" t="s">
        <v>32</v>
      </c>
      <c r="AM236" s="134"/>
      <c r="AN236" s="10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1"/>
    </row>
    <row r="237" spans="1:51" x14ac:dyDescent="0.2">
      <c r="A237" s="33">
        <f t="shared" si="4"/>
        <v>232</v>
      </c>
      <c r="B237" s="34" t="s">
        <v>1968</v>
      </c>
      <c r="C237" s="35" t="s">
        <v>1969</v>
      </c>
      <c r="D237" s="36" t="s">
        <v>1970</v>
      </c>
      <c r="E237" s="36" t="s">
        <v>54</v>
      </c>
      <c r="F237" s="34" t="s">
        <v>1971</v>
      </c>
      <c r="G237" s="37" t="s">
        <v>73</v>
      </c>
      <c r="H237" s="37" t="s">
        <v>73</v>
      </c>
      <c r="I237" s="38" t="s">
        <v>1972</v>
      </c>
      <c r="J237" s="34" t="s">
        <v>41</v>
      </c>
      <c r="K237" s="39" t="s">
        <v>42</v>
      </c>
      <c r="L237" s="120">
        <v>45143</v>
      </c>
      <c r="M237" s="41"/>
      <c r="N237" s="41"/>
      <c r="O237" s="41"/>
      <c r="P237" s="41"/>
      <c r="Q237" s="41"/>
      <c r="R237" s="41"/>
      <c r="S237" s="41"/>
      <c r="T237" s="41" t="s">
        <v>44</v>
      </c>
      <c r="U237" s="41"/>
      <c r="V237" s="41"/>
      <c r="W237" s="41"/>
      <c r="X237" s="38" t="s">
        <v>1973</v>
      </c>
      <c r="Y237" s="43" t="s">
        <v>1974</v>
      </c>
      <c r="Z237" s="44"/>
      <c r="AA237" s="45" t="s">
        <v>47</v>
      </c>
      <c r="AB237" s="101"/>
      <c r="AC237" s="36"/>
      <c r="AD237" s="47" t="s">
        <v>49</v>
      </c>
      <c r="AE237" s="48" t="s">
        <v>41</v>
      </c>
      <c r="AF237" s="48" t="s">
        <v>41</v>
      </c>
      <c r="AG237" s="48" t="s">
        <v>41</v>
      </c>
      <c r="AH237" s="48" t="s">
        <v>49</v>
      </c>
      <c r="AI237" s="48" t="s">
        <v>49</v>
      </c>
      <c r="AJ237" s="49" t="s">
        <v>49</v>
      </c>
      <c r="AK237" s="48" t="s">
        <v>41</v>
      </c>
      <c r="AL237" s="62" t="s">
        <v>148</v>
      </c>
      <c r="AM237" s="134"/>
      <c r="AN237" s="10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1"/>
    </row>
    <row r="238" spans="1:51" x14ac:dyDescent="0.2">
      <c r="A238" s="33">
        <f t="shared" si="4"/>
        <v>233</v>
      </c>
      <c r="B238" s="34" t="s">
        <v>1975</v>
      </c>
      <c r="C238" s="35" t="s">
        <v>1976</v>
      </c>
      <c r="D238" s="36" t="s">
        <v>1977</v>
      </c>
      <c r="E238" s="36" t="s">
        <v>54</v>
      </c>
      <c r="F238" s="34" t="s">
        <v>1978</v>
      </c>
      <c r="G238" s="37" t="s">
        <v>205</v>
      </c>
      <c r="H238" s="37" t="s">
        <v>205</v>
      </c>
      <c r="I238" s="38" t="s">
        <v>1979</v>
      </c>
      <c r="J238" s="34" t="s">
        <v>41</v>
      </c>
      <c r="K238" s="39" t="s">
        <v>42</v>
      </c>
      <c r="L238" s="120">
        <v>45357</v>
      </c>
      <c r="M238" s="112" t="s">
        <v>179</v>
      </c>
      <c r="N238" s="112" t="s">
        <v>179</v>
      </c>
      <c r="O238" s="112"/>
      <c r="P238" s="112"/>
      <c r="Q238" s="112" t="s">
        <v>179</v>
      </c>
      <c r="R238" s="112"/>
      <c r="S238" s="112"/>
      <c r="T238" s="41"/>
      <c r="U238" s="41" t="s">
        <v>44</v>
      </c>
      <c r="V238" s="41"/>
      <c r="W238" s="41"/>
      <c r="X238" s="54" t="s">
        <v>1980</v>
      </c>
      <c r="Y238" s="43" t="s">
        <v>1981</v>
      </c>
      <c r="Z238" s="44"/>
      <c r="AA238" s="45"/>
      <c r="AB238" s="101"/>
      <c r="AC238" s="36"/>
      <c r="AD238" s="47" t="s">
        <v>49</v>
      </c>
      <c r="AE238" s="48" t="s">
        <v>41</v>
      </c>
      <c r="AF238" s="48" t="s">
        <v>41</v>
      </c>
      <c r="AG238" s="48" t="s">
        <v>41</v>
      </c>
      <c r="AH238" s="48" t="s">
        <v>41</v>
      </c>
      <c r="AI238" s="48" t="s">
        <v>49</v>
      </c>
      <c r="AJ238" s="49" t="s">
        <v>41</v>
      </c>
      <c r="AK238" s="48" t="s">
        <v>41</v>
      </c>
      <c r="AL238" s="62" t="s">
        <v>276</v>
      </c>
      <c r="AM238" s="59"/>
      <c r="AN238" s="10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1"/>
    </row>
    <row r="239" spans="1:51" x14ac:dyDescent="0.2">
      <c r="A239" s="33">
        <f t="shared" si="4"/>
        <v>234</v>
      </c>
      <c r="B239" s="122" t="s">
        <v>1982</v>
      </c>
      <c r="C239" s="123" t="s">
        <v>1983</v>
      </c>
      <c r="D239" s="202" t="s">
        <v>1984</v>
      </c>
      <c r="E239" s="36" t="s">
        <v>54</v>
      </c>
      <c r="F239" s="122" t="s">
        <v>1985</v>
      </c>
      <c r="G239" s="126" t="s">
        <v>73</v>
      </c>
      <c r="H239" s="126" t="s">
        <v>73</v>
      </c>
      <c r="I239" s="122" t="s">
        <v>1986</v>
      </c>
      <c r="J239" s="127" t="s">
        <v>1987</v>
      </c>
      <c r="K239" s="128" t="s">
        <v>42</v>
      </c>
      <c r="L239" s="194">
        <v>42465</v>
      </c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42" t="s">
        <v>1988</v>
      </c>
      <c r="Y239" s="58" t="s">
        <v>1989</v>
      </c>
      <c r="Z239" s="119" t="s">
        <v>1990</v>
      </c>
      <c r="AA239" s="45">
        <v>42935</v>
      </c>
      <c r="AB239" s="191" t="s">
        <v>30</v>
      </c>
      <c r="AC239" s="36" t="s">
        <v>26</v>
      </c>
      <c r="AD239" s="133" t="s">
        <v>49</v>
      </c>
      <c r="AE239" s="48" t="s">
        <v>49</v>
      </c>
      <c r="AF239" s="48" t="s">
        <v>49</v>
      </c>
      <c r="AG239" s="48" t="s">
        <v>49</v>
      </c>
      <c r="AH239" s="48" t="s">
        <v>49</v>
      </c>
      <c r="AI239" s="48" t="s">
        <v>41</v>
      </c>
      <c r="AJ239" s="49" t="s">
        <v>41</v>
      </c>
      <c r="AK239" s="48" t="s">
        <v>41</v>
      </c>
      <c r="AL239" s="62" t="s">
        <v>4589</v>
      </c>
      <c r="AM239" s="134"/>
      <c r="AN239" s="117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1"/>
    </row>
    <row r="240" spans="1:51" x14ac:dyDescent="0.2">
      <c r="A240" s="33">
        <f t="shared" si="4"/>
        <v>235</v>
      </c>
      <c r="B240" s="122" t="s">
        <v>1991</v>
      </c>
      <c r="C240" s="123" t="s">
        <v>1992</v>
      </c>
      <c r="D240" s="202" t="s">
        <v>1993</v>
      </c>
      <c r="E240" s="36" t="s">
        <v>36</v>
      </c>
      <c r="F240" s="122" t="s">
        <v>1994</v>
      </c>
      <c r="G240" s="126" t="s">
        <v>73</v>
      </c>
      <c r="H240" s="126" t="s">
        <v>73</v>
      </c>
      <c r="I240" s="122" t="s">
        <v>1995</v>
      </c>
      <c r="J240" s="122" t="s">
        <v>1996</v>
      </c>
      <c r="K240" s="128" t="s">
        <v>42</v>
      </c>
      <c r="L240" s="99" t="s">
        <v>1997</v>
      </c>
      <c r="M240" s="115" t="s">
        <v>179</v>
      </c>
      <c r="N240" s="115" t="s">
        <v>179</v>
      </c>
      <c r="O240" s="115" t="s">
        <v>1878</v>
      </c>
      <c r="P240" s="115"/>
      <c r="Q240" s="115"/>
      <c r="R240" s="115"/>
      <c r="S240" s="115"/>
      <c r="T240" s="56"/>
      <c r="U240" s="56"/>
      <c r="V240" s="56" t="s">
        <v>732</v>
      </c>
      <c r="W240" s="56"/>
      <c r="X240" s="42" t="s">
        <v>1998</v>
      </c>
      <c r="Y240" s="52" t="s">
        <v>1999</v>
      </c>
      <c r="Z240" s="208" t="s">
        <v>2000</v>
      </c>
      <c r="AA240" s="45">
        <v>44650</v>
      </c>
      <c r="AB240" s="101" t="s">
        <v>30</v>
      </c>
      <c r="AC240" s="36" t="s">
        <v>26</v>
      </c>
      <c r="AD240" s="133" t="s">
        <v>49</v>
      </c>
      <c r="AE240" s="48" t="s">
        <v>49</v>
      </c>
      <c r="AF240" s="48" t="s">
        <v>49</v>
      </c>
      <c r="AG240" s="48" t="s">
        <v>49</v>
      </c>
      <c r="AH240" s="48" t="s">
        <v>49</v>
      </c>
      <c r="AI240" s="48" t="s">
        <v>49</v>
      </c>
      <c r="AJ240" s="49" t="s">
        <v>49</v>
      </c>
      <c r="AK240" s="48" t="s">
        <v>49</v>
      </c>
      <c r="AL240" s="65" t="s">
        <v>32</v>
      </c>
      <c r="AM240" s="134"/>
      <c r="AN240" s="10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1"/>
    </row>
    <row r="241" spans="1:51" x14ac:dyDescent="0.2">
      <c r="A241" s="33">
        <f t="shared" si="4"/>
        <v>236</v>
      </c>
      <c r="B241" s="122" t="s">
        <v>2001</v>
      </c>
      <c r="C241" s="123" t="s">
        <v>2002</v>
      </c>
      <c r="D241" s="202" t="s">
        <v>2003</v>
      </c>
      <c r="E241" s="36" t="s">
        <v>36</v>
      </c>
      <c r="F241" s="122" t="s">
        <v>2004</v>
      </c>
      <c r="G241" s="126" t="s">
        <v>176</v>
      </c>
      <c r="H241" s="126" t="s">
        <v>39</v>
      </c>
      <c r="I241" s="127" t="s">
        <v>2005</v>
      </c>
      <c r="J241" s="122" t="s">
        <v>41</v>
      </c>
      <c r="K241" s="128" t="s">
        <v>42</v>
      </c>
      <c r="L241" s="120">
        <v>45740</v>
      </c>
      <c r="M241" s="56" t="s">
        <v>179</v>
      </c>
      <c r="N241" s="56" t="s">
        <v>179</v>
      </c>
      <c r="O241" s="56" t="s">
        <v>342</v>
      </c>
      <c r="P241" s="56"/>
      <c r="Q241" s="56"/>
      <c r="R241" s="56"/>
      <c r="S241" s="56"/>
      <c r="T241" s="56"/>
      <c r="U241" s="56"/>
      <c r="V241" s="56" t="s">
        <v>44</v>
      </c>
      <c r="W241" s="130"/>
      <c r="X241" s="127" t="s">
        <v>2006</v>
      </c>
      <c r="Y241" s="43" t="s">
        <v>2007</v>
      </c>
      <c r="Z241" s="208"/>
      <c r="AA241" s="45"/>
      <c r="AB241" s="101"/>
      <c r="AC241" s="36"/>
      <c r="AD241" s="133" t="s">
        <v>49</v>
      </c>
      <c r="AE241" s="48" t="s">
        <v>41</v>
      </c>
      <c r="AF241" s="48" t="s">
        <v>41</v>
      </c>
      <c r="AG241" s="48" t="s">
        <v>41</v>
      </c>
      <c r="AH241" s="48" t="s">
        <v>41</v>
      </c>
      <c r="AI241" s="48" t="s">
        <v>41</v>
      </c>
      <c r="AJ241" s="49" t="s">
        <v>49</v>
      </c>
      <c r="AK241" s="48" t="s">
        <v>49</v>
      </c>
      <c r="AL241" s="65" t="s">
        <v>32</v>
      </c>
      <c r="AM241" s="134"/>
      <c r="AN241" s="10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1"/>
    </row>
    <row r="242" spans="1:51" x14ac:dyDescent="0.2">
      <c r="A242" s="33">
        <f t="shared" si="4"/>
        <v>237</v>
      </c>
      <c r="B242" s="34" t="s">
        <v>2008</v>
      </c>
      <c r="C242" s="35" t="s">
        <v>2009</v>
      </c>
      <c r="D242" s="36" t="s">
        <v>2010</v>
      </c>
      <c r="E242" s="36" t="s">
        <v>54</v>
      </c>
      <c r="F242" s="34" t="s">
        <v>2011</v>
      </c>
      <c r="G242" s="37" t="s">
        <v>73</v>
      </c>
      <c r="H242" s="37" t="s">
        <v>73</v>
      </c>
      <c r="I242" s="34" t="s">
        <v>2012</v>
      </c>
      <c r="J242" s="34" t="s">
        <v>41</v>
      </c>
      <c r="K242" s="39" t="s">
        <v>42</v>
      </c>
      <c r="L242" s="99" t="s">
        <v>2013</v>
      </c>
      <c r="M242" s="56" t="s">
        <v>179</v>
      </c>
      <c r="N242" s="56"/>
      <c r="O242" s="56"/>
      <c r="P242" s="56"/>
      <c r="Q242" s="56"/>
      <c r="R242" s="56"/>
      <c r="S242" s="56"/>
      <c r="T242" s="56"/>
      <c r="U242" s="56"/>
      <c r="V242" s="56" t="s">
        <v>732</v>
      </c>
      <c r="W242" s="186"/>
      <c r="X242" s="209" t="s">
        <v>2014</v>
      </c>
      <c r="Y242" s="52" t="s">
        <v>2015</v>
      </c>
      <c r="Z242" s="44" t="s">
        <v>61</v>
      </c>
      <c r="AA242" s="45">
        <v>38593</v>
      </c>
      <c r="AB242" s="101" t="s">
        <v>30</v>
      </c>
      <c r="AC242" s="36" t="s">
        <v>26</v>
      </c>
      <c r="AD242" s="47" t="s">
        <v>49</v>
      </c>
      <c r="AE242" s="48" t="s">
        <v>49</v>
      </c>
      <c r="AF242" s="48" t="s">
        <v>49</v>
      </c>
      <c r="AG242" s="48" t="s">
        <v>49</v>
      </c>
      <c r="AH242" s="48" t="s">
        <v>49</v>
      </c>
      <c r="AI242" s="48" t="s">
        <v>49</v>
      </c>
      <c r="AJ242" s="49" t="s">
        <v>49</v>
      </c>
      <c r="AK242" s="48" t="s">
        <v>49</v>
      </c>
      <c r="AL242" s="65" t="s">
        <v>32</v>
      </c>
      <c r="AM242" s="59"/>
      <c r="AN242" s="10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210"/>
    </row>
    <row r="243" spans="1:51" x14ac:dyDescent="0.2">
      <c r="A243" s="33">
        <f t="shared" si="4"/>
        <v>238</v>
      </c>
      <c r="B243" s="107" t="s">
        <v>2016</v>
      </c>
      <c r="C243" s="35" t="s">
        <v>2017</v>
      </c>
      <c r="D243" s="36" t="s">
        <v>2018</v>
      </c>
      <c r="E243" s="36" t="s">
        <v>54</v>
      </c>
      <c r="F243" s="185" t="s">
        <v>2019</v>
      </c>
      <c r="G243" s="37" t="s">
        <v>176</v>
      </c>
      <c r="H243" s="37" t="s">
        <v>39</v>
      </c>
      <c r="I243" s="34" t="s">
        <v>2020</v>
      </c>
      <c r="J243" s="34" t="s">
        <v>41</v>
      </c>
      <c r="K243" s="39" t="s">
        <v>42</v>
      </c>
      <c r="L243" s="120">
        <v>41187</v>
      </c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42" t="s">
        <v>2021</v>
      </c>
      <c r="Y243" s="58" t="s">
        <v>2022</v>
      </c>
      <c r="Z243" s="44" t="s">
        <v>61</v>
      </c>
      <c r="AA243" s="45">
        <v>36641</v>
      </c>
      <c r="AB243" s="101" t="s">
        <v>30</v>
      </c>
      <c r="AC243" s="36" t="s">
        <v>26</v>
      </c>
      <c r="AD243" s="47" t="s">
        <v>49</v>
      </c>
      <c r="AE243" s="48" t="s">
        <v>49</v>
      </c>
      <c r="AF243" s="48" t="s">
        <v>49</v>
      </c>
      <c r="AG243" s="48" t="s">
        <v>41</v>
      </c>
      <c r="AH243" s="48" t="s">
        <v>41</v>
      </c>
      <c r="AI243" s="48" t="s">
        <v>41</v>
      </c>
      <c r="AJ243" s="49" t="s">
        <v>41</v>
      </c>
      <c r="AK243" s="48" t="s">
        <v>41</v>
      </c>
      <c r="AL243" s="62" t="s">
        <v>110</v>
      </c>
      <c r="AM243" s="59"/>
      <c r="AN243" s="117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1"/>
    </row>
    <row r="244" spans="1:51" x14ac:dyDescent="0.2">
      <c r="A244" s="33">
        <f t="shared" si="4"/>
        <v>239</v>
      </c>
      <c r="B244" s="108" t="s">
        <v>2023</v>
      </c>
      <c r="C244" s="35" t="s">
        <v>2024</v>
      </c>
      <c r="D244" s="36" t="s">
        <v>2025</v>
      </c>
      <c r="E244" s="36" t="s">
        <v>36</v>
      </c>
      <c r="F244" s="108" t="s">
        <v>2026</v>
      </c>
      <c r="G244" s="37" t="s">
        <v>73</v>
      </c>
      <c r="H244" s="37" t="s">
        <v>73</v>
      </c>
      <c r="I244" s="34" t="s">
        <v>2027</v>
      </c>
      <c r="J244" s="34" t="s">
        <v>2028</v>
      </c>
      <c r="K244" s="39" t="s">
        <v>42</v>
      </c>
      <c r="L244" s="120">
        <v>41918</v>
      </c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42" t="s">
        <v>2029</v>
      </c>
      <c r="Y244" s="58" t="s">
        <v>2030</v>
      </c>
      <c r="Z244" s="44" t="s">
        <v>2031</v>
      </c>
      <c r="AA244" s="45">
        <v>42325</v>
      </c>
      <c r="AB244" s="101" t="s">
        <v>30</v>
      </c>
      <c r="AC244" s="36" t="s">
        <v>26</v>
      </c>
      <c r="AD244" s="47" t="s">
        <v>49</v>
      </c>
      <c r="AE244" s="48" t="s">
        <v>49</v>
      </c>
      <c r="AF244" s="48" t="s">
        <v>49</v>
      </c>
      <c r="AG244" s="48" t="s">
        <v>49</v>
      </c>
      <c r="AH244" s="48" t="s">
        <v>49</v>
      </c>
      <c r="AI244" s="48" t="s">
        <v>49</v>
      </c>
      <c r="AJ244" s="49" t="s">
        <v>49</v>
      </c>
      <c r="AK244" s="48" t="s">
        <v>41</v>
      </c>
      <c r="AL244" s="62" t="s">
        <v>148</v>
      </c>
      <c r="AM244" s="59"/>
      <c r="AN244" s="10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1"/>
    </row>
    <row r="245" spans="1:51" x14ac:dyDescent="0.2">
      <c r="A245" s="33">
        <f t="shared" si="4"/>
        <v>240</v>
      </c>
      <c r="B245" s="34" t="s">
        <v>2032</v>
      </c>
      <c r="C245" s="35" t="s">
        <v>2033</v>
      </c>
      <c r="D245" s="36" t="s">
        <v>2034</v>
      </c>
      <c r="E245" s="36" t="s">
        <v>54</v>
      </c>
      <c r="F245" s="185" t="s">
        <v>2035</v>
      </c>
      <c r="G245" s="37" t="s">
        <v>73</v>
      </c>
      <c r="H245" s="37" t="s">
        <v>73</v>
      </c>
      <c r="I245" s="34" t="s">
        <v>2036</v>
      </c>
      <c r="J245" s="136" t="s">
        <v>2036</v>
      </c>
      <c r="K245" s="39" t="s">
        <v>42</v>
      </c>
      <c r="L245" s="99" t="s">
        <v>2037</v>
      </c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42" t="s">
        <v>2038</v>
      </c>
      <c r="Y245" s="58" t="s">
        <v>2039</v>
      </c>
      <c r="Z245" s="44" t="s">
        <v>61</v>
      </c>
      <c r="AA245" s="45">
        <v>40815</v>
      </c>
      <c r="AB245" s="101" t="s">
        <v>30</v>
      </c>
      <c r="AC245" s="36" t="s">
        <v>26</v>
      </c>
      <c r="AD245" s="61" t="s">
        <v>49</v>
      </c>
      <c r="AE245" s="48" t="s">
        <v>49</v>
      </c>
      <c r="AF245" s="48" t="s">
        <v>49</v>
      </c>
      <c r="AG245" s="48" t="s">
        <v>49</v>
      </c>
      <c r="AH245" s="48" t="s">
        <v>49</v>
      </c>
      <c r="AI245" s="48" t="s">
        <v>49</v>
      </c>
      <c r="AJ245" s="49" t="s">
        <v>49</v>
      </c>
      <c r="AK245" s="48" t="s">
        <v>49</v>
      </c>
      <c r="AL245" s="62" t="s">
        <v>32</v>
      </c>
      <c r="AM245" s="59"/>
      <c r="AN245" s="10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1"/>
    </row>
    <row r="246" spans="1:51" x14ac:dyDescent="0.2">
      <c r="A246" s="33">
        <f t="shared" si="4"/>
        <v>241</v>
      </c>
      <c r="B246" s="34" t="s">
        <v>2040</v>
      </c>
      <c r="C246" s="35" t="s">
        <v>2041</v>
      </c>
      <c r="D246" s="36" t="s">
        <v>2042</v>
      </c>
      <c r="E246" s="36" t="s">
        <v>241</v>
      </c>
      <c r="F246" s="34" t="s">
        <v>2043</v>
      </c>
      <c r="G246" s="37" t="s">
        <v>73</v>
      </c>
      <c r="H246" s="37" t="s">
        <v>73</v>
      </c>
      <c r="I246" s="34" t="s">
        <v>1445</v>
      </c>
      <c r="J246" s="34" t="s">
        <v>1445</v>
      </c>
      <c r="K246" s="39" t="s">
        <v>42</v>
      </c>
      <c r="L246" s="120">
        <v>31054</v>
      </c>
      <c r="M246" s="41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42" t="s">
        <v>2044</v>
      </c>
      <c r="Y246" s="58" t="s">
        <v>2045</v>
      </c>
      <c r="Z246" s="44" t="s">
        <v>61</v>
      </c>
      <c r="AA246" s="45">
        <v>40815</v>
      </c>
      <c r="AB246" s="101" t="s">
        <v>30</v>
      </c>
      <c r="AC246" s="36" t="s">
        <v>26</v>
      </c>
      <c r="AD246" s="47" t="s">
        <v>49</v>
      </c>
      <c r="AE246" s="48" t="s">
        <v>49</v>
      </c>
      <c r="AF246" s="48" t="s">
        <v>49</v>
      </c>
      <c r="AG246" s="48" t="s">
        <v>41</v>
      </c>
      <c r="AH246" s="48" t="s">
        <v>41</v>
      </c>
      <c r="AI246" s="48" t="s">
        <v>41</v>
      </c>
      <c r="AJ246" s="49" t="s">
        <v>41</v>
      </c>
      <c r="AK246" s="48" t="s">
        <v>41</v>
      </c>
      <c r="AL246" s="62" t="s">
        <v>110</v>
      </c>
      <c r="AM246" s="59"/>
      <c r="AN246" s="10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1"/>
    </row>
    <row r="247" spans="1:51" x14ac:dyDescent="0.2">
      <c r="A247" s="33">
        <f t="shared" si="4"/>
        <v>242</v>
      </c>
      <c r="B247" s="34" t="s">
        <v>2046</v>
      </c>
      <c r="C247" s="35" t="s">
        <v>2047</v>
      </c>
      <c r="D247" s="36" t="s">
        <v>2048</v>
      </c>
      <c r="E247" s="36" t="s">
        <v>54</v>
      </c>
      <c r="F247" s="34" t="s">
        <v>2049</v>
      </c>
      <c r="G247" s="37" t="s">
        <v>73</v>
      </c>
      <c r="H247" s="37" t="s">
        <v>73</v>
      </c>
      <c r="I247" s="34" t="s">
        <v>2050</v>
      </c>
      <c r="J247" s="34" t="s">
        <v>2051</v>
      </c>
      <c r="K247" s="39" t="s">
        <v>986</v>
      </c>
      <c r="L247" s="99" t="s">
        <v>2052</v>
      </c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42" t="s">
        <v>2053</v>
      </c>
      <c r="Y247" s="58" t="s">
        <v>2054</v>
      </c>
      <c r="Z247" s="44" t="s">
        <v>2055</v>
      </c>
      <c r="AA247" s="45">
        <v>42325</v>
      </c>
      <c r="AB247" s="101" t="s">
        <v>30</v>
      </c>
      <c r="AC247" s="36"/>
      <c r="AD247" s="66" t="s">
        <v>130</v>
      </c>
      <c r="AE247" s="48" t="s">
        <v>41</v>
      </c>
      <c r="AF247" s="48" t="s">
        <v>41</v>
      </c>
      <c r="AG247" s="48" t="s">
        <v>41</v>
      </c>
      <c r="AH247" s="48" t="s">
        <v>41</v>
      </c>
      <c r="AI247" s="48" t="s">
        <v>41</v>
      </c>
      <c r="AJ247" s="49" t="s">
        <v>41</v>
      </c>
      <c r="AK247" s="48" t="s">
        <v>41</v>
      </c>
      <c r="AL247" s="65" t="s">
        <v>4588</v>
      </c>
      <c r="AM247" s="59"/>
      <c r="AN247" s="10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1"/>
    </row>
    <row r="248" spans="1:51" ht="15" customHeight="1" x14ac:dyDescent="0.2">
      <c r="A248" s="33">
        <f t="shared" si="4"/>
        <v>243</v>
      </c>
      <c r="B248" s="34" t="s">
        <v>2056</v>
      </c>
      <c r="C248" s="35" t="s">
        <v>2057</v>
      </c>
      <c r="D248" s="36" t="s">
        <v>2058</v>
      </c>
      <c r="E248" s="36" t="s">
        <v>54</v>
      </c>
      <c r="F248" s="34" t="s">
        <v>2059</v>
      </c>
      <c r="G248" s="37" t="s">
        <v>350</v>
      </c>
      <c r="H248" s="37" t="s">
        <v>350</v>
      </c>
      <c r="I248" s="38" t="s">
        <v>2060</v>
      </c>
      <c r="J248" s="34" t="s">
        <v>41</v>
      </c>
      <c r="K248" s="39" t="s">
        <v>42</v>
      </c>
      <c r="L248" s="120">
        <v>44568</v>
      </c>
      <c r="M248" s="56"/>
      <c r="N248" s="56"/>
      <c r="O248" s="56"/>
      <c r="P248" s="56"/>
      <c r="Q248" s="56"/>
      <c r="R248" s="56"/>
      <c r="S248" s="56" t="s">
        <v>44</v>
      </c>
      <c r="T248" s="56"/>
      <c r="U248" s="56"/>
      <c r="V248" s="56"/>
      <c r="W248" s="56"/>
      <c r="X248" s="42" t="s">
        <v>2061</v>
      </c>
      <c r="Y248" s="58" t="s">
        <v>2062</v>
      </c>
      <c r="Z248" s="211" t="s">
        <v>2063</v>
      </c>
      <c r="AA248" s="45">
        <v>44944</v>
      </c>
      <c r="AB248" s="101" t="s">
        <v>30</v>
      </c>
      <c r="AC248" s="36"/>
      <c r="AD248" s="61" t="s">
        <v>49</v>
      </c>
      <c r="AE248" s="48" t="s">
        <v>41</v>
      </c>
      <c r="AF248" s="48" t="s">
        <v>41</v>
      </c>
      <c r="AG248" s="48" t="s">
        <v>49</v>
      </c>
      <c r="AH248" s="48" t="s">
        <v>49</v>
      </c>
      <c r="AI248" s="48" t="s">
        <v>49</v>
      </c>
      <c r="AJ248" s="49" t="s">
        <v>49</v>
      </c>
      <c r="AK248" s="48" t="s">
        <v>49</v>
      </c>
      <c r="AL248" s="62" t="s">
        <v>32</v>
      </c>
      <c r="AM248" s="59"/>
      <c r="AN248" s="10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1"/>
    </row>
    <row r="249" spans="1:51" ht="15" customHeight="1" x14ac:dyDescent="0.2">
      <c r="A249" s="33">
        <f t="shared" si="4"/>
        <v>244</v>
      </c>
      <c r="B249" s="34" t="s">
        <v>2064</v>
      </c>
      <c r="C249" s="35" t="s">
        <v>2065</v>
      </c>
      <c r="D249" s="36" t="s">
        <v>2066</v>
      </c>
      <c r="E249" s="36" t="s">
        <v>54</v>
      </c>
      <c r="F249" s="98" t="s">
        <v>2067</v>
      </c>
      <c r="G249" s="37" t="s">
        <v>39</v>
      </c>
      <c r="H249" s="37" t="s">
        <v>39</v>
      </c>
      <c r="I249" s="34" t="s">
        <v>2068</v>
      </c>
      <c r="J249" s="34" t="s">
        <v>2068</v>
      </c>
      <c r="K249" s="39" t="s">
        <v>42</v>
      </c>
      <c r="L249" s="120">
        <v>42254</v>
      </c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42" t="s">
        <v>2069</v>
      </c>
      <c r="Y249" s="58" t="s">
        <v>2070</v>
      </c>
      <c r="Z249" s="44" t="s">
        <v>2071</v>
      </c>
      <c r="AA249" s="45">
        <v>42325</v>
      </c>
      <c r="AB249" s="101" t="s">
        <v>30</v>
      </c>
      <c r="AC249" s="73" t="s">
        <v>26</v>
      </c>
      <c r="AD249" s="47" t="s">
        <v>49</v>
      </c>
      <c r="AE249" s="48" t="s">
        <v>49</v>
      </c>
      <c r="AF249" s="48" t="s">
        <v>49</v>
      </c>
      <c r="AG249" s="48" t="s">
        <v>49</v>
      </c>
      <c r="AH249" s="48" t="s">
        <v>49</v>
      </c>
      <c r="AI249" s="48" t="s">
        <v>49</v>
      </c>
      <c r="AJ249" s="49" t="s">
        <v>49</v>
      </c>
      <c r="AK249" s="48" t="s">
        <v>41</v>
      </c>
      <c r="AL249" s="65" t="s">
        <v>148</v>
      </c>
      <c r="AM249" s="59"/>
      <c r="AN249" s="10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1"/>
    </row>
    <row r="250" spans="1:51" ht="15" customHeight="1" x14ac:dyDescent="0.2">
      <c r="A250" s="33">
        <f t="shared" si="4"/>
        <v>245</v>
      </c>
      <c r="B250" s="34" t="s">
        <v>2072</v>
      </c>
      <c r="C250" s="35" t="s">
        <v>2073</v>
      </c>
      <c r="D250" s="36" t="s">
        <v>2074</v>
      </c>
      <c r="E250" s="36" t="s">
        <v>54</v>
      </c>
      <c r="F250" s="34" t="s">
        <v>2075</v>
      </c>
      <c r="G250" s="37" t="s">
        <v>205</v>
      </c>
      <c r="H250" s="37" t="s">
        <v>205</v>
      </c>
      <c r="I250" s="38" t="s">
        <v>2076</v>
      </c>
      <c r="J250" s="34" t="s">
        <v>41</v>
      </c>
      <c r="K250" s="39" t="s">
        <v>42</v>
      </c>
      <c r="L250" s="120" t="s">
        <v>2077</v>
      </c>
      <c r="M250" s="41"/>
      <c r="N250" s="41"/>
      <c r="O250" s="41"/>
      <c r="P250" s="41"/>
      <c r="Q250" s="41"/>
      <c r="R250" s="41"/>
      <c r="S250" s="41" t="s">
        <v>44</v>
      </c>
      <c r="T250" s="41"/>
      <c r="U250" s="41"/>
      <c r="V250" s="41"/>
      <c r="W250" s="41"/>
      <c r="X250" s="42" t="s">
        <v>2078</v>
      </c>
      <c r="Y250" s="58" t="s">
        <v>2079</v>
      </c>
      <c r="Z250" s="211" t="s">
        <v>2080</v>
      </c>
      <c r="AA250" s="45">
        <v>44944</v>
      </c>
      <c r="AB250" s="101" t="s">
        <v>30</v>
      </c>
      <c r="AC250" s="36"/>
      <c r="AD250" s="47" t="s">
        <v>49</v>
      </c>
      <c r="AE250" s="48" t="s">
        <v>41</v>
      </c>
      <c r="AF250" s="48" t="s">
        <v>41</v>
      </c>
      <c r="AG250" s="48" t="s">
        <v>49</v>
      </c>
      <c r="AH250" s="48" t="s">
        <v>49</v>
      </c>
      <c r="AI250" s="48" t="s">
        <v>49</v>
      </c>
      <c r="AJ250" s="49" t="s">
        <v>49</v>
      </c>
      <c r="AK250" s="48" t="s">
        <v>49</v>
      </c>
      <c r="AL250" s="62" t="s">
        <v>32</v>
      </c>
      <c r="AM250" s="59"/>
      <c r="AN250" s="10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1"/>
    </row>
    <row r="251" spans="1:51" ht="15" customHeight="1" x14ac:dyDescent="0.2">
      <c r="A251" s="33">
        <f t="shared" si="4"/>
        <v>246</v>
      </c>
      <c r="B251" s="34" t="s">
        <v>2081</v>
      </c>
      <c r="C251" s="35" t="s">
        <v>2082</v>
      </c>
      <c r="D251" s="36" t="s">
        <v>2083</v>
      </c>
      <c r="E251" s="36" t="s">
        <v>54</v>
      </c>
      <c r="F251" s="34" t="s">
        <v>2084</v>
      </c>
      <c r="G251" s="37" t="s">
        <v>377</v>
      </c>
      <c r="H251" s="37" t="s">
        <v>378</v>
      </c>
      <c r="I251" s="212" t="s">
        <v>2085</v>
      </c>
      <c r="J251" s="34" t="s">
        <v>41</v>
      </c>
      <c r="K251" s="39" t="s">
        <v>42</v>
      </c>
      <c r="L251" s="120">
        <v>36528</v>
      </c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2" t="s">
        <v>2086</v>
      </c>
      <c r="Y251" s="83" t="s">
        <v>2087</v>
      </c>
      <c r="Z251" s="44"/>
      <c r="AA251" s="45">
        <v>45642</v>
      </c>
      <c r="AB251" s="101"/>
      <c r="AC251" s="36" t="s">
        <v>26</v>
      </c>
      <c r="AD251" s="47" t="s">
        <v>49</v>
      </c>
      <c r="AE251" s="48" t="s">
        <v>49</v>
      </c>
      <c r="AF251" s="48" t="s">
        <v>49</v>
      </c>
      <c r="AG251" s="48" t="s">
        <v>49</v>
      </c>
      <c r="AH251" s="48" t="s">
        <v>41</v>
      </c>
      <c r="AI251" s="48" t="s">
        <v>41</v>
      </c>
      <c r="AJ251" s="49" t="s">
        <v>41</v>
      </c>
      <c r="AK251" s="48" t="s">
        <v>41</v>
      </c>
      <c r="AL251" s="65" t="s">
        <v>139</v>
      </c>
      <c r="AM251" s="59"/>
      <c r="AN251" s="10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1"/>
    </row>
    <row r="252" spans="1:51" ht="15" customHeight="1" x14ac:dyDescent="0.2">
      <c r="A252" s="33">
        <f t="shared" si="4"/>
        <v>247</v>
      </c>
      <c r="B252" s="34" t="s">
        <v>2088</v>
      </c>
      <c r="C252" s="35" t="s">
        <v>2089</v>
      </c>
      <c r="D252" s="36" t="s">
        <v>2090</v>
      </c>
      <c r="E252" s="36" t="s">
        <v>54</v>
      </c>
      <c r="F252" s="34" t="s">
        <v>2091</v>
      </c>
      <c r="G252" s="37" t="s">
        <v>323</v>
      </c>
      <c r="H252" s="37" t="s">
        <v>39</v>
      </c>
      <c r="I252" s="38" t="s">
        <v>2092</v>
      </c>
      <c r="J252" s="34" t="s">
        <v>41</v>
      </c>
      <c r="K252" s="39" t="s">
        <v>42</v>
      </c>
      <c r="L252" s="120" t="s">
        <v>2093</v>
      </c>
      <c r="M252" s="41"/>
      <c r="N252" s="41"/>
      <c r="O252" s="41"/>
      <c r="P252" s="41"/>
      <c r="Q252" s="41"/>
      <c r="R252" s="41"/>
      <c r="S252" s="41" t="s">
        <v>44</v>
      </c>
      <c r="T252" s="41"/>
      <c r="U252" s="41"/>
      <c r="V252" s="41"/>
      <c r="W252" s="41"/>
      <c r="X252" s="42" t="s">
        <v>2094</v>
      </c>
      <c r="Y252" s="58" t="s">
        <v>2095</v>
      </c>
      <c r="Z252" s="211" t="s">
        <v>2096</v>
      </c>
      <c r="AA252" s="45">
        <v>44944</v>
      </c>
      <c r="AB252" s="101" t="s">
        <v>30</v>
      </c>
      <c r="AC252" s="36"/>
      <c r="AD252" s="47" t="s">
        <v>49</v>
      </c>
      <c r="AE252" s="48" t="s">
        <v>41</v>
      </c>
      <c r="AF252" s="48" t="s">
        <v>41</v>
      </c>
      <c r="AG252" s="48" t="s">
        <v>49</v>
      </c>
      <c r="AH252" s="48" t="s">
        <v>49</v>
      </c>
      <c r="AI252" s="48" t="s">
        <v>49</v>
      </c>
      <c r="AJ252" s="49" t="s">
        <v>49</v>
      </c>
      <c r="AK252" s="48" t="s">
        <v>49</v>
      </c>
      <c r="AL252" s="62" t="s">
        <v>32</v>
      </c>
      <c r="AM252" s="59"/>
      <c r="AN252" s="10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1"/>
    </row>
    <row r="253" spans="1:51" x14ac:dyDescent="0.2">
      <c r="A253" s="33">
        <f t="shared" si="4"/>
        <v>248</v>
      </c>
      <c r="B253" s="34" t="s">
        <v>2097</v>
      </c>
      <c r="C253" s="35" t="s">
        <v>2098</v>
      </c>
      <c r="D253" s="36" t="s">
        <v>2099</v>
      </c>
      <c r="E253" s="36" t="s">
        <v>54</v>
      </c>
      <c r="F253" s="98" t="s">
        <v>2100</v>
      </c>
      <c r="G253" s="37" t="s">
        <v>73</v>
      </c>
      <c r="H253" s="37" t="s">
        <v>73</v>
      </c>
      <c r="I253" s="34" t="s">
        <v>2101</v>
      </c>
      <c r="J253" s="34" t="s">
        <v>2102</v>
      </c>
      <c r="K253" s="39" t="s">
        <v>42</v>
      </c>
      <c r="L253" s="99" t="s">
        <v>2103</v>
      </c>
      <c r="M253" s="112"/>
      <c r="N253" s="112"/>
      <c r="O253" s="112"/>
      <c r="P253" s="112"/>
      <c r="Q253" s="112"/>
      <c r="R253" s="112"/>
      <c r="S253" s="112"/>
      <c r="T253" s="41"/>
      <c r="U253" s="41"/>
      <c r="V253" s="41"/>
      <c r="W253" s="41"/>
      <c r="X253" s="42" t="s">
        <v>2104</v>
      </c>
      <c r="Y253" s="58" t="s">
        <v>2105</v>
      </c>
      <c r="Z253" s="44" t="s">
        <v>2106</v>
      </c>
      <c r="AA253" s="45">
        <v>42325</v>
      </c>
      <c r="AB253" s="101" t="s">
        <v>30</v>
      </c>
      <c r="AC253" s="36" t="s">
        <v>26</v>
      </c>
      <c r="AD253" s="47" t="s">
        <v>49</v>
      </c>
      <c r="AE253" s="48" t="s">
        <v>49</v>
      </c>
      <c r="AF253" s="48" t="s">
        <v>41</v>
      </c>
      <c r="AG253" s="48" t="s">
        <v>41</v>
      </c>
      <c r="AH253" s="48" t="s">
        <v>41</v>
      </c>
      <c r="AI253" s="48" t="s">
        <v>41</v>
      </c>
      <c r="AJ253" s="49" t="s">
        <v>41</v>
      </c>
      <c r="AK253" s="48" t="s">
        <v>41</v>
      </c>
      <c r="AL253" s="62" t="s">
        <v>4587</v>
      </c>
      <c r="AM253" s="59" t="s">
        <v>2107</v>
      </c>
      <c r="AN253" s="117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1"/>
    </row>
    <row r="254" spans="1:51" x14ac:dyDescent="0.2">
      <c r="A254" s="33">
        <f t="shared" si="4"/>
        <v>249</v>
      </c>
      <c r="B254" s="34" t="s">
        <v>2108</v>
      </c>
      <c r="C254" s="35" t="s">
        <v>2109</v>
      </c>
      <c r="D254" s="36" t="s">
        <v>2110</v>
      </c>
      <c r="E254" s="36" t="s">
        <v>36</v>
      </c>
      <c r="F254" s="34" t="s">
        <v>2111</v>
      </c>
      <c r="G254" s="37" t="s">
        <v>73</v>
      </c>
      <c r="H254" s="37" t="s">
        <v>73</v>
      </c>
      <c r="I254" s="34" t="s">
        <v>2112</v>
      </c>
      <c r="J254" s="34" t="s">
        <v>41</v>
      </c>
      <c r="K254" s="39" t="s">
        <v>42</v>
      </c>
      <c r="L254" s="120">
        <v>40004</v>
      </c>
      <c r="M254" s="115"/>
      <c r="N254" s="115"/>
      <c r="O254" s="115"/>
      <c r="P254" s="115"/>
      <c r="Q254" s="115"/>
      <c r="R254" s="115"/>
      <c r="S254" s="115"/>
      <c r="T254" s="56"/>
      <c r="U254" s="56"/>
      <c r="V254" s="56"/>
      <c r="W254" s="56"/>
      <c r="X254" s="42" t="s">
        <v>2113</v>
      </c>
      <c r="Y254" s="58" t="s">
        <v>2114</v>
      </c>
      <c r="Z254" s="84" t="s">
        <v>2115</v>
      </c>
      <c r="AA254" s="45" t="s">
        <v>2116</v>
      </c>
      <c r="AB254" s="101" t="s">
        <v>30</v>
      </c>
      <c r="AC254" s="36" t="s">
        <v>26</v>
      </c>
      <c r="AD254" s="47" t="s">
        <v>49</v>
      </c>
      <c r="AE254" s="48" t="s">
        <v>49</v>
      </c>
      <c r="AF254" s="48" t="s">
        <v>49</v>
      </c>
      <c r="AG254" s="48" t="s">
        <v>49</v>
      </c>
      <c r="AH254" s="48" t="s">
        <v>49</v>
      </c>
      <c r="AI254" s="48" t="s">
        <v>49</v>
      </c>
      <c r="AJ254" s="49" t="s">
        <v>49</v>
      </c>
      <c r="AK254" s="48" t="s">
        <v>41</v>
      </c>
      <c r="AL254" s="213">
        <v>1</v>
      </c>
      <c r="AM254" s="59"/>
      <c r="AN254" s="10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1"/>
    </row>
    <row r="255" spans="1:51" x14ac:dyDescent="0.2">
      <c r="A255" s="33">
        <f t="shared" si="4"/>
        <v>250</v>
      </c>
      <c r="B255" s="34" t="s">
        <v>2117</v>
      </c>
      <c r="C255" s="35" t="s">
        <v>2118</v>
      </c>
      <c r="D255" s="36" t="s">
        <v>2119</v>
      </c>
      <c r="E255" s="36" t="s">
        <v>54</v>
      </c>
      <c r="F255" s="34" t="s">
        <v>2120</v>
      </c>
      <c r="G255" s="37" t="s">
        <v>73</v>
      </c>
      <c r="H255" s="37" t="s">
        <v>73</v>
      </c>
      <c r="I255" s="34" t="s">
        <v>2121</v>
      </c>
      <c r="J255" s="34" t="s">
        <v>41</v>
      </c>
      <c r="K255" s="39" t="s">
        <v>42</v>
      </c>
      <c r="L255" s="165">
        <v>45202</v>
      </c>
      <c r="M255" s="130" t="s">
        <v>179</v>
      </c>
      <c r="N255" s="115" t="s">
        <v>341</v>
      </c>
      <c r="O255" s="115" t="s">
        <v>1878</v>
      </c>
      <c r="P255" s="115">
        <v>2</v>
      </c>
      <c r="Q255" s="137"/>
      <c r="R255" s="137"/>
      <c r="S255" s="137"/>
      <c r="T255" s="137" t="s">
        <v>44</v>
      </c>
      <c r="U255" s="137"/>
      <c r="V255" s="137"/>
      <c r="W255" s="137"/>
      <c r="X255" s="42" t="s">
        <v>2122</v>
      </c>
      <c r="Y255" s="146" t="s">
        <v>2123</v>
      </c>
      <c r="Z255" s="44"/>
      <c r="AA255" s="45" t="s">
        <v>47</v>
      </c>
      <c r="AB255" s="164"/>
      <c r="AC255" s="36"/>
      <c r="AD255" s="47" t="s">
        <v>49</v>
      </c>
      <c r="AE255" s="48" t="s">
        <v>41</v>
      </c>
      <c r="AF255" s="48" t="s">
        <v>41</v>
      </c>
      <c r="AG255" s="48" t="s">
        <v>41</v>
      </c>
      <c r="AH255" s="48" t="s">
        <v>49</v>
      </c>
      <c r="AI255" s="48" t="s">
        <v>49</v>
      </c>
      <c r="AJ255" s="49" t="s">
        <v>41</v>
      </c>
      <c r="AK255" s="48" t="s">
        <v>41</v>
      </c>
      <c r="AL255" s="62">
        <v>1</v>
      </c>
      <c r="AM255" s="59"/>
      <c r="AN255" s="10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1"/>
    </row>
    <row r="256" spans="1:51" x14ac:dyDescent="0.2">
      <c r="A256" s="33">
        <f t="shared" si="4"/>
        <v>251</v>
      </c>
      <c r="B256" s="34" t="s">
        <v>2124</v>
      </c>
      <c r="C256" s="35" t="s">
        <v>2125</v>
      </c>
      <c r="D256" s="36" t="s">
        <v>2126</v>
      </c>
      <c r="E256" s="36" t="s">
        <v>54</v>
      </c>
      <c r="F256" s="34" t="s">
        <v>2127</v>
      </c>
      <c r="G256" s="37" t="s">
        <v>73</v>
      </c>
      <c r="H256" s="37" t="s">
        <v>73</v>
      </c>
      <c r="I256" s="34" t="s">
        <v>2128</v>
      </c>
      <c r="J256" s="34" t="s">
        <v>41</v>
      </c>
      <c r="K256" s="39" t="s">
        <v>42</v>
      </c>
      <c r="L256" s="163" t="s">
        <v>2129</v>
      </c>
      <c r="M256" s="130"/>
      <c r="N256" s="130"/>
      <c r="O256" s="130"/>
      <c r="P256" s="130"/>
      <c r="Q256" s="115"/>
      <c r="R256" s="115"/>
      <c r="S256" s="115"/>
      <c r="T256" s="115"/>
      <c r="U256" s="56"/>
      <c r="V256" s="56"/>
      <c r="W256" s="56"/>
      <c r="X256" s="42" t="s">
        <v>2130</v>
      </c>
      <c r="Y256" s="100" t="s">
        <v>2131</v>
      </c>
      <c r="Z256" s="44" t="s">
        <v>2132</v>
      </c>
      <c r="AA256" s="45">
        <v>41793</v>
      </c>
      <c r="AB256" s="164" t="s">
        <v>129</v>
      </c>
      <c r="AC256" s="36" t="s">
        <v>26</v>
      </c>
      <c r="AD256" s="47" t="s">
        <v>49</v>
      </c>
      <c r="AE256" s="48" t="s">
        <v>49</v>
      </c>
      <c r="AF256" s="48" t="s">
        <v>49</v>
      </c>
      <c r="AG256" s="48" t="s">
        <v>49</v>
      </c>
      <c r="AH256" s="48" t="s">
        <v>41</v>
      </c>
      <c r="AI256" s="48" t="s">
        <v>41</v>
      </c>
      <c r="AJ256" s="49" t="s">
        <v>41</v>
      </c>
      <c r="AK256" s="48" t="s">
        <v>41</v>
      </c>
      <c r="AL256" s="62" t="s">
        <v>139</v>
      </c>
      <c r="AM256" s="59"/>
      <c r="AN256" s="10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1"/>
    </row>
    <row r="257" spans="1:51" x14ac:dyDescent="0.2">
      <c r="A257" s="33">
        <f t="shared" si="4"/>
        <v>252</v>
      </c>
      <c r="B257" s="34" t="s">
        <v>2133</v>
      </c>
      <c r="C257" s="35" t="s">
        <v>2134</v>
      </c>
      <c r="D257" s="36" t="s">
        <v>2135</v>
      </c>
      <c r="E257" s="36" t="s">
        <v>54</v>
      </c>
      <c r="F257" s="34" t="s">
        <v>2136</v>
      </c>
      <c r="G257" s="37" t="s">
        <v>73</v>
      </c>
      <c r="H257" s="37" t="s">
        <v>73</v>
      </c>
      <c r="I257" s="34" t="s">
        <v>2137</v>
      </c>
      <c r="J257" s="34" t="s">
        <v>2138</v>
      </c>
      <c r="K257" s="39" t="s">
        <v>42</v>
      </c>
      <c r="L257" s="99" t="s">
        <v>2139</v>
      </c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42" t="s">
        <v>2140</v>
      </c>
      <c r="Y257" s="58" t="s">
        <v>2141</v>
      </c>
      <c r="Z257" s="44" t="s">
        <v>2142</v>
      </c>
      <c r="AA257" s="45">
        <v>41793</v>
      </c>
      <c r="AB257" s="101" t="s">
        <v>30</v>
      </c>
      <c r="AC257" s="36" t="s">
        <v>26</v>
      </c>
      <c r="AD257" s="64" t="s">
        <v>120</v>
      </c>
      <c r="AE257" s="48" t="s">
        <v>120</v>
      </c>
      <c r="AF257" s="48" t="s">
        <v>120</v>
      </c>
      <c r="AG257" s="48" t="s">
        <v>120</v>
      </c>
      <c r="AH257" s="48" t="s">
        <v>120</v>
      </c>
      <c r="AI257" s="48" t="s">
        <v>120</v>
      </c>
      <c r="AJ257" s="49" t="s">
        <v>120</v>
      </c>
      <c r="AK257" s="48" t="s">
        <v>120</v>
      </c>
      <c r="AL257" s="62" t="s">
        <v>32</v>
      </c>
      <c r="AM257" s="59"/>
      <c r="AN257" s="10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1"/>
    </row>
    <row r="258" spans="1:51" ht="15" customHeight="1" x14ac:dyDescent="0.2">
      <c r="A258" s="33">
        <f t="shared" si="4"/>
        <v>253</v>
      </c>
      <c r="B258" s="34" t="s">
        <v>2143</v>
      </c>
      <c r="C258" s="35" t="s">
        <v>2144</v>
      </c>
      <c r="D258" s="36" t="s">
        <v>2145</v>
      </c>
      <c r="E258" s="36" t="s">
        <v>54</v>
      </c>
      <c r="F258" s="34" t="s">
        <v>2146</v>
      </c>
      <c r="G258" s="37" t="s">
        <v>252</v>
      </c>
      <c r="H258" s="37" t="s">
        <v>57</v>
      </c>
      <c r="I258" s="38" t="s">
        <v>2147</v>
      </c>
      <c r="J258" s="34" t="s">
        <v>41</v>
      </c>
      <c r="K258" s="39" t="s">
        <v>42</v>
      </c>
      <c r="L258" s="120" t="s">
        <v>2148</v>
      </c>
      <c r="M258" s="56"/>
      <c r="N258" s="56"/>
      <c r="O258" s="56"/>
      <c r="P258" s="56"/>
      <c r="Q258" s="56"/>
      <c r="R258" s="56"/>
      <c r="S258" s="56" t="s">
        <v>44</v>
      </c>
      <c r="T258" s="56"/>
      <c r="U258" s="56"/>
      <c r="V258" s="56"/>
      <c r="W258" s="56"/>
      <c r="X258" s="42" t="s">
        <v>2149</v>
      </c>
      <c r="Y258" s="58" t="s">
        <v>2150</v>
      </c>
      <c r="Z258" s="211" t="s">
        <v>2151</v>
      </c>
      <c r="AA258" s="45">
        <v>44944</v>
      </c>
      <c r="AB258" s="101" t="s">
        <v>30</v>
      </c>
      <c r="AC258" s="36"/>
      <c r="AD258" s="61" t="s">
        <v>49</v>
      </c>
      <c r="AE258" s="48" t="s">
        <v>41</v>
      </c>
      <c r="AF258" s="48" t="s">
        <v>41</v>
      </c>
      <c r="AG258" s="48" t="s">
        <v>49</v>
      </c>
      <c r="AH258" s="48" t="s">
        <v>49</v>
      </c>
      <c r="AI258" s="48" t="s">
        <v>49</v>
      </c>
      <c r="AJ258" s="49" t="s">
        <v>49</v>
      </c>
      <c r="AK258" s="48" t="s">
        <v>49</v>
      </c>
      <c r="AL258" s="65" t="s">
        <v>32</v>
      </c>
      <c r="AM258" s="59"/>
      <c r="AN258" s="10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1"/>
    </row>
    <row r="259" spans="1:51" ht="15" customHeight="1" x14ac:dyDescent="0.2">
      <c r="A259" s="33">
        <f t="shared" si="4"/>
        <v>254</v>
      </c>
      <c r="B259" s="34" t="s">
        <v>2152</v>
      </c>
      <c r="C259" s="35" t="s">
        <v>2153</v>
      </c>
      <c r="D259" s="36" t="s">
        <v>2154</v>
      </c>
      <c r="E259" s="36" t="s">
        <v>54</v>
      </c>
      <c r="F259" s="34" t="s">
        <v>2155</v>
      </c>
      <c r="G259" s="37" t="s">
        <v>323</v>
      </c>
      <c r="H259" s="37" t="s">
        <v>39</v>
      </c>
      <c r="I259" s="38" t="s">
        <v>2156</v>
      </c>
      <c r="J259" s="34" t="s">
        <v>41</v>
      </c>
      <c r="K259" s="39" t="s">
        <v>42</v>
      </c>
      <c r="L259" s="120">
        <v>44869</v>
      </c>
      <c r="M259" s="56"/>
      <c r="N259" s="56"/>
      <c r="O259" s="56"/>
      <c r="P259" s="56"/>
      <c r="Q259" s="56"/>
      <c r="R259" s="56"/>
      <c r="S259" s="56" t="s">
        <v>44</v>
      </c>
      <c r="T259" s="56"/>
      <c r="U259" s="56"/>
      <c r="V259" s="56"/>
      <c r="W259" s="56"/>
      <c r="X259" s="42" t="s">
        <v>2157</v>
      </c>
      <c r="Y259" s="58" t="s">
        <v>2158</v>
      </c>
      <c r="Z259" s="211" t="s">
        <v>2159</v>
      </c>
      <c r="AA259" s="45">
        <v>44944</v>
      </c>
      <c r="AB259" s="101" t="s">
        <v>30</v>
      </c>
      <c r="AC259" s="36"/>
      <c r="AD259" s="61" t="s">
        <v>49</v>
      </c>
      <c r="AE259" s="48" t="s">
        <v>41</v>
      </c>
      <c r="AF259" s="48" t="s">
        <v>41</v>
      </c>
      <c r="AG259" s="48" t="s">
        <v>49</v>
      </c>
      <c r="AH259" s="48" t="s">
        <v>49</v>
      </c>
      <c r="AI259" s="48" t="s">
        <v>49</v>
      </c>
      <c r="AJ259" s="49" t="s">
        <v>49</v>
      </c>
      <c r="AK259" s="48" t="s">
        <v>49</v>
      </c>
      <c r="AL259" s="62" t="s">
        <v>32</v>
      </c>
      <c r="AM259" s="59"/>
      <c r="AN259" s="10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1"/>
    </row>
    <row r="260" spans="1:51" ht="15" customHeight="1" x14ac:dyDescent="0.2">
      <c r="A260" s="33">
        <f t="shared" si="4"/>
        <v>255</v>
      </c>
      <c r="B260" s="34" t="s">
        <v>2160</v>
      </c>
      <c r="C260" s="35" t="s">
        <v>2161</v>
      </c>
      <c r="D260" s="36" t="s">
        <v>2162</v>
      </c>
      <c r="E260" s="36" t="s">
        <v>54</v>
      </c>
      <c r="F260" s="34" t="s">
        <v>2163</v>
      </c>
      <c r="G260" s="37" t="s">
        <v>38</v>
      </c>
      <c r="H260" s="37" t="s">
        <v>39</v>
      </c>
      <c r="I260" s="34" t="s">
        <v>2164</v>
      </c>
      <c r="J260" s="38" t="s">
        <v>2165</v>
      </c>
      <c r="K260" s="39" t="s">
        <v>42</v>
      </c>
      <c r="L260" s="120">
        <v>37539</v>
      </c>
      <c r="M260" s="41"/>
      <c r="N260" s="41"/>
      <c r="O260" s="41"/>
      <c r="P260" s="41"/>
      <c r="Q260" s="112"/>
      <c r="R260" s="112"/>
      <c r="S260" s="112"/>
      <c r="T260" s="41"/>
      <c r="U260" s="41"/>
      <c r="V260" s="41"/>
      <c r="W260" s="41"/>
      <c r="X260" s="42" t="s">
        <v>2166</v>
      </c>
      <c r="Y260" s="69" t="s">
        <v>2167</v>
      </c>
      <c r="Z260" s="44" t="s">
        <v>61</v>
      </c>
      <c r="AA260" s="45">
        <v>37877</v>
      </c>
      <c r="AB260" s="101" t="s">
        <v>30</v>
      </c>
      <c r="AC260" s="36" t="s">
        <v>26</v>
      </c>
      <c r="AD260" s="47" t="s">
        <v>49</v>
      </c>
      <c r="AE260" s="48" t="s">
        <v>49</v>
      </c>
      <c r="AF260" s="48" t="s">
        <v>49</v>
      </c>
      <c r="AG260" s="48" t="s">
        <v>49</v>
      </c>
      <c r="AH260" s="48" t="s">
        <v>49</v>
      </c>
      <c r="AI260" s="48" t="s">
        <v>49</v>
      </c>
      <c r="AJ260" s="49" t="s">
        <v>41</v>
      </c>
      <c r="AK260" s="48" t="s">
        <v>41</v>
      </c>
      <c r="AL260" s="62" t="s">
        <v>276</v>
      </c>
      <c r="AM260" s="59"/>
      <c r="AN260" s="10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1"/>
    </row>
    <row r="261" spans="1:51" ht="15" customHeight="1" x14ac:dyDescent="0.2">
      <c r="A261" s="33">
        <f t="shared" si="4"/>
        <v>256</v>
      </c>
      <c r="B261" s="34" t="s">
        <v>2168</v>
      </c>
      <c r="C261" s="35" t="s">
        <v>2169</v>
      </c>
      <c r="D261" s="36" t="s">
        <v>2170</v>
      </c>
      <c r="E261" s="36" t="s">
        <v>36</v>
      </c>
      <c r="F261" s="214" t="s">
        <v>2171</v>
      </c>
      <c r="G261" s="37" t="s">
        <v>176</v>
      </c>
      <c r="H261" s="37" t="s">
        <v>39</v>
      </c>
      <c r="I261" s="38" t="s">
        <v>2172</v>
      </c>
      <c r="J261" s="34" t="s">
        <v>41</v>
      </c>
      <c r="K261" s="39" t="s">
        <v>42</v>
      </c>
      <c r="L261" s="99" t="s">
        <v>2173</v>
      </c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2" t="s">
        <v>2174</v>
      </c>
      <c r="Y261" s="58" t="s">
        <v>2175</v>
      </c>
      <c r="Z261" s="211" t="s">
        <v>2176</v>
      </c>
      <c r="AA261" s="45">
        <v>44944</v>
      </c>
      <c r="AB261" s="101" t="s">
        <v>30</v>
      </c>
      <c r="AC261" s="36"/>
      <c r="AD261" s="47" t="s">
        <v>49</v>
      </c>
      <c r="AE261" s="48" t="s">
        <v>41</v>
      </c>
      <c r="AF261" s="48" t="s">
        <v>41</v>
      </c>
      <c r="AG261" s="48" t="s">
        <v>49</v>
      </c>
      <c r="AH261" s="48" t="s">
        <v>49</v>
      </c>
      <c r="AI261" s="48" t="s">
        <v>49</v>
      </c>
      <c r="AJ261" s="49" t="s">
        <v>49</v>
      </c>
      <c r="AK261" s="48" t="s">
        <v>49</v>
      </c>
      <c r="AL261" s="62" t="s">
        <v>32</v>
      </c>
      <c r="AM261" s="59"/>
      <c r="AN261" s="117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1"/>
    </row>
    <row r="262" spans="1:51" ht="15" customHeight="1" x14ac:dyDescent="0.2">
      <c r="A262" s="33">
        <f t="shared" si="4"/>
        <v>257</v>
      </c>
      <c r="B262" s="107" t="s">
        <v>2177</v>
      </c>
      <c r="C262" s="35" t="s">
        <v>2178</v>
      </c>
      <c r="D262" s="36" t="s">
        <v>2179</v>
      </c>
      <c r="E262" s="36" t="s">
        <v>36</v>
      </c>
      <c r="F262" s="87" t="s">
        <v>2180</v>
      </c>
      <c r="G262" s="37" t="s">
        <v>73</v>
      </c>
      <c r="H262" s="37" t="s">
        <v>73</v>
      </c>
      <c r="I262" s="38" t="s">
        <v>2181</v>
      </c>
      <c r="J262" s="34" t="s">
        <v>41</v>
      </c>
      <c r="K262" s="39" t="s">
        <v>42</v>
      </c>
      <c r="L262" s="120" t="s">
        <v>2182</v>
      </c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42" t="s">
        <v>2183</v>
      </c>
      <c r="Y262" s="43" t="s">
        <v>2184</v>
      </c>
      <c r="Z262" s="44" t="s">
        <v>2185</v>
      </c>
      <c r="AA262" s="45" t="s">
        <v>1130</v>
      </c>
      <c r="AB262" s="101" t="s">
        <v>30</v>
      </c>
      <c r="AC262" s="36"/>
      <c r="AD262" s="47" t="s">
        <v>49</v>
      </c>
      <c r="AE262" s="48" t="s">
        <v>41</v>
      </c>
      <c r="AF262" s="48" t="s">
        <v>41</v>
      </c>
      <c r="AG262" s="48" t="s">
        <v>41</v>
      </c>
      <c r="AH262" s="48" t="s">
        <v>41</v>
      </c>
      <c r="AI262" s="48" t="s">
        <v>41</v>
      </c>
      <c r="AJ262" s="49" t="s">
        <v>41</v>
      </c>
      <c r="AK262" s="48" t="s">
        <v>41</v>
      </c>
      <c r="AL262" s="65" t="s">
        <v>4591</v>
      </c>
      <c r="AM262" s="59"/>
      <c r="AN262" s="10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1"/>
    </row>
    <row r="263" spans="1:51" ht="15" customHeight="1" x14ac:dyDescent="0.2">
      <c r="A263" s="33">
        <f t="shared" si="4"/>
        <v>258</v>
      </c>
      <c r="B263" s="107" t="s">
        <v>2186</v>
      </c>
      <c r="C263" s="35" t="s">
        <v>2187</v>
      </c>
      <c r="D263" s="36" t="s">
        <v>2188</v>
      </c>
      <c r="E263" s="36" t="s">
        <v>54</v>
      </c>
      <c r="F263" s="34" t="s">
        <v>2189</v>
      </c>
      <c r="G263" s="37" t="s">
        <v>456</v>
      </c>
      <c r="H263" s="37" t="s">
        <v>187</v>
      </c>
      <c r="I263" s="38" t="s">
        <v>2190</v>
      </c>
      <c r="J263" s="34" t="s">
        <v>41</v>
      </c>
      <c r="K263" s="39" t="s">
        <v>42</v>
      </c>
      <c r="L263" s="120" t="s">
        <v>2191</v>
      </c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42" t="s">
        <v>2192</v>
      </c>
      <c r="Y263" s="43" t="s">
        <v>2193</v>
      </c>
      <c r="Z263" s="211" t="s">
        <v>2194</v>
      </c>
      <c r="AA263" s="45">
        <v>44944</v>
      </c>
      <c r="AB263" s="101" t="s">
        <v>30</v>
      </c>
      <c r="AC263" s="36" t="s">
        <v>26</v>
      </c>
      <c r="AD263" s="47" t="s">
        <v>49</v>
      </c>
      <c r="AE263" s="48" t="s">
        <v>49</v>
      </c>
      <c r="AF263" s="48" t="s">
        <v>49</v>
      </c>
      <c r="AG263" s="48" t="s">
        <v>49</v>
      </c>
      <c r="AH263" s="48" t="s">
        <v>49</v>
      </c>
      <c r="AI263" s="48" t="s">
        <v>49</v>
      </c>
      <c r="AJ263" s="49" t="s">
        <v>49</v>
      </c>
      <c r="AK263" s="48" t="s">
        <v>41</v>
      </c>
      <c r="AL263" s="62" t="s">
        <v>148</v>
      </c>
      <c r="AM263" s="59"/>
      <c r="AN263" s="10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1"/>
    </row>
    <row r="264" spans="1:51" x14ac:dyDescent="0.2">
      <c r="A264" s="33">
        <f t="shared" si="4"/>
        <v>259</v>
      </c>
      <c r="B264" s="34" t="s">
        <v>2195</v>
      </c>
      <c r="C264" s="35" t="s">
        <v>2196</v>
      </c>
      <c r="D264" s="36" t="s">
        <v>2197</v>
      </c>
      <c r="E264" s="36" t="s">
        <v>54</v>
      </c>
      <c r="F264" s="34" t="s">
        <v>2198</v>
      </c>
      <c r="G264" s="37" t="s">
        <v>1354</v>
      </c>
      <c r="H264" s="37" t="s">
        <v>57</v>
      </c>
      <c r="I264" s="38" t="s">
        <v>2199</v>
      </c>
      <c r="J264" s="34" t="s">
        <v>41</v>
      </c>
      <c r="K264" s="39" t="s">
        <v>42</v>
      </c>
      <c r="L264" s="99" t="s">
        <v>2200</v>
      </c>
      <c r="M264" s="56"/>
      <c r="N264" s="56"/>
      <c r="O264" s="56"/>
      <c r="P264" s="56"/>
      <c r="Q264" s="56"/>
      <c r="R264" s="56" t="s">
        <v>44</v>
      </c>
      <c r="S264" s="56"/>
      <c r="T264" s="56"/>
      <c r="U264" s="56"/>
      <c r="V264" s="56"/>
      <c r="W264" s="56"/>
      <c r="X264" s="42" t="s">
        <v>2201</v>
      </c>
      <c r="Y264" s="43" t="s">
        <v>2202</v>
      </c>
      <c r="Z264" s="121" t="s">
        <v>2203</v>
      </c>
      <c r="AA264" s="45">
        <v>44650</v>
      </c>
      <c r="AB264" s="101" t="s">
        <v>30</v>
      </c>
      <c r="AC264" s="36"/>
      <c r="AD264" s="61" t="s">
        <v>49</v>
      </c>
      <c r="AE264" s="48" t="s">
        <v>41</v>
      </c>
      <c r="AF264" s="48" t="s">
        <v>49</v>
      </c>
      <c r="AG264" s="48" t="s">
        <v>49</v>
      </c>
      <c r="AH264" s="48" t="s">
        <v>49</v>
      </c>
      <c r="AI264" s="48" t="s">
        <v>49</v>
      </c>
      <c r="AJ264" s="49" t="s">
        <v>49</v>
      </c>
      <c r="AK264" s="48" t="s">
        <v>41</v>
      </c>
      <c r="AL264" s="62" t="s">
        <v>148</v>
      </c>
      <c r="AM264" s="59"/>
      <c r="AN264" s="10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1"/>
    </row>
    <row r="265" spans="1:51" x14ac:dyDescent="0.2">
      <c r="A265" s="33">
        <f t="shared" ref="A265:A328" si="5">+A264+1</f>
        <v>260</v>
      </c>
      <c r="B265" s="34" t="s">
        <v>2204</v>
      </c>
      <c r="C265" s="35" t="s">
        <v>2205</v>
      </c>
      <c r="D265" s="36" t="s">
        <v>2206</v>
      </c>
      <c r="E265" s="36" t="s">
        <v>54</v>
      </c>
      <c r="F265" s="34" t="s">
        <v>2207</v>
      </c>
      <c r="G265" s="37" t="s">
        <v>73</v>
      </c>
      <c r="H265" s="37" t="s">
        <v>73</v>
      </c>
      <c r="I265" s="34" t="s">
        <v>2208</v>
      </c>
      <c r="J265" s="34" t="s">
        <v>2208</v>
      </c>
      <c r="K265" s="39" t="s">
        <v>42</v>
      </c>
      <c r="L265" s="99" t="s">
        <v>2209</v>
      </c>
      <c r="M265" s="215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42"/>
      <c r="Y265" s="52" t="s">
        <v>2210</v>
      </c>
      <c r="Z265" s="119" t="s">
        <v>61</v>
      </c>
      <c r="AA265" s="45">
        <v>40815</v>
      </c>
      <c r="AB265" s="101" t="s">
        <v>30</v>
      </c>
      <c r="AC265" s="36"/>
      <c r="AD265" s="61" t="s">
        <v>49</v>
      </c>
      <c r="AE265" s="48" t="s">
        <v>41</v>
      </c>
      <c r="AF265" s="48" t="s">
        <v>41</v>
      </c>
      <c r="AG265" s="48" t="s">
        <v>41</v>
      </c>
      <c r="AH265" s="48" t="s">
        <v>41</v>
      </c>
      <c r="AI265" s="48" t="s">
        <v>41</v>
      </c>
      <c r="AJ265" s="49" t="s">
        <v>41</v>
      </c>
      <c r="AK265" s="48" t="s">
        <v>41</v>
      </c>
      <c r="AL265" s="65" t="s">
        <v>4588</v>
      </c>
      <c r="AM265" s="59" t="s">
        <v>2211</v>
      </c>
      <c r="AN265" s="117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1"/>
    </row>
    <row r="266" spans="1:51" x14ac:dyDescent="0.2">
      <c r="A266" s="33">
        <f t="shared" si="5"/>
        <v>261</v>
      </c>
      <c r="B266" s="34" t="s">
        <v>2212</v>
      </c>
      <c r="C266" s="35" t="s">
        <v>2213</v>
      </c>
      <c r="D266" s="36" t="s">
        <v>2214</v>
      </c>
      <c r="E266" s="36" t="s">
        <v>54</v>
      </c>
      <c r="F266" s="87" t="s">
        <v>2215</v>
      </c>
      <c r="G266" s="37" t="s">
        <v>73</v>
      </c>
      <c r="H266" s="37" t="s">
        <v>73</v>
      </c>
      <c r="I266" s="38" t="s">
        <v>2216</v>
      </c>
      <c r="J266" s="107" t="s">
        <v>2217</v>
      </c>
      <c r="K266" s="39" t="s">
        <v>42</v>
      </c>
      <c r="L266" s="99" t="s">
        <v>2218</v>
      </c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2" t="s">
        <v>2219</v>
      </c>
      <c r="Y266" s="100" t="s">
        <v>2220</v>
      </c>
      <c r="Z266" s="44" t="s">
        <v>2221</v>
      </c>
      <c r="AA266" s="45">
        <v>41793</v>
      </c>
      <c r="AB266" s="101" t="s">
        <v>30</v>
      </c>
      <c r="AC266" s="36" t="s">
        <v>26</v>
      </c>
      <c r="AD266" s="64" t="s">
        <v>120</v>
      </c>
      <c r="AE266" s="48" t="s">
        <v>120</v>
      </c>
      <c r="AF266" s="48" t="s">
        <v>120</v>
      </c>
      <c r="AG266" s="48" t="s">
        <v>120</v>
      </c>
      <c r="AH266" s="48" t="s">
        <v>120</v>
      </c>
      <c r="AI266" s="48" t="s">
        <v>120</v>
      </c>
      <c r="AJ266" s="49" t="s">
        <v>120</v>
      </c>
      <c r="AK266" s="48" t="s">
        <v>120</v>
      </c>
      <c r="AL266" s="65" t="s">
        <v>32</v>
      </c>
      <c r="AM266" s="59"/>
      <c r="AN266" s="10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1"/>
    </row>
    <row r="267" spans="1:51" x14ac:dyDescent="0.2">
      <c r="A267" s="33">
        <f t="shared" si="5"/>
        <v>262</v>
      </c>
      <c r="B267" s="34" t="s">
        <v>2222</v>
      </c>
      <c r="C267" s="35" t="s">
        <v>2223</v>
      </c>
      <c r="D267" s="36" t="s">
        <v>2224</v>
      </c>
      <c r="E267" s="36" t="s">
        <v>54</v>
      </c>
      <c r="F267" s="216" t="s">
        <v>2225</v>
      </c>
      <c r="G267" s="37" t="s">
        <v>73</v>
      </c>
      <c r="H267" s="37" t="s">
        <v>73</v>
      </c>
      <c r="I267" s="108" t="s">
        <v>2226</v>
      </c>
      <c r="J267" s="108" t="s">
        <v>2227</v>
      </c>
      <c r="K267" s="39" t="s">
        <v>42</v>
      </c>
      <c r="L267" s="120">
        <v>32234</v>
      </c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2" t="s">
        <v>2228</v>
      </c>
      <c r="Y267" s="58" t="s">
        <v>2229</v>
      </c>
      <c r="Z267" s="44" t="s">
        <v>61</v>
      </c>
      <c r="AA267" s="45">
        <v>40815</v>
      </c>
      <c r="AB267" s="101" t="s">
        <v>30</v>
      </c>
      <c r="AC267" s="36" t="s">
        <v>26</v>
      </c>
      <c r="AD267" s="64" t="s">
        <v>120</v>
      </c>
      <c r="AE267" s="48" t="s">
        <v>120</v>
      </c>
      <c r="AF267" s="48" t="s">
        <v>120</v>
      </c>
      <c r="AG267" s="48" t="s">
        <v>41</v>
      </c>
      <c r="AH267" s="48" t="s">
        <v>41</v>
      </c>
      <c r="AI267" s="48" t="s">
        <v>41</v>
      </c>
      <c r="AJ267" s="49" t="s">
        <v>41</v>
      </c>
      <c r="AK267" s="48" t="s">
        <v>41</v>
      </c>
      <c r="AL267" s="62" t="s">
        <v>110</v>
      </c>
      <c r="AM267" s="59"/>
      <c r="AN267" s="10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1"/>
    </row>
    <row r="268" spans="1:51" x14ac:dyDescent="0.2">
      <c r="A268" s="33">
        <f t="shared" si="5"/>
        <v>263</v>
      </c>
      <c r="B268" s="34" t="s">
        <v>2230</v>
      </c>
      <c r="C268" s="35" t="s">
        <v>2231</v>
      </c>
      <c r="D268" s="36" t="s">
        <v>2232</v>
      </c>
      <c r="E268" s="36" t="s">
        <v>54</v>
      </c>
      <c r="F268" s="60" t="s">
        <v>2233</v>
      </c>
      <c r="G268" s="37" t="s">
        <v>528</v>
      </c>
      <c r="H268" s="37" t="s">
        <v>57</v>
      </c>
      <c r="I268" s="113" t="s">
        <v>2234</v>
      </c>
      <c r="J268" s="34" t="s">
        <v>41</v>
      </c>
      <c r="K268" s="39" t="s">
        <v>42</v>
      </c>
      <c r="L268" s="120">
        <v>37207</v>
      </c>
      <c r="M268" s="41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42" t="s">
        <v>2235</v>
      </c>
      <c r="Y268" s="69" t="s">
        <v>2236</v>
      </c>
      <c r="Z268" s="44" t="s">
        <v>2237</v>
      </c>
      <c r="AA268" s="45">
        <v>41793</v>
      </c>
      <c r="AB268" s="101" t="s">
        <v>30</v>
      </c>
      <c r="AC268" s="73" t="s">
        <v>26</v>
      </c>
      <c r="AD268" s="47" t="s">
        <v>49</v>
      </c>
      <c r="AE268" s="48" t="s">
        <v>49</v>
      </c>
      <c r="AF268" s="48" t="s">
        <v>49</v>
      </c>
      <c r="AG268" s="48" t="s">
        <v>49</v>
      </c>
      <c r="AH268" s="48" t="s">
        <v>49</v>
      </c>
      <c r="AI268" s="48" t="s">
        <v>49</v>
      </c>
      <c r="AJ268" s="49" t="s">
        <v>49</v>
      </c>
      <c r="AK268" s="48" t="s">
        <v>41</v>
      </c>
      <c r="AL268" s="62" t="s">
        <v>148</v>
      </c>
      <c r="AM268" s="59"/>
      <c r="AN268" s="10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1"/>
    </row>
    <row r="269" spans="1:51" x14ac:dyDescent="0.2">
      <c r="A269" s="33">
        <f t="shared" si="5"/>
        <v>264</v>
      </c>
      <c r="B269" s="34" t="s">
        <v>2238</v>
      </c>
      <c r="C269" s="35" t="s">
        <v>2239</v>
      </c>
      <c r="D269" s="36" t="s">
        <v>2240</v>
      </c>
      <c r="E269" s="36" t="s">
        <v>54</v>
      </c>
      <c r="F269" s="108" t="s">
        <v>2241</v>
      </c>
      <c r="G269" s="37" t="s">
        <v>413</v>
      </c>
      <c r="H269" s="37" t="s">
        <v>378</v>
      </c>
      <c r="I269" s="34" t="s">
        <v>2242</v>
      </c>
      <c r="J269" s="34" t="s">
        <v>41</v>
      </c>
      <c r="K269" s="39" t="s">
        <v>42</v>
      </c>
      <c r="L269" s="120">
        <v>37377</v>
      </c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2" t="s">
        <v>2243</v>
      </c>
      <c r="Y269" s="52" t="s">
        <v>2244</v>
      </c>
      <c r="Z269" s="44" t="s">
        <v>61</v>
      </c>
      <c r="AA269" s="45">
        <v>37877</v>
      </c>
      <c r="AB269" s="101" t="s">
        <v>30</v>
      </c>
      <c r="AC269" s="36" t="s">
        <v>26</v>
      </c>
      <c r="AD269" s="47" t="s">
        <v>49</v>
      </c>
      <c r="AE269" s="48" t="s">
        <v>49</v>
      </c>
      <c r="AF269" s="48" t="s">
        <v>49</v>
      </c>
      <c r="AG269" s="48" t="s">
        <v>41</v>
      </c>
      <c r="AH269" s="48" t="s">
        <v>41</v>
      </c>
      <c r="AI269" s="48" t="s">
        <v>41</v>
      </c>
      <c r="AJ269" s="49" t="s">
        <v>41</v>
      </c>
      <c r="AK269" s="48" t="s">
        <v>41</v>
      </c>
      <c r="AL269" s="62">
        <v>5</v>
      </c>
      <c r="AM269" s="59"/>
      <c r="AN269" s="10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1"/>
    </row>
    <row r="270" spans="1:51" x14ac:dyDescent="0.2">
      <c r="A270" s="33">
        <f t="shared" si="5"/>
        <v>265</v>
      </c>
      <c r="B270" s="34" t="s">
        <v>2245</v>
      </c>
      <c r="C270" s="35" t="s">
        <v>2246</v>
      </c>
      <c r="D270" s="36" t="s">
        <v>2247</v>
      </c>
      <c r="E270" s="36" t="s">
        <v>36</v>
      </c>
      <c r="F270" s="60" t="s">
        <v>2248</v>
      </c>
      <c r="G270" s="37" t="s">
        <v>360</v>
      </c>
      <c r="H270" s="37" t="s">
        <v>350</v>
      </c>
      <c r="I270" s="113" t="s">
        <v>2249</v>
      </c>
      <c r="J270" s="34" t="s">
        <v>41</v>
      </c>
      <c r="K270" s="39" t="s">
        <v>42</v>
      </c>
      <c r="L270" s="120">
        <v>44384</v>
      </c>
      <c r="M270" s="41"/>
      <c r="N270" s="70"/>
      <c r="O270" s="70"/>
      <c r="P270" s="70"/>
      <c r="Q270" s="70"/>
      <c r="R270" s="70" t="s">
        <v>44</v>
      </c>
      <c r="S270" s="70"/>
      <c r="T270" s="70"/>
      <c r="U270" s="70"/>
      <c r="V270" s="70"/>
      <c r="W270" s="70"/>
      <c r="X270" s="42" t="s">
        <v>2250</v>
      </c>
      <c r="Y270" s="58" t="s">
        <v>2251</v>
      </c>
      <c r="Z270" s="84" t="s">
        <v>2252</v>
      </c>
      <c r="AA270" s="45">
        <v>44650</v>
      </c>
      <c r="AB270" s="101" t="s">
        <v>30</v>
      </c>
      <c r="AC270" s="73"/>
      <c r="AD270" s="47" t="s">
        <v>49</v>
      </c>
      <c r="AE270" s="48" t="s">
        <v>41</v>
      </c>
      <c r="AF270" s="48" t="s">
        <v>49</v>
      </c>
      <c r="AG270" s="48" t="s">
        <v>41</v>
      </c>
      <c r="AH270" s="48" t="s">
        <v>41</v>
      </c>
      <c r="AI270" s="48" t="s">
        <v>41</v>
      </c>
      <c r="AJ270" s="49" t="s">
        <v>41</v>
      </c>
      <c r="AK270" s="48" t="s">
        <v>41</v>
      </c>
      <c r="AL270" s="62" t="s">
        <v>110</v>
      </c>
      <c r="AM270" s="59"/>
      <c r="AN270" s="10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1"/>
    </row>
    <row r="271" spans="1:51" ht="18.75" customHeight="1" x14ac:dyDescent="0.2">
      <c r="A271" s="33">
        <f t="shared" si="5"/>
        <v>266</v>
      </c>
      <c r="B271" s="38" t="s">
        <v>2253</v>
      </c>
      <c r="C271" s="35" t="s">
        <v>2254</v>
      </c>
      <c r="D271" s="36" t="s">
        <v>2255</v>
      </c>
      <c r="E271" s="36" t="s">
        <v>54</v>
      </c>
      <c r="F271" s="200" t="s">
        <v>2256</v>
      </c>
      <c r="G271" s="37" t="s">
        <v>39</v>
      </c>
      <c r="H271" s="37" t="s">
        <v>39</v>
      </c>
      <c r="I271" s="38" t="s">
        <v>2257</v>
      </c>
      <c r="J271" s="38" t="s">
        <v>41</v>
      </c>
      <c r="K271" s="39" t="s">
        <v>42</v>
      </c>
      <c r="L271" s="158" t="s">
        <v>2258</v>
      </c>
      <c r="M271" s="56"/>
      <c r="N271" s="56"/>
      <c r="O271" s="56"/>
      <c r="P271" s="56"/>
      <c r="Q271" s="56"/>
      <c r="R271" s="56" t="s">
        <v>44</v>
      </c>
      <c r="S271" s="56"/>
      <c r="T271" s="56"/>
      <c r="U271" s="56"/>
      <c r="V271" s="56"/>
      <c r="W271" s="56"/>
      <c r="X271" s="42" t="s">
        <v>2259</v>
      </c>
      <c r="Y271" s="58" t="s">
        <v>2260</v>
      </c>
      <c r="Z271" s="207" t="s">
        <v>2261</v>
      </c>
      <c r="AA271" s="45">
        <v>44944</v>
      </c>
      <c r="AB271" s="101" t="s">
        <v>30</v>
      </c>
      <c r="AC271" s="36" t="s">
        <v>26</v>
      </c>
      <c r="AD271" s="47" t="s">
        <v>49</v>
      </c>
      <c r="AE271" s="48" t="s">
        <v>49</v>
      </c>
      <c r="AF271" s="48" t="s">
        <v>49</v>
      </c>
      <c r="AG271" s="48" t="s">
        <v>49</v>
      </c>
      <c r="AH271" s="48" t="s">
        <v>49</v>
      </c>
      <c r="AI271" s="48" t="s">
        <v>49</v>
      </c>
      <c r="AJ271" s="49" t="s">
        <v>49</v>
      </c>
      <c r="AK271" s="48" t="s">
        <v>41</v>
      </c>
      <c r="AL271" s="65" t="s">
        <v>148</v>
      </c>
      <c r="AM271" s="59"/>
      <c r="AN271" s="117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1"/>
    </row>
    <row r="272" spans="1:51" x14ac:dyDescent="0.2">
      <c r="A272" s="33">
        <f t="shared" si="5"/>
        <v>267</v>
      </c>
      <c r="B272" s="34" t="s">
        <v>2262</v>
      </c>
      <c r="C272" s="35" t="s">
        <v>2263</v>
      </c>
      <c r="D272" s="36" t="s">
        <v>2264</v>
      </c>
      <c r="E272" s="36" t="s">
        <v>54</v>
      </c>
      <c r="F272" s="200" t="s">
        <v>2265</v>
      </c>
      <c r="G272" s="37" t="s">
        <v>1285</v>
      </c>
      <c r="H272" s="37" t="s">
        <v>350</v>
      </c>
      <c r="I272" s="38" t="s">
        <v>2266</v>
      </c>
      <c r="J272" s="34" t="s">
        <v>41</v>
      </c>
      <c r="K272" s="39" t="s">
        <v>42</v>
      </c>
      <c r="L272" s="120">
        <v>43408</v>
      </c>
      <c r="M272" s="41" t="s">
        <v>179</v>
      </c>
      <c r="N272" s="41" t="s">
        <v>179</v>
      </c>
      <c r="O272" s="41"/>
      <c r="P272" s="41">
        <v>5</v>
      </c>
      <c r="Q272" s="41" t="s">
        <v>942</v>
      </c>
      <c r="R272" s="41"/>
      <c r="S272" s="41"/>
      <c r="T272" s="41"/>
      <c r="U272" s="41"/>
      <c r="V272" s="41"/>
      <c r="W272" s="41"/>
      <c r="X272" s="42" t="s">
        <v>2267</v>
      </c>
      <c r="Y272" s="58" t="s">
        <v>2268</v>
      </c>
      <c r="Z272" s="44"/>
      <c r="AA272" s="45" t="s">
        <v>47</v>
      </c>
      <c r="AB272" s="101"/>
      <c r="AC272" s="36"/>
      <c r="AD272" s="47" t="s">
        <v>49</v>
      </c>
      <c r="AE272" s="48" t="s">
        <v>41</v>
      </c>
      <c r="AF272" s="48" t="s">
        <v>41</v>
      </c>
      <c r="AG272" s="48" t="s">
        <v>41</v>
      </c>
      <c r="AH272" s="48" t="s">
        <v>41</v>
      </c>
      <c r="AI272" s="48" t="s">
        <v>41</v>
      </c>
      <c r="AJ272" s="49" t="s">
        <v>41</v>
      </c>
      <c r="AK272" s="48" t="s">
        <v>41</v>
      </c>
      <c r="AL272" s="65">
        <v>7</v>
      </c>
      <c r="AM272" s="59" t="s">
        <v>2211</v>
      </c>
      <c r="AN272" s="10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1"/>
    </row>
    <row r="273" spans="1:51" x14ac:dyDescent="0.2">
      <c r="A273" s="33">
        <f t="shared" si="5"/>
        <v>268</v>
      </c>
      <c r="B273" s="34" t="s">
        <v>2269</v>
      </c>
      <c r="C273" s="35" t="s">
        <v>2270</v>
      </c>
      <c r="D273" s="36" t="s">
        <v>2271</v>
      </c>
      <c r="E273" s="36" t="s">
        <v>54</v>
      </c>
      <c r="F273" s="200" t="s">
        <v>2265</v>
      </c>
      <c r="G273" s="37" t="s">
        <v>1285</v>
      </c>
      <c r="H273" s="37" t="s">
        <v>350</v>
      </c>
      <c r="I273" s="34" t="s">
        <v>2272</v>
      </c>
      <c r="J273" s="34" t="s">
        <v>2273</v>
      </c>
      <c r="K273" s="39" t="s">
        <v>42</v>
      </c>
      <c r="L273" s="99" t="s">
        <v>2274</v>
      </c>
      <c r="M273" s="112" t="s">
        <v>179</v>
      </c>
      <c r="N273" s="41" t="s">
        <v>179</v>
      </c>
      <c r="O273" s="41"/>
      <c r="P273" s="41">
        <v>5</v>
      </c>
      <c r="Q273" s="41" t="s">
        <v>942</v>
      </c>
      <c r="R273" s="41"/>
      <c r="S273" s="41"/>
      <c r="T273" s="41"/>
      <c r="U273" s="41"/>
      <c r="V273" s="41"/>
      <c r="W273" s="41"/>
      <c r="X273" s="57" t="s">
        <v>2267</v>
      </c>
      <c r="Y273" s="58" t="s">
        <v>2275</v>
      </c>
      <c r="Z273" s="44"/>
      <c r="AA273" s="45" t="s">
        <v>47</v>
      </c>
      <c r="AB273" s="101"/>
      <c r="AC273" s="36"/>
      <c r="AD273" s="47" t="s">
        <v>49</v>
      </c>
      <c r="AE273" s="48" t="s">
        <v>41</v>
      </c>
      <c r="AF273" s="48" t="s">
        <v>41</v>
      </c>
      <c r="AG273" s="48" t="s">
        <v>41</v>
      </c>
      <c r="AH273" s="48" t="s">
        <v>41</v>
      </c>
      <c r="AI273" s="48" t="s">
        <v>41</v>
      </c>
      <c r="AJ273" s="49" t="s">
        <v>41</v>
      </c>
      <c r="AK273" s="48" t="s">
        <v>41</v>
      </c>
      <c r="AL273" s="65" t="s">
        <v>4591</v>
      </c>
      <c r="AM273" s="59" t="s">
        <v>2211</v>
      </c>
      <c r="AN273" s="10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1"/>
    </row>
    <row r="274" spans="1:51" x14ac:dyDescent="0.2">
      <c r="A274" s="33">
        <f t="shared" si="5"/>
        <v>269</v>
      </c>
      <c r="B274" s="38" t="s">
        <v>2253</v>
      </c>
      <c r="C274" s="35" t="s">
        <v>2276</v>
      </c>
      <c r="D274" s="36" t="s">
        <v>2277</v>
      </c>
      <c r="E274" s="36" t="s">
        <v>36</v>
      </c>
      <c r="F274" s="200" t="s">
        <v>2278</v>
      </c>
      <c r="G274" s="37" t="s">
        <v>323</v>
      </c>
      <c r="H274" s="37" t="s">
        <v>39</v>
      </c>
      <c r="I274" s="38" t="s">
        <v>2279</v>
      </c>
      <c r="J274" s="38" t="s">
        <v>2279</v>
      </c>
      <c r="K274" s="39" t="s">
        <v>42</v>
      </c>
      <c r="L274" s="217" t="s">
        <v>2280</v>
      </c>
      <c r="M274" s="41"/>
      <c r="N274" s="41"/>
      <c r="O274" s="41"/>
      <c r="P274" s="41"/>
      <c r="Q274" s="41"/>
      <c r="R274" s="56"/>
      <c r="S274" s="56"/>
      <c r="T274" s="56"/>
      <c r="U274" s="56"/>
      <c r="V274" s="56"/>
      <c r="W274" s="56"/>
      <c r="X274" s="218" t="s">
        <v>2281</v>
      </c>
      <c r="Y274" s="83" t="s">
        <v>2282</v>
      </c>
      <c r="Z274" s="119"/>
      <c r="AA274" s="45" t="s">
        <v>47</v>
      </c>
      <c r="AB274" s="101"/>
      <c r="AC274" s="36"/>
      <c r="AD274" s="47" t="s">
        <v>49</v>
      </c>
      <c r="AE274" s="48" t="s">
        <v>41</v>
      </c>
      <c r="AF274" s="48" t="s">
        <v>41</v>
      </c>
      <c r="AG274" s="48" t="s">
        <v>41</v>
      </c>
      <c r="AH274" s="48" t="s">
        <v>41</v>
      </c>
      <c r="AI274" s="48" t="s">
        <v>41</v>
      </c>
      <c r="AJ274" s="49" t="s">
        <v>41</v>
      </c>
      <c r="AK274" s="48" t="s">
        <v>41</v>
      </c>
      <c r="AL274" s="65" t="s">
        <v>4591</v>
      </c>
      <c r="AM274" s="59"/>
      <c r="AN274" s="10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1"/>
    </row>
    <row r="275" spans="1:51" x14ac:dyDescent="0.2">
      <c r="A275" s="33">
        <f t="shared" si="5"/>
        <v>270</v>
      </c>
      <c r="B275" s="34" t="s">
        <v>2283</v>
      </c>
      <c r="C275" s="35" t="s">
        <v>2284</v>
      </c>
      <c r="D275" s="36" t="s">
        <v>2285</v>
      </c>
      <c r="E275" s="36" t="s">
        <v>54</v>
      </c>
      <c r="F275" s="60" t="s">
        <v>2286</v>
      </c>
      <c r="G275" s="37" t="s">
        <v>73</v>
      </c>
      <c r="H275" s="37" t="s">
        <v>73</v>
      </c>
      <c r="I275" s="113" t="s">
        <v>2287</v>
      </c>
      <c r="J275" s="34" t="s">
        <v>41</v>
      </c>
      <c r="K275" s="39" t="s">
        <v>42</v>
      </c>
      <c r="L275" s="120" t="s">
        <v>2288</v>
      </c>
      <c r="M275" s="41"/>
      <c r="N275" s="70"/>
      <c r="O275" s="70"/>
      <c r="P275" s="70"/>
      <c r="Q275" s="70"/>
      <c r="R275" s="70"/>
      <c r="S275" s="70" t="s">
        <v>44</v>
      </c>
      <c r="T275" s="70"/>
      <c r="U275" s="70"/>
      <c r="V275" s="70"/>
      <c r="W275" s="70"/>
      <c r="X275" s="42" t="s">
        <v>2289</v>
      </c>
      <c r="Y275" s="58" t="s">
        <v>2290</v>
      </c>
      <c r="Z275" s="84" t="s">
        <v>2291</v>
      </c>
      <c r="AA275" s="45">
        <v>44650</v>
      </c>
      <c r="AB275" s="101" t="s">
        <v>30</v>
      </c>
      <c r="AC275" s="73"/>
      <c r="AD275" s="47" t="s">
        <v>49</v>
      </c>
      <c r="AE275" s="48" t="s">
        <v>41</v>
      </c>
      <c r="AF275" s="48" t="s">
        <v>41</v>
      </c>
      <c r="AG275" s="48" t="s">
        <v>49</v>
      </c>
      <c r="AH275" s="48" t="s">
        <v>49</v>
      </c>
      <c r="AI275" s="48" t="s">
        <v>41</v>
      </c>
      <c r="AJ275" s="49" t="s">
        <v>41</v>
      </c>
      <c r="AK275" s="48" t="s">
        <v>41</v>
      </c>
      <c r="AL275" s="62" t="s">
        <v>4589</v>
      </c>
      <c r="AM275" s="59"/>
      <c r="AN275" s="117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1"/>
    </row>
    <row r="276" spans="1:51" x14ac:dyDescent="0.2">
      <c r="A276" s="33">
        <f t="shared" si="5"/>
        <v>271</v>
      </c>
      <c r="B276" s="34" t="s">
        <v>2292</v>
      </c>
      <c r="C276" s="35" t="s">
        <v>2293</v>
      </c>
      <c r="D276" s="36" t="s">
        <v>2294</v>
      </c>
      <c r="E276" s="36" t="s">
        <v>54</v>
      </c>
      <c r="F276" s="52" t="s">
        <v>2295</v>
      </c>
      <c r="G276" s="37" t="s">
        <v>350</v>
      </c>
      <c r="H276" s="37" t="s">
        <v>350</v>
      </c>
      <c r="I276" s="113" t="s">
        <v>2296</v>
      </c>
      <c r="J276" s="34" t="s">
        <v>41</v>
      </c>
      <c r="K276" s="39" t="s">
        <v>42</v>
      </c>
      <c r="L276" s="120">
        <v>45237</v>
      </c>
      <c r="M276" s="41"/>
      <c r="N276" s="70"/>
      <c r="O276" s="70"/>
      <c r="P276" s="70"/>
      <c r="Q276" s="70"/>
      <c r="R276" s="70"/>
      <c r="S276" s="70"/>
      <c r="T276" s="70" t="s">
        <v>44</v>
      </c>
      <c r="U276" s="70"/>
      <c r="V276" s="70"/>
      <c r="W276" s="70"/>
      <c r="X276" s="42" t="s">
        <v>2297</v>
      </c>
      <c r="Y276" s="83" t="s">
        <v>2298</v>
      </c>
      <c r="Z276" s="44"/>
      <c r="AA276" s="45">
        <v>45642</v>
      </c>
      <c r="AB276" s="101"/>
      <c r="AC276" s="73"/>
      <c r="AD276" s="47" t="s">
        <v>49</v>
      </c>
      <c r="AE276" s="48" t="s">
        <v>41</v>
      </c>
      <c r="AF276" s="48" t="s">
        <v>41</v>
      </c>
      <c r="AG276" s="48" t="s">
        <v>41</v>
      </c>
      <c r="AH276" s="48" t="s">
        <v>49</v>
      </c>
      <c r="AI276" s="48" t="s">
        <v>49</v>
      </c>
      <c r="AJ276" s="49" t="s">
        <v>49</v>
      </c>
      <c r="AK276" s="48" t="s">
        <v>41</v>
      </c>
      <c r="AL276" s="62" t="s">
        <v>148</v>
      </c>
      <c r="AM276" s="59"/>
      <c r="AN276" s="117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1"/>
    </row>
    <row r="277" spans="1:51" x14ac:dyDescent="0.2">
      <c r="A277" s="33">
        <f t="shared" si="5"/>
        <v>272</v>
      </c>
      <c r="B277" s="34" t="s">
        <v>2299</v>
      </c>
      <c r="C277" s="35" t="s">
        <v>2300</v>
      </c>
      <c r="D277" s="36" t="s">
        <v>2301</v>
      </c>
      <c r="E277" s="36" t="s">
        <v>36</v>
      </c>
      <c r="F277" s="34" t="s">
        <v>2302</v>
      </c>
      <c r="G277" s="37" t="s">
        <v>73</v>
      </c>
      <c r="H277" s="37" t="s">
        <v>73</v>
      </c>
      <c r="I277" s="34" t="s">
        <v>2303</v>
      </c>
      <c r="J277" s="34" t="s">
        <v>41</v>
      </c>
      <c r="K277" s="39" t="s">
        <v>42</v>
      </c>
      <c r="L277" s="99" t="s">
        <v>1160</v>
      </c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42" t="s">
        <v>2304</v>
      </c>
      <c r="Y277" s="52" t="s">
        <v>2305</v>
      </c>
      <c r="Z277" s="44" t="s">
        <v>2306</v>
      </c>
      <c r="AA277" s="45">
        <v>43200</v>
      </c>
      <c r="AB277" s="101" t="s">
        <v>30</v>
      </c>
      <c r="AC277" s="36" t="s">
        <v>26</v>
      </c>
      <c r="AD277" s="47" t="s">
        <v>49</v>
      </c>
      <c r="AE277" s="48" t="s">
        <v>49</v>
      </c>
      <c r="AF277" s="48" t="s">
        <v>49</v>
      </c>
      <c r="AG277" s="48" t="s">
        <v>49</v>
      </c>
      <c r="AH277" s="48" t="s">
        <v>49</v>
      </c>
      <c r="AI277" s="48" t="s">
        <v>49</v>
      </c>
      <c r="AJ277" s="49" t="s">
        <v>49</v>
      </c>
      <c r="AK277" s="48" t="s">
        <v>41</v>
      </c>
      <c r="AL277" s="62" t="s">
        <v>148</v>
      </c>
      <c r="AM277" s="59"/>
      <c r="AN277" s="10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1"/>
    </row>
    <row r="278" spans="1:51" x14ac:dyDescent="0.2">
      <c r="A278" s="33">
        <f t="shared" si="5"/>
        <v>273</v>
      </c>
      <c r="B278" s="34" t="s">
        <v>2307</v>
      </c>
      <c r="C278" s="35" t="s">
        <v>2308</v>
      </c>
      <c r="D278" s="36" t="s">
        <v>2309</v>
      </c>
      <c r="E278" s="36" t="s">
        <v>54</v>
      </c>
      <c r="F278" s="34" t="s">
        <v>2310</v>
      </c>
      <c r="G278" s="37" t="s">
        <v>176</v>
      </c>
      <c r="H278" s="37" t="s">
        <v>39</v>
      </c>
      <c r="I278" s="34" t="s">
        <v>2311</v>
      </c>
      <c r="J278" s="34" t="s">
        <v>41</v>
      </c>
      <c r="K278" s="39" t="s">
        <v>42</v>
      </c>
      <c r="L278" s="99" t="s">
        <v>2312</v>
      </c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2" t="s">
        <v>2313</v>
      </c>
      <c r="Y278" s="58" t="s">
        <v>2314</v>
      </c>
      <c r="Z278" s="44" t="s">
        <v>61</v>
      </c>
      <c r="AA278" s="45">
        <v>38593</v>
      </c>
      <c r="AB278" s="101" t="s">
        <v>30</v>
      </c>
      <c r="AC278" s="36"/>
      <c r="AD278" s="47" t="s">
        <v>49</v>
      </c>
      <c r="AE278" s="48" t="s">
        <v>41</v>
      </c>
      <c r="AF278" s="48" t="s">
        <v>41</v>
      </c>
      <c r="AG278" s="48" t="s">
        <v>41</v>
      </c>
      <c r="AH278" s="48" t="s">
        <v>41</v>
      </c>
      <c r="AI278" s="48" t="s">
        <v>41</v>
      </c>
      <c r="AJ278" s="49" t="s">
        <v>41</v>
      </c>
      <c r="AK278" s="48" t="s">
        <v>41</v>
      </c>
      <c r="AL278" s="65" t="s">
        <v>4591</v>
      </c>
      <c r="AM278" s="59" t="s">
        <v>460</v>
      </c>
      <c r="AN278" s="10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1"/>
    </row>
    <row r="279" spans="1:51" x14ac:dyDescent="0.2">
      <c r="A279" s="33">
        <f t="shared" si="5"/>
        <v>274</v>
      </c>
      <c r="B279" s="34" t="s">
        <v>2315</v>
      </c>
      <c r="C279" s="35" t="s">
        <v>2316</v>
      </c>
      <c r="D279" s="36" t="s">
        <v>2317</v>
      </c>
      <c r="E279" s="36" t="s">
        <v>54</v>
      </c>
      <c r="F279" s="34" t="s">
        <v>2318</v>
      </c>
      <c r="G279" s="37" t="s">
        <v>349</v>
      </c>
      <c r="H279" s="37" t="s">
        <v>350</v>
      </c>
      <c r="I279" s="38" t="s">
        <v>2319</v>
      </c>
      <c r="J279" s="34" t="s">
        <v>41</v>
      </c>
      <c r="K279" s="39" t="s">
        <v>42</v>
      </c>
      <c r="L279" s="99" t="s">
        <v>2320</v>
      </c>
      <c r="M279" s="41"/>
      <c r="N279" s="41"/>
      <c r="O279" s="41"/>
      <c r="P279" s="41"/>
      <c r="Q279" s="41"/>
      <c r="R279" s="41"/>
      <c r="S279" s="41"/>
      <c r="T279" s="41"/>
      <c r="U279" s="41"/>
      <c r="V279" s="41" t="s">
        <v>732</v>
      </c>
      <c r="W279" s="41"/>
      <c r="X279" s="42" t="s">
        <v>2321</v>
      </c>
      <c r="Y279" s="52" t="s">
        <v>2322</v>
      </c>
      <c r="Z279" s="44" t="s">
        <v>2323</v>
      </c>
      <c r="AA279" s="45">
        <v>42935</v>
      </c>
      <c r="AB279" s="101" t="s">
        <v>30</v>
      </c>
      <c r="AC279" s="36" t="s">
        <v>26</v>
      </c>
      <c r="AD279" s="47" t="s">
        <v>49</v>
      </c>
      <c r="AE279" s="48" t="s">
        <v>49</v>
      </c>
      <c r="AF279" s="48" t="s">
        <v>49</v>
      </c>
      <c r="AG279" s="48" t="s">
        <v>49</v>
      </c>
      <c r="AH279" s="48" t="s">
        <v>49</v>
      </c>
      <c r="AI279" s="48" t="s">
        <v>49</v>
      </c>
      <c r="AJ279" s="49" t="s">
        <v>49</v>
      </c>
      <c r="AK279" s="48" t="s">
        <v>49</v>
      </c>
      <c r="AL279" s="65" t="s">
        <v>32</v>
      </c>
      <c r="AM279" s="59"/>
      <c r="AN279" s="10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1"/>
    </row>
    <row r="280" spans="1:51" x14ac:dyDescent="0.2">
      <c r="A280" s="33">
        <f t="shared" si="5"/>
        <v>275</v>
      </c>
      <c r="B280" s="34" t="s">
        <v>2324</v>
      </c>
      <c r="C280" s="35" t="s">
        <v>2325</v>
      </c>
      <c r="D280" s="36" t="s">
        <v>2326</v>
      </c>
      <c r="E280" s="36" t="s">
        <v>36</v>
      </c>
      <c r="F280" s="34" t="s">
        <v>2327</v>
      </c>
      <c r="G280" s="37" t="s">
        <v>73</v>
      </c>
      <c r="H280" s="37" t="s">
        <v>73</v>
      </c>
      <c r="I280" s="34" t="s">
        <v>2328</v>
      </c>
      <c r="J280" s="34" t="s">
        <v>2329</v>
      </c>
      <c r="K280" s="39" t="s">
        <v>42</v>
      </c>
      <c r="L280" s="120">
        <v>42254</v>
      </c>
      <c r="M280" s="41" t="s">
        <v>179</v>
      </c>
      <c r="N280" s="41" t="s">
        <v>179</v>
      </c>
      <c r="O280" s="41"/>
      <c r="P280" s="41">
        <v>5</v>
      </c>
      <c r="Q280" s="41" t="s">
        <v>942</v>
      </c>
      <c r="R280" s="41"/>
      <c r="S280" s="41"/>
      <c r="T280" s="41"/>
      <c r="U280" s="41"/>
      <c r="V280" s="41"/>
      <c r="W280" s="41"/>
      <c r="X280" s="42" t="s">
        <v>2330</v>
      </c>
      <c r="Y280" s="58" t="s">
        <v>2331</v>
      </c>
      <c r="Z280" s="44"/>
      <c r="AA280" s="45" t="s">
        <v>47</v>
      </c>
      <c r="AB280" s="101"/>
      <c r="AC280" s="36" t="s">
        <v>26</v>
      </c>
      <c r="AD280" s="47" t="s">
        <v>49</v>
      </c>
      <c r="AE280" s="48" t="s">
        <v>49</v>
      </c>
      <c r="AF280" s="48" t="s">
        <v>41</v>
      </c>
      <c r="AG280" s="48" t="s">
        <v>41</v>
      </c>
      <c r="AH280" s="48" t="s">
        <v>41</v>
      </c>
      <c r="AI280" s="48" t="s">
        <v>41</v>
      </c>
      <c r="AJ280" s="49" t="s">
        <v>41</v>
      </c>
      <c r="AK280" s="48" t="s">
        <v>41</v>
      </c>
      <c r="AL280" s="62" t="s">
        <v>4587</v>
      </c>
      <c r="AM280" s="59"/>
      <c r="AN280" s="10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1"/>
    </row>
    <row r="281" spans="1:51" x14ac:dyDescent="0.2">
      <c r="A281" s="33">
        <f t="shared" si="5"/>
        <v>276</v>
      </c>
      <c r="B281" s="34" t="s">
        <v>2332</v>
      </c>
      <c r="C281" s="35" t="s">
        <v>2333</v>
      </c>
      <c r="D281" s="36" t="s">
        <v>2334</v>
      </c>
      <c r="E281" s="36" t="s">
        <v>54</v>
      </c>
      <c r="F281" s="34" t="s">
        <v>2335</v>
      </c>
      <c r="G281" s="37" t="s">
        <v>38</v>
      </c>
      <c r="H281" s="37" t="s">
        <v>39</v>
      </c>
      <c r="I281" s="34" t="s">
        <v>2336</v>
      </c>
      <c r="J281" s="34" t="s">
        <v>41</v>
      </c>
      <c r="K281" s="39" t="s">
        <v>42</v>
      </c>
      <c r="L281" s="99" t="s">
        <v>2337</v>
      </c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2" t="s">
        <v>2338</v>
      </c>
      <c r="Y281" s="43" t="s">
        <v>2339</v>
      </c>
      <c r="Z281" s="44" t="s">
        <v>61</v>
      </c>
      <c r="AA281" s="45">
        <v>37877</v>
      </c>
      <c r="AB281" s="101" t="s">
        <v>30</v>
      </c>
      <c r="AC281" s="36" t="s">
        <v>26</v>
      </c>
      <c r="AD281" s="47" t="s">
        <v>49</v>
      </c>
      <c r="AE281" s="48" t="s">
        <v>49</v>
      </c>
      <c r="AF281" s="48" t="s">
        <v>49</v>
      </c>
      <c r="AG281" s="48" t="s">
        <v>49</v>
      </c>
      <c r="AH281" s="48" t="s">
        <v>49</v>
      </c>
      <c r="AI281" s="48" t="s">
        <v>49</v>
      </c>
      <c r="AJ281" s="49" t="s">
        <v>49</v>
      </c>
      <c r="AK281" s="48" t="s">
        <v>41</v>
      </c>
      <c r="AL281" s="65" t="s">
        <v>148</v>
      </c>
      <c r="AM281" s="59"/>
      <c r="AN281" s="10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1"/>
    </row>
    <row r="282" spans="1:51" x14ac:dyDescent="0.2">
      <c r="A282" s="33">
        <f t="shared" si="5"/>
        <v>277</v>
      </c>
      <c r="B282" s="34" t="s">
        <v>2340</v>
      </c>
      <c r="C282" s="35" t="s">
        <v>2341</v>
      </c>
      <c r="D282" s="36" t="s">
        <v>2342</v>
      </c>
      <c r="E282" s="36" t="s">
        <v>54</v>
      </c>
      <c r="F282" s="34" t="s">
        <v>2343</v>
      </c>
      <c r="G282" s="37" t="s">
        <v>38</v>
      </c>
      <c r="H282" s="37" t="s">
        <v>39</v>
      </c>
      <c r="I282" s="34" t="s">
        <v>2344</v>
      </c>
      <c r="J282" s="34" t="s">
        <v>41</v>
      </c>
      <c r="K282" s="39" t="s">
        <v>42</v>
      </c>
      <c r="L282" s="120">
        <v>37598</v>
      </c>
      <c r="M282" s="41"/>
      <c r="N282" s="111"/>
      <c r="O282" s="112"/>
      <c r="P282" s="111"/>
      <c r="Q282" s="112"/>
      <c r="R282" s="112"/>
      <c r="S282" s="112"/>
      <c r="T282" s="41"/>
      <c r="U282" s="41"/>
      <c r="V282" s="41"/>
      <c r="W282" s="41"/>
      <c r="X282" s="42" t="s">
        <v>2345</v>
      </c>
      <c r="Y282" s="69" t="s">
        <v>2346</v>
      </c>
      <c r="Z282" s="44" t="s">
        <v>61</v>
      </c>
      <c r="AA282" s="45">
        <v>37877</v>
      </c>
      <c r="AB282" s="101" t="s">
        <v>30</v>
      </c>
      <c r="AC282" s="36" t="s">
        <v>26</v>
      </c>
      <c r="AD282" s="47" t="s">
        <v>49</v>
      </c>
      <c r="AE282" s="48" t="s">
        <v>49</v>
      </c>
      <c r="AF282" s="48" t="s">
        <v>49</v>
      </c>
      <c r="AG282" s="48" t="s">
        <v>49</v>
      </c>
      <c r="AH282" s="48" t="s">
        <v>49</v>
      </c>
      <c r="AI282" s="48" t="s">
        <v>49</v>
      </c>
      <c r="AJ282" s="49" t="s">
        <v>49</v>
      </c>
      <c r="AK282" s="48" t="s">
        <v>49</v>
      </c>
      <c r="AL282" s="62" t="s">
        <v>32</v>
      </c>
      <c r="AM282" s="59"/>
      <c r="AN282" s="10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1"/>
    </row>
    <row r="283" spans="1:51" x14ac:dyDescent="0.2">
      <c r="A283" s="33">
        <f t="shared" si="5"/>
        <v>278</v>
      </c>
      <c r="B283" s="34" t="s">
        <v>2347</v>
      </c>
      <c r="C283" s="35" t="s">
        <v>2348</v>
      </c>
      <c r="D283" s="36" t="s">
        <v>2349</v>
      </c>
      <c r="E283" s="36" t="s">
        <v>54</v>
      </c>
      <c r="F283" s="98" t="s">
        <v>2350</v>
      </c>
      <c r="G283" s="37" t="s">
        <v>398</v>
      </c>
      <c r="H283" s="37" t="s">
        <v>205</v>
      </c>
      <c r="I283" s="34" t="s">
        <v>2351</v>
      </c>
      <c r="J283" s="34" t="s">
        <v>41</v>
      </c>
      <c r="K283" s="39" t="s">
        <v>42</v>
      </c>
      <c r="L283" s="99" t="s">
        <v>2352</v>
      </c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2" t="s">
        <v>2353</v>
      </c>
      <c r="Y283" s="52" t="s">
        <v>2354</v>
      </c>
      <c r="Z283" s="44" t="s">
        <v>61</v>
      </c>
      <c r="AA283" s="45">
        <v>36641</v>
      </c>
      <c r="AB283" s="101" t="s">
        <v>30</v>
      </c>
      <c r="AC283" s="36" t="s">
        <v>26</v>
      </c>
      <c r="AD283" s="47" t="s">
        <v>49</v>
      </c>
      <c r="AE283" s="48" t="s">
        <v>49</v>
      </c>
      <c r="AF283" s="48" t="s">
        <v>49</v>
      </c>
      <c r="AG283" s="48" t="s">
        <v>49</v>
      </c>
      <c r="AH283" s="48" t="s">
        <v>49</v>
      </c>
      <c r="AI283" s="48" t="s">
        <v>49</v>
      </c>
      <c r="AJ283" s="49" t="s">
        <v>49</v>
      </c>
      <c r="AK283" s="48" t="s">
        <v>41</v>
      </c>
      <c r="AL283" s="62" t="s">
        <v>148</v>
      </c>
      <c r="AM283" s="59"/>
      <c r="AN283" s="10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1"/>
    </row>
    <row r="284" spans="1:51" x14ac:dyDescent="0.2">
      <c r="A284" s="33">
        <f t="shared" si="5"/>
        <v>279</v>
      </c>
      <c r="B284" s="34" t="s">
        <v>2355</v>
      </c>
      <c r="C284" s="35" t="s">
        <v>2356</v>
      </c>
      <c r="D284" s="36" t="s">
        <v>2357</v>
      </c>
      <c r="E284" s="36" t="s">
        <v>36</v>
      </c>
      <c r="F284" s="98" t="s">
        <v>2358</v>
      </c>
      <c r="G284" s="37" t="s">
        <v>73</v>
      </c>
      <c r="H284" s="37" t="s">
        <v>73</v>
      </c>
      <c r="I284" s="219" t="s">
        <v>2359</v>
      </c>
      <c r="J284" s="34"/>
      <c r="K284" s="39" t="s">
        <v>42</v>
      </c>
      <c r="L284" s="120">
        <v>45883</v>
      </c>
      <c r="M284" s="41"/>
      <c r="N284" s="41"/>
      <c r="O284" s="41"/>
      <c r="P284" s="41"/>
      <c r="Q284" s="41"/>
      <c r="R284" s="41"/>
      <c r="S284" s="41"/>
      <c r="T284" s="41"/>
      <c r="U284" s="41"/>
      <c r="V284" s="41" t="s">
        <v>44</v>
      </c>
      <c r="W284" s="41"/>
      <c r="X284" s="42" t="s">
        <v>2360</v>
      </c>
      <c r="Y284" s="43" t="s">
        <v>2361</v>
      </c>
      <c r="Z284" s="44"/>
      <c r="AA284" s="45"/>
      <c r="AB284" s="101"/>
      <c r="AC284" s="36"/>
      <c r="AD284" s="47" t="s">
        <v>49</v>
      </c>
      <c r="AE284" s="48" t="s">
        <v>41</v>
      </c>
      <c r="AF284" s="48" t="s">
        <v>41</v>
      </c>
      <c r="AG284" s="48" t="s">
        <v>41</v>
      </c>
      <c r="AH284" s="48" t="s">
        <v>41</v>
      </c>
      <c r="AI284" s="48" t="s">
        <v>41</v>
      </c>
      <c r="AJ284" s="49" t="s">
        <v>49</v>
      </c>
      <c r="AK284" s="48" t="s">
        <v>41</v>
      </c>
      <c r="AL284" s="62" t="s">
        <v>148</v>
      </c>
      <c r="AM284" s="59"/>
      <c r="AN284" s="10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1"/>
    </row>
    <row r="285" spans="1:51" x14ac:dyDescent="0.2">
      <c r="A285" s="33">
        <f t="shared" si="5"/>
        <v>280</v>
      </c>
      <c r="B285" s="34" t="s">
        <v>2363</v>
      </c>
      <c r="C285" s="35" t="s">
        <v>2364</v>
      </c>
      <c r="D285" s="36" t="s">
        <v>2365</v>
      </c>
      <c r="E285" s="36" t="s">
        <v>241</v>
      </c>
      <c r="F285" s="34" t="s">
        <v>2366</v>
      </c>
      <c r="G285" s="37" t="s">
        <v>73</v>
      </c>
      <c r="H285" s="37" t="s">
        <v>73</v>
      </c>
      <c r="I285" s="34" t="s">
        <v>2367</v>
      </c>
      <c r="J285" s="34" t="s">
        <v>41</v>
      </c>
      <c r="K285" s="39" t="s">
        <v>42</v>
      </c>
      <c r="L285" s="120">
        <v>35040</v>
      </c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2" t="s">
        <v>2368</v>
      </c>
      <c r="Y285" s="69" t="s">
        <v>2369</v>
      </c>
      <c r="Z285" s="44" t="s">
        <v>61</v>
      </c>
      <c r="AA285" s="45">
        <v>36641</v>
      </c>
      <c r="AB285" s="101" t="s">
        <v>30</v>
      </c>
      <c r="AC285" s="36" t="s">
        <v>26</v>
      </c>
      <c r="AD285" s="47" t="s">
        <v>49</v>
      </c>
      <c r="AE285" s="48" t="s">
        <v>49</v>
      </c>
      <c r="AF285" s="48" t="s">
        <v>49</v>
      </c>
      <c r="AG285" s="48" t="s">
        <v>49</v>
      </c>
      <c r="AH285" s="48" t="s">
        <v>49</v>
      </c>
      <c r="AI285" s="48" t="s">
        <v>49</v>
      </c>
      <c r="AJ285" s="49" t="s">
        <v>49</v>
      </c>
      <c r="AK285" s="48" t="s">
        <v>41</v>
      </c>
      <c r="AL285" s="62" t="s">
        <v>148</v>
      </c>
      <c r="AM285" s="59"/>
      <c r="AN285" s="10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1"/>
    </row>
    <row r="286" spans="1:51" x14ac:dyDescent="0.2">
      <c r="A286" s="33">
        <f t="shared" si="5"/>
        <v>281</v>
      </c>
      <c r="B286" s="108" t="s">
        <v>2370</v>
      </c>
      <c r="C286" s="35" t="s">
        <v>2371</v>
      </c>
      <c r="D286" s="174" t="s">
        <v>2372</v>
      </c>
      <c r="E286" s="36" t="s">
        <v>54</v>
      </c>
      <c r="F286" s="108" t="s">
        <v>2373</v>
      </c>
      <c r="G286" s="37" t="s">
        <v>456</v>
      </c>
      <c r="H286" s="37" t="s">
        <v>187</v>
      </c>
      <c r="I286" s="108" t="s">
        <v>2374</v>
      </c>
      <c r="J286" s="108" t="s">
        <v>2374</v>
      </c>
      <c r="K286" s="39" t="s">
        <v>42</v>
      </c>
      <c r="L286" s="120" t="s">
        <v>2375</v>
      </c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42" t="s">
        <v>2376</v>
      </c>
      <c r="Y286" s="52" t="s">
        <v>2377</v>
      </c>
      <c r="Z286" s="44" t="s">
        <v>2378</v>
      </c>
      <c r="AA286" s="45">
        <v>42935</v>
      </c>
      <c r="AB286" s="101" t="s">
        <v>30</v>
      </c>
      <c r="AC286" s="109" t="s">
        <v>26</v>
      </c>
      <c r="AD286" s="47" t="s">
        <v>49</v>
      </c>
      <c r="AE286" s="48" t="s">
        <v>49</v>
      </c>
      <c r="AF286" s="48" t="s">
        <v>49</v>
      </c>
      <c r="AG286" s="48" t="s">
        <v>49</v>
      </c>
      <c r="AH286" s="48" t="s">
        <v>49</v>
      </c>
      <c r="AI286" s="48" t="s">
        <v>49</v>
      </c>
      <c r="AJ286" s="49" t="s">
        <v>49</v>
      </c>
      <c r="AK286" s="48" t="s">
        <v>49</v>
      </c>
      <c r="AL286" s="65" t="s">
        <v>32</v>
      </c>
      <c r="AM286" s="59"/>
      <c r="AN286" s="10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1"/>
    </row>
    <row r="287" spans="1:51" x14ac:dyDescent="0.2">
      <c r="A287" s="33">
        <f t="shared" si="5"/>
        <v>282</v>
      </c>
      <c r="B287" s="139" t="s">
        <v>2379</v>
      </c>
      <c r="C287" s="35" t="s">
        <v>2380</v>
      </c>
      <c r="D287" s="174" t="s">
        <v>2381</v>
      </c>
      <c r="E287" s="36" t="s">
        <v>36</v>
      </c>
      <c r="F287" s="185" t="s">
        <v>2382</v>
      </c>
      <c r="G287" s="37" t="s">
        <v>176</v>
      </c>
      <c r="H287" s="37" t="s">
        <v>39</v>
      </c>
      <c r="I287" s="140" t="s">
        <v>2383</v>
      </c>
      <c r="J287" s="139" t="s">
        <v>41</v>
      </c>
      <c r="K287" s="39" t="s">
        <v>42</v>
      </c>
      <c r="L287" s="120">
        <v>45079</v>
      </c>
      <c r="M287" s="56" t="s">
        <v>179</v>
      </c>
      <c r="N287" s="56" t="s">
        <v>179</v>
      </c>
      <c r="O287" s="56"/>
      <c r="P287" s="56">
        <v>2</v>
      </c>
      <c r="Q287" s="56" t="s">
        <v>942</v>
      </c>
      <c r="R287" s="56"/>
      <c r="S287" s="56"/>
      <c r="T287" s="56" t="s">
        <v>44</v>
      </c>
      <c r="U287" s="56"/>
      <c r="V287" s="56"/>
      <c r="W287" s="56"/>
      <c r="X287" s="42" t="s">
        <v>2384</v>
      </c>
      <c r="Y287" s="55" t="s">
        <v>2385</v>
      </c>
      <c r="Z287" s="55"/>
      <c r="AA287" s="55" t="s">
        <v>47</v>
      </c>
      <c r="AB287" s="101"/>
      <c r="AC287" s="109"/>
      <c r="AD287" s="47" t="s">
        <v>49</v>
      </c>
      <c r="AE287" s="48" t="s">
        <v>41</v>
      </c>
      <c r="AF287" s="48" t="s">
        <v>41</v>
      </c>
      <c r="AG287" s="48" t="s">
        <v>41</v>
      </c>
      <c r="AH287" s="48" t="s">
        <v>49</v>
      </c>
      <c r="AI287" s="48" t="s">
        <v>41</v>
      </c>
      <c r="AJ287" s="49" t="s">
        <v>41</v>
      </c>
      <c r="AK287" s="48" t="s">
        <v>41</v>
      </c>
      <c r="AL287" s="62" t="s">
        <v>4589</v>
      </c>
      <c r="AM287" s="59"/>
      <c r="AN287" s="10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1"/>
    </row>
    <row r="288" spans="1:51" x14ac:dyDescent="0.2">
      <c r="A288" s="33">
        <f t="shared" si="5"/>
        <v>283</v>
      </c>
      <c r="B288" s="108" t="s">
        <v>2386</v>
      </c>
      <c r="C288" s="35" t="s">
        <v>2387</v>
      </c>
      <c r="D288" s="174" t="s">
        <v>2388</v>
      </c>
      <c r="E288" s="36" t="s">
        <v>54</v>
      </c>
      <c r="F288" s="108" t="s">
        <v>2389</v>
      </c>
      <c r="G288" s="37" t="s">
        <v>73</v>
      </c>
      <c r="H288" s="37" t="s">
        <v>73</v>
      </c>
      <c r="I288" s="145" t="s">
        <v>2390</v>
      </c>
      <c r="J288" s="108" t="s">
        <v>41</v>
      </c>
      <c r="K288" s="39" t="s">
        <v>42</v>
      </c>
      <c r="L288" s="120">
        <v>45852</v>
      </c>
      <c r="M288" s="56"/>
      <c r="N288" s="56"/>
      <c r="O288" s="56"/>
      <c r="P288" s="56"/>
      <c r="Q288" s="56"/>
      <c r="R288" s="56"/>
      <c r="S288" s="56"/>
      <c r="T288" s="56"/>
      <c r="U288" s="56"/>
      <c r="V288" s="56" t="s">
        <v>44</v>
      </c>
      <c r="W288" s="56"/>
      <c r="X288" s="42" t="s">
        <v>2391</v>
      </c>
      <c r="Y288" s="43" t="s">
        <v>2392</v>
      </c>
      <c r="Z288" s="55"/>
      <c r="AA288" s="55"/>
      <c r="AB288" s="101"/>
      <c r="AC288" s="109"/>
      <c r="AD288" s="47" t="s">
        <v>49</v>
      </c>
      <c r="AE288" s="48" t="s">
        <v>41</v>
      </c>
      <c r="AF288" s="48" t="s">
        <v>41</v>
      </c>
      <c r="AG288" s="48" t="s">
        <v>41</v>
      </c>
      <c r="AH288" s="48" t="s">
        <v>41</v>
      </c>
      <c r="AI288" s="48" t="s">
        <v>41</v>
      </c>
      <c r="AJ288" s="49" t="s">
        <v>49</v>
      </c>
      <c r="AK288" s="48" t="s">
        <v>41</v>
      </c>
      <c r="AL288" s="62" t="s">
        <v>148</v>
      </c>
      <c r="AM288" s="59"/>
      <c r="AN288" s="10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1"/>
    </row>
    <row r="289" spans="1:51" x14ac:dyDescent="0.2">
      <c r="A289" s="33">
        <f t="shared" si="5"/>
        <v>284</v>
      </c>
      <c r="B289" s="107" t="s">
        <v>2393</v>
      </c>
      <c r="C289" s="35" t="s">
        <v>2394</v>
      </c>
      <c r="D289" s="36" t="s">
        <v>2395</v>
      </c>
      <c r="E289" s="36" t="s">
        <v>54</v>
      </c>
      <c r="F289" s="98" t="s">
        <v>2396</v>
      </c>
      <c r="G289" s="37" t="s">
        <v>56</v>
      </c>
      <c r="H289" s="37" t="s">
        <v>57</v>
      </c>
      <c r="I289" s="54" t="s">
        <v>2397</v>
      </c>
      <c r="J289" s="183" t="s">
        <v>41</v>
      </c>
      <c r="K289" s="39" t="s">
        <v>42</v>
      </c>
      <c r="L289" s="120" t="s">
        <v>390</v>
      </c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42" t="s">
        <v>2398</v>
      </c>
      <c r="Y289" s="69" t="s">
        <v>2399</v>
      </c>
      <c r="Z289" s="44" t="s">
        <v>2400</v>
      </c>
      <c r="AA289" s="45">
        <v>43200</v>
      </c>
      <c r="AB289" s="101" t="s">
        <v>30</v>
      </c>
      <c r="AC289" s="73"/>
      <c r="AD289" s="47" t="s">
        <v>49</v>
      </c>
      <c r="AE289" s="48" t="s">
        <v>41</v>
      </c>
      <c r="AF289" s="48" t="s">
        <v>41</v>
      </c>
      <c r="AG289" s="48" t="s">
        <v>41</v>
      </c>
      <c r="AH289" s="48" t="s">
        <v>41</v>
      </c>
      <c r="AI289" s="48" t="s">
        <v>41</v>
      </c>
      <c r="AJ289" s="49" t="s">
        <v>41</v>
      </c>
      <c r="AK289" s="48" t="s">
        <v>41</v>
      </c>
      <c r="AL289" s="65" t="s">
        <v>4592</v>
      </c>
      <c r="AM289" s="59"/>
      <c r="AN289" s="10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1"/>
    </row>
    <row r="290" spans="1:51" x14ac:dyDescent="0.2">
      <c r="A290" s="33">
        <f t="shared" si="5"/>
        <v>285</v>
      </c>
      <c r="B290" s="34" t="s">
        <v>2401</v>
      </c>
      <c r="C290" s="35" t="s">
        <v>2402</v>
      </c>
      <c r="D290" s="36" t="s">
        <v>2403</v>
      </c>
      <c r="E290" s="36" t="s">
        <v>54</v>
      </c>
      <c r="F290" s="98" t="s">
        <v>2404</v>
      </c>
      <c r="G290" s="37" t="s">
        <v>214</v>
      </c>
      <c r="H290" s="37" t="s">
        <v>205</v>
      </c>
      <c r="I290" s="42" t="s">
        <v>2405</v>
      </c>
      <c r="J290" s="38" t="s">
        <v>41</v>
      </c>
      <c r="K290" s="39" t="s">
        <v>42</v>
      </c>
      <c r="L290" s="120">
        <v>42223</v>
      </c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42" t="s">
        <v>2405</v>
      </c>
      <c r="Y290" s="69" t="s">
        <v>2406</v>
      </c>
      <c r="Z290" s="44" t="s">
        <v>2407</v>
      </c>
      <c r="AA290" s="45">
        <v>42325</v>
      </c>
      <c r="AB290" s="101" t="s">
        <v>30</v>
      </c>
      <c r="AC290" s="73" t="s">
        <v>26</v>
      </c>
      <c r="AD290" s="47" t="s">
        <v>49</v>
      </c>
      <c r="AE290" s="48" t="s">
        <v>49</v>
      </c>
      <c r="AF290" s="48" t="s">
        <v>49</v>
      </c>
      <c r="AG290" s="48" t="s">
        <v>49</v>
      </c>
      <c r="AH290" s="48" t="s">
        <v>49</v>
      </c>
      <c r="AI290" s="48" t="s">
        <v>49</v>
      </c>
      <c r="AJ290" s="49" t="s">
        <v>41</v>
      </c>
      <c r="AK290" s="48" t="s">
        <v>41</v>
      </c>
      <c r="AL290" s="62" t="s">
        <v>276</v>
      </c>
      <c r="AM290" s="59"/>
      <c r="AN290" s="10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1"/>
    </row>
    <row r="291" spans="1:51" x14ac:dyDescent="0.2">
      <c r="A291" s="33">
        <f t="shared" si="5"/>
        <v>286</v>
      </c>
      <c r="B291" s="34" t="s">
        <v>2408</v>
      </c>
      <c r="C291" s="35" t="s">
        <v>2409</v>
      </c>
      <c r="D291" s="36" t="s">
        <v>2410</v>
      </c>
      <c r="E291" s="36" t="s">
        <v>36</v>
      </c>
      <c r="F291" s="34" t="s">
        <v>2411</v>
      </c>
      <c r="G291" s="37" t="s">
        <v>349</v>
      </c>
      <c r="H291" s="37" t="s">
        <v>350</v>
      </c>
      <c r="I291" s="34" t="s">
        <v>2412</v>
      </c>
      <c r="J291" s="34" t="s">
        <v>41</v>
      </c>
      <c r="K291" s="39" t="s">
        <v>42</v>
      </c>
      <c r="L291" s="99" t="s">
        <v>2413</v>
      </c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42" t="s">
        <v>2414</v>
      </c>
      <c r="Y291" s="58" t="s">
        <v>2415</v>
      </c>
      <c r="Z291" s="44" t="s">
        <v>2416</v>
      </c>
      <c r="AA291" s="45">
        <v>41793</v>
      </c>
      <c r="AB291" s="101" t="s">
        <v>30</v>
      </c>
      <c r="AC291" s="36"/>
      <c r="AD291" s="47" t="s">
        <v>49</v>
      </c>
      <c r="AE291" s="48" t="s">
        <v>41</v>
      </c>
      <c r="AF291" s="48" t="s">
        <v>41</v>
      </c>
      <c r="AG291" s="48" t="s">
        <v>41</v>
      </c>
      <c r="AH291" s="48" t="s">
        <v>41</v>
      </c>
      <c r="AI291" s="48" t="s">
        <v>41</v>
      </c>
      <c r="AJ291" s="49" t="s">
        <v>41</v>
      </c>
      <c r="AK291" s="48" t="s">
        <v>41</v>
      </c>
      <c r="AL291" s="65" t="s">
        <v>4588</v>
      </c>
      <c r="AM291" s="59"/>
      <c r="AN291" s="117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1"/>
    </row>
    <row r="292" spans="1:51" x14ac:dyDescent="0.2">
      <c r="A292" s="33">
        <f t="shared" si="5"/>
        <v>287</v>
      </c>
      <c r="B292" s="34" t="s">
        <v>2417</v>
      </c>
      <c r="C292" s="35" t="s">
        <v>2418</v>
      </c>
      <c r="D292" s="36" t="s">
        <v>2419</v>
      </c>
      <c r="E292" s="36" t="s">
        <v>54</v>
      </c>
      <c r="F292" s="34" t="s">
        <v>2420</v>
      </c>
      <c r="G292" s="37" t="s">
        <v>243</v>
      </c>
      <c r="H292" s="37" t="s">
        <v>205</v>
      </c>
      <c r="I292" s="38" t="s">
        <v>2421</v>
      </c>
      <c r="J292" s="34" t="s">
        <v>41</v>
      </c>
      <c r="K292" s="39" t="s">
        <v>42</v>
      </c>
      <c r="L292" s="120">
        <v>45052</v>
      </c>
      <c r="M292" s="56"/>
      <c r="N292" s="56"/>
      <c r="O292" s="56"/>
      <c r="P292" s="56"/>
      <c r="Q292" s="56"/>
      <c r="R292" s="56"/>
      <c r="S292" s="56"/>
      <c r="T292" s="56" t="s">
        <v>44</v>
      </c>
      <c r="U292" s="56"/>
      <c r="V292" s="56"/>
      <c r="W292" s="56"/>
      <c r="X292" s="42" t="s">
        <v>2422</v>
      </c>
      <c r="Y292" s="58" t="s">
        <v>2423</v>
      </c>
      <c r="Z292" s="44"/>
      <c r="AA292" s="45">
        <v>45642</v>
      </c>
      <c r="AB292" s="101"/>
      <c r="AC292" s="36"/>
      <c r="AD292" s="47" t="s">
        <v>49</v>
      </c>
      <c r="AE292" s="48" t="s">
        <v>41</v>
      </c>
      <c r="AF292" s="48" t="s">
        <v>41</v>
      </c>
      <c r="AG292" s="48" t="s">
        <v>41</v>
      </c>
      <c r="AH292" s="48" t="s">
        <v>49</v>
      </c>
      <c r="AI292" s="48" t="s">
        <v>49</v>
      </c>
      <c r="AJ292" s="49" t="s">
        <v>49</v>
      </c>
      <c r="AK292" s="48" t="s">
        <v>49</v>
      </c>
      <c r="AL292" s="62" t="s">
        <v>32</v>
      </c>
      <c r="AM292" s="59"/>
      <c r="AN292" s="10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1"/>
    </row>
    <row r="293" spans="1:51" x14ac:dyDescent="0.2">
      <c r="A293" s="33">
        <f t="shared" si="5"/>
        <v>288</v>
      </c>
      <c r="B293" s="34" t="s">
        <v>2424</v>
      </c>
      <c r="C293" s="35" t="s">
        <v>2425</v>
      </c>
      <c r="D293" s="36" t="s">
        <v>2426</v>
      </c>
      <c r="E293" s="36" t="s">
        <v>54</v>
      </c>
      <c r="F293" s="34" t="s">
        <v>2427</v>
      </c>
      <c r="G293" s="37" t="s">
        <v>349</v>
      </c>
      <c r="H293" s="37" t="s">
        <v>350</v>
      </c>
      <c r="I293" s="38" t="s">
        <v>2428</v>
      </c>
      <c r="J293" s="34" t="s">
        <v>41</v>
      </c>
      <c r="K293" s="39" t="s">
        <v>42</v>
      </c>
      <c r="L293" s="120">
        <v>40853</v>
      </c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2" t="s">
        <v>2429</v>
      </c>
      <c r="Y293" s="69" t="s">
        <v>2430</v>
      </c>
      <c r="Z293" s="44" t="s">
        <v>2431</v>
      </c>
      <c r="AA293" s="45">
        <v>41803</v>
      </c>
      <c r="AB293" s="101" t="s">
        <v>30</v>
      </c>
      <c r="AC293" s="36" t="s">
        <v>26</v>
      </c>
      <c r="AD293" s="47" t="s">
        <v>49</v>
      </c>
      <c r="AE293" s="48" t="s">
        <v>49</v>
      </c>
      <c r="AF293" s="48" t="s">
        <v>49</v>
      </c>
      <c r="AG293" s="48" t="s">
        <v>49</v>
      </c>
      <c r="AH293" s="48" t="s">
        <v>49</v>
      </c>
      <c r="AI293" s="48" t="s">
        <v>49</v>
      </c>
      <c r="AJ293" s="49" t="s">
        <v>49</v>
      </c>
      <c r="AK293" s="48" t="s">
        <v>49</v>
      </c>
      <c r="AL293" s="62" t="s">
        <v>32</v>
      </c>
      <c r="AM293" s="59"/>
      <c r="AN293" s="10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1"/>
    </row>
    <row r="294" spans="1:51" x14ac:dyDescent="0.2">
      <c r="A294" s="33">
        <f t="shared" si="5"/>
        <v>289</v>
      </c>
      <c r="B294" s="34" t="s">
        <v>2432</v>
      </c>
      <c r="C294" s="35" t="s">
        <v>2433</v>
      </c>
      <c r="D294" s="36" t="s">
        <v>2434</v>
      </c>
      <c r="E294" s="36" t="s">
        <v>54</v>
      </c>
      <c r="F294" s="34" t="s">
        <v>2435</v>
      </c>
      <c r="G294" s="37" t="s">
        <v>1285</v>
      </c>
      <c r="H294" s="37" t="s">
        <v>350</v>
      </c>
      <c r="I294" s="34" t="s">
        <v>2436</v>
      </c>
      <c r="J294" s="34" t="s">
        <v>41</v>
      </c>
      <c r="K294" s="39" t="s">
        <v>42</v>
      </c>
      <c r="L294" s="99" t="s">
        <v>2437</v>
      </c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2" t="s">
        <v>2438</v>
      </c>
      <c r="Y294" s="69" t="s">
        <v>2439</v>
      </c>
      <c r="Z294" s="119" t="s">
        <v>61</v>
      </c>
      <c r="AA294" s="45">
        <v>38593</v>
      </c>
      <c r="AB294" s="101" t="s">
        <v>30</v>
      </c>
      <c r="AC294" s="73" t="s">
        <v>26</v>
      </c>
      <c r="AD294" s="47" t="s">
        <v>49</v>
      </c>
      <c r="AE294" s="48" t="s">
        <v>49</v>
      </c>
      <c r="AF294" s="48" t="s">
        <v>41</v>
      </c>
      <c r="AG294" s="48" t="s">
        <v>41</v>
      </c>
      <c r="AH294" s="48" t="s">
        <v>41</v>
      </c>
      <c r="AI294" s="48" t="s">
        <v>41</v>
      </c>
      <c r="AJ294" s="49" t="s">
        <v>41</v>
      </c>
      <c r="AK294" s="48" t="s">
        <v>41</v>
      </c>
      <c r="AL294" s="65" t="s">
        <v>4587</v>
      </c>
      <c r="AM294" s="59"/>
      <c r="AN294" s="10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1"/>
    </row>
    <row r="295" spans="1:51" x14ac:dyDescent="0.2">
      <c r="A295" s="33">
        <f t="shared" si="5"/>
        <v>290</v>
      </c>
      <c r="B295" s="34" t="s">
        <v>2440</v>
      </c>
      <c r="C295" s="35" t="s">
        <v>2441</v>
      </c>
      <c r="D295" s="36" t="s">
        <v>2442</v>
      </c>
      <c r="E295" s="36" t="s">
        <v>54</v>
      </c>
      <c r="F295" s="98" t="s">
        <v>2443</v>
      </c>
      <c r="G295" s="37" t="s">
        <v>73</v>
      </c>
      <c r="H295" s="37" t="s">
        <v>73</v>
      </c>
      <c r="I295" s="34" t="s">
        <v>2444</v>
      </c>
      <c r="J295" s="34" t="s">
        <v>41</v>
      </c>
      <c r="K295" s="39" t="s">
        <v>42</v>
      </c>
      <c r="L295" s="120">
        <v>44354</v>
      </c>
      <c r="M295" s="56"/>
      <c r="N295" s="56"/>
      <c r="O295" s="56"/>
      <c r="P295" s="56"/>
      <c r="Q295" s="56"/>
      <c r="R295" s="56" t="s">
        <v>44</v>
      </c>
      <c r="S295" s="56"/>
      <c r="T295" s="56"/>
      <c r="U295" s="56"/>
      <c r="V295" s="56"/>
      <c r="W295" s="56"/>
      <c r="X295" s="42" t="s">
        <v>2445</v>
      </c>
      <c r="Y295" s="58" t="s">
        <v>2446</v>
      </c>
      <c r="Z295" s="84" t="s">
        <v>2447</v>
      </c>
      <c r="AA295" s="45">
        <v>44650</v>
      </c>
      <c r="AB295" s="101" t="s">
        <v>30</v>
      </c>
      <c r="AC295" s="73"/>
      <c r="AD295" s="64" t="s">
        <v>120</v>
      </c>
      <c r="AE295" s="48" t="s">
        <v>41</v>
      </c>
      <c r="AF295" s="48" t="s">
        <v>120</v>
      </c>
      <c r="AG295" s="48" t="s">
        <v>120</v>
      </c>
      <c r="AH295" s="48" t="s">
        <v>120</v>
      </c>
      <c r="AI295" s="48" t="s">
        <v>120</v>
      </c>
      <c r="AJ295" s="49" t="s">
        <v>120</v>
      </c>
      <c r="AK295" s="48" t="s">
        <v>120</v>
      </c>
      <c r="AL295" s="62" t="s">
        <v>32</v>
      </c>
      <c r="AM295" s="59"/>
      <c r="AN295" s="10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1"/>
    </row>
    <row r="296" spans="1:51" x14ac:dyDescent="0.2">
      <c r="A296" s="33">
        <f t="shared" si="5"/>
        <v>291</v>
      </c>
      <c r="B296" s="34" t="s">
        <v>2448</v>
      </c>
      <c r="C296" s="35" t="s">
        <v>2449</v>
      </c>
      <c r="D296" s="36" t="s">
        <v>2450</v>
      </c>
      <c r="E296" s="36" t="s">
        <v>54</v>
      </c>
      <c r="F296" s="98" t="s">
        <v>4576</v>
      </c>
      <c r="G296" s="37" t="s">
        <v>73</v>
      </c>
      <c r="H296" s="37" t="s">
        <v>73</v>
      </c>
      <c r="I296" s="34" t="s">
        <v>2444</v>
      </c>
      <c r="J296" s="34" t="s">
        <v>2451</v>
      </c>
      <c r="K296" s="39" t="s">
        <v>42</v>
      </c>
      <c r="L296" s="120">
        <v>32913</v>
      </c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42" t="s">
        <v>2452</v>
      </c>
      <c r="Y296" s="58" t="s">
        <v>2453</v>
      </c>
      <c r="Z296" s="121" t="s">
        <v>2454</v>
      </c>
      <c r="AA296" s="45">
        <v>44650</v>
      </c>
      <c r="AB296" s="101" t="s">
        <v>30</v>
      </c>
      <c r="AC296" s="73" t="s">
        <v>26</v>
      </c>
      <c r="AD296" s="64" t="s">
        <v>120</v>
      </c>
      <c r="AE296" s="48" t="s">
        <v>120</v>
      </c>
      <c r="AF296" s="48" t="s">
        <v>120</v>
      </c>
      <c r="AG296" s="48" t="s">
        <v>120</v>
      </c>
      <c r="AH296" s="48" t="s">
        <v>120</v>
      </c>
      <c r="AI296" s="48" t="s">
        <v>120</v>
      </c>
      <c r="AJ296" s="49" t="s">
        <v>120</v>
      </c>
      <c r="AK296" s="48" t="s">
        <v>41</v>
      </c>
      <c r="AL296" s="62" t="s">
        <v>148</v>
      </c>
      <c r="AM296" s="59"/>
      <c r="AN296" s="102"/>
      <c r="AO296" s="32"/>
      <c r="AP296" s="220"/>
      <c r="AQ296" s="32"/>
      <c r="AR296" s="32"/>
      <c r="AS296" s="32"/>
      <c r="AT296" s="32"/>
      <c r="AU296" s="32"/>
      <c r="AV296" s="32"/>
      <c r="AW296" s="32"/>
      <c r="AX296" s="32"/>
      <c r="AY296" s="31"/>
    </row>
    <row r="297" spans="1:51" x14ac:dyDescent="0.2">
      <c r="A297" s="33">
        <f t="shared" si="5"/>
        <v>292</v>
      </c>
      <c r="B297" s="34" t="s">
        <v>2455</v>
      </c>
      <c r="C297" s="35" t="s">
        <v>2456</v>
      </c>
      <c r="D297" s="36" t="s">
        <v>2457</v>
      </c>
      <c r="E297" s="36" t="s">
        <v>54</v>
      </c>
      <c r="F297" s="34" t="s">
        <v>2458</v>
      </c>
      <c r="G297" s="37" t="s">
        <v>73</v>
      </c>
      <c r="H297" s="37" t="s">
        <v>73</v>
      </c>
      <c r="I297" s="34" t="s">
        <v>2459</v>
      </c>
      <c r="J297" s="34" t="s">
        <v>41</v>
      </c>
      <c r="K297" s="39" t="s">
        <v>42</v>
      </c>
      <c r="L297" s="99" t="s">
        <v>2460</v>
      </c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42" t="s">
        <v>2461</v>
      </c>
      <c r="Y297" s="52" t="s">
        <v>2462</v>
      </c>
      <c r="Z297" s="44" t="s">
        <v>2463</v>
      </c>
      <c r="AA297" s="45">
        <v>41793</v>
      </c>
      <c r="AB297" s="101" t="s">
        <v>30</v>
      </c>
      <c r="AC297" s="36" t="s">
        <v>26</v>
      </c>
      <c r="AD297" s="47" t="s">
        <v>49</v>
      </c>
      <c r="AE297" s="48" t="s">
        <v>49</v>
      </c>
      <c r="AF297" s="48" t="s">
        <v>49</v>
      </c>
      <c r="AG297" s="48" t="s">
        <v>49</v>
      </c>
      <c r="AH297" s="48" t="s">
        <v>49</v>
      </c>
      <c r="AI297" s="48" t="s">
        <v>49</v>
      </c>
      <c r="AJ297" s="49" t="s">
        <v>49</v>
      </c>
      <c r="AK297" s="48" t="s">
        <v>49</v>
      </c>
      <c r="AL297" s="62" t="s">
        <v>32</v>
      </c>
      <c r="AM297" s="59"/>
      <c r="AN297" s="10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1"/>
    </row>
    <row r="298" spans="1:51" x14ac:dyDescent="0.2">
      <c r="A298" s="33">
        <f t="shared" si="5"/>
        <v>293</v>
      </c>
      <c r="B298" s="34" t="s">
        <v>2464</v>
      </c>
      <c r="C298" s="35" t="s">
        <v>2465</v>
      </c>
      <c r="D298" s="36" t="s">
        <v>2466</v>
      </c>
      <c r="E298" s="36" t="s">
        <v>54</v>
      </c>
      <c r="F298" s="34" t="s">
        <v>2467</v>
      </c>
      <c r="G298" s="37" t="s">
        <v>243</v>
      </c>
      <c r="H298" s="37" t="s">
        <v>205</v>
      </c>
      <c r="I298" s="34" t="s">
        <v>2468</v>
      </c>
      <c r="J298" s="34" t="s">
        <v>41</v>
      </c>
      <c r="K298" s="39" t="s">
        <v>42</v>
      </c>
      <c r="L298" s="120">
        <v>36749</v>
      </c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2" t="s">
        <v>2469</v>
      </c>
      <c r="Y298" s="58" t="s">
        <v>2470</v>
      </c>
      <c r="Z298" s="44" t="s">
        <v>61</v>
      </c>
      <c r="AA298" s="45">
        <v>37877</v>
      </c>
      <c r="AB298" s="101" t="s">
        <v>30</v>
      </c>
      <c r="AC298" s="36" t="s">
        <v>26</v>
      </c>
      <c r="AD298" s="47" t="s">
        <v>49</v>
      </c>
      <c r="AE298" s="48" t="s">
        <v>49</v>
      </c>
      <c r="AF298" s="48" t="s">
        <v>49</v>
      </c>
      <c r="AG298" s="48" t="s">
        <v>49</v>
      </c>
      <c r="AH298" s="48" t="s">
        <v>49</v>
      </c>
      <c r="AI298" s="48" t="s">
        <v>49</v>
      </c>
      <c r="AJ298" s="49" t="s">
        <v>41</v>
      </c>
      <c r="AK298" s="48" t="s">
        <v>41</v>
      </c>
      <c r="AL298" s="62" t="s">
        <v>276</v>
      </c>
      <c r="AM298" s="59"/>
      <c r="AN298" s="10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1"/>
    </row>
    <row r="299" spans="1:51" x14ac:dyDescent="0.2">
      <c r="A299" s="33">
        <f t="shared" si="5"/>
        <v>294</v>
      </c>
      <c r="B299" s="34" t="s">
        <v>2471</v>
      </c>
      <c r="C299" s="35" t="s">
        <v>2472</v>
      </c>
      <c r="D299" s="36" t="s">
        <v>2473</v>
      </c>
      <c r="E299" s="36" t="s">
        <v>54</v>
      </c>
      <c r="F299" s="34" t="s">
        <v>2474</v>
      </c>
      <c r="G299" s="37" t="s">
        <v>958</v>
      </c>
      <c r="H299" s="37" t="s">
        <v>187</v>
      </c>
      <c r="I299" s="38" t="s">
        <v>2475</v>
      </c>
      <c r="J299" s="34" t="s">
        <v>41</v>
      </c>
      <c r="K299" s="39" t="s">
        <v>42</v>
      </c>
      <c r="L299" s="120" t="s">
        <v>2476</v>
      </c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42" t="s">
        <v>2477</v>
      </c>
      <c r="Y299" s="100" t="s">
        <v>2478</v>
      </c>
      <c r="Z299" s="44" t="s">
        <v>2479</v>
      </c>
      <c r="AA299" s="45">
        <v>44041</v>
      </c>
      <c r="AB299" s="101" t="s">
        <v>30</v>
      </c>
      <c r="AC299" s="36" t="s">
        <v>26</v>
      </c>
      <c r="AD299" s="61" t="s">
        <v>49</v>
      </c>
      <c r="AE299" s="48" t="s">
        <v>49</v>
      </c>
      <c r="AF299" s="48" t="s">
        <v>49</v>
      </c>
      <c r="AG299" s="48" t="s">
        <v>49</v>
      </c>
      <c r="AH299" s="48" t="s">
        <v>49</v>
      </c>
      <c r="AI299" s="48" t="s">
        <v>49</v>
      </c>
      <c r="AJ299" s="49" t="s">
        <v>49</v>
      </c>
      <c r="AK299" s="48" t="s">
        <v>49</v>
      </c>
      <c r="AL299" s="65" t="s">
        <v>32</v>
      </c>
      <c r="AM299" s="59"/>
      <c r="AN299" s="10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1"/>
    </row>
    <row r="300" spans="1:51" x14ac:dyDescent="0.2">
      <c r="A300" s="33">
        <f t="shared" si="5"/>
        <v>295</v>
      </c>
      <c r="B300" s="34" t="s">
        <v>2480</v>
      </c>
      <c r="C300" s="35" t="s">
        <v>2481</v>
      </c>
      <c r="D300" s="36" t="s">
        <v>2482</v>
      </c>
      <c r="E300" s="36" t="s">
        <v>36</v>
      </c>
      <c r="F300" s="34" t="s">
        <v>2483</v>
      </c>
      <c r="G300" s="37" t="s">
        <v>205</v>
      </c>
      <c r="H300" s="37" t="s">
        <v>205</v>
      </c>
      <c r="I300" s="38" t="s">
        <v>2484</v>
      </c>
      <c r="J300" s="34" t="s">
        <v>41</v>
      </c>
      <c r="K300" s="39" t="s">
        <v>42</v>
      </c>
      <c r="L300" s="120">
        <v>44137</v>
      </c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42" t="s">
        <v>2485</v>
      </c>
      <c r="Y300" s="100" t="s">
        <v>2486</v>
      </c>
      <c r="Z300" s="44" t="s">
        <v>2487</v>
      </c>
      <c r="AA300" s="45">
        <v>44041</v>
      </c>
      <c r="AB300" s="101" t="s">
        <v>30</v>
      </c>
      <c r="AC300" s="36" t="s">
        <v>26</v>
      </c>
      <c r="AD300" s="61" t="s">
        <v>49</v>
      </c>
      <c r="AE300" s="48" t="s">
        <v>49</v>
      </c>
      <c r="AF300" s="48" t="s">
        <v>49</v>
      </c>
      <c r="AG300" s="48" t="s">
        <v>49</v>
      </c>
      <c r="AH300" s="48" t="s">
        <v>49</v>
      </c>
      <c r="AI300" s="48" t="s">
        <v>49</v>
      </c>
      <c r="AJ300" s="49" t="s">
        <v>41</v>
      </c>
      <c r="AK300" s="48" t="s">
        <v>41</v>
      </c>
      <c r="AL300" s="62" t="s">
        <v>276</v>
      </c>
      <c r="AM300" s="59"/>
      <c r="AN300" s="10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1"/>
    </row>
    <row r="301" spans="1:51" x14ac:dyDescent="0.2">
      <c r="A301" s="33">
        <f t="shared" si="5"/>
        <v>296</v>
      </c>
      <c r="B301" s="34" t="s">
        <v>2488</v>
      </c>
      <c r="C301" s="35" t="s">
        <v>2489</v>
      </c>
      <c r="D301" s="36" t="s">
        <v>2490</v>
      </c>
      <c r="E301" s="36" t="s">
        <v>36</v>
      </c>
      <c r="F301" s="34" t="s">
        <v>2491</v>
      </c>
      <c r="G301" s="37" t="s">
        <v>73</v>
      </c>
      <c r="H301" s="37" t="s">
        <v>73</v>
      </c>
      <c r="I301" s="34" t="s">
        <v>2492</v>
      </c>
      <c r="J301" s="34" t="s">
        <v>2492</v>
      </c>
      <c r="K301" s="39" t="s">
        <v>42</v>
      </c>
      <c r="L301" s="99" t="s">
        <v>2493</v>
      </c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42" t="s">
        <v>2494</v>
      </c>
      <c r="Y301" s="100" t="s">
        <v>2495</v>
      </c>
      <c r="Z301" s="44" t="s">
        <v>61</v>
      </c>
      <c r="AA301" s="45">
        <v>36641</v>
      </c>
      <c r="AB301" s="101" t="s">
        <v>30</v>
      </c>
      <c r="AC301" s="36" t="s">
        <v>26</v>
      </c>
      <c r="AD301" s="61" t="s">
        <v>49</v>
      </c>
      <c r="AE301" s="48" t="s">
        <v>49</v>
      </c>
      <c r="AF301" s="48" t="s">
        <v>49</v>
      </c>
      <c r="AG301" s="48" t="s">
        <v>49</v>
      </c>
      <c r="AH301" s="48" t="s">
        <v>41</v>
      </c>
      <c r="AI301" s="48" t="s">
        <v>41</v>
      </c>
      <c r="AJ301" s="49" t="s">
        <v>41</v>
      </c>
      <c r="AK301" s="48" t="s">
        <v>41</v>
      </c>
      <c r="AL301" s="62" t="s">
        <v>139</v>
      </c>
      <c r="AM301" s="59"/>
      <c r="AN301" s="10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1"/>
    </row>
    <row r="302" spans="1:51" x14ac:dyDescent="0.2">
      <c r="A302" s="33">
        <f t="shared" si="5"/>
        <v>297</v>
      </c>
      <c r="B302" s="34" t="s">
        <v>2496</v>
      </c>
      <c r="C302" s="35" t="s">
        <v>2497</v>
      </c>
      <c r="D302" s="36" t="s">
        <v>2498</v>
      </c>
      <c r="E302" s="36" t="s">
        <v>36</v>
      </c>
      <c r="F302" s="34" t="s">
        <v>2499</v>
      </c>
      <c r="G302" s="37" t="s">
        <v>73</v>
      </c>
      <c r="H302" s="37" t="s">
        <v>73</v>
      </c>
      <c r="I302" s="38" t="s">
        <v>2500</v>
      </c>
      <c r="J302" s="34" t="s">
        <v>41</v>
      </c>
      <c r="K302" s="39" t="s">
        <v>42</v>
      </c>
      <c r="L302" s="120">
        <v>45209</v>
      </c>
      <c r="M302" s="56" t="s">
        <v>179</v>
      </c>
      <c r="N302" s="56" t="s">
        <v>179</v>
      </c>
      <c r="O302" s="56" t="s">
        <v>514</v>
      </c>
      <c r="P302" s="56">
        <v>1</v>
      </c>
      <c r="Q302" s="56"/>
      <c r="R302" s="56"/>
      <c r="S302" s="56"/>
      <c r="T302" s="56" t="s">
        <v>44</v>
      </c>
      <c r="U302" s="56"/>
      <c r="V302" s="56"/>
      <c r="W302" s="56"/>
      <c r="X302" s="38" t="s">
        <v>2501</v>
      </c>
      <c r="Y302" s="146" t="s">
        <v>2502</v>
      </c>
      <c r="Z302" s="146"/>
      <c r="AA302" s="45">
        <v>45642</v>
      </c>
      <c r="AB302" s="101"/>
      <c r="AC302" s="36"/>
      <c r="AD302" s="61" t="s">
        <v>49</v>
      </c>
      <c r="AE302" s="48" t="s">
        <v>41</v>
      </c>
      <c r="AF302" s="48" t="s">
        <v>41</v>
      </c>
      <c r="AG302" s="48" t="s">
        <v>41</v>
      </c>
      <c r="AH302" s="48" t="s">
        <v>49</v>
      </c>
      <c r="AI302" s="48" t="s">
        <v>49</v>
      </c>
      <c r="AJ302" s="49" t="s">
        <v>49</v>
      </c>
      <c r="AK302" s="48" t="s">
        <v>41</v>
      </c>
      <c r="AL302" s="65" t="s">
        <v>148</v>
      </c>
      <c r="AM302" s="59"/>
      <c r="AN302" s="10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1"/>
    </row>
    <row r="303" spans="1:51" x14ac:dyDescent="0.2">
      <c r="A303" s="33">
        <f t="shared" si="5"/>
        <v>298</v>
      </c>
      <c r="B303" s="34" t="s">
        <v>2503</v>
      </c>
      <c r="C303" s="35" t="s">
        <v>2504</v>
      </c>
      <c r="D303" s="36" t="s">
        <v>2505</v>
      </c>
      <c r="E303" s="36" t="s">
        <v>54</v>
      </c>
      <c r="F303" s="34" t="s">
        <v>2506</v>
      </c>
      <c r="G303" s="37" t="s">
        <v>176</v>
      </c>
      <c r="H303" s="37" t="s">
        <v>39</v>
      </c>
      <c r="I303" s="38" t="s">
        <v>2507</v>
      </c>
      <c r="J303" s="34" t="s">
        <v>41</v>
      </c>
      <c r="K303" s="39" t="s">
        <v>42</v>
      </c>
      <c r="L303" s="99" t="s">
        <v>2508</v>
      </c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42" t="s">
        <v>2509</v>
      </c>
      <c r="Y303" s="69" t="s">
        <v>2510</v>
      </c>
      <c r="Z303" s="44" t="s">
        <v>2511</v>
      </c>
      <c r="AA303" s="45">
        <v>42935</v>
      </c>
      <c r="AB303" s="101" t="s">
        <v>30</v>
      </c>
      <c r="AC303" s="36" t="s">
        <v>26</v>
      </c>
      <c r="AD303" s="47" t="s">
        <v>49</v>
      </c>
      <c r="AE303" s="48" t="s">
        <v>49</v>
      </c>
      <c r="AF303" s="48" t="s">
        <v>49</v>
      </c>
      <c r="AG303" s="48" t="s">
        <v>49</v>
      </c>
      <c r="AH303" s="48" t="s">
        <v>49</v>
      </c>
      <c r="AI303" s="48" t="s">
        <v>49</v>
      </c>
      <c r="AJ303" s="49" t="s">
        <v>49</v>
      </c>
      <c r="AK303" s="48" t="s">
        <v>49</v>
      </c>
      <c r="AL303" s="65" t="s">
        <v>32</v>
      </c>
      <c r="AM303" s="59"/>
      <c r="AN303" s="10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1"/>
    </row>
    <row r="304" spans="1:51" x14ac:dyDescent="0.2">
      <c r="A304" s="33">
        <f t="shared" si="5"/>
        <v>299</v>
      </c>
      <c r="B304" s="34" t="s">
        <v>2512</v>
      </c>
      <c r="C304" s="35" t="s">
        <v>2513</v>
      </c>
      <c r="D304" s="36" t="s">
        <v>2514</v>
      </c>
      <c r="E304" s="36" t="s">
        <v>54</v>
      </c>
      <c r="F304" s="34" t="s">
        <v>2515</v>
      </c>
      <c r="G304" s="37" t="s">
        <v>350</v>
      </c>
      <c r="H304" s="37" t="s">
        <v>350</v>
      </c>
      <c r="I304" s="38" t="s">
        <v>2516</v>
      </c>
      <c r="J304" s="38" t="s">
        <v>2516</v>
      </c>
      <c r="K304" s="39" t="s">
        <v>42</v>
      </c>
      <c r="L304" s="99" t="s">
        <v>2517</v>
      </c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42" t="s">
        <v>2518</v>
      </c>
      <c r="Y304" s="52" t="s">
        <v>2519</v>
      </c>
      <c r="Z304" s="44" t="s">
        <v>61</v>
      </c>
      <c r="AA304" s="45">
        <v>38593</v>
      </c>
      <c r="AB304" s="101" t="s">
        <v>30</v>
      </c>
      <c r="AC304" s="36" t="s">
        <v>26</v>
      </c>
      <c r="AD304" s="47" t="s">
        <v>49</v>
      </c>
      <c r="AE304" s="48" t="s">
        <v>49</v>
      </c>
      <c r="AF304" s="48" t="s">
        <v>49</v>
      </c>
      <c r="AG304" s="48" t="s">
        <v>49</v>
      </c>
      <c r="AH304" s="48" t="s">
        <v>49</v>
      </c>
      <c r="AI304" s="48" t="s">
        <v>49</v>
      </c>
      <c r="AJ304" s="49" t="s">
        <v>49</v>
      </c>
      <c r="AK304" s="48" t="s">
        <v>41</v>
      </c>
      <c r="AL304" s="65" t="s">
        <v>148</v>
      </c>
      <c r="AM304" s="59"/>
      <c r="AN304" s="10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1"/>
    </row>
    <row r="305" spans="1:51" x14ac:dyDescent="0.2">
      <c r="A305" s="33">
        <f t="shared" si="5"/>
        <v>300</v>
      </c>
      <c r="B305" s="34" t="s">
        <v>2520</v>
      </c>
      <c r="C305" s="35" t="s">
        <v>2521</v>
      </c>
      <c r="D305" s="36" t="s">
        <v>2522</v>
      </c>
      <c r="E305" s="36" t="s">
        <v>54</v>
      </c>
      <c r="F305" s="98" t="s">
        <v>2523</v>
      </c>
      <c r="G305" s="37" t="s">
        <v>252</v>
      </c>
      <c r="H305" s="37" t="s">
        <v>57</v>
      </c>
      <c r="I305" s="34" t="s">
        <v>2524</v>
      </c>
      <c r="J305" s="34" t="s">
        <v>41</v>
      </c>
      <c r="K305" s="39" t="s">
        <v>42</v>
      </c>
      <c r="L305" s="99" t="s">
        <v>2525</v>
      </c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42" t="s">
        <v>2526</v>
      </c>
      <c r="Y305" s="58" t="s">
        <v>2527</v>
      </c>
      <c r="Z305" s="44" t="s">
        <v>2528</v>
      </c>
      <c r="AA305" s="45">
        <v>44041</v>
      </c>
      <c r="AB305" s="101" t="s">
        <v>30</v>
      </c>
      <c r="AC305" s="36" t="s">
        <v>26</v>
      </c>
      <c r="AD305" s="47" t="s">
        <v>49</v>
      </c>
      <c r="AE305" s="48" t="s">
        <v>49</v>
      </c>
      <c r="AF305" s="48" t="s">
        <v>49</v>
      </c>
      <c r="AG305" s="48" t="s">
        <v>49</v>
      </c>
      <c r="AH305" s="48" t="s">
        <v>49</v>
      </c>
      <c r="AI305" s="48" t="s">
        <v>49</v>
      </c>
      <c r="AJ305" s="49" t="s">
        <v>49</v>
      </c>
      <c r="AK305" s="48" t="s">
        <v>49</v>
      </c>
      <c r="AL305" s="62" t="s">
        <v>32</v>
      </c>
      <c r="AM305" s="59"/>
      <c r="AN305" s="10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1"/>
    </row>
    <row r="306" spans="1:51" x14ac:dyDescent="0.2">
      <c r="A306" s="33">
        <f t="shared" si="5"/>
        <v>301</v>
      </c>
      <c r="B306" s="34" t="s">
        <v>2529</v>
      </c>
      <c r="C306" s="35" t="s">
        <v>2530</v>
      </c>
      <c r="D306" s="36" t="s">
        <v>2531</v>
      </c>
      <c r="E306" s="36" t="s">
        <v>36</v>
      </c>
      <c r="F306" s="98" t="s">
        <v>2532</v>
      </c>
      <c r="G306" s="37" t="s">
        <v>1285</v>
      </c>
      <c r="H306" s="37" t="s">
        <v>350</v>
      </c>
      <c r="I306" s="38" t="s">
        <v>2533</v>
      </c>
      <c r="J306" s="34" t="s">
        <v>41</v>
      </c>
      <c r="K306" s="39" t="s">
        <v>42</v>
      </c>
      <c r="L306" s="120">
        <v>45516</v>
      </c>
      <c r="M306" s="56" t="s">
        <v>179</v>
      </c>
      <c r="N306" s="56"/>
      <c r="O306" s="56"/>
      <c r="P306" s="56"/>
      <c r="Q306" s="56" t="s">
        <v>179</v>
      </c>
      <c r="R306" s="56"/>
      <c r="S306" s="56"/>
      <c r="T306" s="56"/>
      <c r="U306" s="56" t="s">
        <v>44</v>
      </c>
      <c r="V306" s="56"/>
      <c r="W306" s="56"/>
      <c r="X306" s="42" t="s">
        <v>2534</v>
      </c>
      <c r="Y306" s="58" t="s">
        <v>2535</v>
      </c>
      <c r="Z306" s="44"/>
      <c r="AA306" s="45"/>
      <c r="AB306" s="101"/>
      <c r="AC306" s="36"/>
      <c r="AD306" s="47" t="s">
        <v>49</v>
      </c>
      <c r="AE306" s="48" t="s">
        <v>41</v>
      </c>
      <c r="AF306" s="48" t="s">
        <v>41</v>
      </c>
      <c r="AG306" s="48" t="s">
        <v>41</v>
      </c>
      <c r="AH306" s="48" t="s">
        <v>41</v>
      </c>
      <c r="AI306" s="48" t="s">
        <v>49</v>
      </c>
      <c r="AJ306" s="49" t="s">
        <v>41</v>
      </c>
      <c r="AK306" s="48" t="s">
        <v>41</v>
      </c>
      <c r="AL306" s="62" t="s">
        <v>276</v>
      </c>
      <c r="AM306" s="59"/>
      <c r="AN306" s="10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1"/>
    </row>
    <row r="307" spans="1:51" x14ac:dyDescent="0.2">
      <c r="A307" s="33">
        <f t="shared" si="5"/>
        <v>302</v>
      </c>
      <c r="B307" s="34" t="s">
        <v>2536</v>
      </c>
      <c r="C307" s="35" t="s">
        <v>2537</v>
      </c>
      <c r="D307" s="36" t="s">
        <v>2538</v>
      </c>
      <c r="E307" s="36" t="s">
        <v>54</v>
      </c>
      <c r="F307" s="98" t="s">
        <v>2539</v>
      </c>
      <c r="G307" s="37" t="s">
        <v>73</v>
      </c>
      <c r="H307" s="37" t="s">
        <v>73</v>
      </c>
      <c r="I307" s="38" t="s">
        <v>2540</v>
      </c>
      <c r="J307" s="34" t="s">
        <v>41</v>
      </c>
      <c r="K307" s="39" t="s">
        <v>42</v>
      </c>
      <c r="L307" s="99" t="s">
        <v>2541</v>
      </c>
      <c r="M307" s="56" t="s">
        <v>179</v>
      </c>
      <c r="N307" s="56"/>
      <c r="O307" s="56"/>
      <c r="P307" s="56"/>
      <c r="Q307" s="56" t="s">
        <v>1041</v>
      </c>
      <c r="R307" s="56" t="s">
        <v>44</v>
      </c>
      <c r="S307" s="56"/>
      <c r="T307" s="56"/>
      <c r="U307" s="56"/>
      <c r="V307" s="56"/>
      <c r="W307" s="56"/>
      <c r="X307" s="42" t="s">
        <v>2542</v>
      </c>
      <c r="Y307" s="58" t="s">
        <v>2543</v>
      </c>
      <c r="Z307" s="44"/>
      <c r="AA307" s="45" t="s">
        <v>47</v>
      </c>
      <c r="AB307" s="101"/>
      <c r="AC307" s="36"/>
      <c r="AD307" s="47" t="s">
        <v>49</v>
      </c>
      <c r="AE307" s="48" t="s">
        <v>41</v>
      </c>
      <c r="AF307" s="48" t="s">
        <v>49</v>
      </c>
      <c r="AG307" s="48" t="s">
        <v>41</v>
      </c>
      <c r="AH307" s="48" t="s">
        <v>41</v>
      </c>
      <c r="AI307" s="48" t="s">
        <v>41</v>
      </c>
      <c r="AJ307" s="49" t="s">
        <v>41</v>
      </c>
      <c r="AK307" s="48" t="s">
        <v>41</v>
      </c>
      <c r="AL307" s="62" t="s">
        <v>110</v>
      </c>
      <c r="AM307" s="59"/>
      <c r="AN307" s="10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1"/>
    </row>
    <row r="308" spans="1:51" x14ac:dyDescent="0.2">
      <c r="A308" s="33">
        <f t="shared" si="5"/>
        <v>303</v>
      </c>
      <c r="B308" s="34" t="s">
        <v>2544</v>
      </c>
      <c r="C308" s="35" t="s">
        <v>2545</v>
      </c>
      <c r="D308" s="73" t="s">
        <v>2546</v>
      </c>
      <c r="E308" s="36" t="s">
        <v>36</v>
      </c>
      <c r="F308" s="98" t="s">
        <v>2547</v>
      </c>
      <c r="G308" s="37" t="s">
        <v>350</v>
      </c>
      <c r="H308" s="37" t="s">
        <v>350</v>
      </c>
      <c r="I308" s="34" t="s">
        <v>2548</v>
      </c>
      <c r="J308" s="34" t="s">
        <v>2548</v>
      </c>
      <c r="K308" s="39" t="s">
        <v>42</v>
      </c>
      <c r="L308" s="99" t="s">
        <v>2549</v>
      </c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42" t="s">
        <v>2550</v>
      </c>
      <c r="Y308" s="58" t="s">
        <v>2551</v>
      </c>
      <c r="Z308" s="44" t="s">
        <v>61</v>
      </c>
      <c r="AA308" s="45">
        <v>37877</v>
      </c>
      <c r="AB308" s="101" t="s">
        <v>30</v>
      </c>
      <c r="AC308" s="73" t="s">
        <v>26</v>
      </c>
      <c r="AD308" s="47" t="s">
        <v>49</v>
      </c>
      <c r="AE308" s="48" t="s">
        <v>49</v>
      </c>
      <c r="AF308" s="48" t="s">
        <v>49</v>
      </c>
      <c r="AG308" s="48" t="s">
        <v>41</v>
      </c>
      <c r="AH308" s="48" t="s">
        <v>41</v>
      </c>
      <c r="AI308" s="48" t="s">
        <v>41</v>
      </c>
      <c r="AJ308" s="49" t="s">
        <v>41</v>
      </c>
      <c r="AK308" s="48" t="s">
        <v>41</v>
      </c>
      <c r="AL308" s="62" t="s">
        <v>110</v>
      </c>
      <c r="AM308" s="59"/>
      <c r="AN308" s="10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1"/>
    </row>
    <row r="309" spans="1:51" x14ac:dyDescent="0.2">
      <c r="A309" s="33">
        <f t="shared" si="5"/>
        <v>304</v>
      </c>
      <c r="B309" s="34" t="s">
        <v>2552</v>
      </c>
      <c r="C309" s="35" t="s">
        <v>2553</v>
      </c>
      <c r="D309" s="36" t="s">
        <v>2554</v>
      </c>
      <c r="E309" s="36" t="s">
        <v>36</v>
      </c>
      <c r="F309" s="34" t="s">
        <v>2555</v>
      </c>
      <c r="G309" s="37" t="s">
        <v>73</v>
      </c>
      <c r="H309" s="37" t="s">
        <v>73</v>
      </c>
      <c r="I309" s="34" t="s">
        <v>2556</v>
      </c>
      <c r="J309" s="34" t="s">
        <v>2556</v>
      </c>
      <c r="K309" s="39" t="s">
        <v>42</v>
      </c>
      <c r="L309" s="99" t="s">
        <v>2557</v>
      </c>
      <c r="M309" s="56" t="s">
        <v>179</v>
      </c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42" t="s">
        <v>2558</v>
      </c>
      <c r="Y309" s="52" t="s">
        <v>2559</v>
      </c>
      <c r="Z309" s="44" t="s">
        <v>2560</v>
      </c>
      <c r="AA309" s="45">
        <v>42935</v>
      </c>
      <c r="AB309" s="101" t="s">
        <v>129</v>
      </c>
      <c r="AC309" s="36" t="s">
        <v>26</v>
      </c>
      <c r="AD309" s="66" t="s">
        <v>130</v>
      </c>
      <c r="AE309" s="48" t="s">
        <v>130</v>
      </c>
      <c r="AF309" s="48" t="s">
        <v>130</v>
      </c>
      <c r="AG309" s="48" t="s">
        <v>130</v>
      </c>
      <c r="AH309" s="48" t="s">
        <v>130</v>
      </c>
      <c r="AI309" s="48" t="s">
        <v>130</v>
      </c>
      <c r="AJ309" s="49" t="s">
        <v>130</v>
      </c>
      <c r="AK309" s="48" t="s">
        <v>130</v>
      </c>
      <c r="AL309" s="62" t="s">
        <v>32</v>
      </c>
      <c r="AM309" s="59"/>
      <c r="AN309" s="10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1"/>
    </row>
    <row r="310" spans="1:51" x14ac:dyDescent="0.2">
      <c r="A310" s="33">
        <f t="shared" si="5"/>
        <v>305</v>
      </c>
      <c r="B310" s="221" t="s">
        <v>2561</v>
      </c>
      <c r="C310" s="35" t="s">
        <v>2562</v>
      </c>
      <c r="D310" s="36" t="s">
        <v>2563</v>
      </c>
      <c r="E310" s="36" t="s">
        <v>36</v>
      </c>
      <c r="F310" s="34" t="s">
        <v>2564</v>
      </c>
      <c r="G310" s="37" t="s">
        <v>56</v>
      </c>
      <c r="H310" s="37" t="s">
        <v>57</v>
      </c>
      <c r="I310" s="34" t="s">
        <v>2565</v>
      </c>
      <c r="J310" s="34" t="s">
        <v>41</v>
      </c>
      <c r="K310" s="39" t="s">
        <v>42</v>
      </c>
      <c r="L310" s="120">
        <v>39855</v>
      </c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2" t="s">
        <v>2566</v>
      </c>
      <c r="Y310" s="52" t="s">
        <v>2567</v>
      </c>
      <c r="Z310" s="84" t="s">
        <v>2568</v>
      </c>
      <c r="AA310" s="45">
        <v>44650</v>
      </c>
      <c r="AB310" s="101" t="s">
        <v>30</v>
      </c>
      <c r="AC310" s="36" t="s">
        <v>26</v>
      </c>
      <c r="AD310" s="47" t="s">
        <v>49</v>
      </c>
      <c r="AE310" s="48" t="s">
        <v>49</v>
      </c>
      <c r="AF310" s="48" t="s">
        <v>49</v>
      </c>
      <c r="AG310" s="48" t="s">
        <v>49</v>
      </c>
      <c r="AH310" s="48" t="s">
        <v>49</v>
      </c>
      <c r="AI310" s="48" t="s">
        <v>49</v>
      </c>
      <c r="AJ310" s="49" t="s">
        <v>49</v>
      </c>
      <c r="AK310" s="48" t="s">
        <v>49</v>
      </c>
      <c r="AL310" s="65" t="s">
        <v>32</v>
      </c>
      <c r="AM310" s="59"/>
      <c r="AN310" s="102" t="s">
        <v>2569</v>
      </c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1"/>
    </row>
    <row r="311" spans="1:51" x14ac:dyDescent="0.2">
      <c r="A311" s="33">
        <f t="shared" si="5"/>
        <v>306</v>
      </c>
      <c r="B311" s="221" t="s">
        <v>2570</v>
      </c>
      <c r="C311" s="35" t="s">
        <v>2571</v>
      </c>
      <c r="D311" s="36" t="s">
        <v>2572</v>
      </c>
      <c r="E311" s="36" t="s">
        <v>54</v>
      </c>
      <c r="F311" s="34" t="s">
        <v>2573</v>
      </c>
      <c r="G311" s="37" t="s">
        <v>1285</v>
      </c>
      <c r="H311" s="37" t="s">
        <v>350</v>
      </c>
      <c r="I311" s="38" t="s">
        <v>2574</v>
      </c>
      <c r="J311" s="34"/>
      <c r="K311" s="39" t="s">
        <v>42</v>
      </c>
      <c r="L311" s="120">
        <v>45670</v>
      </c>
      <c r="M311" s="41"/>
      <c r="N311" s="41"/>
      <c r="O311" s="41"/>
      <c r="P311" s="41"/>
      <c r="Q311" s="41"/>
      <c r="R311" s="41"/>
      <c r="S311" s="41"/>
      <c r="T311" s="41"/>
      <c r="U311" s="41"/>
      <c r="V311" s="41" t="s">
        <v>44</v>
      </c>
      <c r="W311" s="41"/>
      <c r="X311" s="42" t="s">
        <v>2575</v>
      </c>
      <c r="Y311" s="43" t="s">
        <v>2576</v>
      </c>
      <c r="Z311" s="144"/>
      <c r="AA311" s="45"/>
      <c r="AB311" s="101"/>
      <c r="AC311" s="36"/>
      <c r="AD311" s="47" t="s">
        <v>49</v>
      </c>
      <c r="AE311" s="48" t="s">
        <v>41</v>
      </c>
      <c r="AF311" s="48" t="s">
        <v>41</v>
      </c>
      <c r="AG311" s="48" t="s">
        <v>41</v>
      </c>
      <c r="AH311" s="48" t="s">
        <v>41</v>
      </c>
      <c r="AI311" s="48" t="s">
        <v>41</v>
      </c>
      <c r="AJ311" s="49" t="s">
        <v>49</v>
      </c>
      <c r="AK311" s="48" t="s">
        <v>49</v>
      </c>
      <c r="AL311" s="62" t="s">
        <v>32</v>
      </c>
      <c r="AM311" s="59"/>
      <c r="AN311" s="10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1"/>
    </row>
    <row r="312" spans="1:51" x14ac:dyDescent="0.2">
      <c r="A312" s="33">
        <f t="shared" si="5"/>
        <v>307</v>
      </c>
      <c r="B312" s="34" t="s">
        <v>2577</v>
      </c>
      <c r="C312" s="35" t="s">
        <v>2578</v>
      </c>
      <c r="D312" s="36" t="s">
        <v>2579</v>
      </c>
      <c r="E312" s="36" t="s">
        <v>54</v>
      </c>
      <c r="F312" s="34" t="s">
        <v>2580</v>
      </c>
      <c r="G312" s="37" t="s">
        <v>1417</v>
      </c>
      <c r="H312" s="37" t="s">
        <v>187</v>
      </c>
      <c r="I312" s="34" t="s">
        <v>2581</v>
      </c>
      <c r="J312" s="34" t="s">
        <v>41</v>
      </c>
      <c r="K312" s="39" t="s">
        <v>42</v>
      </c>
      <c r="L312" s="99" t="s">
        <v>1347</v>
      </c>
      <c r="M312" s="115"/>
      <c r="N312" s="115"/>
      <c r="O312" s="115"/>
      <c r="P312" s="115"/>
      <c r="Q312" s="115"/>
      <c r="R312" s="115"/>
      <c r="S312" s="115"/>
      <c r="T312" s="56"/>
      <c r="U312" s="56"/>
      <c r="V312" s="56"/>
      <c r="W312" s="56"/>
      <c r="X312" s="42" t="s">
        <v>2582</v>
      </c>
      <c r="Y312" s="69" t="s">
        <v>2583</v>
      </c>
      <c r="Z312" s="44" t="s">
        <v>2584</v>
      </c>
      <c r="AA312" s="45">
        <v>42935</v>
      </c>
      <c r="AB312" s="101" t="s">
        <v>30</v>
      </c>
      <c r="AC312" s="36" t="s">
        <v>26</v>
      </c>
      <c r="AD312" s="61" t="s">
        <v>49</v>
      </c>
      <c r="AE312" s="48" t="s">
        <v>49</v>
      </c>
      <c r="AF312" s="48" t="s">
        <v>49</v>
      </c>
      <c r="AG312" s="48" t="s">
        <v>49</v>
      </c>
      <c r="AH312" s="48" t="s">
        <v>49</v>
      </c>
      <c r="AI312" s="48" t="s">
        <v>49</v>
      </c>
      <c r="AJ312" s="49" t="s">
        <v>49</v>
      </c>
      <c r="AK312" s="48" t="s">
        <v>41</v>
      </c>
      <c r="AL312" s="62" t="s">
        <v>148</v>
      </c>
      <c r="AM312" s="59"/>
      <c r="AN312" s="10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1"/>
    </row>
    <row r="313" spans="1:51" x14ac:dyDescent="0.2">
      <c r="A313" s="33">
        <f t="shared" si="5"/>
        <v>308</v>
      </c>
      <c r="B313" s="122" t="s">
        <v>2585</v>
      </c>
      <c r="C313" s="123" t="s">
        <v>2586</v>
      </c>
      <c r="D313" s="202" t="s">
        <v>2587</v>
      </c>
      <c r="E313" s="36" t="s">
        <v>54</v>
      </c>
      <c r="F313" s="122" t="s">
        <v>2588</v>
      </c>
      <c r="G313" s="126" t="s">
        <v>252</v>
      </c>
      <c r="H313" s="126" t="s">
        <v>57</v>
      </c>
      <c r="I313" s="127" t="s">
        <v>2589</v>
      </c>
      <c r="J313" s="122"/>
      <c r="K313" s="128" t="s">
        <v>42</v>
      </c>
      <c r="L313" s="120">
        <v>45581</v>
      </c>
      <c r="M313" s="130"/>
      <c r="N313" s="130"/>
      <c r="O313" s="130"/>
      <c r="P313" s="130"/>
      <c r="Q313" s="130"/>
      <c r="R313" s="130"/>
      <c r="S313" s="130"/>
      <c r="T313" s="130"/>
      <c r="U313" s="130" t="s">
        <v>44</v>
      </c>
      <c r="V313" s="130"/>
      <c r="W313" s="130"/>
      <c r="X313" s="127" t="s">
        <v>2590</v>
      </c>
      <c r="Y313" s="83" t="s">
        <v>2591</v>
      </c>
      <c r="Z313" s="44"/>
      <c r="AA313" s="131"/>
      <c r="AB313" s="164"/>
      <c r="AC313" s="36"/>
      <c r="AD313" s="222" t="s">
        <v>49</v>
      </c>
      <c r="AE313" s="48" t="s">
        <v>41</v>
      </c>
      <c r="AF313" s="48" t="s">
        <v>41</v>
      </c>
      <c r="AG313" s="48" t="s">
        <v>41</v>
      </c>
      <c r="AH313" s="48" t="s">
        <v>41</v>
      </c>
      <c r="AI313" s="48" t="s">
        <v>49</v>
      </c>
      <c r="AJ313" s="49" t="s">
        <v>49</v>
      </c>
      <c r="AK313" s="48" t="s">
        <v>49</v>
      </c>
      <c r="AL313" s="65" t="s">
        <v>32</v>
      </c>
      <c r="AM313" s="134"/>
      <c r="AN313" s="10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1"/>
    </row>
    <row r="314" spans="1:51" x14ac:dyDescent="0.2">
      <c r="A314" s="33">
        <f t="shared" si="5"/>
        <v>309</v>
      </c>
      <c r="B314" s="122" t="s">
        <v>2592</v>
      </c>
      <c r="C314" s="123" t="s">
        <v>2593</v>
      </c>
      <c r="D314" s="124" t="s">
        <v>2594</v>
      </c>
      <c r="E314" s="36" t="s">
        <v>36</v>
      </c>
      <c r="F314" s="122" t="s">
        <v>2595</v>
      </c>
      <c r="G314" s="126" t="s">
        <v>176</v>
      </c>
      <c r="H314" s="126" t="s">
        <v>39</v>
      </c>
      <c r="I314" s="127" t="s">
        <v>2596</v>
      </c>
      <c r="J314" s="122" t="s">
        <v>41</v>
      </c>
      <c r="K314" s="128" t="s">
        <v>42</v>
      </c>
      <c r="L314" s="165">
        <v>44443</v>
      </c>
      <c r="M314" s="130"/>
      <c r="N314" s="130"/>
      <c r="O314" s="130"/>
      <c r="P314" s="130"/>
      <c r="Q314" s="130"/>
      <c r="R314" s="130" t="s">
        <v>44</v>
      </c>
      <c r="S314" s="130"/>
      <c r="T314" s="130"/>
      <c r="U314" s="130"/>
      <c r="V314" s="130"/>
      <c r="W314" s="130"/>
      <c r="X314" s="42" t="s">
        <v>2597</v>
      </c>
      <c r="Y314" s="58" t="s">
        <v>2598</v>
      </c>
      <c r="Z314" s="121" t="s">
        <v>2599</v>
      </c>
      <c r="AA314" s="131">
        <v>44650</v>
      </c>
      <c r="AB314" s="164" t="s">
        <v>30</v>
      </c>
      <c r="AC314" s="36"/>
      <c r="AD314" s="222" t="s">
        <v>49</v>
      </c>
      <c r="AE314" s="48" t="s">
        <v>41</v>
      </c>
      <c r="AF314" s="48" t="s">
        <v>49</v>
      </c>
      <c r="AG314" s="48" t="s">
        <v>49</v>
      </c>
      <c r="AH314" s="48" t="s">
        <v>49</v>
      </c>
      <c r="AI314" s="48" t="s">
        <v>49</v>
      </c>
      <c r="AJ314" s="49" t="s">
        <v>49</v>
      </c>
      <c r="AK314" s="48" t="s">
        <v>49</v>
      </c>
      <c r="AL314" s="65" t="s">
        <v>32</v>
      </c>
      <c r="AM314" s="134"/>
      <c r="AN314" s="10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1"/>
    </row>
    <row r="315" spans="1:51" x14ac:dyDescent="0.2">
      <c r="A315" s="33">
        <f t="shared" si="5"/>
        <v>310</v>
      </c>
      <c r="B315" s="122" t="s">
        <v>2600</v>
      </c>
      <c r="C315" s="123" t="s">
        <v>2601</v>
      </c>
      <c r="D315" s="202" t="s">
        <v>2602</v>
      </c>
      <c r="E315" s="36" t="s">
        <v>36</v>
      </c>
      <c r="F315" s="122" t="s">
        <v>2603</v>
      </c>
      <c r="G315" s="126" t="s">
        <v>398</v>
      </c>
      <c r="H315" s="126" t="s">
        <v>205</v>
      </c>
      <c r="I315" s="127" t="s">
        <v>2604</v>
      </c>
      <c r="J315" s="122" t="s">
        <v>41</v>
      </c>
      <c r="K315" s="128" t="s">
        <v>42</v>
      </c>
      <c r="L315" s="165">
        <v>45302</v>
      </c>
      <c r="M315" s="130" t="s">
        <v>179</v>
      </c>
      <c r="N315" s="130"/>
      <c r="O315" s="130"/>
      <c r="P315" s="130"/>
      <c r="Q315" s="130"/>
      <c r="R315" s="130"/>
      <c r="S315" s="130"/>
      <c r="T315" s="130"/>
      <c r="U315" s="130" t="s">
        <v>44</v>
      </c>
      <c r="V315" s="130"/>
      <c r="W315" s="130"/>
      <c r="X315" s="42" t="s">
        <v>2605</v>
      </c>
      <c r="Y315" s="58" t="s">
        <v>2606</v>
      </c>
      <c r="Z315" s="44"/>
      <c r="AA315" s="131"/>
      <c r="AB315" s="164"/>
      <c r="AC315" s="36"/>
      <c r="AD315" s="222" t="s">
        <v>49</v>
      </c>
      <c r="AE315" s="48" t="s">
        <v>41</v>
      </c>
      <c r="AF315" s="48" t="s">
        <v>41</v>
      </c>
      <c r="AG315" s="48" t="s">
        <v>41</v>
      </c>
      <c r="AH315" s="48" t="s">
        <v>41</v>
      </c>
      <c r="AI315" s="48" t="s">
        <v>49</v>
      </c>
      <c r="AJ315" s="49" t="s">
        <v>49</v>
      </c>
      <c r="AK315" s="48" t="s">
        <v>49</v>
      </c>
      <c r="AL315" s="62" t="s">
        <v>32</v>
      </c>
      <c r="AM315" s="134"/>
      <c r="AN315" s="10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1"/>
    </row>
    <row r="316" spans="1:51" x14ac:dyDescent="0.2">
      <c r="A316" s="33">
        <f t="shared" si="5"/>
        <v>311</v>
      </c>
      <c r="B316" s="122" t="s">
        <v>2607</v>
      </c>
      <c r="C316" s="123" t="s">
        <v>2608</v>
      </c>
      <c r="D316" s="36" t="s">
        <v>2609</v>
      </c>
      <c r="E316" s="36" t="s">
        <v>54</v>
      </c>
      <c r="F316" s="122" t="s">
        <v>2610</v>
      </c>
      <c r="G316" s="126" t="s">
        <v>73</v>
      </c>
      <c r="H316" s="126" t="s">
        <v>73</v>
      </c>
      <c r="I316" s="122" t="s">
        <v>2611</v>
      </c>
      <c r="J316" s="122" t="s">
        <v>2611</v>
      </c>
      <c r="K316" s="128" t="s">
        <v>42</v>
      </c>
      <c r="L316" s="165">
        <v>30353</v>
      </c>
      <c r="M316" s="130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42" t="s">
        <v>2612</v>
      </c>
      <c r="Y316" s="58" t="s">
        <v>2613</v>
      </c>
      <c r="Z316" s="119" t="s">
        <v>2614</v>
      </c>
      <c r="AA316" s="131">
        <v>42935</v>
      </c>
      <c r="AB316" s="164" t="s">
        <v>30</v>
      </c>
      <c r="AC316" s="36" t="s">
        <v>26</v>
      </c>
      <c r="AD316" s="222" t="s">
        <v>49</v>
      </c>
      <c r="AE316" s="48" t="s">
        <v>49</v>
      </c>
      <c r="AF316" s="48" t="s">
        <v>49</v>
      </c>
      <c r="AG316" s="48" t="s">
        <v>49</v>
      </c>
      <c r="AH316" s="48" t="s">
        <v>49</v>
      </c>
      <c r="AI316" s="48" t="s">
        <v>49</v>
      </c>
      <c r="AJ316" s="49" t="s">
        <v>49</v>
      </c>
      <c r="AK316" s="48" t="s">
        <v>49</v>
      </c>
      <c r="AL316" s="65" t="s">
        <v>32</v>
      </c>
      <c r="AM316" s="134"/>
      <c r="AN316" s="10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1"/>
    </row>
    <row r="317" spans="1:51" x14ac:dyDescent="0.2">
      <c r="A317" s="33">
        <f t="shared" si="5"/>
        <v>312</v>
      </c>
      <c r="B317" s="122" t="s">
        <v>2615</v>
      </c>
      <c r="C317" s="123" t="s">
        <v>2616</v>
      </c>
      <c r="D317" s="73" t="s">
        <v>2617</v>
      </c>
      <c r="E317" s="36" t="s">
        <v>54</v>
      </c>
      <c r="F317" s="122" t="s">
        <v>2618</v>
      </c>
      <c r="G317" s="126" t="s">
        <v>73</v>
      </c>
      <c r="H317" s="126" t="s">
        <v>73</v>
      </c>
      <c r="I317" s="127" t="s">
        <v>2619</v>
      </c>
      <c r="J317" s="122"/>
      <c r="K317" s="128" t="s">
        <v>42</v>
      </c>
      <c r="L317" s="165">
        <v>45114</v>
      </c>
      <c r="M317" s="130"/>
      <c r="N317" s="130"/>
      <c r="O317" s="130"/>
      <c r="P317" s="130"/>
      <c r="Q317" s="130"/>
      <c r="R317" s="130"/>
      <c r="S317" s="130"/>
      <c r="T317" s="130" t="s">
        <v>44</v>
      </c>
      <c r="U317" s="130"/>
      <c r="V317" s="130"/>
      <c r="W317" s="130"/>
      <c r="X317" s="42" t="s">
        <v>2620</v>
      </c>
      <c r="Y317" s="83" t="s">
        <v>2621</v>
      </c>
      <c r="Z317" s="223"/>
      <c r="AA317" s="45"/>
      <c r="AB317" s="164"/>
      <c r="AC317" s="36"/>
      <c r="AD317" s="222" t="s">
        <v>49</v>
      </c>
      <c r="AE317" s="48" t="s">
        <v>41</v>
      </c>
      <c r="AF317" s="48" t="s">
        <v>41</v>
      </c>
      <c r="AG317" s="48" t="s">
        <v>41</v>
      </c>
      <c r="AH317" s="48" t="s">
        <v>49</v>
      </c>
      <c r="AI317" s="48" t="s">
        <v>49</v>
      </c>
      <c r="AJ317" s="49" t="s">
        <v>41</v>
      </c>
      <c r="AK317" s="48" t="s">
        <v>41</v>
      </c>
      <c r="AL317" s="62" t="s">
        <v>276</v>
      </c>
      <c r="AM317" s="59"/>
      <c r="AN317" s="10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1"/>
    </row>
    <row r="318" spans="1:51" x14ac:dyDescent="0.2">
      <c r="A318" s="33">
        <f t="shared" si="5"/>
        <v>313</v>
      </c>
      <c r="B318" s="34" t="s">
        <v>2622</v>
      </c>
      <c r="C318" s="35" t="s">
        <v>2623</v>
      </c>
      <c r="D318" s="36" t="s">
        <v>2624</v>
      </c>
      <c r="E318" s="36" t="s">
        <v>54</v>
      </c>
      <c r="F318" s="34" t="s">
        <v>2625</v>
      </c>
      <c r="G318" s="37" t="s">
        <v>73</v>
      </c>
      <c r="H318" s="37" t="s">
        <v>73</v>
      </c>
      <c r="I318" s="34" t="s">
        <v>1649</v>
      </c>
      <c r="J318" s="34" t="s">
        <v>1649</v>
      </c>
      <c r="K318" s="39" t="s">
        <v>42</v>
      </c>
      <c r="L318" s="99" t="s">
        <v>1496</v>
      </c>
      <c r="M318" s="41"/>
      <c r="N318" s="41"/>
      <c r="O318" s="41"/>
      <c r="P318" s="41"/>
      <c r="Q318" s="41" t="s">
        <v>2626</v>
      </c>
      <c r="R318" s="41"/>
      <c r="S318" s="41"/>
      <c r="T318" s="41"/>
      <c r="U318" s="41"/>
      <c r="V318" s="41"/>
      <c r="W318" s="41"/>
      <c r="X318" s="42" t="s">
        <v>2627</v>
      </c>
      <c r="Y318" s="69" t="s">
        <v>2628</v>
      </c>
      <c r="Z318" s="44" t="s">
        <v>61</v>
      </c>
      <c r="AA318" s="45">
        <v>36641</v>
      </c>
      <c r="AB318" s="101" t="s">
        <v>30</v>
      </c>
      <c r="AC318" s="36" t="s">
        <v>26</v>
      </c>
      <c r="AD318" s="47" t="s">
        <v>49</v>
      </c>
      <c r="AE318" s="48" t="s">
        <v>49</v>
      </c>
      <c r="AF318" s="48" t="s">
        <v>49</v>
      </c>
      <c r="AG318" s="48" t="s">
        <v>49</v>
      </c>
      <c r="AH318" s="48" t="s">
        <v>49</v>
      </c>
      <c r="AI318" s="48" t="s">
        <v>49</v>
      </c>
      <c r="AJ318" s="49" t="s">
        <v>41</v>
      </c>
      <c r="AK318" s="48" t="s">
        <v>41</v>
      </c>
      <c r="AL318" s="62" t="s">
        <v>276</v>
      </c>
      <c r="AM318" s="59"/>
      <c r="AN318" s="10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1"/>
    </row>
    <row r="319" spans="1:51" x14ac:dyDescent="0.2">
      <c r="A319" s="33">
        <f t="shared" si="5"/>
        <v>314</v>
      </c>
      <c r="B319" s="34" t="s">
        <v>2629</v>
      </c>
      <c r="C319" s="35" t="s">
        <v>2630</v>
      </c>
      <c r="D319" s="36" t="s">
        <v>2631</v>
      </c>
      <c r="E319" s="36" t="s">
        <v>54</v>
      </c>
      <c r="F319" s="34" t="s">
        <v>2632</v>
      </c>
      <c r="G319" s="37" t="s">
        <v>73</v>
      </c>
      <c r="H319" s="37" t="s">
        <v>73</v>
      </c>
      <c r="I319" s="34" t="s">
        <v>2633</v>
      </c>
      <c r="J319" s="34" t="s">
        <v>41</v>
      </c>
      <c r="K319" s="39" t="s">
        <v>42</v>
      </c>
      <c r="L319" s="99" t="s">
        <v>1022</v>
      </c>
      <c r="M319" s="41" t="s">
        <v>179</v>
      </c>
      <c r="N319" s="41" t="s">
        <v>514</v>
      </c>
      <c r="O319" s="41"/>
      <c r="P319" s="41"/>
      <c r="Q319" s="41"/>
      <c r="R319" s="41"/>
      <c r="S319" s="41" t="s">
        <v>44</v>
      </c>
      <c r="T319" s="41"/>
      <c r="U319" s="41"/>
      <c r="V319" s="41"/>
      <c r="W319" s="41"/>
      <c r="X319" s="42" t="s">
        <v>2634</v>
      </c>
      <c r="Y319" s="83" t="s">
        <v>2635</v>
      </c>
      <c r="Z319" s="44"/>
      <c r="AA319" s="45">
        <v>45642</v>
      </c>
      <c r="AB319" s="101"/>
      <c r="AC319" s="36"/>
      <c r="AD319" s="47" t="s">
        <v>49</v>
      </c>
      <c r="AE319" s="48" t="s">
        <v>41</v>
      </c>
      <c r="AF319" s="48" t="s">
        <v>41</v>
      </c>
      <c r="AG319" s="48" t="s">
        <v>49</v>
      </c>
      <c r="AH319" s="48" t="s">
        <v>49</v>
      </c>
      <c r="AI319" s="48" t="s">
        <v>49</v>
      </c>
      <c r="AJ319" s="49" t="s">
        <v>41</v>
      </c>
      <c r="AK319" s="48" t="s">
        <v>41</v>
      </c>
      <c r="AL319" s="62" t="s">
        <v>276</v>
      </c>
      <c r="AM319" s="59"/>
      <c r="AN319" s="10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1"/>
    </row>
    <row r="320" spans="1:51" ht="19.5" customHeight="1" x14ac:dyDescent="0.2">
      <c r="A320" s="33">
        <f t="shared" si="5"/>
        <v>315</v>
      </c>
      <c r="B320" s="34" t="s">
        <v>2636</v>
      </c>
      <c r="C320" s="35" t="s">
        <v>2637</v>
      </c>
      <c r="D320" s="36" t="s">
        <v>2638</v>
      </c>
      <c r="E320" s="36" t="s">
        <v>54</v>
      </c>
      <c r="F320" s="34" t="s">
        <v>2639</v>
      </c>
      <c r="G320" s="37" t="s">
        <v>73</v>
      </c>
      <c r="H320" s="37" t="s">
        <v>73</v>
      </c>
      <c r="I320" s="38" t="s">
        <v>2640</v>
      </c>
      <c r="J320" s="34"/>
      <c r="K320" s="39" t="s">
        <v>42</v>
      </c>
      <c r="L320" s="120">
        <v>42106</v>
      </c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2" t="s">
        <v>2641</v>
      </c>
      <c r="Y320" s="52" t="s">
        <v>2642</v>
      </c>
      <c r="Z320" s="211" t="s">
        <v>2643</v>
      </c>
      <c r="AA320" s="45">
        <v>44944</v>
      </c>
      <c r="AB320" s="101" t="s">
        <v>30</v>
      </c>
      <c r="AC320" s="36" t="s">
        <v>26</v>
      </c>
      <c r="AD320" s="47" t="s">
        <v>49</v>
      </c>
      <c r="AE320" s="48" t="s">
        <v>49</v>
      </c>
      <c r="AF320" s="48" t="s">
        <v>49</v>
      </c>
      <c r="AG320" s="48" t="s">
        <v>49</v>
      </c>
      <c r="AH320" s="48" t="s">
        <v>49</v>
      </c>
      <c r="AI320" s="48" t="s">
        <v>49</v>
      </c>
      <c r="AJ320" s="49" t="s">
        <v>49</v>
      </c>
      <c r="AK320" s="48" t="s">
        <v>49</v>
      </c>
      <c r="AL320" s="65" t="s">
        <v>32</v>
      </c>
      <c r="AM320" s="59"/>
      <c r="AN320" s="10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1"/>
    </row>
    <row r="321" spans="1:51" x14ac:dyDescent="0.2">
      <c r="A321" s="33">
        <f t="shared" si="5"/>
        <v>316</v>
      </c>
      <c r="B321" s="34" t="s">
        <v>2644</v>
      </c>
      <c r="C321" s="35" t="s">
        <v>2645</v>
      </c>
      <c r="D321" s="36" t="s">
        <v>2646</v>
      </c>
      <c r="E321" s="36" t="s">
        <v>36</v>
      </c>
      <c r="F321" s="34" t="s">
        <v>2647</v>
      </c>
      <c r="G321" s="37" t="s">
        <v>176</v>
      </c>
      <c r="H321" s="37" t="s">
        <v>39</v>
      </c>
      <c r="I321" s="38" t="s">
        <v>2648</v>
      </c>
      <c r="J321" s="34" t="s">
        <v>41</v>
      </c>
      <c r="K321" s="39" t="s">
        <v>42</v>
      </c>
      <c r="L321" s="120" t="s">
        <v>2649</v>
      </c>
      <c r="M321" s="56"/>
      <c r="N321" s="56"/>
      <c r="O321" s="56"/>
      <c r="P321" s="56"/>
      <c r="Q321" s="56"/>
      <c r="R321" s="56"/>
      <c r="S321" s="56"/>
      <c r="T321" s="56" t="s">
        <v>732</v>
      </c>
      <c r="U321" s="56"/>
      <c r="V321" s="56"/>
      <c r="W321" s="56"/>
      <c r="X321" s="42" t="s">
        <v>2650</v>
      </c>
      <c r="Y321" s="58" t="s">
        <v>2651</v>
      </c>
      <c r="Z321" s="44"/>
      <c r="AA321" s="45" t="s">
        <v>47</v>
      </c>
      <c r="AB321" s="101"/>
      <c r="AC321" s="36" t="s">
        <v>26</v>
      </c>
      <c r="AD321" s="47" t="s">
        <v>49</v>
      </c>
      <c r="AE321" s="48" t="s">
        <v>49</v>
      </c>
      <c r="AF321" s="48" t="s">
        <v>49</v>
      </c>
      <c r="AG321" s="48" t="s">
        <v>49</v>
      </c>
      <c r="AH321" s="48" t="s">
        <v>49</v>
      </c>
      <c r="AI321" s="48" t="s">
        <v>49</v>
      </c>
      <c r="AJ321" s="49" t="s">
        <v>49</v>
      </c>
      <c r="AK321" s="48" t="s">
        <v>41</v>
      </c>
      <c r="AL321" s="65" t="s">
        <v>148</v>
      </c>
      <c r="AM321" s="59"/>
      <c r="AN321" s="10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1"/>
    </row>
    <row r="322" spans="1:51" x14ac:dyDescent="0.2">
      <c r="A322" s="33">
        <f t="shared" si="5"/>
        <v>317</v>
      </c>
      <c r="B322" s="34" t="s">
        <v>2652</v>
      </c>
      <c r="C322" s="35" t="s">
        <v>2653</v>
      </c>
      <c r="D322" s="73" t="s">
        <v>2654</v>
      </c>
      <c r="E322" s="36" t="s">
        <v>54</v>
      </c>
      <c r="F322" s="98" t="s">
        <v>2655</v>
      </c>
      <c r="G322" s="37" t="s">
        <v>214</v>
      </c>
      <c r="H322" s="37" t="s">
        <v>205</v>
      </c>
      <c r="I322" s="34" t="s">
        <v>2656</v>
      </c>
      <c r="J322" s="34" t="s">
        <v>41</v>
      </c>
      <c r="K322" s="39" t="s">
        <v>42</v>
      </c>
      <c r="L322" s="99" t="s">
        <v>2657</v>
      </c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42" t="s">
        <v>2658</v>
      </c>
      <c r="Y322" s="58" t="s">
        <v>2659</v>
      </c>
      <c r="Z322" s="44" t="s">
        <v>61</v>
      </c>
      <c r="AA322" s="45">
        <v>37877</v>
      </c>
      <c r="AB322" s="101" t="s">
        <v>30</v>
      </c>
      <c r="AC322" s="73"/>
      <c r="AD322" s="47" t="s">
        <v>49</v>
      </c>
      <c r="AE322" s="48" t="s">
        <v>41</v>
      </c>
      <c r="AF322" s="48" t="s">
        <v>41</v>
      </c>
      <c r="AG322" s="48" t="s">
        <v>41</v>
      </c>
      <c r="AH322" s="48" t="s">
        <v>41</v>
      </c>
      <c r="AI322" s="48" t="s">
        <v>41</v>
      </c>
      <c r="AJ322" s="49" t="s">
        <v>41</v>
      </c>
      <c r="AK322" s="48" t="s">
        <v>41</v>
      </c>
      <c r="AL322" s="65" t="s">
        <v>4588</v>
      </c>
      <c r="AM322" s="59" t="s">
        <v>460</v>
      </c>
      <c r="AN322" s="117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1"/>
    </row>
    <row r="323" spans="1:51" x14ac:dyDescent="0.2">
      <c r="A323" s="33">
        <f t="shared" si="5"/>
        <v>318</v>
      </c>
      <c r="B323" s="107" t="s">
        <v>2660</v>
      </c>
      <c r="C323" s="35" t="s">
        <v>2661</v>
      </c>
      <c r="D323" s="36" t="s">
        <v>2662</v>
      </c>
      <c r="E323" s="36" t="s">
        <v>54</v>
      </c>
      <c r="F323" s="87" t="s">
        <v>2663</v>
      </c>
      <c r="G323" s="37" t="s">
        <v>350</v>
      </c>
      <c r="H323" s="37" t="s">
        <v>350</v>
      </c>
      <c r="I323" s="34" t="s">
        <v>2664</v>
      </c>
      <c r="J323" s="34"/>
      <c r="K323" s="39" t="s">
        <v>42</v>
      </c>
      <c r="L323" s="99" t="s">
        <v>2139</v>
      </c>
      <c r="M323" s="56" t="s">
        <v>179</v>
      </c>
      <c r="N323" s="56" t="s">
        <v>1878</v>
      </c>
      <c r="O323" s="56"/>
      <c r="P323" s="56">
        <v>2</v>
      </c>
      <c r="Q323" s="56"/>
      <c r="R323" s="56"/>
      <c r="S323" s="56"/>
      <c r="T323" s="56" t="s">
        <v>732</v>
      </c>
      <c r="U323" s="56"/>
      <c r="V323" s="56"/>
      <c r="W323" s="56"/>
      <c r="X323" s="42" t="s">
        <v>2665</v>
      </c>
      <c r="Y323" s="58" t="s">
        <v>2666</v>
      </c>
      <c r="Z323" s="224"/>
      <c r="AA323" s="45" t="s">
        <v>47</v>
      </c>
      <c r="AB323" s="101" t="s">
        <v>342</v>
      </c>
      <c r="AC323" s="36" t="s">
        <v>26</v>
      </c>
      <c r="AD323" s="47" t="s">
        <v>49</v>
      </c>
      <c r="AE323" s="48" t="s">
        <v>49</v>
      </c>
      <c r="AF323" s="48" t="s">
        <v>49</v>
      </c>
      <c r="AG323" s="48" t="s">
        <v>49</v>
      </c>
      <c r="AH323" s="48" t="s">
        <v>49</v>
      </c>
      <c r="AI323" s="48" t="s">
        <v>49</v>
      </c>
      <c r="AJ323" s="49" t="s">
        <v>49</v>
      </c>
      <c r="AK323" s="48" t="s">
        <v>49</v>
      </c>
      <c r="AL323" s="62" t="s">
        <v>32</v>
      </c>
      <c r="AM323" s="59"/>
      <c r="AN323" s="10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1"/>
    </row>
    <row r="324" spans="1:51" x14ac:dyDescent="0.2">
      <c r="A324" s="33">
        <f t="shared" si="5"/>
        <v>319</v>
      </c>
      <c r="B324" s="107" t="s">
        <v>2667</v>
      </c>
      <c r="C324" s="35" t="s">
        <v>2668</v>
      </c>
      <c r="D324" s="36" t="s">
        <v>2669</v>
      </c>
      <c r="E324" s="36" t="s">
        <v>54</v>
      </c>
      <c r="F324" s="34" t="s">
        <v>2670</v>
      </c>
      <c r="G324" s="37" t="s">
        <v>73</v>
      </c>
      <c r="H324" s="37" t="s">
        <v>73</v>
      </c>
      <c r="I324" s="34" t="s">
        <v>2671</v>
      </c>
      <c r="J324" s="34"/>
      <c r="K324" s="39" t="s">
        <v>42</v>
      </c>
      <c r="L324" s="99" t="s">
        <v>2672</v>
      </c>
      <c r="M324" s="56"/>
      <c r="N324" s="56"/>
      <c r="O324" s="56"/>
      <c r="P324" s="56"/>
      <c r="Q324" s="56"/>
      <c r="R324" s="56"/>
      <c r="S324" s="56"/>
      <c r="T324" s="56" t="s">
        <v>44</v>
      </c>
      <c r="U324" s="56"/>
      <c r="V324" s="56"/>
      <c r="W324" s="56"/>
      <c r="X324" s="42" t="s">
        <v>2673</v>
      </c>
      <c r="Y324" s="58" t="s">
        <v>2674</v>
      </c>
      <c r="Z324" s="44"/>
      <c r="AA324" s="45">
        <v>45642</v>
      </c>
      <c r="AB324" s="101"/>
      <c r="AC324" s="36"/>
      <c r="AD324" s="47" t="s">
        <v>49</v>
      </c>
      <c r="AE324" s="48" t="s">
        <v>41</v>
      </c>
      <c r="AF324" s="48" t="s">
        <v>41</v>
      </c>
      <c r="AG324" s="48" t="s">
        <v>41</v>
      </c>
      <c r="AH324" s="48" t="s">
        <v>49</v>
      </c>
      <c r="AI324" s="48" t="s">
        <v>49</v>
      </c>
      <c r="AJ324" s="49" t="s">
        <v>49</v>
      </c>
      <c r="AK324" s="48" t="s">
        <v>41</v>
      </c>
      <c r="AL324" s="62" t="s">
        <v>148</v>
      </c>
      <c r="AM324" s="59"/>
      <c r="AN324" s="117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1"/>
    </row>
    <row r="325" spans="1:51" x14ac:dyDescent="0.2">
      <c r="A325" s="33">
        <f t="shared" si="5"/>
        <v>320</v>
      </c>
      <c r="B325" s="34" t="s">
        <v>2675</v>
      </c>
      <c r="C325" s="35" t="s">
        <v>2676</v>
      </c>
      <c r="D325" s="36" t="s">
        <v>2677</v>
      </c>
      <c r="E325" s="36" t="s">
        <v>54</v>
      </c>
      <c r="F325" s="34" t="s">
        <v>2678</v>
      </c>
      <c r="G325" s="37" t="s">
        <v>73</v>
      </c>
      <c r="H325" s="37" t="s">
        <v>73</v>
      </c>
      <c r="I325" s="34" t="s">
        <v>2679</v>
      </c>
      <c r="J325" s="34" t="s">
        <v>2680</v>
      </c>
      <c r="K325" s="39" t="s">
        <v>42</v>
      </c>
      <c r="L325" s="120">
        <v>35617</v>
      </c>
      <c r="M325" s="41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42" t="s">
        <v>2681</v>
      </c>
      <c r="Y325" s="58" t="s">
        <v>2682</v>
      </c>
      <c r="Z325" s="44" t="s">
        <v>61</v>
      </c>
      <c r="AA325" s="45">
        <v>36803</v>
      </c>
      <c r="AB325" s="101" t="s">
        <v>30</v>
      </c>
      <c r="AC325" s="36" t="s">
        <v>26</v>
      </c>
      <c r="AD325" s="47" t="s">
        <v>49</v>
      </c>
      <c r="AE325" s="48" t="s">
        <v>49</v>
      </c>
      <c r="AF325" s="48" t="s">
        <v>49</v>
      </c>
      <c r="AG325" s="48" t="s">
        <v>49</v>
      </c>
      <c r="AH325" s="48" t="s">
        <v>49</v>
      </c>
      <c r="AI325" s="48" t="s">
        <v>49</v>
      </c>
      <c r="AJ325" s="49" t="s">
        <v>49</v>
      </c>
      <c r="AK325" s="48" t="s">
        <v>49</v>
      </c>
      <c r="AL325" s="62" t="s">
        <v>32</v>
      </c>
      <c r="AM325" s="59"/>
      <c r="AN325" s="10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1"/>
    </row>
    <row r="326" spans="1:51" x14ac:dyDescent="0.2">
      <c r="A326" s="33">
        <f t="shared" si="5"/>
        <v>321</v>
      </c>
      <c r="B326" s="34" t="s">
        <v>2683</v>
      </c>
      <c r="C326" s="35" t="s">
        <v>2684</v>
      </c>
      <c r="D326" s="36" t="s">
        <v>2685</v>
      </c>
      <c r="E326" s="36" t="s">
        <v>54</v>
      </c>
      <c r="F326" s="34" t="s">
        <v>2686</v>
      </c>
      <c r="G326" s="37" t="s">
        <v>73</v>
      </c>
      <c r="H326" s="37" t="s">
        <v>73</v>
      </c>
      <c r="I326" s="34" t="s">
        <v>2687</v>
      </c>
      <c r="J326" s="34" t="s">
        <v>2688</v>
      </c>
      <c r="K326" s="39" t="s">
        <v>42</v>
      </c>
      <c r="L326" s="99" t="s">
        <v>273</v>
      </c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2" t="s">
        <v>2689</v>
      </c>
      <c r="Y326" s="52" t="s">
        <v>2690</v>
      </c>
      <c r="Z326" s="44" t="s">
        <v>2691</v>
      </c>
      <c r="AA326" s="45">
        <v>43200</v>
      </c>
      <c r="AB326" s="101" t="s">
        <v>30</v>
      </c>
      <c r="AC326" s="36" t="s">
        <v>26</v>
      </c>
      <c r="AD326" s="47" t="s">
        <v>49</v>
      </c>
      <c r="AE326" s="48" t="s">
        <v>49</v>
      </c>
      <c r="AF326" s="48" t="s">
        <v>49</v>
      </c>
      <c r="AG326" s="48" t="s">
        <v>49</v>
      </c>
      <c r="AH326" s="48" t="s">
        <v>49</v>
      </c>
      <c r="AI326" s="48" t="s">
        <v>49</v>
      </c>
      <c r="AJ326" s="49" t="s">
        <v>49</v>
      </c>
      <c r="AK326" s="48" t="s">
        <v>49</v>
      </c>
      <c r="AL326" s="62" t="s">
        <v>32</v>
      </c>
      <c r="AM326" s="59"/>
      <c r="AN326" s="10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1"/>
    </row>
    <row r="327" spans="1:51" x14ac:dyDescent="0.2">
      <c r="A327" s="33">
        <f t="shared" si="5"/>
        <v>322</v>
      </c>
      <c r="B327" s="34" t="s">
        <v>2692</v>
      </c>
      <c r="C327" s="35" t="s">
        <v>2693</v>
      </c>
      <c r="D327" s="36" t="s">
        <v>2694</v>
      </c>
      <c r="E327" s="36" t="s">
        <v>54</v>
      </c>
      <c r="F327" s="34" t="s">
        <v>2695</v>
      </c>
      <c r="G327" s="37" t="s">
        <v>73</v>
      </c>
      <c r="H327" s="37" t="s">
        <v>73</v>
      </c>
      <c r="I327" s="34" t="s">
        <v>2696</v>
      </c>
      <c r="J327" s="34" t="s">
        <v>2687</v>
      </c>
      <c r="K327" s="39" t="s">
        <v>42</v>
      </c>
      <c r="L327" s="120">
        <v>37715</v>
      </c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2" t="s">
        <v>2697</v>
      </c>
      <c r="Y327" s="43" t="s">
        <v>2698</v>
      </c>
      <c r="Z327" s="44" t="s">
        <v>61</v>
      </c>
      <c r="AA327" s="45">
        <v>37877</v>
      </c>
      <c r="AB327" s="101" t="s">
        <v>30</v>
      </c>
      <c r="AC327" s="36" t="s">
        <v>26</v>
      </c>
      <c r="AD327" s="47" t="s">
        <v>49</v>
      </c>
      <c r="AE327" s="48" t="s">
        <v>49</v>
      </c>
      <c r="AF327" s="48" t="s">
        <v>49</v>
      </c>
      <c r="AG327" s="48" t="s">
        <v>49</v>
      </c>
      <c r="AH327" s="48" t="s">
        <v>49</v>
      </c>
      <c r="AI327" s="48" t="s">
        <v>49</v>
      </c>
      <c r="AJ327" s="49" t="s">
        <v>49</v>
      </c>
      <c r="AK327" s="48" t="s">
        <v>49</v>
      </c>
      <c r="AL327" s="62" t="s">
        <v>32</v>
      </c>
      <c r="AM327" s="59"/>
      <c r="AN327" s="10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1"/>
    </row>
    <row r="328" spans="1:51" x14ac:dyDescent="0.2">
      <c r="A328" s="33">
        <f t="shared" si="5"/>
        <v>323</v>
      </c>
      <c r="B328" s="34" t="s">
        <v>2699</v>
      </c>
      <c r="C328" s="35" t="s">
        <v>2700</v>
      </c>
      <c r="D328" s="36" t="s">
        <v>2701</v>
      </c>
      <c r="E328" s="36" t="s">
        <v>54</v>
      </c>
      <c r="F328" s="34" t="s">
        <v>2702</v>
      </c>
      <c r="G328" s="37" t="s">
        <v>243</v>
      </c>
      <c r="H328" s="37" t="s">
        <v>205</v>
      </c>
      <c r="I328" s="38" t="s">
        <v>2703</v>
      </c>
      <c r="J328" s="34"/>
      <c r="K328" s="39" t="s">
        <v>42</v>
      </c>
      <c r="L328" s="120" t="s">
        <v>2704</v>
      </c>
      <c r="M328" s="41"/>
      <c r="N328" s="41"/>
      <c r="O328" s="41"/>
      <c r="P328" s="41"/>
      <c r="Q328" s="41"/>
      <c r="R328" s="41"/>
      <c r="S328" s="41" t="s">
        <v>44</v>
      </c>
      <c r="T328" s="41"/>
      <c r="U328" s="41"/>
      <c r="V328" s="41"/>
      <c r="W328" s="41"/>
      <c r="X328" s="42" t="s">
        <v>2705</v>
      </c>
      <c r="Y328" s="43" t="s">
        <v>2706</v>
      </c>
      <c r="Z328" s="84" t="s">
        <v>2707</v>
      </c>
      <c r="AA328" s="45">
        <v>44650</v>
      </c>
      <c r="AB328" s="101" t="s">
        <v>30</v>
      </c>
      <c r="AC328" s="36"/>
      <c r="AD328" s="47" t="s">
        <v>49</v>
      </c>
      <c r="AE328" s="48" t="s">
        <v>41</v>
      </c>
      <c r="AF328" s="48" t="s">
        <v>41</v>
      </c>
      <c r="AG328" s="48" t="s">
        <v>49</v>
      </c>
      <c r="AH328" s="48" t="s">
        <v>49</v>
      </c>
      <c r="AI328" s="48" t="s">
        <v>49</v>
      </c>
      <c r="AJ328" s="49" t="s">
        <v>49</v>
      </c>
      <c r="AK328" s="48" t="s">
        <v>41</v>
      </c>
      <c r="AL328" s="62" t="s">
        <v>148</v>
      </c>
      <c r="AM328" s="59"/>
      <c r="AN328" s="10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1"/>
    </row>
    <row r="329" spans="1:51" x14ac:dyDescent="0.2">
      <c r="A329" s="33">
        <f t="shared" ref="A329:A392" si="6">+A328+1</f>
        <v>324</v>
      </c>
      <c r="B329" s="34" t="s">
        <v>2708</v>
      </c>
      <c r="C329" s="35" t="s">
        <v>2709</v>
      </c>
      <c r="D329" s="36" t="s">
        <v>2710</v>
      </c>
      <c r="E329" s="36" t="s">
        <v>54</v>
      </c>
      <c r="F329" s="34" t="s">
        <v>2711</v>
      </c>
      <c r="G329" s="37" t="s">
        <v>323</v>
      </c>
      <c r="H329" s="37" t="s">
        <v>39</v>
      </c>
      <c r="I329" s="38" t="s">
        <v>2712</v>
      </c>
      <c r="J329" s="34" t="s">
        <v>41</v>
      </c>
      <c r="K329" s="39" t="s">
        <v>42</v>
      </c>
      <c r="L329" s="120">
        <v>45643</v>
      </c>
      <c r="M329" s="41"/>
      <c r="N329" s="41"/>
      <c r="O329" s="41"/>
      <c r="P329" s="41"/>
      <c r="Q329" s="41"/>
      <c r="R329" s="41"/>
      <c r="S329" s="41"/>
      <c r="T329" s="41"/>
      <c r="U329" s="41" t="s">
        <v>44</v>
      </c>
      <c r="V329" s="41"/>
      <c r="W329" s="41"/>
      <c r="X329" s="38" t="s">
        <v>2713</v>
      </c>
      <c r="Y329" s="43" t="s">
        <v>2714</v>
      </c>
      <c r="Z329" s="144"/>
      <c r="AA329" s="45"/>
      <c r="AB329" s="101"/>
      <c r="AC329" s="36"/>
      <c r="AD329" s="47" t="s">
        <v>49</v>
      </c>
      <c r="AE329" s="48" t="s">
        <v>41</v>
      </c>
      <c r="AF329" s="48" t="s">
        <v>41</v>
      </c>
      <c r="AG329" s="48" t="s">
        <v>41</v>
      </c>
      <c r="AH329" s="48" t="s">
        <v>41</v>
      </c>
      <c r="AI329" s="48" t="s">
        <v>49</v>
      </c>
      <c r="AJ329" s="49" t="s">
        <v>49</v>
      </c>
      <c r="AK329" s="48" t="s">
        <v>41</v>
      </c>
      <c r="AL329" s="62" t="s">
        <v>148</v>
      </c>
      <c r="AM329" s="59"/>
      <c r="AN329" s="10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1"/>
    </row>
    <row r="330" spans="1:51" x14ac:dyDescent="0.2">
      <c r="A330" s="33">
        <f t="shared" si="6"/>
        <v>325</v>
      </c>
      <c r="B330" s="34" t="s">
        <v>2715</v>
      </c>
      <c r="C330" s="35" t="s">
        <v>2716</v>
      </c>
      <c r="D330" s="36" t="s">
        <v>2717</v>
      </c>
      <c r="E330" s="36" t="s">
        <v>36</v>
      </c>
      <c r="F330" s="34" t="s">
        <v>2718</v>
      </c>
      <c r="G330" s="37" t="s">
        <v>73</v>
      </c>
      <c r="H330" s="37" t="s">
        <v>73</v>
      </c>
      <c r="I330" s="34" t="s">
        <v>2719</v>
      </c>
      <c r="J330" s="34" t="s">
        <v>41</v>
      </c>
      <c r="K330" s="39" t="s">
        <v>42</v>
      </c>
      <c r="L330" s="99" t="s">
        <v>2720</v>
      </c>
      <c r="M330" s="56"/>
      <c r="N330" s="56"/>
      <c r="O330" s="56"/>
      <c r="P330" s="56"/>
      <c r="Q330" s="56"/>
      <c r="R330" s="56"/>
      <c r="S330" s="56" t="s">
        <v>732</v>
      </c>
      <c r="T330" s="56"/>
      <c r="U330" s="56"/>
      <c r="V330" s="56"/>
      <c r="W330" s="56"/>
      <c r="X330" s="42" t="s">
        <v>2721</v>
      </c>
      <c r="Y330" s="52" t="s">
        <v>2722</v>
      </c>
      <c r="Z330" s="44"/>
      <c r="AA330" s="45" t="s">
        <v>47</v>
      </c>
      <c r="AB330" s="101"/>
      <c r="AC330" s="36" t="s">
        <v>26</v>
      </c>
      <c r="AD330" s="47" t="s">
        <v>49</v>
      </c>
      <c r="AE330" s="48" t="s">
        <v>49</v>
      </c>
      <c r="AF330" s="48" t="s">
        <v>49</v>
      </c>
      <c r="AG330" s="48" t="s">
        <v>49</v>
      </c>
      <c r="AH330" s="48" t="s">
        <v>49</v>
      </c>
      <c r="AI330" s="48" t="s">
        <v>49</v>
      </c>
      <c r="AJ330" s="49" t="s">
        <v>49</v>
      </c>
      <c r="AK330" s="48" t="s">
        <v>49</v>
      </c>
      <c r="AL330" s="65" t="s">
        <v>32</v>
      </c>
      <c r="AM330" s="59"/>
      <c r="AN330" s="10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1"/>
    </row>
    <row r="331" spans="1:51" x14ac:dyDescent="0.2">
      <c r="A331" s="33">
        <f t="shared" si="6"/>
        <v>326</v>
      </c>
      <c r="B331" s="34" t="s">
        <v>2723</v>
      </c>
      <c r="C331" s="35" t="s">
        <v>2724</v>
      </c>
      <c r="D331" s="36" t="s">
        <v>2725</v>
      </c>
      <c r="E331" s="36" t="s">
        <v>54</v>
      </c>
      <c r="F331" s="34" t="s">
        <v>2726</v>
      </c>
      <c r="G331" s="37" t="s">
        <v>350</v>
      </c>
      <c r="H331" s="37" t="s">
        <v>350</v>
      </c>
      <c r="I331" s="38" t="s">
        <v>2727</v>
      </c>
      <c r="J331" s="34" t="s">
        <v>41</v>
      </c>
      <c r="K331" s="39" t="s">
        <v>42</v>
      </c>
      <c r="L331" s="120">
        <v>32513</v>
      </c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2" t="s">
        <v>2728</v>
      </c>
      <c r="Y331" s="58" t="s">
        <v>2729</v>
      </c>
      <c r="Z331" s="44" t="s">
        <v>61</v>
      </c>
      <c r="AA331" s="45">
        <v>37877</v>
      </c>
      <c r="AB331" s="101" t="s">
        <v>30</v>
      </c>
      <c r="AC331" s="36"/>
      <c r="AD331" s="47" t="s">
        <v>49</v>
      </c>
      <c r="AE331" s="48" t="s">
        <v>41</v>
      </c>
      <c r="AF331" s="48" t="s">
        <v>41</v>
      </c>
      <c r="AG331" s="48" t="s">
        <v>41</v>
      </c>
      <c r="AH331" s="48" t="s">
        <v>41</v>
      </c>
      <c r="AI331" s="48" t="s">
        <v>41</v>
      </c>
      <c r="AJ331" s="49" t="s">
        <v>41</v>
      </c>
      <c r="AK331" s="48" t="s">
        <v>41</v>
      </c>
      <c r="AL331" s="65" t="s">
        <v>4592</v>
      </c>
      <c r="AM331" s="59"/>
      <c r="AN331" s="10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1"/>
    </row>
    <row r="332" spans="1:51" x14ac:dyDescent="0.2">
      <c r="A332" s="33">
        <f t="shared" si="6"/>
        <v>327</v>
      </c>
      <c r="B332" s="34" t="s">
        <v>2730</v>
      </c>
      <c r="C332" s="35" t="s">
        <v>2731</v>
      </c>
      <c r="D332" s="36" t="s">
        <v>2732</v>
      </c>
      <c r="E332" s="36" t="s">
        <v>54</v>
      </c>
      <c r="F332" s="34" t="s">
        <v>2733</v>
      </c>
      <c r="G332" s="37" t="s">
        <v>73</v>
      </c>
      <c r="H332" s="37" t="s">
        <v>73</v>
      </c>
      <c r="I332" s="34" t="s">
        <v>2734</v>
      </c>
      <c r="J332" s="34" t="s">
        <v>41</v>
      </c>
      <c r="K332" s="39" t="s">
        <v>42</v>
      </c>
      <c r="L332" s="120">
        <v>33762</v>
      </c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2" t="s">
        <v>2735</v>
      </c>
      <c r="Y332" s="58" t="s">
        <v>2736</v>
      </c>
      <c r="Z332" s="44" t="s">
        <v>61</v>
      </c>
      <c r="AA332" s="45">
        <v>34597</v>
      </c>
      <c r="AB332" s="101" t="s">
        <v>30</v>
      </c>
      <c r="AC332" s="36" t="s">
        <v>26</v>
      </c>
      <c r="AD332" s="64" t="s">
        <v>120</v>
      </c>
      <c r="AE332" s="48" t="s">
        <v>120</v>
      </c>
      <c r="AF332" s="48" t="s">
        <v>120</v>
      </c>
      <c r="AG332" s="48" t="s">
        <v>120</v>
      </c>
      <c r="AH332" s="48" t="s">
        <v>120</v>
      </c>
      <c r="AI332" s="48" t="s">
        <v>120</v>
      </c>
      <c r="AJ332" s="49" t="s">
        <v>120</v>
      </c>
      <c r="AK332" s="48" t="s">
        <v>120</v>
      </c>
      <c r="AL332" s="62" t="s">
        <v>32</v>
      </c>
      <c r="AM332" s="59"/>
      <c r="AN332" s="10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1"/>
    </row>
    <row r="333" spans="1:51" x14ac:dyDescent="0.2">
      <c r="A333" s="33">
        <f t="shared" si="6"/>
        <v>328</v>
      </c>
      <c r="B333" s="34" t="s">
        <v>2737</v>
      </c>
      <c r="C333" s="35" t="s">
        <v>2738</v>
      </c>
      <c r="D333" s="36" t="s">
        <v>2739</v>
      </c>
      <c r="E333" s="36" t="s">
        <v>36</v>
      </c>
      <c r="F333" s="34" t="s">
        <v>2740</v>
      </c>
      <c r="G333" s="37" t="s">
        <v>243</v>
      </c>
      <c r="H333" s="37" t="s">
        <v>205</v>
      </c>
      <c r="I333" s="34" t="s">
        <v>2741</v>
      </c>
      <c r="J333" s="34" t="s">
        <v>41</v>
      </c>
      <c r="K333" s="39" t="s">
        <v>42</v>
      </c>
      <c r="L333" s="99" t="s">
        <v>2742</v>
      </c>
      <c r="M333" s="56" t="s">
        <v>179</v>
      </c>
      <c r="N333" s="56"/>
      <c r="O333" s="56"/>
      <c r="P333" s="56"/>
      <c r="Q333" s="56"/>
      <c r="R333" s="56"/>
      <c r="S333" s="56"/>
      <c r="T333" s="56"/>
      <c r="U333" s="56"/>
      <c r="V333" s="56" t="s">
        <v>732</v>
      </c>
      <c r="W333" s="56"/>
      <c r="X333" s="42" t="s">
        <v>2743</v>
      </c>
      <c r="Y333" s="69" t="s">
        <v>2744</v>
      </c>
      <c r="Z333" s="44" t="s">
        <v>2745</v>
      </c>
      <c r="AA333" s="45">
        <v>41793</v>
      </c>
      <c r="AB333" s="101" t="s">
        <v>30</v>
      </c>
      <c r="AC333" s="36" t="s">
        <v>26</v>
      </c>
      <c r="AD333" s="47" t="s">
        <v>49</v>
      </c>
      <c r="AE333" s="48" t="s">
        <v>49</v>
      </c>
      <c r="AF333" s="48" t="s">
        <v>49</v>
      </c>
      <c r="AG333" s="48" t="s">
        <v>49</v>
      </c>
      <c r="AH333" s="48" t="s">
        <v>49</v>
      </c>
      <c r="AI333" s="48" t="s">
        <v>49</v>
      </c>
      <c r="AJ333" s="49" t="s">
        <v>49</v>
      </c>
      <c r="AK333" s="48" t="s">
        <v>49</v>
      </c>
      <c r="AL333" s="62" t="s">
        <v>32</v>
      </c>
      <c r="AM333" s="59"/>
      <c r="AN333" s="117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1"/>
    </row>
    <row r="334" spans="1:51" x14ac:dyDescent="0.2">
      <c r="A334" s="33">
        <f t="shared" si="6"/>
        <v>329</v>
      </c>
      <c r="B334" s="34" t="s">
        <v>2746</v>
      </c>
      <c r="C334" s="35" t="s">
        <v>2747</v>
      </c>
      <c r="D334" s="36" t="s">
        <v>2748</v>
      </c>
      <c r="E334" s="36" t="s">
        <v>54</v>
      </c>
      <c r="F334" s="34" t="s">
        <v>2749</v>
      </c>
      <c r="G334" s="37" t="s">
        <v>73</v>
      </c>
      <c r="H334" s="37" t="s">
        <v>73</v>
      </c>
      <c r="I334" s="38" t="s">
        <v>2750</v>
      </c>
      <c r="J334" s="34" t="s">
        <v>41</v>
      </c>
      <c r="K334" s="39" t="s">
        <v>42</v>
      </c>
      <c r="L334" s="99" t="s">
        <v>2751</v>
      </c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42" t="s">
        <v>2752</v>
      </c>
      <c r="Y334" s="69" t="s">
        <v>2753</v>
      </c>
      <c r="Z334" s="44" t="s">
        <v>2754</v>
      </c>
      <c r="AA334" s="45">
        <v>44041</v>
      </c>
      <c r="AB334" s="101" t="s">
        <v>30</v>
      </c>
      <c r="AC334" s="36"/>
      <c r="AD334" s="47" t="s">
        <v>49</v>
      </c>
      <c r="AE334" s="48" t="s">
        <v>41</v>
      </c>
      <c r="AF334" s="48" t="s">
        <v>41</v>
      </c>
      <c r="AG334" s="48" t="s">
        <v>41</v>
      </c>
      <c r="AH334" s="48" t="s">
        <v>41</v>
      </c>
      <c r="AI334" s="48" t="s">
        <v>41</v>
      </c>
      <c r="AJ334" s="49" t="s">
        <v>41</v>
      </c>
      <c r="AK334" s="48" t="s">
        <v>41</v>
      </c>
      <c r="AL334" s="65" t="s">
        <v>4590</v>
      </c>
      <c r="AM334" s="59" t="s">
        <v>1230</v>
      </c>
      <c r="AN334" s="10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1"/>
    </row>
    <row r="335" spans="1:51" ht="18.75" customHeight="1" x14ac:dyDescent="0.2">
      <c r="A335" s="33">
        <f t="shared" si="6"/>
        <v>330</v>
      </c>
      <c r="B335" s="34" t="s">
        <v>2755</v>
      </c>
      <c r="C335" s="35" t="s">
        <v>2756</v>
      </c>
      <c r="D335" s="36" t="s">
        <v>2757</v>
      </c>
      <c r="E335" s="36" t="s">
        <v>54</v>
      </c>
      <c r="F335" s="34" t="s">
        <v>2758</v>
      </c>
      <c r="G335" s="37" t="s">
        <v>73</v>
      </c>
      <c r="H335" s="37" t="s">
        <v>73</v>
      </c>
      <c r="I335" s="38" t="s">
        <v>2759</v>
      </c>
      <c r="J335" s="34"/>
      <c r="K335" s="39" t="s">
        <v>42</v>
      </c>
      <c r="L335" s="99" t="s">
        <v>2760</v>
      </c>
      <c r="M335" s="56"/>
      <c r="N335" s="137"/>
      <c r="O335" s="137"/>
      <c r="P335" s="137"/>
      <c r="Q335" s="137"/>
      <c r="R335" s="137" t="s">
        <v>44</v>
      </c>
      <c r="S335" s="137"/>
      <c r="T335" s="137"/>
      <c r="U335" s="137"/>
      <c r="V335" s="137"/>
      <c r="W335" s="137"/>
      <c r="X335" s="42" t="s">
        <v>2761</v>
      </c>
      <c r="Y335" s="58" t="s">
        <v>2762</v>
      </c>
      <c r="Z335" s="211" t="s">
        <v>2763</v>
      </c>
      <c r="AA335" s="45">
        <v>44944</v>
      </c>
      <c r="AB335" s="101" t="s">
        <v>30</v>
      </c>
      <c r="AC335" s="36"/>
      <c r="AD335" s="47" t="s">
        <v>49</v>
      </c>
      <c r="AE335" s="48" t="s">
        <v>41</v>
      </c>
      <c r="AF335" s="48" t="s">
        <v>49</v>
      </c>
      <c r="AG335" s="48" t="s">
        <v>49</v>
      </c>
      <c r="AH335" s="48" t="s">
        <v>49</v>
      </c>
      <c r="AI335" s="48" t="s">
        <v>49</v>
      </c>
      <c r="AJ335" s="49" t="s">
        <v>49</v>
      </c>
      <c r="AK335" s="48" t="s">
        <v>49</v>
      </c>
      <c r="AL335" s="62" t="s">
        <v>32</v>
      </c>
      <c r="AM335" s="59"/>
      <c r="AN335" s="10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1"/>
    </row>
    <row r="336" spans="1:51" ht="18.75" customHeight="1" x14ac:dyDescent="0.2">
      <c r="A336" s="33">
        <f t="shared" si="6"/>
        <v>331</v>
      </c>
      <c r="B336" s="34" t="s">
        <v>2764</v>
      </c>
      <c r="C336" s="35" t="s">
        <v>2765</v>
      </c>
      <c r="D336" s="36" t="s">
        <v>2766</v>
      </c>
      <c r="E336" s="36" t="s">
        <v>54</v>
      </c>
      <c r="F336" s="34" t="s">
        <v>2767</v>
      </c>
      <c r="G336" s="37" t="s">
        <v>205</v>
      </c>
      <c r="H336" s="37" t="s">
        <v>205</v>
      </c>
      <c r="I336" s="34" t="s">
        <v>2768</v>
      </c>
      <c r="J336" s="34" t="s">
        <v>41</v>
      </c>
      <c r="K336" s="39" t="s">
        <v>42</v>
      </c>
      <c r="L336" s="99" t="s">
        <v>2769</v>
      </c>
      <c r="M336" s="56"/>
      <c r="N336" s="56"/>
      <c r="O336" s="56"/>
      <c r="P336" s="56"/>
      <c r="Q336" s="115"/>
      <c r="R336" s="115"/>
      <c r="S336" s="115"/>
      <c r="T336" s="56"/>
      <c r="U336" s="56"/>
      <c r="V336" s="56"/>
      <c r="W336" s="56"/>
      <c r="X336" s="42" t="s">
        <v>2770</v>
      </c>
      <c r="Y336" s="58" t="s">
        <v>2771</v>
      </c>
      <c r="Z336" s="119" t="s">
        <v>61</v>
      </c>
      <c r="AA336" s="45">
        <v>40815</v>
      </c>
      <c r="AB336" s="101" t="s">
        <v>129</v>
      </c>
      <c r="AC336" s="36"/>
      <c r="AD336" s="47" t="s">
        <v>49</v>
      </c>
      <c r="AE336" s="48" t="s">
        <v>41</v>
      </c>
      <c r="AF336" s="48" t="s">
        <v>41</v>
      </c>
      <c r="AG336" s="48" t="s">
        <v>41</v>
      </c>
      <c r="AH336" s="48" t="s">
        <v>41</v>
      </c>
      <c r="AI336" s="48" t="s">
        <v>41</v>
      </c>
      <c r="AJ336" s="49" t="s">
        <v>41</v>
      </c>
      <c r="AK336" s="48" t="s">
        <v>41</v>
      </c>
      <c r="AL336" s="65" t="s">
        <v>4592</v>
      </c>
      <c r="AM336" s="59"/>
      <c r="AN336" s="10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1"/>
    </row>
    <row r="337" spans="1:51" ht="18.75" customHeight="1" x14ac:dyDescent="0.2">
      <c r="A337" s="33">
        <f t="shared" si="6"/>
        <v>332</v>
      </c>
      <c r="B337" s="34" t="s">
        <v>2772</v>
      </c>
      <c r="C337" s="35" t="s">
        <v>2773</v>
      </c>
      <c r="D337" s="36" t="s">
        <v>2774</v>
      </c>
      <c r="E337" s="36" t="s">
        <v>54</v>
      </c>
      <c r="F337" s="34" t="s">
        <v>2775</v>
      </c>
      <c r="G337" s="37" t="s">
        <v>73</v>
      </c>
      <c r="H337" s="37" t="s">
        <v>73</v>
      </c>
      <c r="I337" s="38" t="s">
        <v>2776</v>
      </c>
      <c r="J337" s="34" t="s">
        <v>41</v>
      </c>
      <c r="K337" s="39" t="s">
        <v>42</v>
      </c>
      <c r="L337" s="120">
        <v>44573</v>
      </c>
      <c r="M337" s="56"/>
      <c r="N337" s="56"/>
      <c r="O337" s="56"/>
      <c r="P337" s="56"/>
      <c r="Q337" s="115"/>
      <c r="R337" s="115"/>
      <c r="S337" s="115" t="s">
        <v>44</v>
      </c>
      <c r="T337" s="56"/>
      <c r="U337" s="56"/>
      <c r="V337" s="56"/>
      <c r="W337" s="56"/>
      <c r="X337" s="42" t="s">
        <v>2777</v>
      </c>
      <c r="Y337" s="58" t="s">
        <v>2778</v>
      </c>
      <c r="Z337" s="211" t="s">
        <v>2779</v>
      </c>
      <c r="AA337" s="45">
        <v>44944</v>
      </c>
      <c r="AB337" s="101" t="s">
        <v>30</v>
      </c>
      <c r="AC337" s="36"/>
      <c r="AD337" s="47" t="s">
        <v>49</v>
      </c>
      <c r="AE337" s="48" t="s">
        <v>41</v>
      </c>
      <c r="AF337" s="48" t="s">
        <v>41</v>
      </c>
      <c r="AG337" s="48" t="s">
        <v>49</v>
      </c>
      <c r="AH337" s="48" t="s">
        <v>49</v>
      </c>
      <c r="AI337" s="48" t="s">
        <v>49</v>
      </c>
      <c r="AJ337" s="49" t="s">
        <v>49</v>
      </c>
      <c r="AK337" s="48" t="s">
        <v>49</v>
      </c>
      <c r="AL337" s="65" t="s">
        <v>32</v>
      </c>
      <c r="AM337" s="59"/>
      <c r="AN337" s="10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1"/>
    </row>
    <row r="338" spans="1:51" ht="19.5" customHeight="1" x14ac:dyDescent="0.2">
      <c r="A338" s="33">
        <f t="shared" si="6"/>
        <v>333</v>
      </c>
      <c r="B338" s="34" t="s">
        <v>2780</v>
      </c>
      <c r="C338" s="35" t="s">
        <v>2781</v>
      </c>
      <c r="D338" s="36" t="s">
        <v>2782</v>
      </c>
      <c r="E338" s="36" t="s">
        <v>54</v>
      </c>
      <c r="F338" s="34" t="s">
        <v>2783</v>
      </c>
      <c r="G338" s="37" t="s">
        <v>205</v>
      </c>
      <c r="H338" s="37" t="s">
        <v>205</v>
      </c>
      <c r="I338" s="38" t="s">
        <v>2784</v>
      </c>
      <c r="J338" s="34"/>
      <c r="K338" s="39" t="s">
        <v>42</v>
      </c>
      <c r="L338" s="120">
        <v>44903</v>
      </c>
      <c r="M338" s="56"/>
      <c r="N338" s="56"/>
      <c r="O338" s="56"/>
      <c r="P338" s="56"/>
      <c r="Q338" s="115"/>
      <c r="R338" s="115"/>
      <c r="S338" s="115" t="s">
        <v>44</v>
      </c>
      <c r="T338" s="56"/>
      <c r="U338" s="56"/>
      <c r="V338" s="56"/>
      <c r="W338" s="56"/>
      <c r="X338" s="42" t="s">
        <v>2785</v>
      </c>
      <c r="Y338" s="58" t="s">
        <v>2786</v>
      </c>
      <c r="Z338" s="211" t="s">
        <v>2787</v>
      </c>
      <c r="AA338" s="45">
        <v>44944</v>
      </c>
      <c r="AB338" s="101" t="s">
        <v>30</v>
      </c>
      <c r="AC338" s="36"/>
      <c r="AD338" s="47" t="s">
        <v>49</v>
      </c>
      <c r="AE338" s="48" t="s">
        <v>41</v>
      </c>
      <c r="AF338" s="48" t="s">
        <v>41</v>
      </c>
      <c r="AG338" s="48" t="s">
        <v>49</v>
      </c>
      <c r="AH338" s="48" t="s">
        <v>49</v>
      </c>
      <c r="AI338" s="48" t="s">
        <v>49</v>
      </c>
      <c r="AJ338" s="49" t="s">
        <v>49</v>
      </c>
      <c r="AK338" s="48" t="s">
        <v>41</v>
      </c>
      <c r="AL338" s="62" t="s">
        <v>148</v>
      </c>
      <c r="AM338" s="59"/>
      <c r="AN338" s="10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1"/>
    </row>
    <row r="339" spans="1:51" ht="19.5" customHeight="1" x14ac:dyDescent="0.2">
      <c r="A339" s="33">
        <f t="shared" si="6"/>
        <v>334</v>
      </c>
      <c r="B339" s="34" t="s">
        <v>2788</v>
      </c>
      <c r="C339" s="35" t="s">
        <v>2789</v>
      </c>
      <c r="D339" s="36" t="s">
        <v>2790</v>
      </c>
      <c r="E339" s="36" t="s">
        <v>54</v>
      </c>
      <c r="F339" s="34" t="s">
        <v>2791</v>
      </c>
      <c r="G339" s="37" t="s">
        <v>73</v>
      </c>
      <c r="H339" s="37" t="s">
        <v>73</v>
      </c>
      <c r="I339" s="34" t="s">
        <v>1005</v>
      </c>
      <c r="J339" s="34"/>
      <c r="K339" s="39" t="s">
        <v>42</v>
      </c>
      <c r="L339" s="99" t="s">
        <v>2792</v>
      </c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42" t="s">
        <v>2793</v>
      </c>
      <c r="Y339" s="58" t="s">
        <v>2794</v>
      </c>
      <c r="Z339" s="44" t="s">
        <v>61</v>
      </c>
      <c r="AA339" s="45">
        <v>40876</v>
      </c>
      <c r="AB339" s="101" t="s">
        <v>30</v>
      </c>
      <c r="AC339" s="36" t="s">
        <v>26</v>
      </c>
      <c r="AD339" s="47" t="s">
        <v>49</v>
      </c>
      <c r="AE339" s="48" t="s">
        <v>49</v>
      </c>
      <c r="AF339" s="48" t="s">
        <v>49</v>
      </c>
      <c r="AG339" s="48" t="s">
        <v>49</v>
      </c>
      <c r="AH339" s="48" t="s">
        <v>49</v>
      </c>
      <c r="AI339" s="48" t="s">
        <v>49</v>
      </c>
      <c r="AJ339" s="49" t="s">
        <v>49</v>
      </c>
      <c r="AK339" s="48" t="s">
        <v>49</v>
      </c>
      <c r="AL339" s="62" t="s">
        <v>32</v>
      </c>
      <c r="AM339" s="59"/>
      <c r="AN339" s="10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1"/>
    </row>
    <row r="340" spans="1:51" ht="19.5" customHeight="1" x14ac:dyDescent="0.2">
      <c r="A340" s="33">
        <f t="shared" si="6"/>
        <v>335</v>
      </c>
      <c r="B340" s="34" t="s">
        <v>2795</v>
      </c>
      <c r="C340" s="35" t="s">
        <v>2796</v>
      </c>
      <c r="D340" s="36" t="s">
        <v>2797</v>
      </c>
      <c r="E340" s="36" t="s">
        <v>54</v>
      </c>
      <c r="F340" s="34" t="s">
        <v>2798</v>
      </c>
      <c r="G340" s="37" t="s">
        <v>73</v>
      </c>
      <c r="H340" s="37" t="s">
        <v>73</v>
      </c>
      <c r="I340" s="38" t="s">
        <v>2799</v>
      </c>
      <c r="J340" s="38" t="s">
        <v>2800</v>
      </c>
      <c r="K340" s="39" t="s">
        <v>42</v>
      </c>
      <c r="L340" s="99" t="s">
        <v>2493</v>
      </c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42" t="s">
        <v>2801</v>
      </c>
      <c r="Y340" s="58" t="s">
        <v>2802</v>
      </c>
      <c r="Z340" s="207" t="s">
        <v>2803</v>
      </c>
      <c r="AA340" s="45">
        <v>44944</v>
      </c>
      <c r="AB340" s="101" t="s">
        <v>30</v>
      </c>
      <c r="AC340" s="36" t="s">
        <v>26</v>
      </c>
      <c r="AD340" s="47" t="s">
        <v>49</v>
      </c>
      <c r="AE340" s="48" t="s">
        <v>49</v>
      </c>
      <c r="AF340" s="48" t="s">
        <v>49</v>
      </c>
      <c r="AG340" s="48" t="s">
        <v>49</v>
      </c>
      <c r="AH340" s="48" t="s">
        <v>49</v>
      </c>
      <c r="AI340" s="48" t="s">
        <v>49</v>
      </c>
      <c r="AJ340" s="49" t="s">
        <v>49</v>
      </c>
      <c r="AK340" s="48" t="s">
        <v>41</v>
      </c>
      <c r="AL340" s="62" t="s">
        <v>148</v>
      </c>
      <c r="AM340" s="59"/>
      <c r="AN340" s="10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1"/>
    </row>
    <row r="341" spans="1:51" x14ac:dyDescent="0.2">
      <c r="A341" s="33">
        <f t="shared" si="6"/>
        <v>336</v>
      </c>
      <c r="B341" s="34" t="s">
        <v>2804</v>
      </c>
      <c r="C341" s="35" t="s">
        <v>2805</v>
      </c>
      <c r="D341" s="36" t="s">
        <v>2806</v>
      </c>
      <c r="E341" s="36" t="s">
        <v>54</v>
      </c>
      <c r="F341" s="34" t="s">
        <v>2807</v>
      </c>
      <c r="G341" s="37" t="s">
        <v>323</v>
      </c>
      <c r="H341" s="37" t="s">
        <v>39</v>
      </c>
      <c r="I341" s="38" t="s">
        <v>2808</v>
      </c>
      <c r="J341" s="34" t="s">
        <v>41</v>
      </c>
      <c r="K341" s="39" t="s">
        <v>42</v>
      </c>
      <c r="L341" s="99" t="s">
        <v>1776</v>
      </c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42" t="s">
        <v>2809</v>
      </c>
      <c r="Y341" s="58" t="s">
        <v>2810</v>
      </c>
      <c r="Z341" s="44" t="s">
        <v>61</v>
      </c>
      <c r="AA341" s="45">
        <v>40876</v>
      </c>
      <c r="AB341" s="101" t="s">
        <v>30</v>
      </c>
      <c r="AC341" s="36" t="s">
        <v>26</v>
      </c>
      <c r="AD341" s="47" t="s">
        <v>49</v>
      </c>
      <c r="AE341" s="48" t="s">
        <v>49</v>
      </c>
      <c r="AF341" s="48" t="s">
        <v>49</v>
      </c>
      <c r="AG341" s="48" t="s">
        <v>49</v>
      </c>
      <c r="AH341" s="48" t="s">
        <v>49</v>
      </c>
      <c r="AI341" s="48" t="s">
        <v>49</v>
      </c>
      <c r="AJ341" s="49" t="s">
        <v>49</v>
      </c>
      <c r="AK341" s="48" t="s">
        <v>49</v>
      </c>
      <c r="AL341" s="62" t="s">
        <v>32</v>
      </c>
      <c r="AM341" s="59"/>
      <c r="AN341" s="10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1"/>
    </row>
    <row r="342" spans="1:51" x14ac:dyDescent="0.2">
      <c r="A342" s="33">
        <f t="shared" si="6"/>
        <v>337</v>
      </c>
      <c r="B342" s="107" t="s">
        <v>2811</v>
      </c>
      <c r="C342" s="35" t="s">
        <v>2812</v>
      </c>
      <c r="D342" s="36" t="s">
        <v>2813</v>
      </c>
      <c r="E342" s="36" t="s">
        <v>54</v>
      </c>
      <c r="F342" s="87" t="s">
        <v>2814</v>
      </c>
      <c r="G342" s="37" t="s">
        <v>73</v>
      </c>
      <c r="H342" s="37" t="s">
        <v>73</v>
      </c>
      <c r="I342" s="34" t="s">
        <v>2815</v>
      </c>
      <c r="J342" s="34" t="s">
        <v>2816</v>
      </c>
      <c r="K342" s="39" t="s">
        <v>42</v>
      </c>
      <c r="L342" s="99" t="s">
        <v>2817</v>
      </c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42" t="s">
        <v>2818</v>
      </c>
      <c r="Y342" s="58" t="s">
        <v>2819</v>
      </c>
      <c r="Z342" s="44" t="s">
        <v>61</v>
      </c>
      <c r="AA342" s="45">
        <v>40280</v>
      </c>
      <c r="AB342" s="101" t="s">
        <v>30</v>
      </c>
      <c r="AC342" s="36" t="s">
        <v>26</v>
      </c>
      <c r="AD342" s="47" t="s">
        <v>49</v>
      </c>
      <c r="AE342" s="48" t="s">
        <v>49</v>
      </c>
      <c r="AF342" s="48" t="s">
        <v>49</v>
      </c>
      <c r="AG342" s="48" t="s">
        <v>49</v>
      </c>
      <c r="AH342" s="48" t="s">
        <v>49</v>
      </c>
      <c r="AI342" s="48" t="s">
        <v>49</v>
      </c>
      <c r="AJ342" s="49" t="s">
        <v>49</v>
      </c>
      <c r="AK342" s="48" t="s">
        <v>49</v>
      </c>
      <c r="AL342" s="62" t="s">
        <v>32</v>
      </c>
      <c r="AM342" s="59"/>
      <c r="AN342" s="10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1"/>
    </row>
    <row r="343" spans="1:51" x14ac:dyDescent="0.2">
      <c r="A343" s="33">
        <f t="shared" si="6"/>
        <v>338</v>
      </c>
      <c r="B343" s="34" t="s">
        <v>2820</v>
      </c>
      <c r="C343" s="35" t="s">
        <v>2821</v>
      </c>
      <c r="D343" s="36" t="s">
        <v>2822</v>
      </c>
      <c r="E343" s="36" t="s">
        <v>54</v>
      </c>
      <c r="F343" s="34" t="s">
        <v>2823</v>
      </c>
      <c r="G343" s="37" t="s">
        <v>73</v>
      </c>
      <c r="H343" s="37" t="s">
        <v>73</v>
      </c>
      <c r="I343" s="34" t="s">
        <v>2824</v>
      </c>
      <c r="J343" s="34" t="s">
        <v>2824</v>
      </c>
      <c r="K343" s="39" t="s">
        <v>42</v>
      </c>
      <c r="L343" s="120">
        <v>30353</v>
      </c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2" t="s">
        <v>2825</v>
      </c>
      <c r="Y343" s="58" t="s">
        <v>2826</v>
      </c>
      <c r="Z343" s="44" t="s">
        <v>61</v>
      </c>
      <c r="AA343" s="45">
        <v>40280</v>
      </c>
      <c r="AB343" s="101" t="s">
        <v>30</v>
      </c>
      <c r="AC343" s="36" t="s">
        <v>26</v>
      </c>
      <c r="AD343" s="61" t="s">
        <v>49</v>
      </c>
      <c r="AE343" s="48" t="s">
        <v>49</v>
      </c>
      <c r="AF343" s="48" t="s">
        <v>41</v>
      </c>
      <c r="AG343" s="48" t="s">
        <v>41</v>
      </c>
      <c r="AH343" s="48" t="s">
        <v>41</v>
      </c>
      <c r="AI343" s="48" t="s">
        <v>41</v>
      </c>
      <c r="AJ343" s="49" t="s">
        <v>41</v>
      </c>
      <c r="AK343" s="48" t="s">
        <v>41</v>
      </c>
      <c r="AL343" s="62" t="s">
        <v>4587</v>
      </c>
      <c r="AM343" s="59"/>
      <c r="AN343" s="117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1"/>
    </row>
    <row r="344" spans="1:51" x14ac:dyDescent="0.2">
      <c r="A344" s="33">
        <f t="shared" si="6"/>
        <v>339</v>
      </c>
      <c r="B344" s="34" t="s">
        <v>2827</v>
      </c>
      <c r="C344" s="35" t="s">
        <v>2828</v>
      </c>
      <c r="D344" s="36" t="s">
        <v>2829</v>
      </c>
      <c r="E344" s="36" t="s">
        <v>36</v>
      </c>
      <c r="F344" s="34" t="s">
        <v>2830</v>
      </c>
      <c r="G344" s="37" t="s">
        <v>377</v>
      </c>
      <c r="H344" s="37" t="s">
        <v>378</v>
      </c>
      <c r="I344" s="34">
        <v>89508121544</v>
      </c>
      <c r="J344" s="34" t="s">
        <v>41</v>
      </c>
      <c r="K344" s="39" t="s">
        <v>42</v>
      </c>
      <c r="L344" s="120">
        <v>44776</v>
      </c>
      <c r="M344" s="41"/>
      <c r="N344" s="41"/>
      <c r="O344" s="41"/>
      <c r="P344" s="41"/>
      <c r="Q344" s="41"/>
      <c r="R344" s="41"/>
      <c r="S344" s="41" t="s">
        <v>44</v>
      </c>
      <c r="T344" s="41"/>
      <c r="U344" s="41"/>
      <c r="V344" s="41"/>
      <c r="W344" s="41"/>
      <c r="X344" s="42" t="s">
        <v>2831</v>
      </c>
      <c r="Y344" s="58" t="s">
        <v>2832</v>
      </c>
      <c r="Z344" s="84" t="s">
        <v>2833</v>
      </c>
      <c r="AA344" s="45">
        <v>44650</v>
      </c>
      <c r="AB344" s="101" t="s">
        <v>30</v>
      </c>
      <c r="AC344" s="36"/>
      <c r="AD344" s="61" t="s">
        <v>49</v>
      </c>
      <c r="AE344" s="48" t="s">
        <v>41</v>
      </c>
      <c r="AF344" s="48" t="s">
        <v>41</v>
      </c>
      <c r="AG344" s="48" t="s">
        <v>49</v>
      </c>
      <c r="AH344" s="48" t="s">
        <v>41</v>
      </c>
      <c r="AI344" s="48" t="s">
        <v>41</v>
      </c>
      <c r="AJ344" s="49" t="s">
        <v>41</v>
      </c>
      <c r="AK344" s="48" t="s">
        <v>41</v>
      </c>
      <c r="AL344" s="62" t="s">
        <v>139</v>
      </c>
      <c r="AM344" s="59"/>
      <c r="AN344" s="10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1"/>
    </row>
    <row r="345" spans="1:51" x14ac:dyDescent="0.2">
      <c r="A345" s="33">
        <f t="shared" si="6"/>
        <v>340</v>
      </c>
      <c r="B345" s="34" t="s">
        <v>2834</v>
      </c>
      <c r="C345" s="35" t="s">
        <v>2835</v>
      </c>
      <c r="D345" s="36" t="s">
        <v>2836</v>
      </c>
      <c r="E345" s="36" t="s">
        <v>54</v>
      </c>
      <c r="F345" s="34" t="s">
        <v>2837</v>
      </c>
      <c r="G345" s="37" t="s">
        <v>858</v>
      </c>
      <c r="H345" s="37" t="s">
        <v>57</v>
      </c>
      <c r="I345" s="38" t="s">
        <v>2838</v>
      </c>
      <c r="J345" s="34" t="s">
        <v>41</v>
      </c>
      <c r="K345" s="39" t="s">
        <v>42</v>
      </c>
      <c r="L345" s="120" t="s">
        <v>2839</v>
      </c>
      <c r="M345" s="41"/>
      <c r="N345" s="41"/>
      <c r="O345" s="41"/>
      <c r="P345" s="41"/>
      <c r="Q345" s="41"/>
      <c r="R345" s="41" t="s">
        <v>44</v>
      </c>
      <c r="S345" s="41"/>
      <c r="T345" s="41"/>
      <c r="U345" s="41"/>
      <c r="V345" s="41"/>
      <c r="W345" s="41"/>
      <c r="X345" s="42" t="s">
        <v>2840</v>
      </c>
      <c r="Y345" s="58" t="s">
        <v>2841</v>
      </c>
      <c r="Z345" s="84" t="s">
        <v>2842</v>
      </c>
      <c r="AA345" s="45">
        <v>44650</v>
      </c>
      <c r="AB345" s="101" t="s">
        <v>30</v>
      </c>
      <c r="AC345" s="36"/>
      <c r="AD345" s="61" t="s">
        <v>49</v>
      </c>
      <c r="AE345" s="48" t="s">
        <v>41</v>
      </c>
      <c r="AF345" s="48" t="s">
        <v>41</v>
      </c>
      <c r="AG345" s="48" t="s">
        <v>49</v>
      </c>
      <c r="AH345" s="48" t="s">
        <v>49</v>
      </c>
      <c r="AI345" s="48" t="s">
        <v>49</v>
      </c>
      <c r="AJ345" s="49" t="s">
        <v>49</v>
      </c>
      <c r="AK345" s="48" t="s">
        <v>49</v>
      </c>
      <c r="AL345" s="65" t="s">
        <v>32</v>
      </c>
      <c r="AM345" s="59"/>
      <c r="AN345" s="117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1"/>
    </row>
    <row r="346" spans="1:51" x14ac:dyDescent="0.2">
      <c r="A346" s="33">
        <f t="shared" si="6"/>
        <v>341</v>
      </c>
      <c r="B346" s="34" t="s">
        <v>2843</v>
      </c>
      <c r="C346" s="35" t="s">
        <v>2844</v>
      </c>
      <c r="D346" s="36" t="s">
        <v>2845</v>
      </c>
      <c r="E346" s="36" t="s">
        <v>54</v>
      </c>
      <c r="F346" s="34" t="s">
        <v>2846</v>
      </c>
      <c r="G346" s="37" t="s">
        <v>252</v>
      </c>
      <c r="H346" s="37" t="s">
        <v>57</v>
      </c>
      <c r="I346" s="38" t="s">
        <v>2847</v>
      </c>
      <c r="J346" s="34" t="s">
        <v>41</v>
      </c>
      <c r="K346" s="39" t="s">
        <v>42</v>
      </c>
      <c r="L346" s="120">
        <v>37441</v>
      </c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2" t="s">
        <v>2848</v>
      </c>
      <c r="Y346" s="58" t="s">
        <v>2849</v>
      </c>
      <c r="Z346" s="44" t="s">
        <v>61</v>
      </c>
      <c r="AA346" s="45">
        <v>37877</v>
      </c>
      <c r="AB346" s="101" t="s">
        <v>30</v>
      </c>
      <c r="AC346" s="36" t="s">
        <v>26</v>
      </c>
      <c r="AD346" s="47" t="s">
        <v>49</v>
      </c>
      <c r="AE346" s="48" t="s">
        <v>49</v>
      </c>
      <c r="AF346" s="48" t="s">
        <v>49</v>
      </c>
      <c r="AG346" s="48" t="s">
        <v>49</v>
      </c>
      <c r="AH346" s="48" t="s">
        <v>49</v>
      </c>
      <c r="AI346" s="48" t="s">
        <v>49</v>
      </c>
      <c r="AJ346" s="49" t="s">
        <v>49</v>
      </c>
      <c r="AK346" s="48" t="s">
        <v>41</v>
      </c>
      <c r="AL346" s="62" t="s">
        <v>148</v>
      </c>
      <c r="AM346" s="59"/>
      <c r="AN346" s="117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1"/>
    </row>
    <row r="347" spans="1:51" x14ac:dyDescent="0.2">
      <c r="A347" s="33">
        <f t="shared" si="6"/>
        <v>342</v>
      </c>
      <c r="B347" s="34" t="s">
        <v>2850</v>
      </c>
      <c r="C347" s="35" t="s">
        <v>2851</v>
      </c>
      <c r="D347" s="36" t="s">
        <v>2852</v>
      </c>
      <c r="E347" s="36" t="s">
        <v>54</v>
      </c>
      <c r="F347" s="34" t="s">
        <v>2853</v>
      </c>
      <c r="G347" s="37" t="s">
        <v>176</v>
      </c>
      <c r="H347" s="37" t="s">
        <v>39</v>
      </c>
      <c r="I347" s="38" t="s">
        <v>2854</v>
      </c>
      <c r="J347" s="34" t="s">
        <v>41</v>
      </c>
      <c r="K347" s="39" t="s">
        <v>42</v>
      </c>
      <c r="L347" s="120">
        <v>45726</v>
      </c>
      <c r="M347" s="41"/>
      <c r="N347" s="41"/>
      <c r="O347" s="41"/>
      <c r="P347" s="41"/>
      <c r="Q347" s="41"/>
      <c r="R347" s="41"/>
      <c r="S347" s="41"/>
      <c r="T347" s="41"/>
      <c r="U347" s="41"/>
      <c r="V347" s="41" t="s">
        <v>44</v>
      </c>
      <c r="W347" s="41"/>
      <c r="X347" s="38" t="s">
        <v>2855</v>
      </c>
      <c r="Y347" s="58" t="s">
        <v>2856</v>
      </c>
      <c r="Z347" s="44"/>
      <c r="AA347" s="45"/>
      <c r="AB347" s="101"/>
      <c r="AC347" s="36"/>
      <c r="AD347" s="47" t="s">
        <v>49</v>
      </c>
      <c r="AE347" s="48" t="s">
        <v>41</v>
      </c>
      <c r="AF347" s="48" t="s">
        <v>41</v>
      </c>
      <c r="AG347" s="48" t="s">
        <v>41</v>
      </c>
      <c r="AH347" s="48" t="s">
        <v>41</v>
      </c>
      <c r="AI347" s="48" t="s">
        <v>41</v>
      </c>
      <c r="AJ347" s="49" t="s">
        <v>49</v>
      </c>
      <c r="AK347" s="48" t="s">
        <v>49</v>
      </c>
      <c r="AL347" s="62" t="s">
        <v>32</v>
      </c>
      <c r="AM347" s="59"/>
      <c r="AN347" s="117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1"/>
    </row>
    <row r="348" spans="1:51" x14ac:dyDescent="0.2">
      <c r="A348" s="33">
        <f t="shared" si="6"/>
        <v>343</v>
      </c>
      <c r="B348" s="34" t="s">
        <v>2857</v>
      </c>
      <c r="C348" s="35" t="s">
        <v>2858</v>
      </c>
      <c r="D348" s="36" t="s">
        <v>2859</v>
      </c>
      <c r="E348" s="36" t="s">
        <v>54</v>
      </c>
      <c r="F348" s="34" t="s">
        <v>2860</v>
      </c>
      <c r="G348" s="37" t="s">
        <v>252</v>
      </c>
      <c r="H348" s="37" t="s">
        <v>57</v>
      </c>
      <c r="I348" s="34" t="s">
        <v>2861</v>
      </c>
      <c r="J348" s="34" t="s">
        <v>41</v>
      </c>
      <c r="K348" s="39" t="s">
        <v>42</v>
      </c>
      <c r="L348" s="120" t="s">
        <v>2862</v>
      </c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42" t="s">
        <v>2863</v>
      </c>
      <c r="Y348" s="43" t="s">
        <v>2864</v>
      </c>
      <c r="Z348" s="44" t="s">
        <v>61</v>
      </c>
      <c r="AA348" s="45">
        <v>40280</v>
      </c>
      <c r="AB348" s="101" t="s">
        <v>30</v>
      </c>
      <c r="AC348" s="36" t="s">
        <v>26</v>
      </c>
      <c r="AD348" s="47" t="s">
        <v>49</v>
      </c>
      <c r="AE348" s="48" t="s">
        <v>49</v>
      </c>
      <c r="AF348" s="48" t="s">
        <v>49</v>
      </c>
      <c r="AG348" s="48" t="s">
        <v>49</v>
      </c>
      <c r="AH348" s="48" t="s">
        <v>49</v>
      </c>
      <c r="AI348" s="48" t="s">
        <v>49</v>
      </c>
      <c r="AJ348" s="49" t="s">
        <v>49</v>
      </c>
      <c r="AK348" s="48" t="s">
        <v>49</v>
      </c>
      <c r="AL348" s="62" t="s">
        <v>32</v>
      </c>
      <c r="AM348" s="59"/>
      <c r="AN348" s="10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1"/>
    </row>
    <row r="349" spans="1:51" x14ac:dyDescent="0.2">
      <c r="A349" s="33">
        <f t="shared" si="6"/>
        <v>344</v>
      </c>
      <c r="B349" s="34" t="s">
        <v>2865</v>
      </c>
      <c r="C349" s="35" t="s">
        <v>2866</v>
      </c>
      <c r="D349" s="36" t="s">
        <v>2867</v>
      </c>
      <c r="E349" s="36" t="s">
        <v>54</v>
      </c>
      <c r="F349" s="34" t="s">
        <v>2868</v>
      </c>
      <c r="G349" s="37" t="s">
        <v>73</v>
      </c>
      <c r="H349" s="37" t="s">
        <v>73</v>
      </c>
      <c r="I349" s="139" t="s">
        <v>2869</v>
      </c>
      <c r="J349" s="34" t="s">
        <v>41</v>
      </c>
      <c r="K349" s="39" t="s">
        <v>42</v>
      </c>
      <c r="L349" s="99" t="s">
        <v>273</v>
      </c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2" t="s">
        <v>2870</v>
      </c>
      <c r="Y349" s="52" t="s">
        <v>2871</v>
      </c>
      <c r="Z349" s="119" t="s">
        <v>2872</v>
      </c>
      <c r="AA349" s="45">
        <v>41793</v>
      </c>
      <c r="AB349" s="101" t="s">
        <v>129</v>
      </c>
      <c r="AC349" s="36" t="s">
        <v>26</v>
      </c>
      <c r="AD349" s="47" t="s">
        <v>120</v>
      </c>
      <c r="AE349" s="48" t="s">
        <v>49</v>
      </c>
      <c r="AF349" s="48" t="s">
        <v>49</v>
      </c>
      <c r="AG349" s="48" t="s">
        <v>49</v>
      </c>
      <c r="AH349" s="48" t="s">
        <v>49</v>
      </c>
      <c r="AI349" s="48" t="s">
        <v>49</v>
      </c>
      <c r="AJ349" s="49" t="s">
        <v>49</v>
      </c>
      <c r="AK349" s="48" t="s">
        <v>120</v>
      </c>
      <c r="AL349" s="62" t="s">
        <v>32</v>
      </c>
      <c r="AM349" s="59"/>
      <c r="AN349" s="10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1"/>
    </row>
    <row r="350" spans="1:51" x14ac:dyDescent="0.2">
      <c r="A350" s="33">
        <f t="shared" si="6"/>
        <v>345</v>
      </c>
      <c r="B350" s="34" t="s">
        <v>2873</v>
      </c>
      <c r="C350" s="35" t="s">
        <v>2874</v>
      </c>
      <c r="D350" s="36" t="s">
        <v>2875</v>
      </c>
      <c r="E350" s="36" t="s">
        <v>54</v>
      </c>
      <c r="F350" s="34" t="s">
        <v>2876</v>
      </c>
      <c r="G350" s="37" t="s">
        <v>1285</v>
      </c>
      <c r="H350" s="37" t="s">
        <v>350</v>
      </c>
      <c r="I350" s="183" t="s">
        <v>2877</v>
      </c>
      <c r="J350" s="34" t="s">
        <v>41</v>
      </c>
      <c r="K350" s="39" t="s">
        <v>42</v>
      </c>
      <c r="L350" s="120" t="s">
        <v>1236</v>
      </c>
      <c r="M350" s="56"/>
      <c r="N350" s="56"/>
      <c r="O350" s="56"/>
      <c r="P350" s="56"/>
      <c r="Q350" s="56"/>
      <c r="R350" s="56"/>
      <c r="S350" s="56" t="s">
        <v>44</v>
      </c>
      <c r="T350" s="56"/>
      <c r="U350" s="56"/>
      <c r="V350" s="56"/>
      <c r="W350" s="56"/>
      <c r="X350" s="42" t="s">
        <v>2878</v>
      </c>
      <c r="Y350" s="43" t="s">
        <v>2879</v>
      </c>
      <c r="Z350" s="121" t="s">
        <v>2880</v>
      </c>
      <c r="AA350" s="45">
        <v>44650</v>
      </c>
      <c r="AB350" s="101" t="s">
        <v>30</v>
      </c>
      <c r="AC350" s="36"/>
      <c r="AD350" s="47" t="s">
        <v>49</v>
      </c>
      <c r="AE350" s="48" t="s">
        <v>41</v>
      </c>
      <c r="AF350" s="48" t="s">
        <v>41</v>
      </c>
      <c r="AG350" s="48" t="s">
        <v>49</v>
      </c>
      <c r="AH350" s="48" t="s">
        <v>49</v>
      </c>
      <c r="AI350" s="48" t="s">
        <v>49</v>
      </c>
      <c r="AJ350" s="49" t="s">
        <v>49</v>
      </c>
      <c r="AK350" s="48" t="s">
        <v>49</v>
      </c>
      <c r="AL350" s="62" t="s">
        <v>32</v>
      </c>
      <c r="AM350" s="59"/>
      <c r="AN350" s="10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1"/>
    </row>
    <row r="351" spans="1:51" x14ac:dyDescent="0.2">
      <c r="A351" s="33">
        <f t="shared" si="6"/>
        <v>346</v>
      </c>
      <c r="B351" s="34" t="s">
        <v>2881</v>
      </c>
      <c r="C351" s="35" t="s">
        <v>2882</v>
      </c>
      <c r="D351" s="36" t="s">
        <v>2883</v>
      </c>
      <c r="E351" s="36" t="s">
        <v>54</v>
      </c>
      <c r="F351" s="34" t="s">
        <v>2884</v>
      </c>
      <c r="G351" s="37" t="s">
        <v>73</v>
      </c>
      <c r="H351" s="37" t="s">
        <v>73</v>
      </c>
      <c r="I351" s="201" t="s">
        <v>2885</v>
      </c>
      <c r="J351" s="34" t="s">
        <v>41</v>
      </c>
      <c r="K351" s="39" t="s">
        <v>42</v>
      </c>
      <c r="L351" s="120">
        <v>43962</v>
      </c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42" t="s">
        <v>2886</v>
      </c>
      <c r="Y351" s="58" t="s">
        <v>2887</v>
      </c>
      <c r="Z351" s="121" t="s">
        <v>2888</v>
      </c>
      <c r="AA351" s="45">
        <v>44650</v>
      </c>
      <c r="AB351" s="101" t="s">
        <v>30</v>
      </c>
      <c r="AC351" s="36" t="s">
        <v>26</v>
      </c>
      <c r="AD351" s="61" t="s">
        <v>49</v>
      </c>
      <c r="AE351" s="48" t="s">
        <v>49</v>
      </c>
      <c r="AF351" s="48" t="s">
        <v>49</v>
      </c>
      <c r="AG351" s="48" t="s">
        <v>49</v>
      </c>
      <c r="AH351" s="48" t="s">
        <v>49</v>
      </c>
      <c r="AI351" s="48" t="s">
        <v>49</v>
      </c>
      <c r="AJ351" s="49" t="s">
        <v>49</v>
      </c>
      <c r="AK351" s="48" t="s">
        <v>41</v>
      </c>
      <c r="AL351" s="65" t="s">
        <v>148</v>
      </c>
      <c r="AM351" s="225"/>
      <c r="AN351" s="10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1"/>
    </row>
    <row r="352" spans="1:51" x14ac:dyDescent="0.2">
      <c r="A352" s="33">
        <f t="shared" si="6"/>
        <v>347</v>
      </c>
      <c r="B352" s="34" t="s">
        <v>2889</v>
      </c>
      <c r="C352" s="35" t="s">
        <v>2890</v>
      </c>
      <c r="D352" s="36" t="s">
        <v>2891</v>
      </c>
      <c r="E352" s="36" t="s">
        <v>36</v>
      </c>
      <c r="F352" s="34" t="s">
        <v>2892</v>
      </c>
      <c r="G352" s="37" t="s">
        <v>323</v>
      </c>
      <c r="H352" s="37" t="s">
        <v>39</v>
      </c>
      <c r="I352" s="201" t="s">
        <v>2893</v>
      </c>
      <c r="J352" s="34" t="s">
        <v>41</v>
      </c>
      <c r="K352" s="39" t="s">
        <v>42</v>
      </c>
      <c r="L352" s="120">
        <v>41585</v>
      </c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42" t="s">
        <v>2894</v>
      </c>
      <c r="Y352" s="83" t="s">
        <v>2895</v>
      </c>
      <c r="Z352" s="119" t="s">
        <v>2896</v>
      </c>
      <c r="AA352" s="45">
        <v>41793</v>
      </c>
      <c r="AB352" s="101" t="s">
        <v>30</v>
      </c>
      <c r="AC352" s="36" t="s">
        <v>26</v>
      </c>
      <c r="AD352" s="47" t="s">
        <v>49</v>
      </c>
      <c r="AE352" s="48" t="s">
        <v>49</v>
      </c>
      <c r="AF352" s="48" t="s">
        <v>49</v>
      </c>
      <c r="AG352" s="48" t="s">
        <v>49</v>
      </c>
      <c r="AH352" s="48" t="s">
        <v>49</v>
      </c>
      <c r="AI352" s="48" t="s">
        <v>49</v>
      </c>
      <c r="AJ352" s="49" t="s">
        <v>49</v>
      </c>
      <c r="AK352" s="48" t="s">
        <v>41</v>
      </c>
      <c r="AL352" s="62" t="s">
        <v>148</v>
      </c>
      <c r="AM352" s="59"/>
      <c r="AN352" s="10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1"/>
    </row>
    <row r="353" spans="1:51" x14ac:dyDescent="0.2">
      <c r="A353" s="33">
        <f t="shared" si="6"/>
        <v>348</v>
      </c>
      <c r="B353" s="34" t="s">
        <v>2897</v>
      </c>
      <c r="C353" s="35" t="s">
        <v>2898</v>
      </c>
      <c r="D353" s="36" t="s">
        <v>2899</v>
      </c>
      <c r="E353" s="36" t="s">
        <v>54</v>
      </c>
      <c r="F353" s="226" t="s">
        <v>2900</v>
      </c>
      <c r="G353" s="37" t="s">
        <v>377</v>
      </c>
      <c r="H353" s="37" t="s">
        <v>378</v>
      </c>
      <c r="I353" s="34" t="s">
        <v>2901</v>
      </c>
      <c r="J353" s="34" t="s">
        <v>41</v>
      </c>
      <c r="K353" s="39" t="s">
        <v>42</v>
      </c>
      <c r="L353" s="99" t="s">
        <v>2902</v>
      </c>
      <c r="M353" s="115"/>
      <c r="N353" s="115"/>
      <c r="O353" s="115"/>
      <c r="P353" s="115"/>
      <c r="Q353" s="115"/>
      <c r="R353" s="115"/>
      <c r="S353" s="115"/>
      <c r="T353" s="56"/>
      <c r="U353" s="56"/>
      <c r="V353" s="56"/>
      <c r="W353" s="56"/>
      <c r="X353" s="42" t="s">
        <v>2903</v>
      </c>
      <c r="Y353" s="58" t="s">
        <v>2904</v>
      </c>
      <c r="Z353" s="44" t="s">
        <v>61</v>
      </c>
      <c r="AA353" s="45">
        <v>40280</v>
      </c>
      <c r="AB353" s="101" t="s">
        <v>30</v>
      </c>
      <c r="AC353" s="36" t="s">
        <v>26</v>
      </c>
      <c r="AD353" s="47" t="s">
        <v>49</v>
      </c>
      <c r="AE353" s="48" t="s">
        <v>49</v>
      </c>
      <c r="AF353" s="48" t="s">
        <v>49</v>
      </c>
      <c r="AG353" s="48" t="s">
        <v>49</v>
      </c>
      <c r="AH353" s="48" t="s">
        <v>49</v>
      </c>
      <c r="AI353" s="48" t="s">
        <v>49</v>
      </c>
      <c r="AJ353" s="49" t="s">
        <v>49</v>
      </c>
      <c r="AK353" s="48" t="s">
        <v>49</v>
      </c>
      <c r="AL353" s="65" t="s">
        <v>32</v>
      </c>
      <c r="AM353" s="59"/>
      <c r="AN353" s="117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1"/>
    </row>
    <row r="354" spans="1:51" x14ac:dyDescent="0.2">
      <c r="A354" s="33">
        <f t="shared" si="6"/>
        <v>349</v>
      </c>
      <c r="B354" s="122" t="s">
        <v>2905</v>
      </c>
      <c r="C354" s="123" t="s">
        <v>2906</v>
      </c>
      <c r="D354" s="202" t="s">
        <v>2907</v>
      </c>
      <c r="E354" s="36" t="s">
        <v>54</v>
      </c>
      <c r="F354" s="125" t="s">
        <v>2908</v>
      </c>
      <c r="G354" s="126" t="s">
        <v>4605</v>
      </c>
      <c r="H354" s="126" t="s">
        <v>205</v>
      </c>
      <c r="I354" s="127" t="s">
        <v>2909</v>
      </c>
      <c r="J354" s="122" t="s">
        <v>41</v>
      </c>
      <c r="K354" s="128" t="s">
        <v>42</v>
      </c>
      <c r="L354" s="163" t="s">
        <v>2910</v>
      </c>
      <c r="M354" s="130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42" t="s">
        <v>2911</v>
      </c>
      <c r="Y354" s="52" t="s">
        <v>2912</v>
      </c>
      <c r="Z354" s="44" t="s">
        <v>2913</v>
      </c>
      <c r="AA354" s="131">
        <v>42325</v>
      </c>
      <c r="AB354" s="164" t="s">
        <v>30</v>
      </c>
      <c r="AC354" s="36" t="s">
        <v>26</v>
      </c>
      <c r="AD354" s="133" t="s">
        <v>49</v>
      </c>
      <c r="AE354" s="48" t="s">
        <v>49</v>
      </c>
      <c r="AF354" s="48" t="s">
        <v>49</v>
      </c>
      <c r="AG354" s="48" t="s">
        <v>49</v>
      </c>
      <c r="AH354" s="48" t="s">
        <v>49</v>
      </c>
      <c r="AI354" s="48" t="s">
        <v>49</v>
      </c>
      <c r="AJ354" s="49" t="s">
        <v>49</v>
      </c>
      <c r="AK354" s="48" t="s">
        <v>41</v>
      </c>
      <c r="AL354" s="65" t="s">
        <v>148</v>
      </c>
      <c r="AM354" s="59"/>
      <c r="AN354" s="117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1"/>
    </row>
    <row r="355" spans="1:51" x14ac:dyDescent="0.2">
      <c r="A355" s="33">
        <f t="shared" si="6"/>
        <v>350</v>
      </c>
      <c r="B355" s="122" t="s">
        <v>2914</v>
      </c>
      <c r="C355" s="123" t="s">
        <v>2915</v>
      </c>
      <c r="D355" s="202" t="s">
        <v>2916</v>
      </c>
      <c r="E355" s="36" t="s">
        <v>54</v>
      </c>
      <c r="F355" s="122" t="s">
        <v>2917</v>
      </c>
      <c r="G355" s="126" t="s">
        <v>252</v>
      </c>
      <c r="H355" s="126" t="s">
        <v>57</v>
      </c>
      <c r="I355" s="122" t="s">
        <v>2918</v>
      </c>
      <c r="J355" s="122" t="s">
        <v>41</v>
      </c>
      <c r="K355" s="128" t="s">
        <v>42</v>
      </c>
      <c r="L355" s="163" t="s">
        <v>2437</v>
      </c>
      <c r="M355" s="130"/>
      <c r="N355" s="130"/>
      <c r="O355" s="130"/>
      <c r="P355" s="130"/>
      <c r="Q355" s="130"/>
      <c r="R355" s="130"/>
      <c r="S355" s="130"/>
      <c r="T355" s="130"/>
      <c r="U355" s="130" t="s">
        <v>732</v>
      </c>
      <c r="V355" s="130"/>
      <c r="W355" s="130"/>
      <c r="X355" s="42" t="s">
        <v>2919</v>
      </c>
      <c r="Y355" s="52" t="s">
        <v>2920</v>
      </c>
      <c r="Z355" s="44" t="s">
        <v>61</v>
      </c>
      <c r="AA355" s="131">
        <v>40815</v>
      </c>
      <c r="AB355" s="164" t="s">
        <v>30</v>
      </c>
      <c r="AC355" s="36" t="s">
        <v>26</v>
      </c>
      <c r="AD355" s="133" t="s">
        <v>49</v>
      </c>
      <c r="AE355" s="48" t="s">
        <v>49</v>
      </c>
      <c r="AF355" s="48" t="s">
        <v>49</v>
      </c>
      <c r="AG355" s="48" t="s">
        <v>49</v>
      </c>
      <c r="AH355" s="48" t="s">
        <v>49</v>
      </c>
      <c r="AI355" s="48" t="s">
        <v>49</v>
      </c>
      <c r="AJ355" s="49" t="s">
        <v>49</v>
      </c>
      <c r="AK355" s="48" t="s">
        <v>49</v>
      </c>
      <c r="AL355" s="62" t="s">
        <v>32</v>
      </c>
      <c r="AM355" s="134"/>
      <c r="AN355" s="10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1"/>
    </row>
    <row r="356" spans="1:51" ht="18.75" customHeight="1" x14ac:dyDescent="0.2">
      <c r="A356" s="33">
        <f t="shared" si="6"/>
        <v>351</v>
      </c>
      <c r="B356" s="122" t="s">
        <v>2921</v>
      </c>
      <c r="C356" s="123" t="s">
        <v>2922</v>
      </c>
      <c r="D356" s="202" t="s">
        <v>2923</v>
      </c>
      <c r="E356" s="36" t="s">
        <v>54</v>
      </c>
      <c r="F356" s="122" t="s">
        <v>2924</v>
      </c>
      <c r="G356" s="126" t="s">
        <v>39</v>
      </c>
      <c r="H356" s="126" t="s">
        <v>39</v>
      </c>
      <c r="I356" s="122" t="s">
        <v>2925</v>
      </c>
      <c r="J356" s="122" t="s">
        <v>41</v>
      </c>
      <c r="K356" s="128" t="s">
        <v>42</v>
      </c>
      <c r="L356" s="163" t="s">
        <v>1218</v>
      </c>
      <c r="M356" s="130"/>
      <c r="N356" s="130"/>
      <c r="O356" s="130"/>
      <c r="P356" s="130"/>
      <c r="Q356" s="130"/>
      <c r="R356" s="130" t="s">
        <v>44</v>
      </c>
      <c r="S356" s="130"/>
      <c r="T356" s="130"/>
      <c r="U356" s="130"/>
      <c r="V356" s="130"/>
      <c r="W356" s="130"/>
      <c r="X356" s="42" t="s">
        <v>2926</v>
      </c>
      <c r="Y356" s="43" t="s">
        <v>2927</v>
      </c>
      <c r="Z356" s="211" t="s">
        <v>2928</v>
      </c>
      <c r="AA356" s="45">
        <v>44944</v>
      </c>
      <c r="AB356" s="164" t="s">
        <v>30</v>
      </c>
      <c r="AC356" s="36"/>
      <c r="AD356" s="133" t="s">
        <v>49</v>
      </c>
      <c r="AE356" s="48" t="s">
        <v>41</v>
      </c>
      <c r="AF356" s="48" t="s">
        <v>49</v>
      </c>
      <c r="AG356" s="48" t="s">
        <v>49</v>
      </c>
      <c r="AH356" s="48" t="s">
        <v>49</v>
      </c>
      <c r="AI356" s="48" t="s">
        <v>49</v>
      </c>
      <c r="AJ356" s="49" t="s">
        <v>41</v>
      </c>
      <c r="AK356" s="48" t="s">
        <v>41</v>
      </c>
      <c r="AL356" s="62" t="s">
        <v>276</v>
      </c>
      <c r="AM356" s="134"/>
      <c r="AN356" s="10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1"/>
    </row>
    <row r="357" spans="1:51" x14ac:dyDescent="0.2">
      <c r="A357" s="33">
        <f t="shared" si="6"/>
        <v>352</v>
      </c>
      <c r="B357" s="34" t="s">
        <v>2929</v>
      </c>
      <c r="C357" s="35" t="s">
        <v>2930</v>
      </c>
      <c r="D357" s="36" t="s">
        <v>2931</v>
      </c>
      <c r="E357" s="36" t="s">
        <v>54</v>
      </c>
      <c r="F357" s="34" t="s">
        <v>2932</v>
      </c>
      <c r="G357" s="37" t="s">
        <v>73</v>
      </c>
      <c r="H357" s="37" t="s">
        <v>73</v>
      </c>
      <c r="I357" s="34" t="s">
        <v>2933</v>
      </c>
      <c r="J357" s="34" t="s">
        <v>2933</v>
      </c>
      <c r="K357" s="39" t="s">
        <v>42</v>
      </c>
      <c r="L357" s="120">
        <v>31054</v>
      </c>
      <c r="M357" s="41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42" t="s">
        <v>2934</v>
      </c>
      <c r="Y357" s="69" t="s">
        <v>2935</v>
      </c>
      <c r="Z357" s="44" t="s">
        <v>61</v>
      </c>
      <c r="AA357" s="45">
        <v>42325</v>
      </c>
      <c r="AB357" s="101" t="s">
        <v>30</v>
      </c>
      <c r="AC357" s="36" t="s">
        <v>26</v>
      </c>
      <c r="AD357" s="47" t="s">
        <v>49</v>
      </c>
      <c r="AE357" s="48" t="s">
        <v>49</v>
      </c>
      <c r="AF357" s="48" t="s">
        <v>49</v>
      </c>
      <c r="AG357" s="48" t="s">
        <v>49</v>
      </c>
      <c r="AH357" s="48" t="s">
        <v>49</v>
      </c>
      <c r="AI357" s="48" t="s">
        <v>49</v>
      </c>
      <c r="AJ357" s="49" t="s">
        <v>49</v>
      </c>
      <c r="AK357" s="48" t="s">
        <v>49</v>
      </c>
      <c r="AL357" s="62" t="s">
        <v>32</v>
      </c>
      <c r="AM357" s="59"/>
      <c r="AN357" s="10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1"/>
    </row>
    <row r="358" spans="1:51" x14ac:dyDescent="0.2">
      <c r="A358" s="33">
        <f t="shared" si="6"/>
        <v>353</v>
      </c>
      <c r="B358" s="34" t="s">
        <v>2936</v>
      </c>
      <c r="C358" s="35" t="s">
        <v>2937</v>
      </c>
      <c r="D358" s="36" t="s">
        <v>2938</v>
      </c>
      <c r="E358" s="36" t="s">
        <v>36</v>
      </c>
      <c r="F358" s="34" t="s">
        <v>2939</v>
      </c>
      <c r="G358" s="37" t="s">
        <v>39</v>
      </c>
      <c r="H358" s="37" t="s">
        <v>39</v>
      </c>
      <c r="I358" s="38" t="s">
        <v>2940</v>
      </c>
      <c r="J358" s="34" t="s">
        <v>41</v>
      </c>
      <c r="K358" s="39" t="s">
        <v>42</v>
      </c>
      <c r="L358" s="120" t="s">
        <v>2941</v>
      </c>
      <c r="M358" s="41"/>
      <c r="N358" s="41"/>
      <c r="O358" s="41"/>
      <c r="P358" s="41"/>
      <c r="Q358" s="112"/>
      <c r="R358" s="112" t="s">
        <v>44</v>
      </c>
      <c r="S358" s="112"/>
      <c r="T358" s="41"/>
      <c r="U358" s="41"/>
      <c r="V358" s="41"/>
      <c r="W358" s="41"/>
      <c r="X358" s="42" t="s">
        <v>2942</v>
      </c>
      <c r="Y358" s="83" t="s">
        <v>2943</v>
      </c>
      <c r="Z358" s="84" t="s">
        <v>2944</v>
      </c>
      <c r="AA358" s="45">
        <v>44650</v>
      </c>
      <c r="AB358" s="101" t="s">
        <v>30</v>
      </c>
      <c r="AC358" s="36"/>
      <c r="AD358" s="47" t="s">
        <v>49</v>
      </c>
      <c r="AE358" s="48" t="s">
        <v>41</v>
      </c>
      <c r="AF358" s="48" t="s">
        <v>49</v>
      </c>
      <c r="AG358" s="48" t="s">
        <v>49</v>
      </c>
      <c r="AH358" s="48" t="s">
        <v>49</v>
      </c>
      <c r="AI358" s="48" t="s">
        <v>49</v>
      </c>
      <c r="AJ358" s="49" t="s">
        <v>49</v>
      </c>
      <c r="AK358" s="48" t="s">
        <v>49</v>
      </c>
      <c r="AL358" s="62" t="s">
        <v>32</v>
      </c>
      <c r="AM358" s="59"/>
      <c r="AN358" s="10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1"/>
    </row>
    <row r="359" spans="1:51" x14ac:dyDescent="0.2">
      <c r="A359" s="33">
        <f t="shared" si="6"/>
        <v>354</v>
      </c>
      <c r="B359" s="34" t="s">
        <v>2945</v>
      </c>
      <c r="C359" s="35" t="s">
        <v>2946</v>
      </c>
      <c r="D359" s="36" t="s">
        <v>2947</v>
      </c>
      <c r="E359" s="36" t="s">
        <v>54</v>
      </c>
      <c r="F359" s="34" t="s">
        <v>2948</v>
      </c>
      <c r="G359" s="37" t="s">
        <v>39</v>
      </c>
      <c r="H359" s="37" t="s">
        <v>39</v>
      </c>
      <c r="I359" s="107">
        <v>8562651324</v>
      </c>
      <c r="J359" s="34" t="s">
        <v>41</v>
      </c>
      <c r="K359" s="39" t="s">
        <v>42</v>
      </c>
      <c r="L359" s="99" t="s">
        <v>2742</v>
      </c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42" t="s">
        <v>2949</v>
      </c>
      <c r="Y359" s="52" t="s">
        <v>2950</v>
      </c>
      <c r="Z359" s="44" t="s">
        <v>2951</v>
      </c>
      <c r="AA359" s="45">
        <v>42935</v>
      </c>
      <c r="AB359" s="101" t="s">
        <v>30</v>
      </c>
      <c r="AC359" s="36" t="s">
        <v>26</v>
      </c>
      <c r="AD359" s="47" t="s">
        <v>49</v>
      </c>
      <c r="AE359" s="48" t="s">
        <v>49</v>
      </c>
      <c r="AF359" s="48" t="s">
        <v>49</v>
      </c>
      <c r="AG359" s="48" t="s">
        <v>49</v>
      </c>
      <c r="AH359" s="48" t="s">
        <v>49</v>
      </c>
      <c r="AI359" s="48" t="s">
        <v>49</v>
      </c>
      <c r="AJ359" s="49" t="s">
        <v>49</v>
      </c>
      <c r="AK359" s="48" t="s">
        <v>49</v>
      </c>
      <c r="AL359" s="62" t="s">
        <v>32</v>
      </c>
      <c r="AM359" s="59"/>
      <c r="AN359" s="10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1"/>
    </row>
    <row r="360" spans="1:51" x14ac:dyDescent="0.2">
      <c r="A360" s="33">
        <f t="shared" si="6"/>
        <v>355</v>
      </c>
      <c r="B360" s="34" t="s">
        <v>2952</v>
      </c>
      <c r="C360" s="35" t="s">
        <v>2953</v>
      </c>
      <c r="D360" s="36" t="s">
        <v>2954</v>
      </c>
      <c r="E360" s="36" t="s">
        <v>36</v>
      </c>
      <c r="F360" s="108" t="s">
        <v>2955</v>
      </c>
      <c r="G360" s="37" t="s">
        <v>73</v>
      </c>
      <c r="H360" s="37" t="s">
        <v>73</v>
      </c>
      <c r="I360" s="108" t="s">
        <v>2956</v>
      </c>
      <c r="J360" s="108" t="s">
        <v>41</v>
      </c>
      <c r="K360" s="39" t="s">
        <v>42</v>
      </c>
      <c r="L360" s="99" t="s">
        <v>2957</v>
      </c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42" t="s">
        <v>2958</v>
      </c>
      <c r="Y360" s="43" t="s">
        <v>2959</v>
      </c>
      <c r="Z360" s="43"/>
      <c r="AA360" s="43" t="s">
        <v>47</v>
      </c>
      <c r="AB360" s="101"/>
      <c r="AC360" s="36"/>
      <c r="AD360" s="47" t="s">
        <v>49</v>
      </c>
      <c r="AE360" s="48" t="s">
        <v>49</v>
      </c>
      <c r="AF360" s="48" t="s">
        <v>49</v>
      </c>
      <c r="AG360" s="48" t="s">
        <v>49</v>
      </c>
      <c r="AH360" s="48" t="s">
        <v>41</v>
      </c>
      <c r="AI360" s="48" t="s">
        <v>41</v>
      </c>
      <c r="AJ360" s="49" t="s">
        <v>41</v>
      </c>
      <c r="AK360" s="48" t="s">
        <v>41</v>
      </c>
      <c r="AL360" s="62" t="s">
        <v>139</v>
      </c>
      <c r="AM360" s="59"/>
      <c r="AN360" s="10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1"/>
    </row>
    <row r="361" spans="1:51" x14ac:dyDescent="0.2">
      <c r="A361" s="33">
        <f t="shared" si="6"/>
        <v>356</v>
      </c>
      <c r="B361" s="34" t="s">
        <v>2960</v>
      </c>
      <c r="C361" s="35" t="s">
        <v>2961</v>
      </c>
      <c r="D361" s="36" t="s">
        <v>2962</v>
      </c>
      <c r="E361" s="36" t="s">
        <v>36</v>
      </c>
      <c r="F361" s="34" t="s">
        <v>2963</v>
      </c>
      <c r="G361" s="37" t="s">
        <v>73</v>
      </c>
      <c r="H361" s="37" t="s">
        <v>73</v>
      </c>
      <c r="I361" s="38" t="s">
        <v>2964</v>
      </c>
      <c r="J361" s="34" t="s">
        <v>41</v>
      </c>
      <c r="K361" s="39" t="s">
        <v>42</v>
      </c>
      <c r="L361" s="120">
        <v>44812</v>
      </c>
      <c r="M361" s="56" t="s">
        <v>179</v>
      </c>
      <c r="N361" s="56" t="s">
        <v>179</v>
      </c>
      <c r="O361" s="56"/>
      <c r="P361" s="56">
        <v>2</v>
      </c>
      <c r="Q361" s="56"/>
      <c r="R361" s="56"/>
      <c r="S361" s="56" t="s">
        <v>44</v>
      </c>
      <c r="T361" s="56"/>
      <c r="U361" s="56"/>
      <c r="V361" s="56"/>
      <c r="W361" s="56"/>
      <c r="X361" s="38" t="s">
        <v>2965</v>
      </c>
      <c r="Y361" s="43" t="s">
        <v>2966</v>
      </c>
      <c r="Z361" s="44"/>
      <c r="AA361" s="45"/>
      <c r="AB361" s="101"/>
      <c r="AC361" s="36"/>
      <c r="AD361" s="47" t="s">
        <v>49</v>
      </c>
      <c r="AE361" s="48" t="s">
        <v>41</v>
      </c>
      <c r="AF361" s="48" t="s">
        <v>41</v>
      </c>
      <c r="AG361" s="48" t="s">
        <v>49</v>
      </c>
      <c r="AH361" s="48" t="s">
        <v>49</v>
      </c>
      <c r="AI361" s="48" t="s">
        <v>49</v>
      </c>
      <c r="AJ361" s="49" t="s">
        <v>49</v>
      </c>
      <c r="AK361" s="48" t="s">
        <v>41</v>
      </c>
      <c r="AL361" s="62" t="s">
        <v>148</v>
      </c>
      <c r="AM361" s="59"/>
      <c r="AN361" s="10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1"/>
    </row>
    <row r="362" spans="1:51" x14ac:dyDescent="0.2">
      <c r="A362" s="33">
        <f t="shared" si="6"/>
        <v>357</v>
      </c>
      <c r="B362" s="34" t="s">
        <v>2967</v>
      </c>
      <c r="C362" s="35" t="s">
        <v>2968</v>
      </c>
      <c r="D362" s="36" t="s">
        <v>2969</v>
      </c>
      <c r="E362" s="36" t="s">
        <v>54</v>
      </c>
      <c r="F362" s="34" t="s">
        <v>2970</v>
      </c>
      <c r="G362" s="37" t="s">
        <v>73</v>
      </c>
      <c r="H362" s="37" t="s">
        <v>73</v>
      </c>
      <c r="I362" s="38" t="s">
        <v>2971</v>
      </c>
      <c r="J362" s="34" t="s">
        <v>41</v>
      </c>
      <c r="K362" s="39" t="s">
        <v>42</v>
      </c>
      <c r="L362" s="120">
        <v>43687</v>
      </c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42" t="s">
        <v>2972</v>
      </c>
      <c r="Y362" s="58" t="s">
        <v>2973</v>
      </c>
      <c r="Z362" s="44" t="s">
        <v>2974</v>
      </c>
      <c r="AA362" s="45">
        <v>44041</v>
      </c>
      <c r="AB362" s="101" t="s">
        <v>30</v>
      </c>
      <c r="AC362" s="36"/>
      <c r="AD362" s="47" t="s">
        <v>49</v>
      </c>
      <c r="AE362" s="48" t="s">
        <v>41</v>
      </c>
      <c r="AF362" s="48" t="s">
        <v>49</v>
      </c>
      <c r="AG362" s="48" t="s">
        <v>49</v>
      </c>
      <c r="AH362" s="48" t="s">
        <v>49</v>
      </c>
      <c r="AI362" s="48" t="s">
        <v>49</v>
      </c>
      <c r="AJ362" s="49" t="s">
        <v>49</v>
      </c>
      <c r="AK362" s="48" t="s">
        <v>49</v>
      </c>
      <c r="AL362" s="65" t="s">
        <v>32</v>
      </c>
      <c r="AM362" s="59"/>
      <c r="AN362" s="10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1"/>
    </row>
    <row r="363" spans="1:51" x14ac:dyDescent="0.2">
      <c r="A363" s="33">
        <f t="shared" si="6"/>
        <v>358</v>
      </c>
      <c r="B363" s="34" t="s">
        <v>2975</v>
      </c>
      <c r="C363" s="35" t="s">
        <v>2976</v>
      </c>
      <c r="D363" s="36" t="s">
        <v>2977</v>
      </c>
      <c r="E363" s="36" t="s">
        <v>54</v>
      </c>
      <c r="F363" s="34" t="s">
        <v>2978</v>
      </c>
      <c r="G363" s="37" t="s">
        <v>39</v>
      </c>
      <c r="H363" s="37" t="s">
        <v>39</v>
      </c>
      <c r="I363" s="34" t="s">
        <v>2979</v>
      </c>
      <c r="J363" s="34" t="s">
        <v>41</v>
      </c>
      <c r="K363" s="39" t="s">
        <v>42</v>
      </c>
      <c r="L363" s="99" t="s">
        <v>273</v>
      </c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42" t="s">
        <v>2980</v>
      </c>
      <c r="Y363" s="69" t="s">
        <v>2981</v>
      </c>
      <c r="Z363" s="44" t="s">
        <v>61</v>
      </c>
      <c r="AA363" s="45">
        <v>40280</v>
      </c>
      <c r="AB363" s="101" t="s">
        <v>30</v>
      </c>
      <c r="AC363" s="36" t="s">
        <v>26</v>
      </c>
      <c r="AD363" s="47" t="s">
        <v>49</v>
      </c>
      <c r="AE363" s="48" t="s">
        <v>49</v>
      </c>
      <c r="AF363" s="48" t="s">
        <v>49</v>
      </c>
      <c r="AG363" s="48" t="s">
        <v>49</v>
      </c>
      <c r="AH363" s="48" t="s">
        <v>49</v>
      </c>
      <c r="AI363" s="48" t="s">
        <v>49</v>
      </c>
      <c r="AJ363" s="49" t="s">
        <v>49</v>
      </c>
      <c r="AK363" s="48" t="s">
        <v>49</v>
      </c>
      <c r="AL363" s="62" t="s">
        <v>32</v>
      </c>
      <c r="AM363" s="59"/>
      <c r="AN363" s="10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1"/>
    </row>
    <row r="364" spans="1:51" x14ac:dyDescent="0.2">
      <c r="A364" s="33">
        <f t="shared" si="6"/>
        <v>359</v>
      </c>
      <c r="B364" s="34" t="s">
        <v>2982</v>
      </c>
      <c r="C364" s="35" t="s">
        <v>2983</v>
      </c>
      <c r="D364" s="36" t="s">
        <v>2984</v>
      </c>
      <c r="E364" s="36" t="s">
        <v>54</v>
      </c>
      <c r="F364" s="34" t="s">
        <v>2985</v>
      </c>
      <c r="G364" s="37" t="s">
        <v>73</v>
      </c>
      <c r="H364" s="37" t="s">
        <v>73</v>
      </c>
      <c r="I364" s="38" t="s">
        <v>2986</v>
      </c>
      <c r="J364" s="34" t="s">
        <v>41</v>
      </c>
      <c r="K364" s="39" t="s">
        <v>42</v>
      </c>
      <c r="L364" s="99" t="s">
        <v>2987</v>
      </c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42" t="s">
        <v>2988</v>
      </c>
      <c r="Y364" s="69" t="s">
        <v>2989</v>
      </c>
      <c r="Z364" s="44" t="s">
        <v>2990</v>
      </c>
      <c r="AA364" s="45">
        <v>43200</v>
      </c>
      <c r="AB364" s="101" t="s">
        <v>30</v>
      </c>
      <c r="AC364" s="36" t="s">
        <v>26</v>
      </c>
      <c r="AD364" s="47" t="s">
        <v>49</v>
      </c>
      <c r="AE364" s="48" t="s">
        <v>49</v>
      </c>
      <c r="AF364" s="48" t="s">
        <v>49</v>
      </c>
      <c r="AG364" s="48" t="s">
        <v>49</v>
      </c>
      <c r="AH364" s="48" t="s">
        <v>49</v>
      </c>
      <c r="AI364" s="48" t="s">
        <v>49</v>
      </c>
      <c r="AJ364" s="49" t="s">
        <v>49</v>
      </c>
      <c r="AK364" s="48" t="s">
        <v>41</v>
      </c>
      <c r="AL364" s="62" t="s">
        <v>148</v>
      </c>
      <c r="AM364" s="59"/>
      <c r="AN364" s="10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1"/>
    </row>
    <row r="365" spans="1:51" x14ac:dyDescent="0.2">
      <c r="A365" s="33">
        <f t="shared" si="6"/>
        <v>360</v>
      </c>
      <c r="B365" s="34" t="s">
        <v>2991</v>
      </c>
      <c r="C365" s="35" t="s">
        <v>2992</v>
      </c>
      <c r="D365" s="36" t="s">
        <v>2993</v>
      </c>
      <c r="E365" s="36" t="s">
        <v>54</v>
      </c>
      <c r="F365" s="34" t="s">
        <v>2994</v>
      </c>
      <c r="G365" s="37" t="s">
        <v>252</v>
      </c>
      <c r="H365" s="37" t="s">
        <v>57</v>
      </c>
      <c r="I365" s="38" t="s">
        <v>2995</v>
      </c>
      <c r="J365" s="34" t="s">
        <v>41</v>
      </c>
      <c r="K365" s="39" t="s">
        <v>42</v>
      </c>
      <c r="L365" s="120">
        <v>45330</v>
      </c>
      <c r="M365" s="115"/>
      <c r="N365" s="115"/>
      <c r="O365" s="115"/>
      <c r="P365" s="115"/>
      <c r="Q365" s="115"/>
      <c r="R365" s="115"/>
      <c r="S365" s="115"/>
      <c r="T365" s="56"/>
      <c r="U365" s="56" t="s">
        <v>44</v>
      </c>
      <c r="V365" s="56"/>
      <c r="W365" s="56"/>
      <c r="X365" s="42" t="s">
        <v>2996</v>
      </c>
      <c r="Y365" s="58" t="s">
        <v>2997</v>
      </c>
      <c r="Z365" s="44"/>
      <c r="AA365" s="45"/>
      <c r="AB365" s="101"/>
      <c r="AC365" s="36"/>
      <c r="AD365" s="47" t="s">
        <v>49</v>
      </c>
      <c r="AE365" s="48" t="s">
        <v>41</v>
      </c>
      <c r="AF365" s="48" t="s">
        <v>41</v>
      </c>
      <c r="AG365" s="48" t="s">
        <v>41</v>
      </c>
      <c r="AH365" s="48" t="s">
        <v>41</v>
      </c>
      <c r="AI365" s="48" t="s">
        <v>49</v>
      </c>
      <c r="AJ365" s="49" t="s">
        <v>41</v>
      </c>
      <c r="AK365" s="48" t="s">
        <v>41</v>
      </c>
      <c r="AL365" s="62" t="s">
        <v>276</v>
      </c>
      <c r="AM365" s="59"/>
      <c r="AN365" s="10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1"/>
    </row>
    <row r="366" spans="1:51" ht="17.25" customHeight="1" x14ac:dyDescent="0.2">
      <c r="A366" s="33">
        <f t="shared" si="6"/>
        <v>361</v>
      </c>
      <c r="B366" s="34" t="s">
        <v>2998</v>
      </c>
      <c r="C366" s="35" t="s">
        <v>2999</v>
      </c>
      <c r="D366" s="36" t="s">
        <v>3000</v>
      </c>
      <c r="E366" s="36" t="s">
        <v>54</v>
      </c>
      <c r="F366" s="34" t="s">
        <v>3001</v>
      </c>
      <c r="G366" s="37" t="s">
        <v>398</v>
      </c>
      <c r="H366" s="37" t="s">
        <v>205</v>
      </c>
      <c r="I366" s="34" t="s">
        <v>3002</v>
      </c>
      <c r="J366" s="34" t="s">
        <v>41</v>
      </c>
      <c r="K366" s="39" t="s">
        <v>42</v>
      </c>
      <c r="L366" s="99" t="s">
        <v>3003</v>
      </c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42" t="s">
        <v>3004</v>
      </c>
      <c r="Y366" s="58" t="s">
        <v>3005</v>
      </c>
      <c r="Z366" s="44" t="s">
        <v>61</v>
      </c>
      <c r="AA366" s="45">
        <v>40278</v>
      </c>
      <c r="AB366" s="101" t="s">
        <v>30</v>
      </c>
      <c r="AC366" s="36" t="s">
        <v>26</v>
      </c>
      <c r="AD366" s="47" t="s">
        <v>49</v>
      </c>
      <c r="AE366" s="48" t="s">
        <v>49</v>
      </c>
      <c r="AF366" s="48" t="s">
        <v>49</v>
      </c>
      <c r="AG366" s="48" t="s">
        <v>49</v>
      </c>
      <c r="AH366" s="48" t="s">
        <v>49</v>
      </c>
      <c r="AI366" s="48" t="s">
        <v>49</v>
      </c>
      <c r="AJ366" s="49" t="s">
        <v>49</v>
      </c>
      <c r="AK366" s="48" t="s">
        <v>49</v>
      </c>
      <c r="AL366" s="65" t="s">
        <v>32</v>
      </c>
      <c r="AM366" s="103"/>
      <c r="AN366" s="10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1"/>
    </row>
    <row r="367" spans="1:51" ht="17.25" customHeight="1" x14ac:dyDescent="0.2">
      <c r="A367" s="33">
        <f t="shared" si="6"/>
        <v>362</v>
      </c>
      <c r="B367" s="34" t="s">
        <v>3006</v>
      </c>
      <c r="C367" s="35" t="s">
        <v>3007</v>
      </c>
      <c r="D367" s="36" t="s">
        <v>3008</v>
      </c>
      <c r="E367" s="36" t="s">
        <v>54</v>
      </c>
      <c r="F367" s="226" t="s">
        <v>3009</v>
      </c>
      <c r="G367" s="37" t="s">
        <v>73</v>
      </c>
      <c r="H367" s="37" t="s">
        <v>73</v>
      </c>
      <c r="I367" s="34" t="s">
        <v>3010</v>
      </c>
      <c r="J367" s="34" t="s">
        <v>3011</v>
      </c>
      <c r="K367" s="39" t="s">
        <v>42</v>
      </c>
      <c r="L367" s="99" t="s">
        <v>3012</v>
      </c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42" t="s">
        <v>3013</v>
      </c>
      <c r="Y367" s="58" t="s">
        <v>3014</v>
      </c>
      <c r="Z367" s="119" t="s">
        <v>61</v>
      </c>
      <c r="AA367" s="45" t="s">
        <v>3015</v>
      </c>
      <c r="AB367" s="101" t="s">
        <v>30</v>
      </c>
      <c r="AC367" s="36"/>
      <c r="AD367" s="47" t="s">
        <v>49</v>
      </c>
      <c r="AE367" s="48" t="s">
        <v>41</v>
      </c>
      <c r="AF367" s="48" t="s">
        <v>41</v>
      </c>
      <c r="AG367" s="48" t="s">
        <v>41</v>
      </c>
      <c r="AH367" s="48" t="s">
        <v>41</v>
      </c>
      <c r="AI367" s="48" t="s">
        <v>41</v>
      </c>
      <c r="AJ367" s="49" t="s">
        <v>41</v>
      </c>
      <c r="AK367" s="48" t="s">
        <v>41</v>
      </c>
      <c r="AL367" s="65" t="s">
        <v>4588</v>
      </c>
      <c r="AM367" s="59"/>
      <c r="AN367" s="10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1"/>
    </row>
    <row r="368" spans="1:51" ht="17.25" customHeight="1" x14ac:dyDescent="0.2">
      <c r="A368" s="33">
        <f t="shared" si="6"/>
        <v>363</v>
      </c>
      <c r="B368" s="34" t="s">
        <v>3016</v>
      </c>
      <c r="C368" s="35" t="s">
        <v>3017</v>
      </c>
      <c r="D368" s="36" t="s">
        <v>3018</v>
      </c>
      <c r="E368" s="36" t="s">
        <v>36</v>
      </c>
      <c r="F368" s="226" t="s">
        <v>3019</v>
      </c>
      <c r="G368" s="37" t="s">
        <v>350</v>
      </c>
      <c r="H368" s="37" t="s">
        <v>350</v>
      </c>
      <c r="I368" s="38" t="s">
        <v>3020</v>
      </c>
      <c r="J368" s="34" t="s">
        <v>41</v>
      </c>
      <c r="K368" s="39" t="s">
        <v>42</v>
      </c>
      <c r="L368" s="120">
        <v>44573</v>
      </c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42" t="s">
        <v>3021</v>
      </c>
      <c r="Y368" s="58" t="s">
        <v>3022</v>
      </c>
      <c r="Z368" s="207" t="s">
        <v>3023</v>
      </c>
      <c r="AA368" s="45">
        <v>44944</v>
      </c>
      <c r="AB368" s="101" t="s">
        <v>30</v>
      </c>
      <c r="AC368" s="36"/>
      <c r="AD368" s="47" t="s">
        <v>49</v>
      </c>
      <c r="AE368" s="48" t="s">
        <v>41</v>
      </c>
      <c r="AF368" s="48" t="s">
        <v>41</v>
      </c>
      <c r="AG368" s="48" t="s">
        <v>49</v>
      </c>
      <c r="AH368" s="48" t="s">
        <v>49</v>
      </c>
      <c r="AI368" s="48" t="s">
        <v>41</v>
      </c>
      <c r="AJ368" s="49" t="s">
        <v>41</v>
      </c>
      <c r="AK368" s="48" t="s">
        <v>41</v>
      </c>
      <c r="AL368" s="65" t="s">
        <v>4589</v>
      </c>
      <c r="AM368" s="59"/>
      <c r="AN368" s="10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1"/>
    </row>
    <row r="369" spans="1:51" ht="17.25" customHeight="1" x14ac:dyDescent="0.2">
      <c r="A369" s="33">
        <f t="shared" si="6"/>
        <v>364</v>
      </c>
      <c r="B369" s="34" t="s">
        <v>3024</v>
      </c>
      <c r="C369" s="35" t="s">
        <v>3025</v>
      </c>
      <c r="D369" s="36" t="s">
        <v>3026</v>
      </c>
      <c r="E369" s="36" t="s">
        <v>54</v>
      </c>
      <c r="F369" s="34" t="s">
        <v>3027</v>
      </c>
      <c r="G369" s="37" t="s">
        <v>252</v>
      </c>
      <c r="H369" s="37" t="s">
        <v>57</v>
      </c>
      <c r="I369" s="34" t="s">
        <v>3028</v>
      </c>
      <c r="J369" s="34" t="s">
        <v>3028</v>
      </c>
      <c r="K369" s="39" t="s">
        <v>42</v>
      </c>
      <c r="L369" s="99" t="s">
        <v>3029</v>
      </c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2" t="s">
        <v>3030</v>
      </c>
      <c r="Y369" s="58" t="s">
        <v>3031</v>
      </c>
      <c r="Z369" s="119" t="s">
        <v>61</v>
      </c>
      <c r="AA369" s="45">
        <v>40815</v>
      </c>
      <c r="AB369" s="101" t="s">
        <v>30</v>
      </c>
      <c r="AC369" s="36" t="s">
        <v>26</v>
      </c>
      <c r="AD369" s="47" t="s">
        <v>49</v>
      </c>
      <c r="AE369" s="48" t="s">
        <v>49</v>
      </c>
      <c r="AF369" s="48" t="s">
        <v>49</v>
      </c>
      <c r="AG369" s="48" t="s">
        <v>49</v>
      </c>
      <c r="AH369" s="48" t="s">
        <v>49</v>
      </c>
      <c r="AI369" s="48" t="s">
        <v>49</v>
      </c>
      <c r="AJ369" s="49" t="s">
        <v>49</v>
      </c>
      <c r="AK369" s="48" t="s">
        <v>49</v>
      </c>
      <c r="AL369" s="62" t="s">
        <v>32</v>
      </c>
      <c r="AM369" s="59"/>
      <c r="AN369" s="10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1"/>
    </row>
    <row r="370" spans="1:51" x14ac:dyDescent="0.2">
      <c r="A370" s="33">
        <f t="shared" si="6"/>
        <v>365</v>
      </c>
      <c r="B370" s="34" t="s">
        <v>3032</v>
      </c>
      <c r="C370" s="35" t="s">
        <v>3033</v>
      </c>
      <c r="D370" s="36" t="s">
        <v>3034</v>
      </c>
      <c r="E370" s="36" t="s">
        <v>54</v>
      </c>
      <c r="F370" s="34" t="s">
        <v>3035</v>
      </c>
      <c r="G370" s="37" t="s">
        <v>747</v>
      </c>
      <c r="H370" s="37" t="s">
        <v>378</v>
      </c>
      <c r="I370" s="38" t="s">
        <v>3036</v>
      </c>
      <c r="J370" s="34" t="s">
        <v>41</v>
      </c>
      <c r="K370" s="39" t="s">
        <v>42</v>
      </c>
      <c r="L370" s="120">
        <v>45798</v>
      </c>
      <c r="M370" s="41"/>
      <c r="N370" s="41"/>
      <c r="O370" s="41"/>
      <c r="P370" s="41"/>
      <c r="Q370" s="41"/>
      <c r="R370" s="41"/>
      <c r="S370" s="41"/>
      <c r="T370" s="41"/>
      <c r="U370" s="41"/>
      <c r="V370" s="41" t="s">
        <v>44</v>
      </c>
      <c r="W370" s="41"/>
      <c r="X370" s="38" t="s">
        <v>3037</v>
      </c>
      <c r="Y370" s="58" t="s">
        <v>3038</v>
      </c>
      <c r="Z370" s="224"/>
      <c r="AA370" s="45"/>
      <c r="AB370" s="101"/>
      <c r="AC370" s="36"/>
      <c r="AD370" s="47" t="s">
        <v>49</v>
      </c>
      <c r="AE370" s="48" t="s">
        <v>41</v>
      </c>
      <c r="AF370" s="48" t="s">
        <v>41</v>
      </c>
      <c r="AG370" s="48" t="s">
        <v>41</v>
      </c>
      <c r="AH370" s="48" t="s">
        <v>41</v>
      </c>
      <c r="AI370" s="48" t="s">
        <v>41</v>
      </c>
      <c r="AJ370" s="49" t="s">
        <v>49</v>
      </c>
      <c r="AK370" s="48" t="s">
        <v>49</v>
      </c>
      <c r="AL370" s="62" t="s">
        <v>32</v>
      </c>
      <c r="AM370" s="59"/>
      <c r="AN370" s="10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1"/>
    </row>
    <row r="371" spans="1:51" x14ac:dyDescent="0.2">
      <c r="A371" s="33">
        <f t="shared" si="6"/>
        <v>366</v>
      </c>
      <c r="B371" s="34" t="s">
        <v>3039</v>
      </c>
      <c r="C371" s="35" t="s">
        <v>3040</v>
      </c>
      <c r="D371" s="36" t="s">
        <v>3041</v>
      </c>
      <c r="E371" s="36" t="s">
        <v>36</v>
      </c>
      <c r="F371" s="87" t="s">
        <v>3042</v>
      </c>
      <c r="G371" s="37" t="s">
        <v>56</v>
      </c>
      <c r="H371" s="37" t="s">
        <v>57</v>
      </c>
      <c r="I371" s="183" t="s">
        <v>3043</v>
      </c>
      <c r="J371" s="34"/>
      <c r="K371" s="39" t="s">
        <v>42</v>
      </c>
      <c r="L371" s="99" t="s">
        <v>3044</v>
      </c>
      <c r="M371" s="41"/>
      <c r="N371" s="41"/>
      <c r="O371" s="41"/>
      <c r="P371" s="41"/>
      <c r="Q371" s="41"/>
      <c r="R371" s="41"/>
      <c r="S371" s="41" t="s">
        <v>44</v>
      </c>
      <c r="T371" s="41"/>
      <c r="U371" s="41"/>
      <c r="V371" s="41"/>
      <c r="W371" s="41"/>
      <c r="X371" s="42" t="s">
        <v>3045</v>
      </c>
      <c r="Y371" s="58" t="s">
        <v>3046</v>
      </c>
      <c r="Z371" s="121" t="s">
        <v>3047</v>
      </c>
      <c r="AA371" s="45">
        <v>44650</v>
      </c>
      <c r="AB371" s="101" t="s">
        <v>30</v>
      </c>
      <c r="AC371" s="36"/>
      <c r="AD371" s="47" t="s">
        <v>49</v>
      </c>
      <c r="AE371" s="48" t="s">
        <v>41</v>
      </c>
      <c r="AF371" s="48" t="s">
        <v>41</v>
      </c>
      <c r="AG371" s="48" t="s">
        <v>49</v>
      </c>
      <c r="AH371" s="48" t="s">
        <v>49</v>
      </c>
      <c r="AI371" s="48" t="s">
        <v>49</v>
      </c>
      <c r="AJ371" s="49" t="s">
        <v>49</v>
      </c>
      <c r="AK371" s="48" t="s">
        <v>41</v>
      </c>
      <c r="AL371" s="62" t="s">
        <v>148</v>
      </c>
      <c r="AM371" s="59"/>
      <c r="AN371" s="10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1"/>
    </row>
    <row r="372" spans="1:51" x14ac:dyDescent="0.2">
      <c r="A372" s="33">
        <f t="shared" si="6"/>
        <v>367</v>
      </c>
      <c r="B372" s="52" t="s">
        <v>3048</v>
      </c>
      <c r="C372" s="150" t="s">
        <v>3049</v>
      </c>
      <c r="D372" s="73" t="s">
        <v>3050</v>
      </c>
      <c r="E372" s="36" t="s">
        <v>54</v>
      </c>
      <c r="F372" s="52" t="s">
        <v>3051</v>
      </c>
      <c r="G372" s="37" t="s">
        <v>456</v>
      </c>
      <c r="H372" s="37" t="s">
        <v>187</v>
      </c>
      <c r="I372" s="52" t="s">
        <v>3052</v>
      </c>
      <c r="J372" s="34" t="s">
        <v>41</v>
      </c>
      <c r="K372" s="39" t="s">
        <v>42</v>
      </c>
      <c r="L372" s="227" t="s">
        <v>3053</v>
      </c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42" t="s">
        <v>3054</v>
      </c>
      <c r="Y372" s="58" t="s">
        <v>3055</v>
      </c>
      <c r="Z372" s="44" t="s">
        <v>3056</v>
      </c>
      <c r="AA372" s="153">
        <v>43200</v>
      </c>
      <c r="AB372" s="101" t="s">
        <v>30</v>
      </c>
      <c r="AC372" s="73" t="s">
        <v>26</v>
      </c>
      <c r="AD372" s="47" t="s">
        <v>49</v>
      </c>
      <c r="AE372" s="48" t="s">
        <v>49</v>
      </c>
      <c r="AF372" s="48" t="s">
        <v>49</v>
      </c>
      <c r="AG372" s="48" t="s">
        <v>49</v>
      </c>
      <c r="AH372" s="48" t="s">
        <v>49</v>
      </c>
      <c r="AI372" s="48" t="s">
        <v>49</v>
      </c>
      <c r="AJ372" s="49" t="s">
        <v>49</v>
      </c>
      <c r="AK372" s="48" t="s">
        <v>49</v>
      </c>
      <c r="AL372" s="62" t="s">
        <v>32</v>
      </c>
      <c r="AM372" s="59"/>
      <c r="AN372" s="10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1"/>
    </row>
    <row r="373" spans="1:51" x14ac:dyDescent="0.2">
      <c r="A373" s="33">
        <f t="shared" si="6"/>
        <v>368</v>
      </c>
      <c r="B373" s="34" t="s">
        <v>3057</v>
      </c>
      <c r="C373" s="35" t="s">
        <v>3058</v>
      </c>
      <c r="D373" s="36" t="s">
        <v>3059</v>
      </c>
      <c r="E373" s="36" t="s">
        <v>54</v>
      </c>
      <c r="F373" s="34" t="s">
        <v>3060</v>
      </c>
      <c r="G373" s="37" t="s">
        <v>252</v>
      </c>
      <c r="H373" s="37" t="s">
        <v>57</v>
      </c>
      <c r="I373" s="34" t="s">
        <v>3061</v>
      </c>
      <c r="J373" s="34" t="s">
        <v>41</v>
      </c>
      <c r="K373" s="39" t="s">
        <v>42</v>
      </c>
      <c r="L373" s="99" t="s">
        <v>2437</v>
      </c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42" t="s">
        <v>1896</v>
      </c>
      <c r="Y373" s="58" t="s">
        <v>3062</v>
      </c>
      <c r="Z373" s="44" t="s">
        <v>61</v>
      </c>
      <c r="AA373" s="45">
        <v>40815</v>
      </c>
      <c r="AB373" s="101" t="s">
        <v>30</v>
      </c>
      <c r="AC373" s="36" t="s">
        <v>26</v>
      </c>
      <c r="AD373" s="47" t="s">
        <v>49</v>
      </c>
      <c r="AE373" s="48" t="s">
        <v>49</v>
      </c>
      <c r="AF373" s="48" t="s">
        <v>49</v>
      </c>
      <c r="AG373" s="48" t="s">
        <v>49</v>
      </c>
      <c r="AH373" s="48" t="s">
        <v>49</v>
      </c>
      <c r="AI373" s="48" t="s">
        <v>49</v>
      </c>
      <c r="AJ373" s="49" t="s">
        <v>49</v>
      </c>
      <c r="AK373" s="48" t="s">
        <v>41</v>
      </c>
      <c r="AL373" s="62" t="s">
        <v>148</v>
      </c>
      <c r="AM373" s="59"/>
      <c r="AN373" s="10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1"/>
    </row>
    <row r="374" spans="1:51" x14ac:dyDescent="0.2">
      <c r="A374" s="33">
        <f t="shared" si="6"/>
        <v>369</v>
      </c>
      <c r="B374" s="34" t="s">
        <v>3063</v>
      </c>
      <c r="C374" s="35" t="s">
        <v>3064</v>
      </c>
      <c r="D374" s="36" t="s">
        <v>3065</v>
      </c>
      <c r="E374" s="36" t="s">
        <v>54</v>
      </c>
      <c r="F374" s="34" t="s">
        <v>3066</v>
      </c>
      <c r="G374" s="37" t="s">
        <v>38</v>
      </c>
      <c r="H374" s="37" t="s">
        <v>39</v>
      </c>
      <c r="I374" s="38" t="s">
        <v>3067</v>
      </c>
      <c r="J374" s="34" t="s">
        <v>41</v>
      </c>
      <c r="K374" s="39" t="s">
        <v>42</v>
      </c>
      <c r="L374" s="99" t="s">
        <v>1869</v>
      </c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42" t="s">
        <v>3068</v>
      </c>
      <c r="Y374" s="52" t="s">
        <v>3069</v>
      </c>
      <c r="Z374" s="44" t="s">
        <v>61</v>
      </c>
      <c r="AA374" s="45">
        <v>39286</v>
      </c>
      <c r="AB374" s="101" t="s">
        <v>30</v>
      </c>
      <c r="AC374" s="36" t="s">
        <v>26</v>
      </c>
      <c r="AD374" s="47" t="s">
        <v>49</v>
      </c>
      <c r="AE374" s="48" t="s">
        <v>49</v>
      </c>
      <c r="AF374" s="48" t="s">
        <v>49</v>
      </c>
      <c r="AG374" s="48" t="s">
        <v>49</v>
      </c>
      <c r="AH374" s="48" t="s">
        <v>49</v>
      </c>
      <c r="AI374" s="48" t="s">
        <v>49</v>
      </c>
      <c r="AJ374" s="49" t="s">
        <v>49</v>
      </c>
      <c r="AK374" s="48" t="s">
        <v>49</v>
      </c>
      <c r="AL374" s="62" t="s">
        <v>32</v>
      </c>
      <c r="AM374" s="59"/>
      <c r="AN374" s="10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1"/>
    </row>
    <row r="375" spans="1:51" x14ac:dyDescent="0.2">
      <c r="A375" s="33">
        <f t="shared" si="6"/>
        <v>370</v>
      </c>
      <c r="B375" s="34" t="s">
        <v>3070</v>
      </c>
      <c r="C375" s="35" t="s">
        <v>3071</v>
      </c>
      <c r="D375" s="36" t="s">
        <v>3072</v>
      </c>
      <c r="E375" s="36" t="s">
        <v>54</v>
      </c>
      <c r="F375" s="34" t="s">
        <v>3073</v>
      </c>
      <c r="G375" s="37" t="s">
        <v>39</v>
      </c>
      <c r="H375" s="37" t="s">
        <v>39</v>
      </c>
      <c r="I375" s="34" t="s">
        <v>3074</v>
      </c>
      <c r="J375" s="34" t="s">
        <v>3075</v>
      </c>
      <c r="K375" s="39" t="s">
        <v>42</v>
      </c>
      <c r="L375" s="99" t="s">
        <v>3076</v>
      </c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42" t="s">
        <v>3077</v>
      </c>
      <c r="Y375" s="58" t="s">
        <v>3078</v>
      </c>
      <c r="Z375" s="44" t="s">
        <v>3079</v>
      </c>
      <c r="AA375" s="45">
        <v>42325</v>
      </c>
      <c r="AB375" s="101" t="s">
        <v>30</v>
      </c>
      <c r="AC375" s="36" t="s">
        <v>26</v>
      </c>
      <c r="AD375" s="47" t="s">
        <v>49</v>
      </c>
      <c r="AE375" s="48" t="s">
        <v>49</v>
      </c>
      <c r="AF375" s="48" t="s">
        <v>49</v>
      </c>
      <c r="AG375" s="48" t="s">
        <v>49</v>
      </c>
      <c r="AH375" s="48" t="s">
        <v>41</v>
      </c>
      <c r="AI375" s="48" t="s">
        <v>41</v>
      </c>
      <c r="AJ375" s="49" t="s">
        <v>41</v>
      </c>
      <c r="AK375" s="48" t="s">
        <v>41</v>
      </c>
      <c r="AL375" s="65" t="s">
        <v>139</v>
      </c>
      <c r="AM375" s="59"/>
      <c r="AN375" s="10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1"/>
    </row>
    <row r="376" spans="1:51" x14ac:dyDescent="0.2">
      <c r="A376" s="33">
        <f t="shared" si="6"/>
        <v>371</v>
      </c>
      <c r="B376" s="34" t="s">
        <v>3080</v>
      </c>
      <c r="C376" s="35" t="s">
        <v>3081</v>
      </c>
      <c r="D376" s="36" t="s">
        <v>3082</v>
      </c>
      <c r="E376" s="36" t="s">
        <v>36</v>
      </c>
      <c r="F376" s="34" t="s">
        <v>3083</v>
      </c>
      <c r="G376" s="37" t="s">
        <v>73</v>
      </c>
      <c r="H376" s="37" t="s">
        <v>73</v>
      </c>
      <c r="I376" s="34" t="s">
        <v>3084</v>
      </c>
      <c r="J376" s="34" t="s">
        <v>3084</v>
      </c>
      <c r="K376" s="39" t="s">
        <v>42</v>
      </c>
      <c r="L376" s="99" t="s">
        <v>3085</v>
      </c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2" t="s">
        <v>3086</v>
      </c>
      <c r="Y376" s="58" t="s">
        <v>3087</v>
      </c>
      <c r="Z376" s="44" t="s">
        <v>61</v>
      </c>
      <c r="AA376" s="45">
        <v>36641</v>
      </c>
      <c r="AB376" s="101" t="s">
        <v>30</v>
      </c>
      <c r="AC376" s="36"/>
      <c r="AD376" s="47" t="s">
        <v>49</v>
      </c>
      <c r="AE376" s="48" t="s">
        <v>41</v>
      </c>
      <c r="AF376" s="48" t="s">
        <v>41</v>
      </c>
      <c r="AG376" s="48" t="s">
        <v>41</v>
      </c>
      <c r="AH376" s="48" t="s">
        <v>41</v>
      </c>
      <c r="AI376" s="48" t="s">
        <v>41</v>
      </c>
      <c r="AJ376" s="49" t="s">
        <v>41</v>
      </c>
      <c r="AK376" s="48" t="s">
        <v>41</v>
      </c>
      <c r="AL376" s="65" t="s">
        <v>4592</v>
      </c>
      <c r="AM376" s="59" t="s">
        <v>3088</v>
      </c>
      <c r="AN376" s="10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1"/>
    </row>
    <row r="377" spans="1:51" x14ac:dyDescent="0.2">
      <c r="A377" s="33">
        <f t="shared" si="6"/>
        <v>372</v>
      </c>
      <c r="B377" s="34" t="s">
        <v>3089</v>
      </c>
      <c r="C377" s="35" t="s">
        <v>3090</v>
      </c>
      <c r="D377" s="73" t="s">
        <v>3091</v>
      </c>
      <c r="E377" s="36" t="s">
        <v>54</v>
      </c>
      <c r="F377" s="98" t="s">
        <v>3092</v>
      </c>
      <c r="G377" s="37" t="s">
        <v>73</v>
      </c>
      <c r="H377" s="37" t="s">
        <v>73</v>
      </c>
      <c r="I377" s="34" t="s">
        <v>3093</v>
      </c>
      <c r="J377" s="34" t="s">
        <v>3093</v>
      </c>
      <c r="K377" s="39" t="s">
        <v>42</v>
      </c>
      <c r="L377" s="120">
        <v>30348</v>
      </c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2" t="s">
        <v>3094</v>
      </c>
      <c r="Y377" s="58" t="s">
        <v>3095</v>
      </c>
      <c r="Z377" s="44" t="s">
        <v>61</v>
      </c>
      <c r="AA377" s="45">
        <v>36641</v>
      </c>
      <c r="AB377" s="101" t="s">
        <v>30</v>
      </c>
      <c r="AC377" s="73"/>
      <c r="AD377" s="47" t="s">
        <v>49</v>
      </c>
      <c r="AE377" s="48" t="s">
        <v>41</v>
      </c>
      <c r="AF377" s="48" t="s">
        <v>41</v>
      </c>
      <c r="AG377" s="48" t="s">
        <v>41</v>
      </c>
      <c r="AH377" s="48" t="s">
        <v>41</v>
      </c>
      <c r="AI377" s="48" t="s">
        <v>41</v>
      </c>
      <c r="AJ377" s="49" t="s">
        <v>41</v>
      </c>
      <c r="AK377" s="48" t="s">
        <v>41</v>
      </c>
      <c r="AL377" s="65" t="s">
        <v>4591</v>
      </c>
      <c r="AM377" s="59" t="s">
        <v>2211</v>
      </c>
      <c r="AN377" s="10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1"/>
    </row>
    <row r="378" spans="1:51" x14ac:dyDescent="0.2">
      <c r="A378" s="33">
        <f t="shared" si="6"/>
        <v>373</v>
      </c>
      <c r="B378" s="72" t="s">
        <v>3096</v>
      </c>
      <c r="C378" s="35" t="s">
        <v>3097</v>
      </c>
      <c r="D378" s="154" t="s">
        <v>3098</v>
      </c>
      <c r="E378" s="36" t="s">
        <v>54</v>
      </c>
      <c r="F378" s="72" t="s">
        <v>3099</v>
      </c>
      <c r="G378" s="75" t="s">
        <v>73</v>
      </c>
      <c r="H378" s="75" t="s">
        <v>73</v>
      </c>
      <c r="I378" s="72" t="s">
        <v>3100</v>
      </c>
      <c r="J378" s="72" t="s">
        <v>41</v>
      </c>
      <c r="K378" s="77" t="s">
        <v>42</v>
      </c>
      <c r="L378" s="228" t="s">
        <v>59</v>
      </c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42" t="s">
        <v>3101</v>
      </c>
      <c r="Y378" s="58" t="s">
        <v>3102</v>
      </c>
      <c r="Z378" s="44" t="s">
        <v>3103</v>
      </c>
      <c r="AA378" s="45">
        <v>41793</v>
      </c>
      <c r="AB378" s="206" t="s">
        <v>30</v>
      </c>
      <c r="AC378" s="154" t="s">
        <v>26</v>
      </c>
      <c r="AD378" s="81" t="s">
        <v>49</v>
      </c>
      <c r="AE378" s="48" t="s">
        <v>49</v>
      </c>
      <c r="AF378" s="48" t="s">
        <v>49</v>
      </c>
      <c r="AG378" s="48" t="s">
        <v>49</v>
      </c>
      <c r="AH378" s="48" t="s">
        <v>49</v>
      </c>
      <c r="AI378" s="48" t="s">
        <v>49</v>
      </c>
      <c r="AJ378" s="49" t="s">
        <v>49</v>
      </c>
      <c r="AK378" s="48" t="s">
        <v>41</v>
      </c>
      <c r="AL378" s="62" t="s">
        <v>148</v>
      </c>
      <c r="AM378" s="59"/>
      <c r="AN378" s="10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1"/>
    </row>
    <row r="379" spans="1:51" x14ac:dyDescent="0.2">
      <c r="A379" s="33">
        <f t="shared" si="6"/>
        <v>374</v>
      </c>
      <c r="B379" s="34" t="s">
        <v>3104</v>
      </c>
      <c r="C379" s="35" t="s">
        <v>3105</v>
      </c>
      <c r="D379" s="36" t="s">
        <v>3106</v>
      </c>
      <c r="E379" s="36" t="s">
        <v>54</v>
      </c>
      <c r="F379" s="34" t="s">
        <v>3107</v>
      </c>
      <c r="G379" s="37" t="s">
        <v>73</v>
      </c>
      <c r="H379" s="37" t="s">
        <v>73</v>
      </c>
      <c r="I379" s="34" t="s">
        <v>3108</v>
      </c>
      <c r="J379" s="34" t="s">
        <v>41</v>
      </c>
      <c r="K379" s="39" t="s">
        <v>42</v>
      </c>
      <c r="L379" s="99" t="s">
        <v>3109</v>
      </c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2" t="s">
        <v>3110</v>
      </c>
      <c r="Y379" s="58" t="s">
        <v>3111</v>
      </c>
      <c r="Z379" s="44" t="s">
        <v>61</v>
      </c>
      <c r="AA379" s="45">
        <v>36641</v>
      </c>
      <c r="AB379" s="101" t="s">
        <v>30</v>
      </c>
      <c r="AC379" s="36" t="s">
        <v>26</v>
      </c>
      <c r="AD379" s="47" t="s">
        <v>49</v>
      </c>
      <c r="AE379" s="48" t="s">
        <v>49</v>
      </c>
      <c r="AF379" s="48" t="s">
        <v>49</v>
      </c>
      <c r="AG379" s="48" t="s">
        <v>49</v>
      </c>
      <c r="AH379" s="48" t="s">
        <v>49</v>
      </c>
      <c r="AI379" s="48" t="s">
        <v>49</v>
      </c>
      <c r="AJ379" s="49" t="s">
        <v>49</v>
      </c>
      <c r="AK379" s="48" t="s">
        <v>49</v>
      </c>
      <c r="AL379" s="62" t="s">
        <v>32</v>
      </c>
      <c r="AM379" s="59"/>
      <c r="AN379" s="10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1"/>
    </row>
    <row r="380" spans="1:51" x14ac:dyDescent="0.2">
      <c r="A380" s="33">
        <f t="shared" si="6"/>
        <v>375</v>
      </c>
      <c r="B380" s="34" t="s">
        <v>3112</v>
      </c>
      <c r="C380" s="35" t="s">
        <v>3113</v>
      </c>
      <c r="D380" s="36" t="s">
        <v>3114</v>
      </c>
      <c r="E380" s="36" t="s">
        <v>54</v>
      </c>
      <c r="F380" s="34" t="s">
        <v>3115</v>
      </c>
      <c r="G380" s="37" t="s">
        <v>73</v>
      </c>
      <c r="H380" s="37" t="s">
        <v>73</v>
      </c>
      <c r="I380" s="34" t="s">
        <v>3116</v>
      </c>
      <c r="J380" s="34" t="s">
        <v>3117</v>
      </c>
      <c r="K380" s="39" t="s">
        <v>42</v>
      </c>
      <c r="L380" s="99" t="s">
        <v>3118</v>
      </c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2" t="s">
        <v>3119</v>
      </c>
      <c r="Y380" s="58" t="s">
        <v>3120</v>
      </c>
      <c r="Z380" s="44" t="s">
        <v>61</v>
      </c>
      <c r="AA380" s="45">
        <v>36641</v>
      </c>
      <c r="AB380" s="101" t="s">
        <v>30</v>
      </c>
      <c r="AC380" s="36" t="s">
        <v>26</v>
      </c>
      <c r="AD380" s="61" t="s">
        <v>49</v>
      </c>
      <c r="AE380" s="48" t="s">
        <v>49</v>
      </c>
      <c r="AF380" s="48" t="s">
        <v>49</v>
      </c>
      <c r="AG380" s="48" t="s">
        <v>49</v>
      </c>
      <c r="AH380" s="48" t="s">
        <v>49</v>
      </c>
      <c r="AI380" s="48" t="s">
        <v>49</v>
      </c>
      <c r="AJ380" s="49" t="s">
        <v>49</v>
      </c>
      <c r="AK380" s="48" t="s">
        <v>49</v>
      </c>
      <c r="AL380" s="62" t="s">
        <v>32</v>
      </c>
      <c r="AM380" s="59"/>
      <c r="AN380" s="10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1"/>
    </row>
    <row r="381" spans="1:51" x14ac:dyDescent="0.2">
      <c r="A381" s="33">
        <f t="shared" si="6"/>
        <v>376</v>
      </c>
      <c r="B381" s="34" t="s">
        <v>3121</v>
      </c>
      <c r="C381" s="35" t="s">
        <v>3122</v>
      </c>
      <c r="D381" s="36" t="s">
        <v>3123</v>
      </c>
      <c r="E381" s="36" t="s">
        <v>54</v>
      </c>
      <c r="F381" s="34" t="s">
        <v>3124</v>
      </c>
      <c r="G381" s="37" t="s">
        <v>39</v>
      </c>
      <c r="H381" s="37" t="s">
        <v>39</v>
      </c>
      <c r="I381" s="34" t="s">
        <v>3125</v>
      </c>
      <c r="J381" s="34" t="s">
        <v>3126</v>
      </c>
      <c r="K381" s="39" t="s">
        <v>42</v>
      </c>
      <c r="L381" s="99" t="s">
        <v>1869</v>
      </c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2" t="s">
        <v>3127</v>
      </c>
      <c r="Y381" s="58" t="s">
        <v>3128</v>
      </c>
      <c r="Z381" s="44" t="s">
        <v>3129</v>
      </c>
      <c r="AA381" s="45">
        <v>42158</v>
      </c>
      <c r="AB381" s="101" t="s">
        <v>30</v>
      </c>
      <c r="AC381" s="36" t="s">
        <v>26</v>
      </c>
      <c r="AD381" s="47" t="s">
        <v>49</v>
      </c>
      <c r="AE381" s="48" t="s">
        <v>49</v>
      </c>
      <c r="AF381" s="48" t="s">
        <v>49</v>
      </c>
      <c r="AG381" s="48" t="s">
        <v>49</v>
      </c>
      <c r="AH381" s="48" t="s">
        <v>41</v>
      </c>
      <c r="AI381" s="48" t="s">
        <v>41</v>
      </c>
      <c r="AJ381" s="49" t="s">
        <v>41</v>
      </c>
      <c r="AK381" s="48" t="s">
        <v>41</v>
      </c>
      <c r="AL381" s="62" t="s">
        <v>139</v>
      </c>
      <c r="AM381" s="59"/>
      <c r="AN381" s="10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1"/>
    </row>
    <row r="382" spans="1:51" x14ac:dyDescent="0.2">
      <c r="A382" s="33">
        <f t="shared" si="6"/>
        <v>377</v>
      </c>
      <c r="B382" s="34" t="s">
        <v>3130</v>
      </c>
      <c r="C382" s="35" t="s">
        <v>3131</v>
      </c>
      <c r="D382" s="36" t="s">
        <v>3132</v>
      </c>
      <c r="E382" s="36" t="s">
        <v>54</v>
      </c>
      <c r="F382" s="34" t="s">
        <v>3133</v>
      </c>
      <c r="G382" s="37" t="s">
        <v>323</v>
      </c>
      <c r="H382" s="37" t="s">
        <v>39</v>
      </c>
      <c r="I382" s="38" t="s">
        <v>3134</v>
      </c>
      <c r="J382" s="34" t="s">
        <v>41</v>
      </c>
      <c r="K382" s="39" t="s">
        <v>42</v>
      </c>
      <c r="L382" s="120">
        <v>42249</v>
      </c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42" t="s">
        <v>3135</v>
      </c>
      <c r="Y382" s="52" t="s">
        <v>3136</v>
      </c>
      <c r="Z382" s="44" t="s">
        <v>3137</v>
      </c>
      <c r="AA382" s="45" t="s">
        <v>1130</v>
      </c>
      <c r="AB382" s="101" t="s">
        <v>30</v>
      </c>
      <c r="AC382" s="36" t="s">
        <v>26</v>
      </c>
      <c r="AD382" s="47" t="s">
        <v>49</v>
      </c>
      <c r="AE382" s="48" t="s">
        <v>49</v>
      </c>
      <c r="AF382" s="48" t="s">
        <v>49</v>
      </c>
      <c r="AG382" s="48" t="s">
        <v>49</v>
      </c>
      <c r="AH382" s="48" t="s">
        <v>49</v>
      </c>
      <c r="AI382" s="48" t="s">
        <v>49</v>
      </c>
      <c r="AJ382" s="49" t="s">
        <v>49</v>
      </c>
      <c r="AK382" s="48" t="s">
        <v>49</v>
      </c>
      <c r="AL382" s="62" t="s">
        <v>32</v>
      </c>
      <c r="AM382" s="59"/>
      <c r="AN382" s="10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1"/>
    </row>
    <row r="383" spans="1:51" x14ac:dyDescent="0.2">
      <c r="A383" s="33">
        <f t="shared" si="6"/>
        <v>378</v>
      </c>
      <c r="B383" s="34" t="s">
        <v>3138</v>
      </c>
      <c r="C383" s="35" t="s">
        <v>3139</v>
      </c>
      <c r="D383" s="36" t="s">
        <v>3140</v>
      </c>
      <c r="E383" s="36" t="s">
        <v>54</v>
      </c>
      <c r="F383" s="34" t="s">
        <v>3141</v>
      </c>
      <c r="G383" s="37" t="s">
        <v>38</v>
      </c>
      <c r="H383" s="37" t="s">
        <v>39</v>
      </c>
      <c r="I383" s="38" t="s">
        <v>3142</v>
      </c>
      <c r="J383" s="34" t="s">
        <v>41</v>
      </c>
      <c r="K383" s="39" t="s">
        <v>42</v>
      </c>
      <c r="L383" s="99" t="s">
        <v>3143</v>
      </c>
      <c r="M383" s="56"/>
      <c r="N383" s="56"/>
      <c r="O383" s="56"/>
      <c r="P383" s="56"/>
      <c r="Q383" s="56"/>
      <c r="R383" s="56"/>
      <c r="S383" s="56"/>
      <c r="T383" s="56"/>
      <c r="U383" s="56" t="s">
        <v>732</v>
      </c>
      <c r="V383" s="56"/>
      <c r="W383" s="56"/>
      <c r="X383" s="42" t="s">
        <v>3144</v>
      </c>
      <c r="Y383" s="58" t="s">
        <v>3145</v>
      </c>
      <c r="Z383" s="44" t="s">
        <v>61</v>
      </c>
      <c r="AA383" s="45">
        <v>36641</v>
      </c>
      <c r="AB383" s="101" t="s">
        <v>30</v>
      </c>
      <c r="AC383" s="36" t="s">
        <v>26</v>
      </c>
      <c r="AD383" s="47" t="s">
        <v>49</v>
      </c>
      <c r="AE383" s="48" t="s">
        <v>49</v>
      </c>
      <c r="AF383" s="48" t="s">
        <v>49</v>
      </c>
      <c r="AG383" s="48" t="s">
        <v>49</v>
      </c>
      <c r="AH383" s="48" t="s">
        <v>49</v>
      </c>
      <c r="AI383" s="48" t="s">
        <v>49</v>
      </c>
      <c r="AJ383" s="49" t="s">
        <v>49</v>
      </c>
      <c r="AK383" s="48" t="s">
        <v>49</v>
      </c>
      <c r="AL383" s="62" t="s">
        <v>32</v>
      </c>
      <c r="AM383" s="59"/>
      <c r="AN383" s="10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1"/>
    </row>
    <row r="384" spans="1:51" x14ac:dyDescent="0.2">
      <c r="A384" s="33">
        <f t="shared" si="6"/>
        <v>379</v>
      </c>
      <c r="B384" s="34" t="s">
        <v>3146</v>
      </c>
      <c r="C384" s="35" t="s">
        <v>3147</v>
      </c>
      <c r="D384" s="36" t="s">
        <v>3148</v>
      </c>
      <c r="E384" s="36" t="s">
        <v>36</v>
      </c>
      <c r="F384" s="34" t="s">
        <v>3149</v>
      </c>
      <c r="G384" s="37" t="s">
        <v>205</v>
      </c>
      <c r="H384" s="37" t="s">
        <v>205</v>
      </c>
      <c r="I384" s="38" t="s">
        <v>3150</v>
      </c>
      <c r="J384" s="107" t="s">
        <v>41</v>
      </c>
      <c r="K384" s="39" t="s">
        <v>42</v>
      </c>
      <c r="L384" s="120">
        <v>45805</v>
      </c>
      <c r="M384" s="56" t="s">
        <v>179</v>
      </c>
      <c r="N384" s="56"/>
      <c r="O384" s="56"/>
      <c r="P384" s="56"/>
      <c r="Q384" s="56" t="s">
        <v>179</v>
      </c>
      <c r="R384" s="56"/>
      <c r="S384" s="56"/>
      <c r="T384" s="56"/>
      <c r="U384" s="56"/>
      <c r="V384" s="56" t="s">
        <v>44</v>
      </c>
      <c r="W384" s="56"/>
      <c r="X384" s="38" t="s">
        <v>3151</v>
      </c>
      <c r="Y384" s="58" t="s">
        <v>3152</v>
      </c>
      <c r="Z384" s="44"/>
      <c r="AA384" s="45"/>
      <c r="AB384" s="101"/>
      <c r="AC384" s="36"/>
      <c r="AD384" s="47" t="s">
        <v>49</v>
      </c>
      <c r="AE384" s="48" t="s">
        <v>41</v>
      </c>
      <c r="AF384" s="48" t="s">
        <v>41</v>
      </c>
      <c r="AG384" s="48" t="s">
        <v>41</v>
      </c>
      <c r="AH384" s="48" t="s">
        <v>41</v>
      </c>
      <c r="AI384" s="48" t="s">
        <v>41</v>
      </c>
      <c r="AJ384" s="49" t="s">
        <v>49</v>
      </c>
      <c r="AK384" s="48" t="s">
        <v>41</v>
      </c>
      <c r="AL384" s="62" t="s">
        <v>148</v>
      </c>
      <c r="AM384" s="59"/>
      <c r="AN384" s="10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1"/>
    </row>
    <row r="385" spans="1:51" x14ac:dyDescent="0.2">
      <c r="A385" s="33">
        <f t="shared" si="6"/>
        <v>380</v>
      </c>
      <c r="B385" s="34" t="s">
        <v>3153</v>
      </c>
      <c r="C385" s="35" t="s">
        <v>3154</v>
      </c>
      <c r="D385" s="73" t="s">
        <v>3155</v>
      </c>
      <c r="E385" s="36" t="s">
        <v>36</v>
      </c>
      <c r="F385" s="98" t="s">
        <v>3156</v>
      </c>
      <c r="G385" s="37" t="s">
        <v>1417</v>
      </c>
      <c r="H385" s="37" t="s">
        <v>187</v>
      </c>
      <c r="I385" s="34" t="s">
        <v>3157</v>
      </c>
      <c r="J385" s="107"/>
      <c r="K385" s="39" t="s">
        <v>42</v>
      </c>
      <c r="L385" s="99" t="s">
        <v>3158</v>
      </c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229" t="s">
        <v>3159</v>
      </c>
      <c r="Y385" s="58" t="s">
        <v>3160</v>
      </c>
      <c r="Z385" s="44" t="s">
        <v>3161</v>
      </c>
      <c r="AA385" s="45">
        <v>41793</v>
      </c>
      <c r="AB385" s="101" t="s">
        <v>30</v>
      </c>
      <c r="AC385" s="73" t="s">
        <v>26</v>
      </c>
      <c r="AD385" s="47" t="s">
        <v>49</v>
      </c>
      <c r="AE385" s="48" t="s">
        <v>49</v>
      </c>
      <c r="AF385" s="48" t="s">
        <v>41</v>
      </c>
      <c r="AG385" s="48" t="s">
        <v>41</v>
      </c>
      <c r="AH385" s="48" t="s">
        <v>41</v>
      </c>
      <c r="AI385" s="48" t="s">
        <v>41</v>
      </c>
      <c r="AJ385" s="49" t="s">
        <v>41</v>
      </c>
      <c r="AK385" s="48" t="s">
        <v>41</v>
      </c>
      <c r="AL385" s="62" t="s">
        <v>4587</v>
      </c>
      <c r="AM385" s="59"/>
      <c r="AN385" s="117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1"/>
    </row>
    <row r="386" spans="1:51" x14ac:dyDescent="0.2">
      <c r="A386" s="33">
        <f t="shared" si="6"/>
        <v>381</v>
      </c>
      <c r="B386" s="34" t="s">
        <v>3162</v>
      </c>
      <c r="C386" s="35" t="s">
        <v>3163</v>
      </c>
      <c r="D386" s="73" t="s">
        <v>3164</v>
      </c>
      <c r="E386" s="36" t="s">
        <v>54</v>
      </c>
      <c r="F386" s="98" t="s">
        <v>3165</v>
      </c>
      <c r="G386" s="37" t="s">
        <v>73</v>
      </c>
      <c r="H386" s="37" t="s">
        <v>73</v>
      </c>
      <c r="I386" s="38" t="s">
        <v>3166</v>
      </c>
      <c r="J386" s="34"/>
      <c r="K386" s="39" t="s">
        <v>42</v>
      </c>
      <c r="L386" s="120">
        <v>45587</v>
      </c>
      <c r="M386" s="56"/>
      <c r="N386" s="56"/>
      <c r="O386" s="56"/>
      <c r="P386" s="56"/>
      <c r="Q386" s="56"/>
      <c r="R386" s="56"/>
      <c r="S386" s="56"/>
      <c r="T386" s="56"/>
      <c r="U386" s="56" t="s">
        <v>44</v>
      </c>
      <c r="V386" s="56"/>
      <c r="W386" s="56"/>
      <c r="X386" s="38" t="s">
        <v>3167</v>
      </c>
      <c r="Y386" s="58" t="s">
        <v>3168</v>
      </c>
      <c r="Z386" s="44"/>
      <c r="AA386" s="45"/>
      <c r="AB386" s="101"/>
      <c r="AC386" s="73"/>
      <c r="AD386" s="64" t="s">
        <v>120</v>
      </c>
      <c r="AE386" s="48" t="s">
        <v>41</v>
      </c>
      <c r="AF386" s="48" t="s">
        <v>41</v>
      </c>
      <c r="AG386" s="48" t="s">
        <v>41</v>
      </c>
      <c r="AH386" s="48" t="s">
        <v>41</v>
      </c>
      <c r="AI386" s="48" t="s">
        <v>41</v>
      </c>
      <c r="AJ386" s="49" t="s">
        <v>120</v>
      </c>
      <c r="AK386" s="48" t="s">
        <v>49</v>
      </c>
      <c r="AL386" s="62" t="s">
        <v>32</v>
      </c>
      <c r="AM386" s="59"/>
      <c r="AN386" s="117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1"/>
    </row>
    <row r="387" spans="1:51" x14ac:dyDescent="0.2">
      <c r="A387" s="33">
        <f t="shared" si="6"/>
        <v>382</v>
      </c>
      <c r="B387" s="34" t="s">
        <v>3169</v>
      </c>
      <c r="C387" s="35" t="s">
        <v>3170</v>
      </c>
      <c r="D387" s="36" t="s">
        <v>3171</v>
      </c>
      <c r="E387" s="36" t="s">
        <v>54</v>
      </c>
      <c r="F387" s="34" t="s">
        <v>3172</v>
      </c>
      <c r="G387" s="37" t="s">
        <v>323</v>
      </c>
      <c r="H387" s="37" t="s">
        <v>39</v>
      </c>
      <c r="I387" s="38" t="s">
        <v>3173</v>
      </c>
      <c r="J387" s="34" t="s">
        <v>41</v>
      </c>
      <c r="K387" s="39" t="s">
        <v>42</v>
      </c>
      <c r="L387" s="99" t="s">
        <v>3174</v>
      </c>
      <c r="M387" s="56"/>
      <c r="N387" s="56"/>
      <c r="O387" s="56"/>
      <c r="P387" s="56"/>
      <c r="Q387" s="56"/>
      <c r="R387" s="56"/>
      <c r="S387" s="56"/>
      <c r="T387" s="56" t="s">
        <v>44</v>
      </c>
      <c r="U387" s="56"/>
      <c r="V387" s="56"/>
      <c r="W387" s="56"/>
      <c r="X387" s="42" t="s">
        <v>3175</v>
      </c>
      <c r="Y387" s="83" t="s">
        <v>3176</v>
      </c>
      <c r="Z387" s="44"/>
      <c r="AA387" s="45">
        <v>45642</v>
      </c>
      <c r="AB387" s="101"/>
      <c r="AC387" s="36"/>
      <c r="AD387" s="47" t="s">
        <v>49</v>
      </c>
      <c r="AE387" s="48" t="s">
        <v>41</v>
      </c>
      <c r="AF387" s="48" t="s">
        <v>41</v>
      </c>
      <c r="AG387" s="48" t="s">
        <v>41</v>
      </c>
      <c r="AH387" s="48" t="s">
        <v>49</v>
      </c>
      <c r="AI387" s="48" t="s">
        <v>49</v>
      </c>
      <c r="AJ387" s="49" t="s">
        <v>49</v>
      </c>
      <c r="AK387" s="48" t="s">
        <v>49</v>
      </c>
      <c r="AL387" s="62" t="s">
        <v>32</v>
      </c>
      <c r="AM387" s="59"/>
      <c r="AN387" s="117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1"/>
    </row>
    <row r="388" spans="1:51" x14ac:dyDescent="0.2">
      <c r="A388" s="33">
        <f t="shared" si="6"/>
        <v>383</v>
      </c>
      <c r="B388" s="34" t="s">
        <v>3177</v>
      </c>
      <c r="C388" s="35" t="s">
        <v>3178</v>
      </c>
      <c r="D388" s="36" t="s">
        <v>3179</v>
      </c>
      <c r="E388" s="36" t="s">
        <v>54</v>
      </c>
      <c r="F388" s="87" t="s">
        <v>3180</v>
      </c>
      <c r="G388" s="37" t="s">
        <v>73</v>
      </c>
      <c r="H388" s="37" t="s">
        <v>73</v>
      </c>
      <c r="I388" s="38" t="s">
        <v>3181</v>
      </c>
      <c r="J388" s="113" t="s">
        <v>3182</v>
      </c>
      <c r="K388" s="39" t="s">
        <v>42</v>
      </c>
      <c r="L388" s="120">
        <v>34344</v>
      </c>
      <c r="M388" s="56"/>
      <c r="N388" s="56"/>
      <c r="O388" s="56"/>
      <c r="P388" s="56"/>
      <c r="Q388" s="56"/>
      <c r="R388" s="56"/>
      <c r="S388" s="56"/>
      <c r="T388" s="56" t="s">
        <v>732</v>
      </c>
      <c r="U388" s="56"/>
      <c r="V388" s="56"/>
      <c r="W388" s="56"/>
      <c r="X388" s="42" t="s">
        <v>3183</v>
      </c>
      <c r="Y388" s="100" t="s">
        <v>3184</v>
      </c>
      <c r="Z388" s="44"/>
      <c r="AA388" s="45" t="s">
        <v>47</v>
      </c>
      <c r="AB388" s="101"/>
      <c r="AC388" s="36" t="s">
        <v>26</v>
      </c>
      <c r="AD388" s="47" t="s">
        <v>49</v>
      </c>
      <c r="AE388" s="48" t="s">
        <v>49</v>
      </c>
      <c r="AF388" s="48" t="s">
        <v>49</v>
      </c>
      <c r="AG388" s="48" t="s">
        <v>49</v>
      </c>
      <c r="AH388" s="48" t="s">
        <v>49</v>
      </c>
      <c r="AI388" s="48" t="s">
        <v>49</v>
      </c>
      <c r="AJ388" s="49" t="s">
        <v>41</v>
      </c>
      <c r="AK388" s="48" t="s">
        <v>41</v>
      </c>
      <c r="AL388" s="62" t="s">
        <v>276</v>
      </c>
      <c r="AM388" s="59"/>
      <c r="AN388" s="10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1"/>
    </row>
    <row r="389" spans="1:51" x14ac:dyDescent="0.2">
      <c r="A389" s="33">
        <f t="shared" si="6"/>
        <v>384</v>
      </c>
      <c r="B389" s="34" t="s">
        <v>3185</v>
      </c>
      <c r="C389" s="35" t="s">
        <v>3186</v>
      </c>
      <c r="D389" s="36" t="s">
        <v>3187</v>
      </c>
      <c r="E389" s="36" t="s">
        <v>54</v>
      </c>
      <c r="F389" s="34" t="s">
        <v>3188</v>
      </c>
      <c r="G389" s="37" t="s">
        <v>398</v>
      </c>
      <c r="H389" s="37" t="s">
        <v>205</v>
      </c>
      <c r="I389" s="38" t="s">
        <v>3189</v>
      </c>
      <c r="J389" s="38" t="s">
        <v>3190</v>
      </c>
      <c r="K389" s="39" t="s">
        <v>42</v>
      </c>
      <c r="L389" s="120">
        <v>42499</v>
      </c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42" t="s">
        <v>3191</v>
      </c>
      <c r="Y389" s="100" t="s">
        <v>3192</v>
      </c>
      <c r="Z389" s="44" t="s">
        <v>3193</v>
      </c>
      <c r="AA389" s="45">
        <v>42935</v>
      </c>
      <c r="AB389" s="101" t="s">
        <v>30</v>
      </c>
      <c r="AC389" s="36" t="s">
        <v>26</v>
      </c>
      <c r="AD389" s="47" t="s">
        <v>49</v>
      </c>
      <c r="AE389" s="48" t="s">
        <v>49</v>
      </c>
      <c r="AF389" s="48" t="s">
        <v>49</v>
      </c>
      <c r="AG389" s="48" t="s">
        <v>49</v>
      </c>
      <c r="AH389" s="48" t="s">
        <v>49</v>
      </c>
      <c r="AI389" s="48" t="s">
        <v>41</v>
      </c>
      <c r="AJ389" s="49" t="s">
        <v>41</v>
      </c>
      <c r="AK389" s="48" t="s">
        <v>41</v>
      </c>
      <c r="AL389" s="62" t="s">
        <v>4589</v>
      </c>
      <c r="AM389" s="59"/>
      <c r="AN389" s="10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1"/>
    </row>
    <row r="390" spans="1:51" x14ac:dyDescent="0.2">
      <c r="A390" s="33">
        <f t="shared" si="6"/>
        <v>385</v>
      </c>
      <c r="B390" s="34" t="s">
        <v>3194</v>
      </c>
      <c r="C390" s="35" t="s">
        <v>3195</v>
      </c>
      <c r="D390" s="36" t="s">
        <v>3196</v>
      </c>
      <c r="E390" s="36" t="s">
        <v>54</v>
      </c>
      <c r="F390" s="108" t="s">
        <v>3197</v>
      </c>
      <c r="G390" s="37" t="s">
        <v>350</v>
      </c>
      <c r="H390" s="37" t="s">
        <v>350</v>
      </c>
      <c r="I390" s="38" t="s">
        <v>3198</v>
      </c>
      <c r="J390" s="34" t="s">
        <v>41</v>
      </c>
      <c r="K390" s="39" t="s">
        <v>42</v>
      </c>
      <c r="L390" s="99" t="s">
        <v>1254</v>
      </c>
      <c r="M390" s="56" t="s">
        <v>179</v>
      </c>
      <c r="N390" s="56"/>
      <c r="O390" s="56"/>
      <c r="P390" s="56">
        <v>5</v>
      </c>
      <c r="Q390" s="56"/>
      <c r="R390" s="56"/>
      <c r="S390" s="56"/>
      <c r="T390" s="56"/>
      <c r="U390" s="56"/>
      <c r="V390" s="56"/>
      <c r="W390" s="56"/>
      <c r="X390" s="42" t="s">
        <v>3199</v>
      </c>
      <c r="Y390" s="100" t="s">
        <v>3200</v>
      </c>
      <c r="Z390" s="44"/>
      <c r="AA390" s="45" t="s">
        <v>47</v>
      </c>
      <c r="AB390" s="101"/>
      <c r="AC390" s="36"/>
      <c r="AD390" s="47" t="s">
        <v>49</v>
      </c>
      <c r="AE390" s="48" t="s">
        <v>41</v>
      </c>
      <c r="AF390" s="48" t="s">
        <v>41</v>
      </c>
      <c r="AG390" s="48" t="s">
        <v>41</v>
      </c>
      <c r="AH390" s="48" t="s">
        <v>41</v>
      </c>
      <c r="AI390" s="48" t="s">
        <v>41</v>
      </c>
      <c r="AJ390" s="49" t="s">
        <v>41</v>
      </c>
      <c r="AK390" s="48" t="s">
        <v>41</v>
      </c>
      <c r="AL390" s="65" t="s">
        <v>4588</v>
      </c>
      <c r="AM390" s="59"/>
      <c r="AN390" s="10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1"/>
    </row>
    <row r="391" spans="1:51" x14ac:dyDescent="0.2">
      <c r="A391" s="33">
        <f t="shared" si="6"/>
        <v>386</v>
      </c>
      <c r="B391" s="34" t="s">
        <v>3201</v>
      </c>
      <c r="C391" s="35" t="s">
        <v>3202</v>
      </c>
      <c r="D391" s="73" t="s">
        <v>3203</v>
      </c>
      <c r="E391" s="36" t="s">
        <v>54</v>
      </c>
      <c r="F391" s="98" t="s">
        <v>3204</v>
      </c>
      <c r="G391" s="37" t="s">
        <v>252</v>
      </c>
      <c r="H391" s="37" t="s">
        <v>57</v>
      </c>
      <c r="I391" s="38" t="s">
        <v>3205</v>
      </c>
      <c r="J391" s="34"/>
      <c r="K391" s="39" t="s">
        <v>42</v>
      </c>
      <c r="L391" s="99" t="s">
        <v>3206</v>
      </c>
      <c r="M391" s="56"/>
      <c r="N391" s="56"/>
      <c r="O391" s="56"/>
      <c r="P391" s="56"/>
      <c r="Q391" s="56"/>
      <c r="R391" s="56"/>
      <c r="S391" s="56"/>
      <c r="T391" s="56" t="s">
        <v>44</v>
      </c>
      <c r="U391" s="56"/>
      <c r="V391" s="56"/>
      <c r="W391" s="56"/>
      <c r="X391" s="42" t="s">
        <v>3207</v>
      </c>
      <c r="Y391" s="58" t="s">
        <v>3208</v>
      </c>
      <c r="Z391" s="58"/>
      <c r="AA391" s="45">
        <v>45644</v>
      </c>
      <c r="AB391" s="101" t="s">
        <v>30</v>
      </c>
      <c r="AC391" s="73"/>
      <c r="AD391" s="47" t="s">
        <v>49</v>
      </c>
      <c r="AE391" s="48" t="s">
        <v>41</v>
      </c>
      <c r="AF391" s="48" t="s">
        <v>41</v>
      </c>
      <c r="AG391" s="48" t="s">
        <v>41</v>
      </c>
      <c r="AH391" s="48" t="s">
        <v>49</v>
      </c>
      <c r="AI391" s="48" t="s">
        <v>49</v>
      </c>
      <c r="AJ391" s="49" t="s">
        <v>49</v>
      </c>
      <c r="AK391" s="48" t="s">
        <v>41</v>
      </c>
      <c r="AL391" s="65" t="s">
        <v>148</v>
      </c>
      <c r="AM391" s="59"/>
      <c r="AN391" s="117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1"/>
    </row>
    <row r="392" spans="1:51" x14ac:dyDescent="0.2">
      <c r="A392" s="33">
        <f t="shared" si="6"/>
        <v>387</v>
      </c>
      <c r="B392" s="34" t="s">
        <v>3209</v>
      </c>
      <c r="C392" s="35" t="s">
        <v>3210</v>
      </c>
      <c r="D392" s="36" t="s">
        <v>3211</v>
      </c>
      <c r="E392" s="36" t="s">
        <v>54</v>
      </c>
      <c r="F392" s="226" t="s">
        <v>3212</v>
      </c>
      <c r="G392" s="37" t="s">
        <v>39</v>
      </c>
      <c r="H392" s="37" t="s">
        <v>39</v>
      </c>
      <c r="I392" s="38" t="s">
        <v>3213</v>
      </c>
      <c r="J392" s="34" t="s">
        <v>41</v>
      </c>
      <c r="K392" s="39" t="s">
        <v>42</v>
      </c>
      <c r="L392" s="99" t="s">
        <v>1119</v>
      </c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42" t="s">
        <v>3214</v>
      </c>
      <c r="Y392" s="69" t="s">
        <v>3215</v>
      </c>
      <c r="Z392" s="44" t="s">
        <v>61</v>
      </c>
      <c r="AA392" s="45">
        <v>40280</v>
      </c>
      <c r="AB392" s="101" t="s">
        <v>30</v>
      </c>
      <c r="AC392" s="36" t="s">
        <v>26</v>
      </c>
      <c r="AD392" s="47" t="s">
        <v>49</v>
      </c>
      <c r="AE392" s="48" t="s">
        <v>49</v>
      </c>
      <c r="AF392" s="48" t="s">
        <v>49</v>
      </c>
      <c r="AG392" s="48" t="s">
        <v>49</v>
      </c>
      <c r="AH392" s="48" t="s">
        <v>49</v>
      </c>
      <c r="AI392" s="48" t="s">
        <v>49</v>
      </c>
      <c r="AJ392" s="49" t="s">
        <v>49</v>
      </c>
      <c r="AK392" s="48" t="s">
        <v>49</v>
      </c>
      <c r="AL392" s="62" t="s">
        <v>32</v>
      </c>
      <c r="AM392" s="103"/>
      <c r="AN392" s="10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1"/>
    </row>
    <row r="393" spans="1:51" x14ac:dyDescent="0.2">
      <c r="A393" s="33">
        <f t="shared" ref="A393:A456" si="7">+A392+1</f>
        <v>388</v>
      </c>
      <c r="B393" s="34" t="s">
        <v>3216</v>
      </c>
      <c r="C393" s="35" t="s">
        <v>3217</v>
      </c>
      <c r="D393" s="36" t="s">
        <v>3218</v>
      </c>
      <c r="E393" s="36" t="s">
        <v>54</v>
      </c>
      <c r="F393" s="34" t="s">
        <v>3219</v>
      </c>
      <c r="G393" s="37" t="s">
        <v>323</v>
      </c>
      <c r="H393" s="37" t="s">
        <v>39</v>
      </c>
      <c r="I393" s="34" t="s">
        <v>3220</v>
      </c>
      <c r="J393" s="34" t="s">
        <v>41</v>
      </c>
      <c r="K393" s="39" t="s">
        <v>42</v>
      </c>
      <c r="L393" s="99" t="s">
        <v>3003</v>
      </c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2" t="s">
        <v>3221</v>
      </c>
      <c r="Y393" s="69" t="s">
        <v>3222</v>
      </c>
      <c r="Z393" s="44" t="s">
        <v>61</v>
      </c>
      <c r="AA393" s="45">
        <v>36803</v>
      </c>
      <c r="AB393" s="101" t="s">
        <v>30</v>
      </c>
      <c r="AC393" s="36" t="s">
        <v>26</v>
      </c>
      <c r="AD393" s="47" t="s">
        <v>49</v>
      </c>
      <c r="AE393" s="48" t="s">
        <v>49</v>
      </c>
      <c r="AF393" s="48" t="s">
        <v>49</v>
      </c>
      <c r="AG393" s="48" t="s">
        <v>49</v>
      </c>
      <c r="AH393" s="48" t="s">
        <v>49</v>
      </c>
      <c r="AI393" s="48" t="s">
        <v>49</v>
      </c>
      <c r="AJ393" s="49" t="s">
        <v>49</v>
      </c>
      <c r="AK393" s="48" t="s">
        <v>49</v>
      </c>
      <c r="AL393" s="62" t="s">
        <v>32</v>
      </c>
      <c r="AM393" s="59"/>
      <c r="AN393" s="10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1"/>
    </row>
    <row r="394" spans="1:51" x14ac:dyDescent="0.2">
      <c r="A394" s="33">
        <f t="shared" si="7"/>
        <v>389</v>
      </c>
      <c r="B394" s="34" t="s">
        <v>3223</v>
      </c>
      <c r="C394" s="35" t="s">
        <v>3224</v>
      </c>
      <c r="D394" s="36" t="s">
        <v>3225</v>
      </c>
      <c r="E394" s="36" t="s">
        <v>54</v>
      </c>
      <c r="F394" s="34" t="s">
        <v>3226</v>
      </c>
      <c r="G394" s="37" t="s">
        <v>73</v>
      </c>
      <c r="H394" s="37" t="s">
        <v>73</v>
      </c>
      <c r="I394" s="34" t="s">
        <v>3227</v>
      </c>
      <c r="J394" s="34" t="s">
        <v>3227</v>
      </c>
      <c r="K394" s="39" t="s">
        <v>42</v>
      </c>
      <c r="L394" s="120">
        <v>36594</v>
      </c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2" t="s">
        <v>3228</v>
      </c>
      <c r="Y394" s="100" t="s">
        <v>3229</v>
      </c>
      <c r="Z394" s="44" t="s">
        <v>61</v>
      </c>
      <c r="AA394" s="45">
        <v>36803</v>
      </c>
      <c r="AB394" s="101" t="s">
        <v>30</v>
      </c>
      <c r="AC394" s="36" t="s">
        <v>26</v>
      </c>
      <c r="AD394" s="47" t="s">
        <v>49</v>
      </c>
      <c r="AE394" s="48" t="s">
        <v>49</v>
      </c>
      <c r="AF394" s="48" t="s">
        <v>49</v>
      </c>
      <c r="AG394" s="48" t="s">
        <v>49</v>
      </c>
      <c r="AH394" s="48" t="s">
        <v>49</v>
      </c>
      <c r="AI394" s="48" t="s">
        <v>49</v>
      </c>
      <c r="AJ394" s="49" t="s">
        <v>49</v>
      </c>
      <c r="AK394" s="48" t="s">
        <v>49</v>
      </c>
      <c r="AL394" s="62" t="s">
        <v>32</v>
      </c>
      <c r="AM394" s="59"/>
      <c r="AN394" s="10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1"/>
    </row>
    <row r="395" spans="1:51" x14ac:dyDescent="0.2">
      <c r="A395" s="33">
        <f t="shared" si="7"/>
        <v>390</v>
      </c>
      <c r="B395" s="34" t="s">
        <v>3230</v>
      </c>
      <c r="C395" s="35" t="s">
        <v>3231</v>
      </c>
      <c r="D395" s="36" t="s">
        <v>3232</v>
      </c>
      <c r="E395" s="36" t="s">
        <v>54</v>
      </c>
      <c r="F395" s="34" t="s">
        <v>3233</v>
      </c>
      <c r="G395" s="37" t="s">
        <v>73</v>
      </c>
      <c r="H395" s="37" t="s">
        <v>73</v>
      </c>
      <c r="I395" s="34" t="s">
        <v>1679</v>
      </c>
      <c r="J395" s="34" t="s">
        <v>1877</v>
      </c>
      <c r="K395" s="39" t="s">
        <v>42</v>
      </c>
      <c r="L395" s="99" t="s">
        <v>3234</v>
      </c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42" t="s">
        <v>3235</v>
      </c>
      <c r="Y395" s="58" t="s">
        <v>3236</v>
      </c>
      <c r="Z395" s="44" t="s">
        <v>61</v>
      </c>
      <c r="AA395" s="45">
        <v>36803</v>
      </c>
      <c r="AB395" s="101" t="s">
        <v>30</v>
      </c>
      <c r="AC395" s="36" t="s">
        <v>26</v>
      </c>
      <c r="AD395" s="64" t="s">
        <v>120</v>
      </c>
      <c r="AE395" s="48" t="s">
        <v>120</v>
      </c>
      <c r="AF395" s="48" t="s">
        <v>120</v>
      </c>
      <c r="AG395" s="48" t="s">
        <v>120</v>
      </c>
      <c r="AH395" s="48" t="s">
        <v>120</v>
      </c>
      <c r="AI395" s="48" t="s">
        <v>120</v>
      </c>
      <c r="AJ395" s="49" t="s">
        <v>120</v>
      </c>
      <c r="AK395" s="48" t="s">
        <v>120</v>
      </c>
      <c r="AL395" s="65" t="s">
        <v>32</v>
      </c>
      <c r="AM395" s="59"/>
      <c r="AN395" s="10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1"/>
    </row>
    <row r="396" spans="1:51" x14ac:dyDescent="0.2">
      <c r="A396" s="33">
        <f t="shared" si="7"/>
        <v>391</v>
      </c>
      <c r="B396" s="34" t="s">
        <v>3237</v>
      </c>
      <c r="C396" s="35" t="s">
        <v>3238</v>
      </c>
      <c r="D396" s="36" t="s">
        <v>4607</v>
      </c>
      <c r="E396" s="36" t="s">
        <v>54</v>
      </c>
      <c r="F396" s="34" t="s">
        <v>4608</v>
      </c>
      <c r="G396" s="37" t="s">
        <v>73</v>
      </c>
      <c r="H396" s="37" t="s">
        <v>73</v>
      </c>
      <c r="I396" s="42" t="s">
        <v>4610</v>
      </c>
      <c r="J396" s="34" t="s">
        <v>41</v>
      </c>
      <c r="K396" s="39" t="s">
        <v>42</v>
      </c>
      <c r="L396" s="120">
        <v>37202</v>
      </c>
      <c r="M396" s="41" t="s">
        <v>179</v>
      </c>
      <c r="N396" s="41"/>
      <c r="O396" s="41"/>
      <c r="P396" s="41"/>
      <c r="Q396" s="41"/>
      <c r="R396" s="41"/>
      <c r="S396" s="41"/>
      <c r="T396" s="41"/>
      <c r="U396" s="41"/>
      <c r="V396" s="41"/>
      <c r="W396" s="41" t="s">
        <v>732</v>
      </c>
      <c r="X396" s="42" t="s">
        <v>4609</v>
      </c>
      <c r="Y396" s="58" t="s">
        <v>3239</v>
      </c>
      <c r="Z396" s="44" t="s">
        <v>61</v>
      </c>
      <c r="AA396" s="45">
        <v>40280</v>
      </c>
      <c r="AB396" s="101" t="s">
        <v>30</v>
      </c>
      <c r="AC396" s="36" t="s">
        <v>26</v>
      </c>
      <c r="AD396" s="47" t="s">
        <v>49</v>
      </c>
      <c r="AE396" s="48" t="s">
        <v>49</v>
      </c>
      <c r="AF396" s="48" t="s">
        <v>49</v>
      </c>
      <c r="AG396" s="48" t="s">
        <v>49</v>
      </c>
      <c r="AH396" s="48" t="s">
        <v>49</v>
      </c>
      <c r="AI396" s="48" t="s">
        <v>49</v>
      </c>
      <c r="AJ396" s="49" t="s">
        <v>49</v>
      </c>
      <c r="AK396" s="48" t="s">
        <v>49</v>
      </c>
      <c r="AL396" s="62" t="s">
        <v>32</v>
      </c>
      <c r="AM396" s="59"/>
      <c r="AN396" s="10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1"/>
    </row>
    <row r="397" spans="1:51" x14ac:dyDescent="0.2">
      <c r="A397" s="33">
        <f t="shared" si="7"/>
        <v>392</v>
      </c>
      <c r="B397" s="34" t="s">
        <v>3240</v>
      </c>
      <c r="C397" s="35" t="s">
        <v>3241</v>
      </c>
      <c r="D397" s="36" t="s">
        <v>3242</v>
      </c>
      <c r="E397" s="36" t="s">
        <v>36</v>
      </c>
      <c r="F397" s="34" t="s">
        <v>3243</v>
      </c>
      <c r="G397" s="37" t="s">
        <v>73</v>
      </c>
      <c r="H397" s="37" t="s">
        <v>73</v>
      </c>
      <c r="I397" s="34" t="s">
        <v>3244</v>
      </c>
      <c r="J397" s="34" t="s">
        <v>41</v>
      </c>
      <c r="K397" s="39" t="s">
        <v>42</v>
      </c>
      <c r="L397" s="120">
        <v>36895</v>
      </c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2" t="s">
        <v>3245</v>
      </c>
      <c r="Y397" s="52" t="s">
        <v>3246</v>
      </c>
      <c r="Z397" s="44" t="s">
        <v>61</v>
      </c>
      <c r="AA397" s="45">
        <v>36803</v>
      </c>
      <c r="AB397" s="101" t="s">
        <v>30</v>
      </c>
      <c r="AC397" s="36" t="s">
        <v>26</v>
      </c>
      <c r="AD397" s="47" t="s">
        <v>49</v>
      </c>
      <c r="AE397" s="48" t="s">
        <v>49</v>
      </c>
      <c r="AF397" s="48" t="s">
        <v>49</v>
      </c>
      <c r="AG397" s="48" t="s">
        <v>49</v>
      </c>
      <c r="AH397" s="48" t="s">
        <v>49</v>
      </c>
      <c r="AI397" s="48" t="s">
        <v>49</v>
      </c>
      <c r="AJ397" s="49" t="s">
        <v>49</v>
      </c>
      <c r="AK397" s="48" t="s">
        <v>49</v>
      </c>
      <c r="AL397" s="65" t="s">
        <v>32</v>
      </c>
      <c r="AM397" s="59"/>
      <c r="AN397" s="10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1"/>
    </row>
    <row r="398" spans="1:51" x14ac:dyDescent="0.2">
      <c r="A398" s="33">
        <f t="shared" si="7"/>
        <v>393</v>
      </c>
      <c r="B398" s="34" t="s">
        <v>3247</v>
      </c>
      <c r="C398" s="35" t="s">
        <v>3248</v>
      </c>
      <c r="D398" s="73" t="s">
        <v>3249</v>
      </c>
      <c r="E398" s="36" t="s">
        <v>54</v>
      </c>
      <c r="F398" s="98" t="s">
        <v>3250</v>
      </c>
      <c r="G398" s="37" t="s">
        <v>73</v>
      </c>
      <c r="H398" s="37" t="s">
        <v>73</v>
      </c>
      <c r="I398" s="34" t="s">
        <v>3251</v>
      </c>
      <c r="J398" s="34" t="s">
        <v>41</v>
      </c>
      <c r="K398" s="39" t="s">
        <v>42</v>
      </c>
      <c r="L398" s="120">
        <v>35681</v>
      </c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42" t="s">
        <v>3252</v>
      </c>
      <c r="Y398" s="58" t="s">
        <v>3253</v>
      </c>
      <c r="Z398" s="44" t="s">
        <v>3254</v>
      </c>
      <c r="AA398" s="45">
        <v>42325</v>
      </c>
      <c r="AB398" s="101" t="s">
        <v>30</v>
      </c>
      <c r="AC398" s="73"/>
      <c r="AD398" s="47" t="s">
        <v>49</v>
      </c>
      <c r="AE398" s="48" t="s">
        <v>41</v>
      </c>
      <c r="AF398" s="48" t="s">
        <v>41</v>
      </c>
      <c r="AG398" s="48" t="s">
        <v>41</v>
      </c>
      <c r="AH398" s="48" t="s">
        <v>41</v>
      </c>
      <c r="AI398" s="48" t="s">
        <v>41</v>
      </c>
      <c r="AJ398" s="49" t="s">
        <v>41</v>
      </c>
      <c r="AK398" s="48" t="s">
        <v>41</v>
      </c>
      <c r="AL398" s="65" t="s">
        <v>4590</v>
      </c>
      <c r="AM398" s="59"/>
      <c r="AN398" s="10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1"/>
    </row>
    <row r="399" spans="1:51" x14ac:dyDescent="0.2">
      <c r="A399" s="33">
        <f t="shared" si="7"/>
        <v>394</v>
      </c>
      <c r="B399" s="34" t="s">
        <v>3255</v>
      </c>
      <c r="C399" s="35" t="s">
        <v>3256</v>
      </c>
      <c r="D399" s="36" t="s">
        <v>3257</v>
      </c>
      <c r="E399" s="36" t="s">
        <v>36</v>
      </c>
      <c r="F399" s="34" t="s">
        <v>3258</v>
      </c>
      <c r="G399" s="37" t="s">
        <v>73</v>
      </c>
      <c r="H399" s="37" t="s">
        <v>73</v>
      </c>
      <c r="I399" s="34" t="s">
        <v>3259</v>
      </c>
      <c r="J399" s="34" t="s">
        <v>41</v>
      </c>
      <c r="K399" s="39" t="s">
        <v>42</v>
      </c>
      <c r="L399" s="120" t="s">
        <v>3260</v>
      </c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2" t="s">
        <v>3261</v>
      </c>
      <c r="Y399" s="58" t="s">
        <v>3262</v>
      </c>
      <c r="Z399" s="44" t="s">
        <v>3263</v>
      </c>
      <c r="AA399" s="45">
        <v>43200</v>
      </c>
      <c r="AB399" s="101" t="s">
        <v>30</v>
      </c>
      <c r="AC399" s="36" t="s">
        <v>26</v>
      </c>
      <c r="AD399" s="47" t="s">
        <v>49</v>
      </c>
      <c r="AE399" s="48" t="s">
        <v>49</v>
      </c>
      <c r="AF399" s="48" t="s">
        <v>49</v>
      </c>
      <c r="AG399" s="48" t="s">
        <v>49</v>
      </c>
      <c r="AH399" s="48" t="s">
        <v>49</v>
      </c>
      <c r="AI399" s="48" t="s">
        <v>49</v>
      </c>
      <c r="AJ399" s="49" t="s">
        <v>49</v>
      </c>
      <c r="AK399" s="48" t="s">
        <v>41</v>
      </c>
      <c r="AL399" s="65" t="s">
        <v>148</v>
      </c>
      <c r="AM399" s="59"/>
      <c r="AN399" s="10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1"/>
    </row>
    <row r="400" spans="1:51" x14ac:dyDescent="0.2">
      <c r="A400" s="33">
        <f t="shared" si="7"/>
        <v>395</v>
      </c>
      <c r="B400" s="34" t="s">
        <v>3264</v>
      </c>
      <c r="C400" s="35" t="s">
        <v>3265</v>
      </c>
      <c r="D400" s="36" t="s">
        <v>3266</v>
      </c>
      <c r="E400" s="36" t="s">
        <v>54</v>
      </c>
      <c r="F400" s="34" t="s">
        <v>3267</v>
      </c>
      <c r="G400" s="37" t="s">
        <v>73</v>
      </c>
      <c r="H400" s="37" t="s">
        <v>73</v>
      </c>
      <c r="I400" s="38" t="s">
        <v>3268</v>
      </c>
      <c r="J400" s="34" t="s">
        <v>41</v>
      </c>
      <c r="K400" s="39" t="s">
        <v>42</v>
      </c>
      <c r="L400" s="120" t="s">
        <v>3269</v>
      </c>
      <c r="M400" s="41"/>
      <c r="N400" s="41"/>
      <c r="O400" s="41"/>
      <c r="P400" s="41"/>
      <c r="Q400" s="41"/>
      <c r="R400" s="41"/>
      <c r="S400" s="41"/>
      <c r="T400" s="41" t="s">
        <v>44</v>
      </c>
      <c r="U400" s="41"/>
      <c r="V400" s="41"/>
      <c r="W400" s="41"/>
      <c r="X400" s="42" t="s">
        <v>3270</v>
      </c>
      <c r="Y400" s="83" t="s">
        <v>3271</v>
      </c>
      <c r="Z400" s="83"/>
      <c r="AA400" s="45">
        <v>45642</v>
      </c>
      <c r="AB400" s="101"/>
      <c r="AC400" s="36"/>
      <c r="AD400" s="47" t="s">
        <v>49</v>
      </c>
      <c r="AE400" s="48" t="s">
        <v>41</v>
      </c>
      <c r="AF400" s="48" t="s">
        <v>41</v>
      </c>
      <c r="AG400" s="48" t="s">
        <v>41</v>
      </c>
      <c r="AH400" s="48" t="s">
        <v>49</v>
      </c>
      <c r="AI400" s="48" t="s">
        <v>49</v>
      </c>
      <c r="AJ400" s="49" t="s">
        <v>49</v>
      </c>
      <c r="AK400" s="48" t="s">
        <v>41</v>
      </c>
      <c r="AL400" s="65" t="s">
        <v>148</v>
      </c>
      <c r="AM400" s="59"/>
      <c r="AN400" s="10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1"/>
    </row>
    <row r="401" spans="1:51" x14ac:dyDescent="0.2">
      <c r="A401" s="33">
        <f t="shared" si="7"/>
        <v>396</v>
      </c>
      <c r="B401" s="34" t="s">
        <v>3272</v>
      </c>
      <c r="C401" s="35" t="s">
        <v>3273</v>
      </c>
      <c r="D401" s="36" t="s">
        <v>3274</v>
      </c>
      <c r="E401" s="36" t="s">
        <v>54</v>
      </c>
      <c r="F401" s="34" t="s">
        <v>3275</v>
      </c>
      <c r="G401" s="37" t="s">
        <v>73</v>
      </c>
      <c r="H401" s="37" t="s">
        <v>73</v>
      </c>
      <c r="I401" s="34" t="s">
        <v>3276</v>
      </c>
      <c r="J401" s="34" t="s">
        <v>41</v>
      </c>
      <c r="K401" s="39" t="s">
        <v>42</v>
      </c>
      <c r="L401" s="120">
        <v>35531</v>
      </c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42" t="s">
        <v>3277</v>
      </c>
      <c r="Y401" s="100" t="s">
        <v>3278</v>
      </c>
      <c r="Z401" s="44" t="s">
        <v>3279</v>
      </c>
      <c r="AA401" s="45">
        <v>42935</v>
      </c>
      <c r="AB401" s="101" t="s">
        <v>30</v>
      </c>
      <c r="AC401" s="36" t="s">
        <v>26</v>
      </c>
      <c r="AD401" s="64" t="s">
        <v>120</v>
      </c>
      <c r="AE401" s="48" t="s">
        <v>120</v>
      </c>
      <c r="AF401" s="48" t="s">
        <v>120</v>
      </c>
      <c r="AG401" s="48" t="s">
        <v>120</v>
      </c>
      <c r="AH401" s="48" t="s">
        <v>120</v>
      </c>
      <c r="AI401" s="48" t="s">
        <v>120</v>
      </c>
      <c r="AJ401" s="49" t="s">
        <v>120</v>
      </c>
      <c r="AK401" s="48" t="s">
        <v>41</v>
      </c>
      <c r="AL401" s="65" t="s">
        <v>148</v>
      </c>
      <c r="AM401" s="59"/>
      <c r="AN401" s="10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1"/>
    </row>
    <row r="402" spans="1:51" x14ac:dyDescent="0.2">
      <c r="A402" s="33">
        <f t="shared" si="7"/>
        <v>397</v>
      </c>
      <c r="B402" s="34" t="s">
        <v>3280</v>
      </c>
      <c r="C402" s="35" t="s">
        <v>3281</v>
      </c>
      <c r="D402" s="36" t="s">
        <v>3282</v>
      </c>
      <c r="E402" s="36" t="s">
        <v>54</v>
      </c>
      <c r="F402" s="34" t="s">
        <v>3283</v>
      </c>
      <c r="G402" s="37" t="s">
        <v>73</v>
      </c>
      <c r="H402" s="37" t="s">
        <v>73</v>
      </c>
      <c r="I402" s="34" t="s">
        <v>3284</v>
      </c>
      <c r="J402" s="34" t="s">
        <v>41</v>
      </c>
      <c r="K402" s="39" t="s">
        <v>42</v>
      </c>
      <c r="L402" s="99" t="s">
        <v>3285</v>
      </c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42" t="s">
        <v>3286</v>
      </c>
      <c r="Y402" s="58" t="s">
        <v>3287</v>
      </c>
      <c r="Z402" s="44" t="s">
        <v>61</v>
      </c>
      <c r="AA402" s="45">
        <v>39286</v>
      </c>
      <c r="AB402" s="101" t="s">
        <v>30</v>
      </c>
      <c r="AC402" s="36"/>
      <c r="AD402" s="47" t="s">
        <v>49</v>
      </c>
      <c r="AE402" s="48" t="s">
        <v>41</v>
      </c>
      <c r="AF402" s="48" t="s">
        <v>41</v>
      </c>
      <c r="AG402" s="48" t="s">
        <v>41</v>
      </c>
      <c r="AH402" s="48" t="s">
        <v>41</v>
      </c>
      <c r="AI402" s="48" t="s">
        <v>41</v>
      </c>
      <c r="AJ402" s="49" t="s">
        <v>41</v>
      </c>
      <c r="AK402" s="48" t="s">
        <v>41</v>
      </c>
      <c r="AL402" s="65" t="s">
        <v>4588</v>
      </c>
      <c r="AM402" s="59"/>
      <c r="AN402" s="10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1"/>
    </row>
    <row r="403" spans="1:51" x14ac:dyDescent="0.2">
      <c r="A403" s="33">
        <f t="shared" si="7"/>
        <v>398</v>
      </c>
      <c r="B403" s="34" t="s">
        <v>3288</v>
      </c>
      <c r="C403" s="35" t="s">
        <v>3289</v>
      </c>
      <c r="D403" s="36" t="s">
        <v>3290</v>
      </c>
      <c r="E403" s="36" t="s">
        <v>241</v>
      </c>
      <c r="F403" s="34" t="s">
        <v>3291</v>
      </c>
      <c r="G403" s="37" t="s">
        <v>73</v>
      </c>
      <c r="H403" s="37" t="s">
        <v>73</v>
      </c>
      <c r="I403" s="34" t="s">
        <v>3292</v>
      </c>
      <c r="J403" s="34" t="s">
        <v>41</v>
      </c>
      <c r="K403" s="39" t="s">
        <v>42</v>
      </c>
      <c r="L403" s="99" t="s">
        <v>3293</v>
      </c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2" t="s">
        <v>3294</v>
      </c>
      <c r="Y403" s="58" t="s">
        <v>3295</v>
      </c>
      <c r="Z403" s="44" t="s">
        <v>61</v>
      </c>
      <c r="AA403" s="45">
        <v>34597</v>
      </c>
      <c r="AB403" s="101" t="s">
        <v>129</v>
      </c>
      <c r="AC403" s="36" t="s">
        <v>26</v>
      </c>
      <c r="AD403" s="47" t="s">
        <v>49</v>
      </c>
      <c r="AE403" s="48" t="s">
        <v>49</v>
      </c>
      <c r="AF403" s="48" t="s">
        <v>41</v>
      </c>
      <c r="AG403" s="48" t="s">
        <v>41</v>
      </c>
      <c r="AH403" s="48" t="s">
        <v>41</v>
      </c>
      <c r="AI403" s="48" t="s">
        <v>41</v>
      </c>
      <c r="AJ403" s="49" t="s">
        <v>41</v>
      </c>
      <c r="AK403" s="48" t="s">
        <v>41</v>
      </c>
      <c r="AL403" s="62" t="s">
        <v>4587</v>
      </c>
      <c r="AM403" s="59"/>
      <c r="AN403" s="117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1"/>
    </row>
    <row r="404" spans="1:51" x14ac:dyDescent="0.2">
      <c r="A404" s="33">
        <f t="shared" si="7"/>
        <v>399</v>
      </c>
      <c r="B404" s="108" t="s">
        <v>3296</v>
      </c>
      <c r="C404" s="35" t="s">
        <v>3297</v>
      </c>
      <c r="D404" s="73" t="s">
        <v>3298</v>
      </c>
      <c r="E404" s="36" t="s">
        <v>36</v>
      </c>
      <c r="F404" s="192" t="s">
        <v>3299</v>
      </c>
      <c r="G404" s="37" t="s">
        <v>398</v>
      </c>
      <c r="H404" s="37" t="s">
        <v>205</v>
      </c>
      <c r="I404" s="140" t="s">
        <v>3300</v>
      </c>
      <c r="J404" s="38" t="s">
        <v>41</v>
      </c>
      <c r="K404" s="39" t="s">
        <v>42</v>
      </c>
      <c r="L404" s="166" t="s">
        <v>3301</v>
      </c>
      <c r="M404" s="56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42" t="s">
        <v>3302</v>
      </c>
      <c r="Y404" s="58" t="s">
        <v>3303</v>
      </c>
      <c r="Z404" s="44" t="s">
        <v>3304</v>
      </c>
      <c r="AA404" s="45">
        <v>42325</v>
      </c>
      <c r="AB404" s="101" t="s">
        <v>30</v>
      </c>
      <c r="AC404" s="73" t="s">
        <v>26</v>
      </c>
      <c r="AD404" s="47" t="s">
        <v>49</v>
      </c>
      <c r="AE404" s="48" t="s">
        <v>49</v>
      </c>
      <c r="AF404" s="48" t="s">
        <v>49</v>
      </c>
      <c r="AG404" s="48" t="s">
        <v>49</v>
      </c>
      <c r="AH404" s="48" t="s">
        <v>49</v>
      </c>
      <c r="AI404" s="48" t="s">
        <v>49</v>
      </c>
      <c r="AJ404" s="49" t="s">
        <v>49</v>
      </c>
      <c r="AK404" s="48" t="s">
        <v>41</v>
      </c>
      <c r="AL404" s="65" t="s">
        <v>148</v>
      </c>
      <c r="AM404" s="59"/>
      <c r="AN404" s="10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1"/>
    </row>
    <row r="405" spans="1:51" x14ac:dyDescent="0.2">
      <c r="A405" s="33">
        <f t="shared" si="7"/>
        <v>400</v>
      </c>
      <c r="B405" s="34" t="s">
        <v>3305</v>
      </c>
      <c r="C405" s="35" t="s">
        <v>3306</v>
      </c>
      <c r="D405" s="36" t="s">
        <v>3307</v>
      </c>
      <c r="E405" s="36" t="s">
        <v>54</v>
      </c>
      <c r="F405" s="34" t="s">
        <v>3308</v>
      </c>
      <c r="G405" s="37" t="s">
        <v>73</v>
      </c>
      <c r="H405" s="37" t="s">
        <v>73</v>
      </c>
      <c r="I405" s="34" t="s">
        <v>3309</v>
      </c>
      <c r="J405" s="34" t="s">
        <v>41</v>
      </c>
      <c r="K405" s="39" t="s">
        <v>42</v>
      </c>
      <c r="L405" s="120">
        <v>36895</v>
      </c>
      <c r="M405" s="41"/>
      <c r="N405" s="177"/>
      <c r="O405" s="112"/>
      <c r="P405" s="177"/>
      <c r="Q405" s="112"/>
      <c r="R405" s="112"/>
      <c r="S405" s="112"/>
      <c r="T405" s="177"/>
      <c r="U405" s="112"/>
      <c r="V405" s="41"/>
      <c r="W405" s="41"/>
      <c r="X405" s="42" t="s">
        <v>3310</v>
      </c>
      <c r="Y405" s="52" t="s">
        <v>3311</v>
      </c>
      <c r="Z405" s="44" t="s">
        <v>61</v>
      </c>
      <c r="AA405" s="45">
        <v>39286</v>
      </c>
      <c r="AB405" s="101" t="s">
        <v>30</v>
      </c>
      <c r="AC405" s="36" t="s">
        <v>26</v>
      </c>
      <c r="AD405" s="61" t="s">
        <v>49</v>
      </c>
      <c r="AE405" s="48" t="s">
        <v>49</v>
      </c>
      <c r="AF405" s="48" t="s">
        <v>49</v>
      </c>
      <c r="AG405" s="48" t="s">
        <v>49</v>
      </c>
      <c r="AH405" s="48" t="s">
        <v>49</v>
      </c>
      <c r="AI405" s="48" t="s">
        <v>49</v>
      </c>
      <c r="AJ405" s="49" t="s">
        <v>49</v>
      </c>
      <c r="AK405" s="48" t="s">
        <v>41</v>
      </c>
      <c r="AL405" s="65" t="s">
        <v>148</v>
      </c>
      <c r="AM405" s="59"/>
      <c r="AN405" s="10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1"/>
    </row>
    <row r="406" spans="1:51" x14ac:dyDescent="0.2">
      <c r="A406" s="33">
        <f t="shared" si="7"/>
        <v>401</v>
      </c>
      <c r="B406" s="34" t="s">
        <v>3312</v>
      </c>
      <c r="C406" s="35" t="s">
        <v>3313</v>
      </c>
      <c r="D406" s="36" t="s">
        <v>3314</v>
      </c>
      <c r="E406" s="36" t="s">
        <v>54</v>
      </c>
      <c r="F406" s="87" t="s">
        <v>3315</v>
      </c>
      <c r="G406" s="37" t="s">
        <v>323</v>
      </c>
      <c r="H406" s="37" t="s">
        <v>39</v>
      </c>
      <c r="I406" s="34" t="s">
        <v>3316</v>
      </c>
      <c r="J406" s="34" t="s">
        <v>41</v>
      </c>
      <c r="K406" s="39" t="s">
        <v>42</v>
      </c>
      <c r="L406" s="120">
        <v>42254</v>
      </c>
      <c r="M406" s="56"/>
      <c r="N406" s="114"/>
      <c r="O406" s="115"/>
      <c r="P406" s="114"/>
      <c r="Q406" s="115"/>
      <c r="R406" s="115"/>
      <c r="S406" s="115"/>
      <c r="T406" s="114"/>
      <c r="U406" s="115"/>
      <c r="V406" s="56"/>
      <c r="W406" s="56"/>
      <c r="X406" s="42" t="s">
        <v>3317</v>
      </c>
      <c r="Y406" s="100" t="s">
        <v>3318</v>
      </c>
      <c r="Z406" s="44" t="s">
        <v>3319</v>
      </c>
      <c r="AA406" s="45">
        <v>42325</v>
      </c>
      <c r="AB406" s="101" t="s">
        <v>30</v>
      </c>
      <c r="AC406" s="36" t="s">
        <v>26</v>
      </c>
      <c r="AD406" s="47" t="s">
        <v>49</v>
      </c>
      <c r="AE406" s="48" t="s">
        <v>49</v>
      </c>
      <c r="AF406" s="48" t="s">
        <v>49</v>
      </c>
      <c r="AG406" s="48" t="s">
        <v>49</v>
      </c>
      <c r="AH406" s="48" t="s">
        <v>49</v>
      </c>
      <c r="AI406" s="48" t="s">
        <v>49</v>
      </c>
      <c r="AJ406" s="49" t="s">
        <v>49</v>
      </c>
      <c r="AK406" s="48" t="s">
        <v>49</v>
      </c>
      <c r="AL406" s="62" t="s">
        <v>32</v>
      </c>
      <c r="AM406" s="59"/>
      <c r="AN406" s="10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1"/>
    </row>
    <row r="407" spans="1:51" x14ac:dyDescent="0.2">
      <c r="A407" s="33">
        <f t="shared" si="7"/>
        <v>402</v>
      </c>
      <c r="B407" s="34" t="s">
        <v>3320</v>
      </c>
      <c r="C407" s="35" t="s">
        <v>3321</v>
      </c>
      <c r="D407" s="109" t="s">
        <v>3322</v>
      </c>
      <c r="E407" s="36" t="s">
        <v>54</v>
      </c>
      <c r="F407" s="108" t="s">
        <v>3323</v>
      </c>
      <c r="G407" s="37" t="s">
        <v>413</v>
      </c>
      <c r="H407" s="37" t="s">
        <v>378</v>
      </c>
      <c r="I407" s="108" t="s">
        <v>3324</v>
      </c>
      <c r="J407" s="38" t="s">
        <v>3325</v>
      </c>
      <c r="K407" s="39" t="s">
        <v>42</v>
      </c>
      <c r="L407" s="120">
        <v>40004</v>
      </c>
      <c r="M407" s="41"/>
      <c r="N407" s="111"/>
      <c r="O407" s="112"/>
      <c r="P407" s="111"/>
      <c r="Q407" s="112"/>
      <c r="R407" s="112"/>
      <c r="S407" s="112"/>
      <c r="T407" s="230"/>
      <c r="U407" s="112"/>
      <c r="V407" s="41"/>
      <c r="W407" s="41"/>
      <c r="X407" s="42" t="s">
        <v>3326</v>
      </c>
      <c r="Y407" s="52" t="s">
        <v>3327</v>
      </c>
      <c r="Z407" s="44" t="s">
        <v>61</v>
      </c>
      <c r="AA407" s="45">
        <v>39286</v>
      </c>
      <c r="AB407" s="101" t="s">
        <v>30</v>
      </c>
      <c r="AC407" s="36" t="s">
        <v>26</v>
      </c>
      <c r="AD407" s="47" t="s">
        <v>49</v>
      </c>
      <c r="AE407" s="48" t="s">
        <v>49</v>
      </c>
      <c r="AF407" s="48" t="s">
        <v>49</v>
      </c>
      <c r="AG407" s="48" t="s">
        <v>49</v>
      </c>
      <c r="AH407" s="48" t="s">
        <v>49</v>
      </c>
      <c r="AI407" s="48" t="s">
        <v>49</v>
      </c>
      <c r="AJ407" s="49" t="s">
        <v>49</v>
      </c>
      <c r="AK407" s="48" t="s">
        <v>41</v>
      </c>
      <c r="AL407" s="62" t="s">
        <v>148</v>
      </c>
      <c r="AM407" s="59"/>
      <c r="AN407" s="10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1"/>
    </row>
    <row r="408" spans="1:51" x14ac:dyDescent="0.2">
      <c r="A408" s="33">
        <f t="shared" si="7"/>
        <v>403</v>
      </c>
      <c r="B408" s="34" t="s">
        <v>3328</v>
      </c>
      <c r="C408" s="35" t="s">
        <v>3329</v>
      </c>
      <c r="D408" s="36" t="s">
        <v>3330</v>
      </c>
      <c r="E408" s="36" t="s">
        <v>54</v>
      </c>
      <c r="F408" s="34" t="s">
        <v>3331</v>
      </c>
      <c r="G408" s="37" t="s">
        <v>73</v>
      </c>
      <c r="H408" s="37" t="s">
        <v>73</v>
      </c>
      <c r="I408" s="34" t="s">
        <v>3332</v>
      </c>
      <c r="J408" s="34" t="s">
        <v>3333</v>
      </c>
      <c r="K408" s="39" t="s">
        <v>42</v>
      </c>
      <c r="L408" s="99" t="s">
        <v>3334</v>
      </c>
      <c r="M408" s="41"/>
      <c r="N408" s="41"/>
      <c r="O408" s="41"/>
      <c r="P408" s="41"/>
      <c r="Q408" s="112"/>
      <c r="R408" s="231"/>
      <c r="S408" s="112"/>
      <c r="T408" s="230"/>
      <c r="U408" s="112"/>
      <c r="V408" s="41"/>
      <c r="W408" s="41"/>
      <c r="X408" s="42" t="s">
        <v>3335</v>
      </c>
      <c r="Y408" s="43" t="s">
        <v>3336</v>
      </c>
      <c r="Z408" s="44" t="s">
        <v>61</v>
      </c>
      <c r="AA408" s="45">
        <v>34597</v>
      </c>
      <c r="AB408" s="101" t="s">
        <v>30</v>
      </c>
      <c r="AC408" s="36" t="s">
        <v>26</v>
      </c>
      <c r="AD408" s="47" t="s">
        <v>49</v>
      </c>
      <c r="AE408" s="48" t="s">
        <v>49</v>
      </c>
      <c r="AF408" s="48" t="s">
        <v>49</v>
      </c>
      <c r="AG408" s="48" t="s">
        <v>49</v>
      </c>
      <c r="AH408" s="48" t="s">
        <v>49</v>
      </c>
      <c r="AI408" s="48" t="s">
        <v>49</v>
      </c>
      <c r="AJ408" s="49" t="s">
        <v>49</v>
      </c>
      <c r="AK408" s="48" t="s">
        <v>49</v>
      </c>
      <c r="AL408" s="65" t="s">
        <v>32</v>
      </c>
      <c r="AM408" s="59"/>
      <c r="AN408" s="10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1"/>
    </row>
    <row r="409" spans="1:51" x14ac:dyDescent="0.2">
      <c r="A409" s="33">
        <f t="shared" si="7"/>
        <v>404</v>
      </c>
      <c r="B409" s="34" t="s">
        <v>3337</v>
      </c>
      <c r="C409" s="35" t="s">
        <v>3338</v>
      </c>
      <c r="D409" s="36" t="s">
        <v>3339</v>
      </c>
      <c r="E409" s="36" t="s">
        <v>54</v>
      </c>
      <c r="F409" s="34" t="s">
        <v>3340</v>
      </c>
      <c r="G409" s="37" t="s">
        <v>73</v>
      </c>
      <c r="H409" s="37" t="s">
        <v>73</v>
      </c>
      <c r="I409" s="34" t="s">
        <v>3341</v>
      </c>
      <c r="J409" s="34" t="s">
        <v>41</v>
      </c>
      <c r="K409" s="39" t="s">
        <v>42</v>
      </c>
      <c r="L409" s="99" t="s">
        <v>3342</v>
      </c>
      <c r="M409" s="41"/>
      <c r="N409" s="41"/>
      <c r="O409" s="41"/>
      <c r="P409" s="41"/>
      <c r="Q409" s="112"/>
      <c r="R409" s="231"/>
      <c r="S409" s="112"/>
      <c r="T409" s="177"/>
      <c r="U409" s="112"/>
      <c r="V409" s="41"/>
      <c r="W409" s="41"/>
      <c r="X409" s="42" t="s">
        <v>3343</v>
      </c>
      <c r="Y409" s="43" t="s">
        <v>3344</v>
      </c>
      <c r="Z409" s="84" t="s">
        <v>3345</v>
      </c>
      <c r="AA409" s="45">
        <v>44650</v>
      </c>
      <c r="AB409" s="101" t="s">
        <v>30</v>
      </c>
      <c r="AC409" s="36"/>
      <c r="AD409" s="47" t="s">
        <v>49</v>
      </c>
      <c r="AE409" s="48" t="s">
        <v>41</v>
      </c>
      <c r="AF409" s="48" t="s">
        <v>49</v>
      </c>
      <c r="AG409" s="48" t="s">
        <v>49</v>
      </c>
      <c r="AH409" s="48" t="s">
        <v>49</v>
      </c>
      <c r="AI409" s="48" t="s">
        <v>49</v>
      </c>
      <c r="AJ409" s="49" t="s">
        <v>49</v>
      </c>
      <c r="AK409" s="48" t="s">
        <v>49</v>
      </c>
      <c r="AL409" s="62" t="s">
        <v>32</v>
      </c>
      <c r="AM409" s="59"/>
      <c r="AN409" s="10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1"/>
    </row>
    <row r="410" spans="1:51" x14ac:dyDescent="0.2">
      <c r="A410" s="33">
        <f t="shared" si="7"/>
        <v>405</v>
      </c>
      <c r="B410" s="34" t="s">
        <v>3346</v>
      </c>
      <c r="C410" s="35" t="s">
        <v>3347</v>
      </c>
      <c r="D410" s="36" t="s">
        <v>3348</v>
      </c>
      <c r="E410" s="36" t="s">
        <v>54</v>
      </c>
      <c r="F410" s="34" t="s">
        <v>3349</v>
      </c>
      <c r="G410" s="37" t="s">
        <v>73</v>
      </c>
      <c r="H410" s="37" t="s">
        <v>73</v>
      </c>
      <c r="I410" s="38" t="s">
        <v>3350</v>
      </c>
      <c r="J410" s="34" t="s">
        <v>41</v>
      </c>
      <c r="K410" s="39" t="s">
        <v>42</v>
      </c>
      <c r="L410" s="99" t="s">
        <v>3351</v>
      </c>
      <c r="M410" s="41"/>
      <c r="N410" s="41"/>
      <c r="O410" s="41"/>
      <c r="P410" s="41"/>
      <c r="Q410" s="41"/>
      <c r="R410" s="41"/>
      <c r="S410" s="41"/>
      <c r="T410" s="177" t="s">
        <v>44</v>
      </c>
      <c r="U410" s="112" t="s">
        <v>732</v>
      </c>
      <c r="V410" s="41"/>
      <c r="W410" s="41"/>
      <c r="X410" s="42" t="s">
        <v>3352</v>
      </c>
      <c r="Y410" s="55" t="s">
        <v>3353</v>
      </c>
      <c r="Z410" s="44"/>
      <c r="AA410" s="45">
        <v>45642</v>
      </c>
      <c r="AB410" s="101"/>
      <c r="AC410" s="36"/>
      <c r="AD410" s="47" t="s">
        <v>49</v>
      </c>
      <c r="AE410" s="48" t="s">
        <v>41</v>
      </c>
      <c r="AF410" s="48" t="s">
        <v>41</v>
      </c>
      <c r="AG410" s="48" t="s">
        <v>41</v>
      </c>
      <c r="AH410" s="48" t="s">
        <v>49</v>
      </c>
      <c r="AI410" s="48" t="s">
        <v>49</v>
      </c>
      <c r="AJ410" s="49" t="s">
        <v>41</v>
      </c>
      <c r="AK410" s="48" t="s">
        <v>41</v>
      </c>
      <c r="AL410" s="62" t="s">
        <v>276</v>
      </c>
      <c r="AM410" s="59"/>
      <c r="AN410" s="10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1"/>
    </row>
    <row r="411" spans="1:51" x14ac:dyDescent="0.2">
      <c r="A411" s="33">
        <f t="shared" si="7"/>
        <v>406</v>
      </c>
      <c r="B411" s="34" t="s">
        <v>3354</v>
      </c>
      <c r="C411" s="35" t="s">
        <v>3355</v>
      </c>
      <c r="D411" s="36" t="s">
        <v>3356</v>
      </c>
      <c r="E411" s="36" t="s">
        <v>54</v>
      </c>
      <c r="F411" s="34" t="s">
        <v>3357</v>
      </c>
      <c r="G411" s="37" t="s">
        <v>73</v>
      </c>
      <c r="H411" s="37" t="s">
        <v>73</v>
      </c>
      <c r="I411" s="34" t="s">
        <v>3358</v>
      </c>
      <c r="J411" s="34" t="s">
        <v>41</v>
      </c>
      <c r="K411" s="39" t="s">
        <v>42</v>
      </c>
      <c r="L411" s="120">
        <v>40399</v>
      </c>
      <c r="M411" s="41"/>
      <c r="N411" s="41"/>
      <c r="O411" s="41"/>
      <c r="P411" s="41"/>
      <c r="Q411" s="41"/>
      <c r="R411" s="41"/>
      <c r="S411" s="41"/>
      <c r="T411" s="177"/>
      <c r="U411" s="112"/>
      <c r="V411" s="112"/>
      <c r="W411" s="112"/>
      <c r="X411" s="57" t="s">
        <v>3359</v>
      </c>
      <c r="Y411" s="69" t="s">
        <v>3360</v>
      </c>
      <c r="Z411" s="44" t="s">
        <v>3361</v>
      </c>
      <c r="AA411" s="45">
        <v>42936</v>
      </c>
      <c r="AB411" s="101" t="s">
        <v>30</v>
      </c>
      <c r="AC411" s="36" t="s">
        <v>26</v>
      </c>
      <c r="AD411" s="64" t="s">
        <v>120</v>
      </c>
      <c r="AE411" s="48" t="s">
        <v>120</v>
      </c>
      <c r="AF411" s="48" t="s">
        <v>120</v>
      </c>
      <c r="AG411" s="48" t="s">
        <v>120</v>
      </c>
      <c r="AH411" s="48" t="s">
        <v>41</v>
      </c>
      <c r="AI411" s="48" t="s">
        <v>41</v>
      </c>
      <c r="AJ411" s="49" t="s">
        <v>41</v>
      </c>
      <c r="AK411" s="48" t="s">
        <v>41</v>
      </c>
      <c r="AL411" s="62" t="s">
        <v>139</v>
      </c>
      <c r="AM411" s="59"/>
      <c r="AN411" s="10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1"/>
    </row>
    <row r="412" spans="1:51" x14ac:dyDescent="0.2">
      <c r="A412" s="33">
        <f t="shared" si="7"/>
        <v>407</v>
      </c>
      <c r="B412" s="34" t="s">
        <v>3362</v>
      </c>
      <c r="C412" s="35" t="s">
        <v>3363</v>
      </c>
      <c r="D412" s="36" t="s">
        <v>3364</v>
      </c>
      <c r="E412" s="36" t="s">
        <v>36</v>
      </c>
      <c r="F412" s="34" t="s">
        <v>3365</v>
      </c>
      <c r="G412" s="37" t="s">
        <v>73</v>
      </c>
      <c r="H412" s="37" t="s">
        <v>73</v>
      </c>
      <c r="I412" s="38" t="s">
        <v>3366</v>
      </c>
      <c r="J412" s="34" t="s">
        <v>41</v>
      </c>
      <c r="K412" s="39" t="s">
        <v>42</v>
      </c>
      <c r="L412" s="120">
        <v>43750</v>
      </c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42" t="s">
        <v>3367</v>
      </c>
      <c r="Y412" s="58" t="s">
        <v>3368</v>
      </c>
      <c r="Z412" s="44" t="s">
        <v>3369</v>
      </c>
      <c r="AA412" s="45">
        <v>44041</v>
      </c>
      <c r="AB412" s="101" t="s">
        <v>30</v>
      </c>
      <c r="AC412" s="36" t="s">
        <v>26</v>
      </c>
      <c r="AD412" s="47" t="s">
        <v>49</v>
      </c>
      <c r="AE412" s="48" t="s">
        <v>49</v>
      </c>
      <c r="AF412" s="48" t="s">
        <v>49</v>
      </c>
      <c r="AG412" s="48" t="s">
        <v>49</v>
      </c>
      <c r="AH412" s="48" t="s">
        <v>49</v>
      </c>
      <c r="AI412" s="48" t="s">
        <v>49</v>
      </c>
      <c r="AJ412" s="49" t="s">
        <v>49</v>
      </c>
      <c r="AK412" s="48" t="s">
        <v>49</v>
      </c>
      <c r="AL412" s="62" t="s">
        <v>32</v>
      </c>
      <c r="AM412" s="59"/>
      <c r="AN412" s="10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1"/>
    </row>
    <row r="413" spans="1:51" x14ac:dyDescent="0.2">
      <c r="A413" s="33">
        <f t="shared" si="7"/>
        <v>408</v>
      </c>
      <c r="B413" s="34" t="s">
        <v>3370</v>
      </c>
      <c r="C413" s="35" t="s">
        <v>3371</v>
      </c>
      <c r="D413" s="36" t="s">
        <v>3372</v>
      </c>
      <c r="E413" s="36" t="s">
        <v>54</v>
      </c>
      <c r="F413" s="34" t="s">
        <v>3373</v>
      </c>
      <c r="G413" s="37" t="s">
        <v>73</v>
      </c>
      <c r="H413" s="37" t="s">
        <v>73</v>
      </c>
      <c r="I413" s="34" t="s">
        <v>3374</v>
      </c>
      <c r="J413" s="34" t="s">
        <v>3375</v>
      </c>
      <c r="K413" s="39" t="s">
        <v>42</v>
      </c>
      <c r="L413" s="99" t="s">
        <v>3376</v>
      </c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2" t="s">
        <v>3377</v>
      </c>
      <c r="Y413" s="100" t="s">
        <v>3378</v>
      </c>
      <c r="Z413" s="44" t="s">
        <v>61</v>
      </c>
      <c r="AA413" s="45">
        <v>36641</v>
      </c>
      <c r="AB413" s="101" t="s">
        <v>30</v>
      </c>
      <c r="AC413" s="36" t="s">
        <v>26</v>
      </c>
      <c r="AD413" s="47" t="s">
        <v>49</v>
      </c>
      <c r="AE413" s="48" t="s">
        <v>49</v>
      </c>
      <c r="AF413" s="48" t="s">
        <v>49</v>
      </c>
      <c r="AG413" s="48" t="s">
        <v>49</v>
      </c>
      <c r="AH413" s="48" t="s">
        <v>49</v>
      </c>
      <c r="AI413" s="48" t="s">
        <v>49</v>
      </c>
      <c r="AJ413" s="49" t="s">
        <v>49</v>
      </c>
      <c r="AK413" s="48" t="s">
        <v>49</v>
      </c>
      <c r="AL413" s="65" t="s">
        <v>32</v>
      </c>
      <c r="AM413" s="59"/>
      <c r="AN413" s="10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1"/>
    </row>
    <row r="414" spans="1:51" x14ac:dyDescent="0.2">
      <c r="A414" s="33">
        <f t="shared" si="7"/>
        <v>409</v>
      </c>
      <c r="B414" s="34" t="s">
        <v>3379</v>
      </c>
      <c r="C414" s="35" t="s">
        <v>3380</v>
      </c>
      <c r="D414" s="36" t="s">
        <v>3381</v>
      </c>
      <c r="E414" s="36" t="s">
        <v>54</v>
      </c>
      <c r="F414" s="34" t="s">
        <v>3382</v>
      </c>
      <c r="G414" s="37" t="s">
        <v>456</v>
      </c>
      <c r="H414" s="37" t="s">
        <v>187</v>
      </c>
      <c r="I414" s="38" t="s">
        <v>3383</v>
      </c>
      <c r="J414" s="34" t="s">
        <v>41</v>
      </c>
      <c r="K414" s="39" t="s">
        <v>42</v>
      </c>
      <c r="L414" s="99" t="s">
        <v>3384</v>
      </c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7" t="s">
        <v>3385</v>
      </c>
      <c r="Y414" s="58" t="s">
        <v>3386</v>
      </c>
      <c r="Z414" s="44" t="s">
        <v>61</v>
      </c>
      <c r="AA414" s="45">
        <v>38593</v>
      </c>
      <c r="AB414" s="101" t="s">
        <v>30</v>
      </c>
      <c r="AC414" s="36" t="s">
        <v>26</v>
      </c>
      <c r="AD414" s="47" t="s">
        <v>49</v>
      </c>
      <c r="AE414" s="48" t="s">
        <v>49</v>
      </c>
      <c r="AF414" s="48" t="s">
        <v>49</v>
      </c>
      <c r="AG414" s="48" t="s">
        <v>49</v>
      </c>
      <c r="AH414" s="48" t="s">
        <v>49</v>
      </c>
      <c r="AI414" s="48" t="s">
        <v>49</v>
      </c>
      <c r="AJ414" s="49" t="s">
        <v>49</v>
      </c>
      <c r="AK414" s="48" t="s">
        <v>41</v>
      </c>
      <c r="AL414" s="65" t="s">
        <v>148</v>
      </c>
      <c r="AM414" s="59"/>
      <c r="AN414" s="10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1"/>
    </row>
    <row r="415" spans="1:51" x14ac:dyDescent="0.2">
      <c r="A415" s="33">
        <f t="shared" si="7"/>
        <v>410</v>
      </c>
      <c r="B415" s="34" t="s">
        <v>3387</v>
      </c>
      <c r="C415" s="35" t="s">
        <v>3388</v>
      </c>
      <c r="D415" s="36" t="s">
        <v>3389</v>
      </c>
      <c r="E415" s="36" t="s">
        <v>54</v>
      </c>
      <c r="F415" s="34" t="s">
        <v>3390</v>
      </c>
      <c r="G415" s="37" t="s">
        <v>176</v>
      </c>
      <c r="H415" s="37" t="s">
        <v>39</v>
      </c>
      <c r="I415" s="38" t="s">
        <v>3391</v>
      </c>
      <c r="J415" s="34"/>
      <c r="K415" s="39" t="s">
        <v>42</v>
      </c>
      <c r="L415" s="99" t="s">
        <v>3392</v>
      </c>
      <c r="M415" s="56"/>
      <c r="N415" s="56"/>
      <c r="O415" s="56"/>
      <c r="P415" s="56"/>
      <c r="Q415" s="56"/>
      <c r="R415" s="56"/>
      <c r="S415" s="56"/>
      <c r="T415" s="56" t="s">
        <v>44</v>
      </c>
      <c r="U415" s="56"/>
      <c r="V415" s="56"/>
      <c r="W415" s="56"/>
      <c r="X415" s="42" t="s">
        <v>3393</v>
      </c>
      <c r="Y415" s="58" t="s">
        <v>3394</v>
      </c>
      <c r="Z415" s="44"/>
      <c r="AA415" s="45">
        <v>45642</v>
      </c>
      <c r="AB415" s="101"/>
      <c r="AC415" s="36"/>
      <c r="AD415" s="47" t="s">
        <v>49</v>
      </c>
      <c r="AE415" s="48" t="s">
        <v>41</v>
      </c>
      <c r="AF415" s="48" t="s">
        <v>41</v>
      </c>
      <c r="AG415" s="48" t="s">
        <v>41</v>
      </c>
      <c r="AH415" s="48" t="s">
        <v>49</v>
      </c>
      <c r="AI415" s="48" t="s">
        <v>49</v>
      </c>
      <c r="AJ415" s="49" t="s">
        <v>49</v>
      </c>
      <c r="AK415" s="48" t="s">
        <v>49</v>
      </c>
      <c r="AL415" s="62" t="s">
        <v>32</v>
      </c>
      <c r="AM415" s="59"/>
      <c r="AN415" s="10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1"/>
    </row>
    <row r="416" spans="1:51" x14ac:dyDescent="0.2">
      <c r="A416" s="33">
        <f t="shared" si="7"/>
        <v>411</v>
      </c>
      <c r="B416" s="34" t="s">
        <v>3395</v>
      </c>
      <c r="C416" s="35" t="s">
        <v>3396</v>
      </c>
      <c r="D416" s="36" t="s">
        <v>3397</v>
      </c>
      <c r="E416" s="36" t="s">
        <v>54</v>
      </c>
      <c r="F416" s="34" t="s">
        <v>3398</v>
      </c>
      <c r="G416" s="37" t="s">
        <v>73</v>
      </c>
      <c r="H416" s="37" t="s">
        <v>73</v>
      </c>
      <c r="I416" s="38" t="s">
        <v>3399</v>
      </c>
      <c r="J416" s="34" t="s">
        <v>41</v>
      </c>
      <c r="K416" s="39" t="s">
        <v>42</v>
      </c>
      <c r="L416" s="120">
        <v>45355</v>
      </c>
      <c r="M416" s="41"/>
      <c r="N416" s="94"/>
      <c r="O416" s="94"/>
      <c r="P416" s="94"/>
      <c r="Q416" s="94"/>
      <c r="R416" s="94"/>
      <c r="S416" s="94"/>
      <c r="T416" s="94"/>
      <c r="U416" s="94" t="s">
        <v>44</v>
      </c>
      <c r="V416" s="94"/>
      <c r="W416" s="94"/>
      <c r="X416" s="54" t="s">
        <v>3400</v>
      </c>
      <c r="Y416" s="58" t="s">
        <v>3401</v>
      </c>
      <c r="Z416" s="44"/>
      <c r="AA416" s="45"/>
      <c r="AB416" s="101"/>
      <c r="AC416" s="36"/>
      <c r="AD416" s="61" t="s">
        <v>49</v>
      </c>
      <c r="AE416" s="48" t="s">
        <v>41</v>
      </c>
      <c r="AF416" s="48" t="s">
        <v>41</v>
      </c>
      <c r="AG416" s="48" t="s">
        <v>41</v>
      </c>
      <c r="AH416" s="48" t="s">
        <v>41</v>
      </c>
      <c r="AI416" s="48" t="s">
        <v>49</v>
      </c>
      <c r="AJ416" s="49" t="s">
        <v>41</v>
      </c>
      <c r="AK416" s="48" t="s">
        <v>41</v>
      </c>
      <c r="AL416" s="62" t="s">
        <v>276</v>
      </c>
      <c r="AM416" s="59"/>
      <c r="AN416" s="10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1"/>
    </row>
    <row r="417" spans="1:51" x14ac:dyDescent="0.2">
      <c r="A417" s="33">
        <f t="shared" si="7"/>
        <v>412</v>
      </c>
      <c r="B417" s="34" t="s">
        <v>3402</v>
      </c>
      <c r="C417" s="35" t="s">
        <v>3403</v>
      </c>
      <c r="D417" s="36" t="s">
        <v>3404</v>
      </c>
      <c r="E417" s="36" t="s">
        <v>54</v>
      </c>
      <c r="F417" s="34" t="s">
        <v>3405</v>
      </c>
      <c r="G417" s="37" t="s">
        <v>38</v>
      </c>
      <c r="H417" s="37" t="s">
        <v>39</v>
      </c>
      <c r="I417" s="38" t="s">
        <v>3325</v>
      </c>
      <c r="J417" s="34" t="s">
        <v>41</v>
      </c>
      <c r="K417" s="39" t="s">
        <v>42</v>
      </c>
      <c r="L417" s="99" t="s">
        <v>1824</v>
      </c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42" t="s">
        <v>3406</v>
      </c>
      <c r="Y417" s="58" t="s">
        <v>3407</v>
      </c>
      <c r="Z417" s="44" t="s">
        <v>61</v>
      </c>
      <c r="AA417" s="45">
        <v>39288</v>
      </c>
      <c r="AB417" s="101" t="s">
        <v>30</v>
      </c>
      <c r="AC417" s="36" t="s">
        <v>26</v>
      </c>
      <c r="AD417" s="47" t="s">
        <v>49</v>
      </c>
      <c r="AE417" s="48" t="s">
        <v>49</v>
      </c>
      <c r="AF417" s="48" t="s">
        <v>41</v>
      </c>
      <c r="AG417" s="48" t="s">
        <v>41</v>
      </c>
      <c r="AH417" s="48" t="s">
        <v>41</v>
      </c>
      <c r="AI417" s="48" t="s">
        <v>41</v>
      </c>
      <c r="AJ417" s="49" t="s">
        <v>41</v>
      </c>
      <c r="AK417" s="48" t="s">
        <v>41</v>
      </c>
      <c r="AL417" s="62" t="s">
        <v>4587</v>
      </c>
      <c r="AM417" s="59"/>
      <c r="AN417" s="10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1"/>
    </row>
    <row r="418" spans="1:51" x14ac:dyDescent="0.2">
      <c r="A418" s="33">
        <f t="shared" si="7"/>
        <v>413</v>
      </c>
      <c r="B418" s="34" t="s">
        <v>3408</v>
      </c>
      <c r="C418" s="35" t="s">
        <v>3409</v>
      </c>
      <c r="D418" s="36" t="s">
        <v>3410</v>
      </c>
      <c r="E418" s="36" t="s">
        <v>54</v>
      </c>
      <c r="F418" s="34" t="s">
        <v>3411</v>
      </c>
      <c r="G418" s="37" t="s">
        <v>73</v>
      </c>
      <c r="H418" s="37" t="s">
        <v>73</v>
      </c>
      <c r="I418" s="34" t="s">
        <v>3412</v>
      </c>
      <c r="J418" s="34" t="s">
        <v>3413</v>
      </c>
      <c r="K418" s="39" t="s">
        <v>42</v>
      </c>
      <c r="L418" s="120">
        <v>34761</v>
      </c>
      <c r="M418" s="41"/>
      <c r="N418" s="41"/>
      <c r="O418" s="41"/>
      <c r="P418" s="41"/>
      <c r="Q418" s="41"/>
      <c r="R418" s="41"/>
      <c r="S418" s="41"/>
      <c r="T418" s="41"/>
      <c r="U418" s="41" t="s">
        <v>732</v>
      </c>
      <c r="V418" s="41"/>
      <c r="W418" s="41"/>
      <c r="X418" s="42" t="s">
        <v>3414</v>
      </c>
      <c r="Y418" s="58" t="s">
        <v>3415</v>
      </c>
      <c r="Z418" s="44" t="s">
        <v>61</v>
      </c>
      <c r="AA418" s="45">
        <v>40815</v>
      </c>
      <c r="AB418" s="101" t="s">
        <v>30</v>
      </c>
      <c r="AC418" s="36" t="s">
        <v>26</v>
      </c>
      <c r="AD418" s="64" t="s">
        <v>120</v>
      </c>
      <c r="AE418" s="48" t="s">
        <v>120</v>
      </c>
      <c r="AF418" s="48" t="s">
        <v>120</v>
      </c>
      <c r="AG418" s="48" t="s">
        <v>120</v>
      </c>
      <c r="AH418" s="48" t="s">
        <v>120</v>
      </c>
      <c r="AI418" s="48" t="s">
        <v>120</v>
      </c>
      <c r="AJ418" s="49" t="s">
        <v>41</v>
      </c>
      <c r="AK418" s="48" t="s">
        <v>41</v>
      </c>
      <c r="AL418" s="62" t="s">
        <v>276</v>
      </c>
      <c r="AM418" s="59"/>
      <c r="AN418" s="10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1"/>
    </row>
    <row r="419" spans="1:51" x14ac:dyDescent="0.2">
      <c r="A419" s="33">
        <f t="shared" si="7"/>
        <v>414</v>
      </c>
      <c r="B419" s="34" t="s">
        <v>3416</v>
      </c>
      <c r="C419" s="35" t="s">
        <v>3417</v>
      </c>
      <c r="D419" s="36" t="s">
        <v>3418</v>
      </c>
      <c r="E419" s="36" t="s">
        <v>54</v>
      </c>
      <c r="F419" s="34" t="s">
        <v>3419</v>
      </c>
      <c r="G419" s="37" t="s">
        <v>176</v>
      </c>
      <c r="H419" s="37" t="s">
        <v>39</v>
      </c>
      <c r="I419" s="38" t="s">
        <v>3420</v>
      </c>
      <c r="J419" s="34" t="s">
        <v>41</v>
      </c>
      <c r="K419" s="39" t="s">
        <v>42</v>
      </c>
      <c r="L419" s="120">
        <v>45349</v>
      </c>
      <c r="M419" s="56"/>
      <c r="N419" s="56"/>
      <c r="O419" s="56"/>
      <c r="P419" s="56"/>
      <c r="Q419" s="56"/>
      <c r="R419" s="56"/>
      <c r="S419" s="56"/>
      <c r="T419" s="56"/>
      <c r="U419" s="56" t="s">
        <v>44</v>
      </c>
      <c r="V419" s="56"/>
      <c r="W419" s="56"/>
      <c r="X419" s="54" t="s">
        <v>3421</v>
      </c>
      <c r="Y419" s="83" t="s">
        <v>3422</v>
      </c>
      <c r="Z419" s="119"/>
      <c r="AA419" s="45"/>
      <c r="AB419" s="101"/>
      <c r="AC419" s="36"/>
      <c r="AD419" s="47" t="s">
        <v>49</v>
      </c>
      <c r="AE419" s="48" t="s">
        <v>41</v>
      </c>
      <c r="AF419" s="48" t="s">
        <v>41</v>
      </c>
      <c r="AG419" s="48" t="s">
        <v>41</v>
      </c>
      <c r="AH419" s="48" t="s">
        <v>41</v>
      </c>
      <c r="AI419" s="48" t="s">
        <v>49</v>
      </c>
      <c r="AJ419" s="49" t="s">
        <v>41</v>
      </c>
      <c r="AK419" s="48" t="s">
        <v>41</v>
      </c>
      <c r="AL419" s="62" t="s">
        <v>276</v>
      </c>
      <c r="AM419" s="59"/>
      <c r="AN419" s="10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1"/>
    </row>
    <row r="420" spans="1:51" x14ac:dyDescent="0.2">
      <c r="A420" s="33">
        <f t="shared" si="7"/>
        <v>415</v>
      </c>
      <c r="B420" s="34" t="s">
        <v>3423</v>
      </c>
      <c r="C420" s="35" t="s">
        <v>3424</v>
      </c>
      <c r="D420" s="36" t="s">
        <v>3425</v>
      </c>
      <c r="E420" s="36" t="s">
        <v>54</v>
      </c>
      <c r="F420" s="34" t="s">
        <v>3426</v>
      </c>
      <c r="G420" s="37" t="s">
        <v>176</v>
      </c>
      <c r="H420" s="37" t="s">
        <v>39</v>
      </c>
      <c r="I420" s="38" t="s">
        <v>3427</v>
      </c>
      <c r="J420" s="34" t="s">
        <v>41</v>
      </c>
      <c r="K420" s="39" t="s">
        <v>42</v>
      </c>
      <c r="L420" s="99" t="s">
        <v>3428</v>
      </c>
      <c r="M420" s="115"/>
      <c r="N420" s="115"/>
      <c r="O420" s="115"/>
      <c r="P420" s="115"/>
      <c r="Q420" s="115"/>
      <c r="R420" s="115"/>
      <c r="S420" s="115"/>
      <c r="T420" s="56"/>
      <c r="U420" s="56"/>
      <c r="V420" s="56"/>
      <c r="W420" s="56"/>
      <c r="X420" s="42" t="s">
        <v>3429</v>
      </c>
      <c r="Y420" s="58" t="s">
        <v>3430</v>
      </c>
      <c r="Z420" s="121" t="s">
        <v>3431</v>
      </c>
      <c r="AA420" s="45">
        <v>44650</v>
      </c>
      <c r="AB420" s="101" t="s">
        <v>30</v>
      </c>
      <c r="AC420" s="36" t="s">
        <v>26</v>
      </c>
      <c r="AD420" s="47" t="s">
        <v>49</v>
      </c>
      <c r="AE420" s="48" t="s">
        <v>49</v>
      </c>
      <c r="AF420" s="48" t="s">
        <v>49</v>
      </c>
      <c r="AG420" s="48" t="s">
        <v>49</v>
      </c>
      <c r="AH420" s="48" t="s">
        <v>49</v>
      </c>
      <c r="AI420" s="48" t="s">
        <v>49</v>
      </c>
      <c r="AJ420" s="49" t="s">
        <v>41</v>
      </c>
      <c r="AK420" s="48" t="s">
        <v>41</v>
      </c>
      <c r="AL420" s="62" t="s">
        <v>276</v>
      </c>
      <c r="AM420" s="59"/>
      <c r="AN420" s="10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1"/>
    </row>
    <row r="421" spans="1:51" x14ac:dyDescent="0.2">
      <c r="A421" s="33">
        <f t="shared" si="7"/>
        <v>416</v>
      </c>
      <c r="B421" s="34" t="s">
        <v>3432</v>
      </c>
      <c r="C421" s="35" t="s">
        <v>3433</v>
      </c>
      <c r="D421" s="36" t="s">
        <v>3434</v>
      </c>
      <c r="E421" s="36" t="s">
        <v>54</v>
      </c>
      <c r="F421" s="34" t="s">
        <v>3435</v>
      </c>
      <c r="G421" s="37" t="s">
        <v>205</v>
      </c>
      <c r="H421" s="37" t="s">
        <v>205</v>
      </c>
      <c r="I421" s="38" t="s">
        <v>3436</v>
      </c>
      <c r="J421" s="38" t="s">
        <v>3437</v>
      </c>
      <c r="K421" s="39" t="s">
        <v>42</v>
      </c>
      <c r="L421" s="99" t="s">
        <v>3438</v>
      </c>
      <c r="M421" s="115"/>
      <c r="N421" s="115"/>
      <c r="O421" s="115"/>
      <c r="P421" s="115"/>
      <c r="Q421" s="115"/>
      <c r="R421" s="115"/>
      <c r="S421" s="115"/>
      <c r="T421" s="56"/>
      <c r="U421" s="56"/>
      <c r="V421" s="56"/>
      <c r="W421" s="56"/>
      <c r="X421" s="42" t="s">
        <v>3439</v>
      </c>
      <c r="Y421" s="58" t="s">
        <v>3440</v>
      </c>
      <c r="Z421" s="44" t="s">
        <v>3441</v>
      </c>
      <c r="AA421" s="45">
        <v>44041</v>
      </c>
      <c r="AB421" s="101" t="s">
        <v>30</v>
      </c>
      <c r="AC421" s="36" t="s">
        <v>26</v>
      </c>
      <c r="AD421" s="47" t="s">
        <v>49</v>
      </c>
      <c r="AE421" s="48" t="s">
        <v>49</v>
      </c>
      <c r="AF421" s="48" t="s">
        <v>49</v>
      </c>
      <c r="AG421" s="48" t="s">
        <v>49</v>
      </c>
      <c r="AH421" s="48" t="s">
        <v>49</v>
      </c>
      <c r="AI421" s="48" t="s">
        <v>49</v>
      </c>
      <c r="AJ421" s="49" t="s">
        <v>49</v>
      </c>
      <c r="AK421" s="48" t="s">
        <v>49</v>
      </c>
      <c r="AL421" s="62" t="s">
        <v>32</v>
      </c>
      <c r="AM421" s="59"/>
      <c r="AN421" s="117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1"/>
    </row>
    <row r="422" spans="1:51" x14ac:dyDescent="0.2">
      <c r="A422" s="33">
        <f t="shared" si="7"/>
        <v>417</v>
      </c>
      <c r="B422" s="34" t="s">
        <v>3442</v>
      </c>
      <c r="C422" s="35" t="s">
        <v>3443</v>
      </c>
      <c r="D422" s="36" t="s">
        <v>3444</v>
      </c>
      <c r="E422" s="36" t="s">
        <v>36</v>
      </c>
      <c r="F422" s="34" t="s">
        <v>3445</v>
      </c>
      <c r="G422" s="37" t="s">
        <v>243</v>
      </c>
      <c r="H422" s="37" t="s">
        <v>205</v>
      </c>
      <c r="I422" s="38" t="s">
        <v>3446</v>
      </c>
      <c r="J422" s="38" t="s">
        <v>41</v>
      </c>
      <c r="K422" s="39" t="s">
        <v>42</v>
      </c>
      <c r="L422" s="99" t="s">
        <v>3447</v>
      </c>
      <c r="M422" s="115"/>
      <c r="N422" s="115"/>
      <c r="O422" s="115"/>
      <c r="P422" s="115"/>
      <c r="Q422" s="115"/>
      <c r="R422" s="115"/>
      <c r="S422" s="115" t="s">
        <v>44</v>
      </c>
      <c r="T422" s="56"/>
      <c r="U422" s="56"/>
      <c r="V422" s="56"/>
      <c r="W422" s="56"/>
      <c r="X422" s="42" t="s">
        <v>3448</v>
      </c>
      <c r="Y422" s="58" t="s">
        <v>3449</v>
      </c>
      <c r="Z422" s="58"/>
      <c r="AA422" s="223" t="s">
        <v>47</v>
      </c>
      <c r="AB422" s="101"/>
      <c r="AC422" s="36"/>
      <c r="AD422" s="47" t="s">
        <v>49</v>
      </c>
      <c r="AE422" s="48" t="s">
        <v>41</v>
      </c>
      <c r="AF422" s="48" t="s">
        <v>41</v>
      </c>
      <c r="AG422" s="48" t="s">
        <v>49</v>
      </c>
      <c r="AH422" s="48" t="s">
        <v>49</v>
      </c>
      <c r="AI422" s="48" t="s">
        <v>49</v>
      </c>
      <c r="AJ422" s="49" t="s">
        <v>49</v>
      </c>
      <c r="AK422" s="48" t="s">
        <v>41</v>
      </c>
      <c r="AL422" s="62" t="s">
        <v>148</v>
      </c>
      <c r="AM422" s="59"/>
      <c r="AN422" s="10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1"/>
    </row>
    <row r="423" spans="1:51" x14ac:dyDescent="0.2">
      <c r="A423" s="33">
        <f t="shared" si="7"/>
        <v>418</v>
      </c>
      <c r="B423" s="34" t="s">
        <v>3450</v>
      </c>
      <c r="C423" s="123" t="s">
        <v>3451</v>
      </c>
      <c r="D423" s="202" t="s">
        <v>3452</v>
      </c>
      <c r="E423" s="36" t="s">
        <v>54</v>
      </c>
      <c r="F423" s="34" t="s">
        <v>3453</v>
      </c>
      <c r="G423" s="126" t="s">
        <v>323</v>
      </c>
      <c r="H423" s="126" t="s">
        <v>39</v>
      </c>
      <c r="I423" s="34" t="s">
        <v>3454</v>
      </c>
      <c r="J423" s="34" t="s">
        <v>3455</v>
      </c>
      <c r="K423" s="128" t="s">
        <v>42</v>
      </c>
      <c r="L423" s="120">
        <v>37201</v>
      </c>
      <c r="M423" s="188"/>
      <c r="N423" s="188"/>
      <c r="O423" s="188"/>
      <c r="P423" s="188"/>
      <c r="Q423" s="188"/>
      <c r="R423" s="188"/>
      <c r="S423" s="188"/>
      <c r="T423" s="188"/>
      <c r="U423" s="188"/>
      <c r="V423" s="188"/>
      <c r="W423" s="188"/>
      <c r="X423" s="42" t="s">
        <v>3456</v>
      </c>
      <c r="Y423" s="100" t="s">
        <v>3457</v>
      </c>
      <c r="Z423" s="119" t="s">
        <v>61</v>
      </c>
      <c r="AA423" s="131">
        <v>39286</v>
      </c>
      <c r="AB423" s="164" t="s">
        <v>30</v>
      </c>
      <c r="AC423" s="36" t="s">
        <v>26</v>
      </c>
      <c r="AD423" s="133" t="s">
        <v>49</v>
      </c>
      <c r="AE423" s="48" t="s">
        <v>49</v>
      </c>
      <c r="AF423" s="48" t="s">
        <v>49</v>
      </c>
      <c r="AG423" s="48" t="s">
        <v>49</v>
      </c>
      <c r="AH423" s="48" t="s">
        <v>49</v>
      </c>
      <c r="AI423" s="48" t="s">
        <v>49</v>
      </c>
      <c r="AJ423" s="49" t="s">
        <v>49</v>
      </c>
      <c r="AK423" s="48" t="s">
        <v>49</v>
      </c>
      <c r="AL423" s="62" t="s">
        <v>32</v>
      </c>
      <c r="AM423" s="134"/>
      <c r="AN423" s="10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1"/>
    </row>
    <row r="424" spans="1:51" x14ac:dyDescent="0.2">
      <c r="A424" s="33">
        <f t="shared" si="7"/>
        <v>419</v>
      </c>
      <c r="B424" s="34" t="s">
        <v>3458</v>
      </c>
      <c r="C424" s="123" t="s">
        <v>3459</v>
      </c>
      <c r="D424" s="202" t="s">
        <v>3460</v>
      </c>
      <c r="E424" s="36" t="s">
        <v>54</v>
      </c>
      <c r="F424" s="34" t="s">
        <v>3461</v>
      </c>
      <c r="G424" s="126" t="s">
        <v>349</v>
      </c>
      <c r="H424" s="126" t="s">
        <v>350</v>
      </c>
      <c r="I424" s="38" t="s">
        <v>3462</v>
      </c>
      <c r="J424" s="34" t="s">
        <v>41</v>
      </c>
      <c r="K424" s="128" t="s">
        <v>42</v>
      </c>
      <c r="L424" s="163" t="s">
        <v>3463</v>
      </c>
      <c r="M424" s="130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42" t="s">
        <v>3464</v>
      </c>
      <c r="Y424" s="58" t="s">
        <v>3465</v>
      </c>
      <c r="Z424" s="44" t="s">
        <v>3466</v>
      </c>
      <c r="AA424" s="131">
        <v>42935</v>
      </c>
      <c r="AB424" s="101" t="s">
        <v>30</v>
      </c>
      <c r="AC424" s="36" t="s">
        <v>26</v>
      </c>
      <c r="AD424" s="133" t="s">
        <v>49</v>
      </c>
      <c r="AE424" s="48" t="s">
        <v>49</v>
      </c>
      <c r="AF424" s="48" t="s">
        <v>41</v>
      </c>
      <c r="AG424" s="48" t="s">
        <v>41</v>
      </c>
      <c r="AH424" s="48" t="s">
        <v>41</v>
      </c>
      <c r="AI424" s="48" t="s">
        <v>41</v>
      </c>
      <c r="AJ424" s="49" t="s">
        <v>41</v>
      </c>
      <c r="AK424" s="48" t="s">
        <v>41</v>
      </c>
      <c r="AL424" s="232" t="s">
        <v>4587</v>
      </c>
      <c r="AM424" s="134"/>
      <c r="AN424" s="117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1"/>
    </row>
    <row r="425" spans="1:51" x14ac:dyDescent="0.2">
      <c r="A425" s="33">
        <f t="shared" si="7"/>
        <v>420</v>
      </c>
      <c r="B425" s="122" t="s">
        <v>3467</v>
      </c>
      <c r="C425" s="123" t="s">
        <v>3468</v>
      </c>
      <c r="D425" s="202" t="s">
        <v>3469</v>
      </c>
      <c r="E425" s="36" t="s">
        <v>54</v>
      </c>
      <c r="F425" s="122" t="s">
        <v>3470</v>
      </c>
      <c r="G425" s="126" t="s">
        <v>73</v>
      </c>
      <c r="H425" s="126" t="s">
        <v>73</v>
      </c>
      <c r="I425" s="127" t="s">
        <v>3471</v>
      </c>
      <c r="J425" s="122"/>
      <c r="K425" s="128" t="s">
        <v>42</v>
      </c>
      <c r="L425" s="163" t="s">
        <v>3472</v>
      </c>
      <c r="M425" s="130" t="s">
        <v>179</v>
      </c>
      <c r="N425" s="130" t="s">
        <v>341</v>
      </c>
      <c r="O425" s="130" t="s">
        <v>3473</v>
      </c>
      <c r="P425" s="130">
        <v>2</v>
      </c>
      <c r="Q425" s="130"/>
      <c r="R425" s="130"/>
      <c r="S425" s="130" t="s">
        <v>44</v>
      </c>
      <c r="T425" s="130"/>
      <c r="U425" s="130"/>
      <c r="V425" s="130"/>
      <c r="W425" s="130"/>
      <c r="X425" s="42" t="s">
        <v>3474</v>
      </c>
      <c r="Y425" s="58" t="s">
        <v>3475</v>
      </c>
      <c r="Z425" s="121" t="s">
        <v>3476</v>
      </c>
      <c r="AA425" s="45">
        <v>44650</v>
      </c>
      <c r="AB425" s="101" t="s">
        <v>30</v>
      </c>
      <c r="AC425" s="36"/>
      <c r="AD425" s="133" t="s">
        <v>49</v>
      </c>
      <c r="AE425" s="48" t="s">
        <v>41</v>
      </c>
      <c r="AF425" s="48" t="s">
        <v>41</v>
      </c>
      <c r="AG425" s="48" t="s">
        <v>49</v>
      </c>
      <c r="AH425" s="48" t="s">
        <v>49</v>
      </c>
      <c r="AI425" s="48" t="s">
        <v>49</v>
      </c>
      <c r="AJ425" s="49" t="s">
        <v>49</v>
      </c>
      <c r="AK425" s="48" t="s">
        <v>41</v>
      </c>
      <c r="AL425" s="65" t="s">
        <v>148</v>
      </c>
      <c r="AM425" s="134"/>
      <c r="AN425" s="117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1"/>
    </row>
    <row r="426" spans="1:51" x14ac:dyDescent="0.2">
      <c r="A426" s="33">
        <f t="shared" si="7"/>
        <v>421</v>
      </c>
      <c r="B426" s="34" t="s">
        <v>3477</v>
      </c>
      <c r="C426" s="35" t="s">
        <v>3478</v>
      </c>
      <c r="D426" s="36" t="s">
        <v>3479</v>
      </c>
      <c r="E426" s="36" t="s">
        <v>36</v>
      </c>
      <c r="F426" s="34" t="s">
        <v>3480</v>
      </c>
      <c r="G426" s="37" t="s">
        <v>38</v>
      </c>
      <c r="H426" s="37" t="s">
        <v>39</v>
      </c>
      <c r="I426" s="38" t="s">
        <v>3481</v>
      </c>
      <c r="J426" s="34" t="s">
        <v>41</v>
      </c>
      <c r="K426" s="39" t="s">
        <v>42</v>
      </c>
      <c r="L426" s="120">
        <v>38295</v>
      </c>
      <c r="M426" s="56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42" t="s">
        <v>3482</v>
      </c>
      <c r="Y426" s="58" t="s">
        <v>3483</v>
      </c>
      <c r="Z426" s="44" t="s">
        <v>61</v>
      </c>
      <c r="AA426" s="45">
        <v>39286</v>
      </c>
      <c r="AB426" s="101" t="s">
        <v>30</v>
      </c>
      <c r="AC426" s="36"/>
      <c r="AD426" s="47" t="s">
        <v>49</v>
      </c>
      <c r="AE426" s="48" t="s">
        <v>41</v>
      </c>
      <c r="AF426" s="48" t="s">
        <v>41</v>
      </c>
      <c r="AG426" s="48" t="s">
        <v>41</v>
      </c>
      <c r="AH426" s="48" t="s">
        <v>41</v>
      </c>
      <c r="AI426" s="48" t="s">
        <v>41</v>
      </c>
      <c r="AJ426" s="49" t="s">
        <v>41</v>
      </c>
      <c r="AK426" s="48" t="s">
        <v>41</v>
      </c>
      <c r="AL426" s="65" t="s">
        <v>4588</v>
      </c>
      <c r="AM426" s="59" t="s">
        <v>451</v>
      </c>
      <c r="AN426" s="117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1"/>
    </row>
    <row r="427" spans="1:51" x14ac:dyDescent="0.2">
      <c r="A427" s="33">
        <f t="shared" si="7"/>
        <v>422</v>
      </c>
      <c r="B427" s="34" t="s">
        <v>3484</v>
      </c>
      <c r="C427" s="35" t="s">
        <v>3485</v>
      </c>
      <c r="D427" s="73" t="s">
        <v>3486</v>
      </c>
      <c r="E427" s="36" t="s">
        <v>54</v>
      </c>
      <c r="F427" s="98" t="s">
        <v>3487</v>
      </c>
      <c r="G427" s="37" t="s">
        <v>747</v>
      </c>
      <c r="H427" s="37" t="s">
        <v>378</v>
      </c>
      <c r="I427" s="34" t="s">
        <v>3488</v>
      </c>
      <c r="J427" s="34" t="s">
        <v>41</v>
      </c>
      <c r="K427" s="39" t="s">
        <v>42</v>
      </c>
      <c r="L427" s="120" t="s">
        <v>3489</v>
      </c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2" t="s">
        <v>3490</v>
      </c>
      <c r="Y427" s="58" t="s">
        <v>3491</v>
      </c>
      <c r="Z427" s="44" t="s">
        <v>61</v>
      </c>
      <c r="AA427" s="45">
        <v>36641</v>
      </c>
      <c r="AB427" s="101" t="s">
        <v>30</v>
      </c>
      <c r="AC427" s="73"/>
      <c r="AD427" s="47" t="s">
        <v>49</v>
      </c>
      <c r="AE427" s="48" t="s">
        <v>41</v>
      </c>
      <c r="AF427" s="48" t="s">
        <v>41</v>
      </c>
      <c r="AG427" s="48" t="s">
        <v>41</v>
      </c>
      <c r="AH427" s="48" t="s">
        <v>41</v>
      </c>
      <c r="AI427" s="48" t="s">
        <v>41</v>
      </c>
      <c r="AJ427" s="49" t="s">
        <v>41</v>
      </c>
      <c r="AK427" s="48" t="s">
        <v>41</v>
      </c>
      <c r="AL427" s="65" t="s">
        <v>4588</v>
      </c>
      <c r="AM427" s="59" t="s">
        <v>192</v>
      </c>
      <c r="AN427" s="117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1"/>
    </row>
    <row r="428" spans="1:51" x14ac:dyDescent="0.2">
      <c r="A428" s="33">
        <f t="shared" si="7"/>
        <v>423</v>
      </c>
      <c r="B428" s="34" t="s">
        <v>3492</v>
      </c>
      <c r="C428" s="35" t="s">
        <v>3493</v>
      </c>
      <c r="D428" s="36" t="s">
        <v>3494</v>
      </c>
      <c r="E428" s="36" t="s">
        <v>36</v>
      </c>
      <c r="F428" s="34" t="s">
        <v>3495</v>
      </c>
      <c r="G428" s="37" t="s">
        <v>39</v>
      </c>
      <c r="H428" s="37" t="s">
        <v>39</v>
      </c>
      <c r="I428" s="183" t="s">
        <v>3496</v>
      </c>
      <c r="J428" s="34" t="s">
        <v>41</v>
      </c>
      <c r="K428" s="39" t="s">
        <v>42</v>
      </c>
      <c r="L428" s="120" t="s">
        <v>3497</v>
      </c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2" t="s">
        <v>3498</v>
      </c>
      <c r="Y428" s="100" t="s">
        <v>3499</v>
      </c>
      <c r="Z428" s="44" t="s">
        <v>3500</v>
      </c>
      <c r="AA428" s="131">
        <v>44041</v>
      </c>
      <c r="AB428" s="101" t="s">
        <v>30</v>
      </c>
      <c r="AC428" s="36" t="s">
        <v>26</v>
      </c>
      <c r="AD428" s="47" t="s">
        <v>49</v>
      </c>
      <c r="AE428" s="48" t="s">
        <v>49</v>
      </c>
      <c r="AF428" s="48" t="s">
        <v>49</v>
      </c>
      <c r="AG428" s="48" t="s">
        <v>49</v>
      </c>
      <c r="AH428" s="48" t="s">
        <v>49</v>
      </c>
      <c r="AI428" s="48" t="s">
        <v>49</v>
      </c>
      <c r="AJ428" s="49" t="s">
        <v>49</v>
      </c>
      <c r="AK428" s="48" t="s">
        <v>49</v>
      </c>
      <c r="AL428" s="65" t="s">
        <v>32</v>
      </c>
      <c r="AM428" s="59"/>
      <c r="AN428" s="10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1"/>
    </row>
    <row r="429" spans="1:51" x14ac:dyDescent="0.2">
      <c r="A429" s="33">
        <f t="shared" si="7"/>
        <v>424</v>
      </c>
      <c r="B429" s="34" t="s">
        <v>3501</v>
      </c>
      <c r="C429" s="35" t="s">
        <v>3502</v>
      </c>
      <c r="D429" s="73" t="s">
        <v>3503</v>
      </c>
      <c r="E429" s="36" t="s">
        <v>54</v>
      </c>
      <c r="F429" s="226" t="s">
        <v>3504</v>
      </c>
      <c r="G429" s="37" t="s">
        <v>73</v>
      </c>
      <c r="H429" s="37" t="s">
        <v>73</v>
      </c>
      <c r="I429" s="108" t="s">
        <v>3505</v>
      </c>
      <c r="J429" s="34" t="s">
        <v>41</v>
      </c>
      <c r="K429" s="39" t="s">
        <v>42</v>
      </c>
      <c r="L429" s="99" t="s">
        <v>3506</v>
      </c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42" t="s">
        <v>3507</v>
      </c>
      <c r="Y429" s="58" t="s">
        <v>3508</v>
      </c>
      <c r="Z429" s="44" t="s">
        <v>61</v>
      </c>
      <c r="AA429" s="45">
        <v>38593</v>
      </c>
      <c r="AB429" s="101" t="s">
        <v>30</v>
      </c>
      <c r="AC429" s="73" t="s">
        <v>26</v>
      </c>
      <c r="AD429" s="47" t="s">
        <v>49</v>
      </c>
      <c r="AE429" s="48" t="s">
        <v>49</v>
      </c>
      <c r="AF429" s="48" t="s">
        <v>49</v>
      </c>
      <c r="AG429" s="48" t="s">
        <v>49</v>
      </c>
      <c r="AH429" s="48" t="s">
        <v>49</v>
      </c>
      <c r="AI429" s="48" t="s">
        <v>49</v>
      </c>
      <c r="AJ429" s="49" t="s">
        <v>49</v>
      </c>
      <c r="AK429" s="48" t="s">
        <v>49</v>
      </c>
      <c r="AL429" s="62" t="s">
        <v>32</v>
      </c>
      <c r="AM429" s="59"/>
      <c r="AN429" s="117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1"/>
    </row>
    <row r="430" spans="1:51" x14ac:dyDescent="0.2">
      <c r="A430" s="33">
        <f t="shared" si="7"/>
        <v>425</v>
      </c>
      <c r="B430" s="34" t="s">
        <v>3509</v>
      </c>
      <c r="C430" s="35" t="s">
        <v>3510</v>
      </c>
      <c r="D430" s="36" t="s">
        <v>3511</v>
      </c>
      <c r="E430" s="36" t="s">
        <v>54</v>
      </c>
      <c r="F430" s="34" t="s">
        <v>3512</v>
      </c>
      <c r="G430" s="37" t="s">
        <v>243</v>
      </c>
      <c r="H430" s="37" t="s">
        <v>205</v>
      </c>
      <c r="I430" s="34" t="s">
        <v>3513</v>
      </c>
      <c r="J430" s="34" t="s">
        <v>3514</v>
      </c>
      <c r="K430" s="39" t="s">
        <v>42</v>
      </c>
      <c r="L430" s="99" t="s">
        <v>3515</v>
      </c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2" t="s">
        <v>3516</v>
      </c>
      <c r="Y430" s="43" t="s">
        <v>3517</v>
      </c>
      <c r="Z430" s="44" t="s">
        <v>61</v>
      </c>
      <c r="AA430" s="45">
        <v>40280</v>
      </c>
      <c r="AB430" s="101" t="s">
        <v>30</v>
      </c>
      <c r="AC430" s="36" t="s">
        <v>26</v>
      </c>
      <c r="AD430" s="47" t="s">
        <v>49</v>
      </c>
      <c r="AE430" s="48" t="s">
        <v>49</v>
      </c>
      <c r="AF430" s="48" t="s">
        <v>49</v>
      </c>
      <c r="AG430" s="48" t="s">
        <v>49</v>
      </c>
      <c r="AH430" s="48" t="s">
        <v>49</v>
      </c>
      <c r="AI430" s="48" t="s">
        <v>49</v>
      </c>
      <c r="AJ430" s="49" t="s">
        <v>49</v>
      </c>
      <c r="AK430" s="48" t="s">
        <v>49</v>
      </c>
      <c r="AL430" s="65" t="s">
        <v>32</v>
      </c>
      <c r="AM430" s="59"/>
      <c r="AN430" s="117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1"/>
    </row>
    <row r="431" spans="1:51" x14ac:dyDescent="0.2">
      <c r="A431" s="33">
        <f t="shared" si="7"/>
        <v>426</v>
      </c>
      <c r="B431" s="34" t="s">
        <v>3518</v>
      </c>
      <c r="C431" s="35" t="s">
        <v>3519</v>
      </c>
      <c r="D431" s="36" t="s">
        <v>3520</v>
      </c>
      <c r="E431" s="36" t="s">
        <v>54</v>
      </c>
      <c r="F431" s="34" t="s">
        <v>3521</v>
      </c>
      <c r="G431" s="37" t="s">
        <v>39</v>
      </c>
      <c r="H431" s="37" t="s">
        <v>39</v>
      </c>
      <c r="I431" s="34" t="s">
        <v>3522</v>
      </c>
      <c r="J431" s="34" t="s">
        <v>3523</v>
      </c>
      <c r="K431" s="39" t="s">
        <v>42</v>
      </c>
      <c r="L431" s="120">
        <v>33918</v>
      </c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2" t="s">
        <v>3524</v>
      </c>
      <c r="Y431" s="58" t="s">
        <v>3525</v>
      </c>
      <c r="Z431" s="44" t="s">
        <v>61</v>
      </c>
      <c r="AA431" s="131">
        <v>39286</v>
      </c>
      <c r="AB431" s="101" t="s">
        <v>30</v>
      </c>
      <c r="AC431" s="36"/>
      <c r="AD431" s="47" t="s">
        <v>49</v>
      </c>
      <c r="AE431" s="48" t="s">
        <v>41</v>
      </c>
      <c r="AF431" s="48" t="s">
        <v>41</v>
      </c>
      <c r="AG431" s="48" t="s">
        <v>41</v>
      </c>
      <c r="AH431" s="48" t="s">
        <v>41</v>
      </c>
      <c r="AI431" s="48" t="s">
        <v>41</v>
      </c>
      <c r="AJ431" s="49" t="s">
        <v>41</v>
      </c>
      <c r="AK431" s="48" t="s">
        <v>41</v>
      </c>
      <c r="AL431" s="65" t="s">
        <v>4591</v>
      </c>
      <c r="AM431" s="59" t="s">
        <v>1230</v>
      </c>
      <c r="AN431" s="10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1"/>
    </row>
    <row r="432" spans="1:51" x14ac:dyDescent="0.2">
      <c r="A432" s="33">
        <f t="shared" si="7"/>
        <v>427</v>
      </c>
      <c r="B432" s="34" t="s">
        <v>3526</v>
      </c>
      <c r="C432" s="35" t="s">
        <v>3527</v>
      </c>
      <c r="D432" s="36" t="s">
        <v>3528</v>
      </c>
      <c r="E432" s="36" t="s">
        <v>54</v>
      </c>
      <c r="F432" s="34" t="s">
        <v>3529</v>
      </c>
      <c r="G432" s="37" t="s">
        <v>73</v>
      </c>
      <c r="H432" s="37" t="s">
        <v>73</v>
      </c>
      <c r="I432" s="34" t="s">
        <v>3530</v>
      </c>
      <c r="J432" s="34" t="s">
        <v>3531</v>
      </c>
      <c r="K432" s="39" t="s">
        <v>42</v>
      </c>
      <c r="L432" s="120" t="s">
        <v>2817</v>
      </c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2" t="s">
        <v>3532</v>
      </c>
      <c r="Y432" s="83" t="s">
        <v>3533</v>
      </c>
      <c r="Z432" s="44" t="s">
        <v>61</v>
      </c>
      <c r="AA432" s="45">
        <v>40280</v>
      </c>
      <c r="AB432" s="101" t="s">
        <v>30</v>
      </c>
      <c r="AC432" s="36" t="s">
        <v>26</v>
      </c>
      <c r="AD432" s="47" t="s">
        <v>49</v>
      </c>
      <c r="AE432" s="48" t="s">
        <v>49</v>
      </c>
      <c r="AF432" s="48" t="s">
        <v>49</v>
      </c>
      <c r="AG432" s="48" t="s">
        <v>49</v>
      </c>
      <c r="AH432" s="48" t="s">
        <v>49</v>
      </c>
      <c r="AI432" s="48" t="s">
        <v>49</v>
      </c>
      <c r="AJ432" s="49" t="s">
        <v>49</v>
      </c>
      <c r="AK432" s="48" t="s">
        <v>41</v>
      </c>
      <c r="AL432" s="62" t="s">
        <v>148</v>
      </c>
      <c r="AM432" s="59"/>
      <c r="AN432" s="10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1"/>
    </row>
    <row r="433" spans="1:51" x14ac:dyDescent="0.2">
      <c r="A433" s="33">
        <f t="shared" si="7"/>
        <v>428</v>
      </c>
      <c r="B433" s="34" t="s">
        <v>3534</v>
      </c>
      <c r="C433" s="35" t="s">
        <v>3535</v>
      </c>
      <c r="D433" s="36" t="s">
        <v>3536</v>
      </c>
      <c r="E433" s="36" t="s">
        <v>54</v>
      </c>
      <c r="F433" s="34" t="s">
        <v>3537</v>
      </c>
      <c r="G433" s="37" t="s">
        <v>205</v>
      </c>
      <c r="H433" s="37" t="s">
        <v>205</v>
      </c>
      <c r="I433" s="38" t="s">
        <v>3538</v>
      </c>
      <c r="J433" s="34" t="s">
        <v>41</v>
      </c>
      <c r="K433" s="39" t="s">
        <v>42</v>
      </c>
      <c r="L433" s="120">
        <v>44167</v>
      </c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2" t="s">
        <v>3539</v>
      </c>
      <c r="Y433" s="43" t="s">
        <v>3540</v>
      </c>
      <c r="Z433" s="44" t="s">
        <v>2487</v>
      </c>
      <c r="AA433" s="45">
        <v>44041</v>
      </c>
      <c r="AB433" s="101" t="s">
        <v>30</v>
      </c>
      <c r="AC433" s="36" t="s">
        <v>26</v>
      </c>
      <c r="AD433" s="47" t="s">
        <v>49</v>
      </c>
      <c r="AE433" s="48" t="s">
        <v>49</v>
      </c>
      <c r="AF433" s="48" t="s">
        <v>49</v>
      </c>
      <c r="AG433" s="48" t="s">
        <v>49</v>
      </c>
      <c r="AH433" s="48" t="s">
        <v>49</v>
      </c>
      <c r="AI433" s="48" t="s">
        <v>49</v>
      </c>
      <c r="AJ433" s="49" t="s">
        <v>49</v>
      </c>
      <c r="AK433" s="48" t="s">
        <v>49</v>
      </c>
      <c r="AL433" s="62" t="s">
        <v>32</v>
      </c>
      <c r="AM433" s="59"/>
      <c r="AN433" s="10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1"/>
    </row>
    <row r="434" spans="1:51" x14ac:dyDescent="0.2">
      <c r="A434" s="33">
        <f t="shared" si="7"/>
        <v>429</v>
      </c>
      <c r="B434" s="34" t="s">
        <v>3541</v>
      </c>
      <c r="C434" s="35" t="s">
        <v>3542</v>
      </c>
      <c r="D434" s="36" t="s">
        <v>3543</v>
      </c>
      <c r="E434" s="36" t="s">
        <v>36</v>
      </c>
      <c r="F434" s="87" t="s">
        <v>3544</v>
      </c>
      <c r="G434" s="37" t="s">
        <v>252</v>
      </c>
      <c r="H434" s="37" t="s">
        <v>57</v>
      </c>
      <c r="I434" s="34" t="s">
        <v>3545</v>
      </c>
      <c r="J434" s="107" t="s">
        <v>41</v>
      </c>
      <c r="K434" s="39" t="s">
        <v>42</v>
      </c>
      <c r="L434" s="120">
        <v>37381</v>
      </c>
      <c r="M434" s="41" t="s">
        <v>179</v>
      </c>
      <c r="N434" s="41" t="s">
        <v>3546</v>
      </c>
      <c r="O434" s="41"/>
      <c r="P434" s="41">
        <v>1</v>
      </c>
      <c r="Q434" s="41"/>
      <c r="R434" s="41"/>
      <c r="S434" s="41"/>
      <c r="T434" s="41"/>
      <c r="U434" s="41" t="s">
        <v>732</v>
      </c>
      <c r="V434" s="41"/>
      <c r="W434" s="41"/>
      <c r="X434" s="42" t="s">
        <v>3547</v>
      </c>
      <c r="Y434" s="58" t="s">
        <v>3548</v>
      </c>
      <c r="Z434" s="44"/>
      <c r="AA434" s="45" t="s">
        <v>47</v>
      </c>
      <c r="AB434" s="101"/>
      <c r="AC434" s="36" t="s">
        <v>26</v>
      </c>
      <c r="AD434" s="47" t="s">
        <v>49</v>
      </c>
      <c r="AE434" s="48" t="s">
        <v>49</v>
      </c>
      <c r="AF434" s="48" t="s">
        <v>49</v>
      </c>
      <c r="AG434" s="48" t="s">
        <v>49</v>
      </c>
      <c r="AH434" s="48" t="s">
        <v>49</v>
      </c>
      <c r="AI434" s="48" t="s">
        <v>49</v>
      </c>
      <c r="AJ434" s="49" t="s">
        <v>41</v>
      </c>
      <c r="AK434" s="48" t="s">
        <v>41</v>
      </c>
      <c r="AL434" s="62" t="s">
        <v>276</v>
      </c>
      <c r="AM434" s="59"/>
      <c r="AN434" s="10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1"/>
    </row>
    <row r="435" spans="1:51" x14ac:dyDescent="0.2">
      <c r="A435" s="33">
        <f t="shared" si="7"/>
        <v>430</v>
      </c>
      <c r="B435" s="34" t="s">
        <v>3549</v>
      </c>
      <c r="C435" s="35" t="s">
        <v>3550</v>
      </c>
      <c r="D435" s="36" t="s">
        <v>3551</v>
      </c>
      <c r="E435" s="36" t="s">
        <v>54</v>
      </c>
      <c r="F435" s="34" t="s">
        <v>3552</v>
      </c>
      <c r="G435" s="37" t="s">
        <v>73</v>
      </c>
      <c r="H435" s="37" t="s">
        <v>73</v>
      </c>
      <c r="I435" s="107" t="s">
        <v>3553</v>
      </c>
      <c r="J435" s="34" t="s">
        <v>3554</v>
      </c>
      <c r="K435" s="39" t="s">
        <v>42</v>
      </c>
      <c r="L435" s="120">
        <v>35952</v>
      </c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42" t="s">
        <v>3555</v>
      </c>
      <c r="Y435" s="52" t="s">
        <v>3556</v>
      </c>
      <c r="Z435" s="44" t="s">
        <v>3557</v>
      </c>
      <c r="AA435" s="45">
        <v>44041</v>
      </c>
      <c r="AB435" s="101" t="s">
        <v>30</v>
      </c>
      <c r="AC435" s="36" t="s">
        <v>26</v>
      </c>
      <c r="AD435" s="47" t="s">
        <v>49</v>
      </c>
      <c r="AE435" s="48" t="s">
        <v>49</v>
      </c>
      <c r="AF435" s="48" t="s">
        <v>49</v>
      </c>
      <c r="AG435" s="48" t="s">
        <v>49</v>
      </c>
      <c r="AH435" s="48" t="s">
        <v>49</v>
      </c>
      <c r="AI435" s="48" t="s">
        <v>49</v>
      </c>
      <c r="AJ435" s="49" t="s">
        <v>49</v>
      </c>
      <c r="AK435" s="48" t="s">
        <v>49</v>
      </c>
      <c r="AL435" s="62" t="s">
        <v>32</v>
      </c>
      <c r="AM435" s="59"/>
      <c r="AN435" s="10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1"/>
    </row>
    <row r="436" spans="1:51" ht="15" customHeight="1" x14ac:dyDescent="0.2">
      <c r="A436" s="33">
        <f t="shared" si="7"/>
        <v>431</v>
      </c>
      <c r="B436" s="34" t="s">
        <v>3558</v>
      </c>
      <c r="C436" s="35" t="s">
        <v>3559</v>
      </c>
      <c r="D436" s="36" t="s">
        <v>3560</v>
      </c>
      <c r="E436" s="36" t="s">
        <v>54</v>
      </c>
      <c r="F436" s="226" t="s">
        <v>3561</v>
      </c>
      <c r="G436" s="37" t="s">
        <v>186</v>
      </c>
      <c r="H436" s="37" t="s">
        <v>187</v>
      </c>
      <c r="I436" s="136" t="s">
        <v>3562</v>
      </c>
      <c r="J436" s="34" t="s">
        <v>41</v>
      </c>
      <c r="K436" s="39" t="s">
        <v>42</v>
      </c>
      <c r="L436" s="99" t="s">
        <v>3563</v>
      </c>
      <c r="M436" s="41"/>
      <c r="N436" s="41"/>
      <c r="O436" s="41"/>
      <c r="P436" s="41"/>
      <c r="Q436" s="41"/>
      <c r="R436" s="41"/>
      <c r="S436" s="41" t="s">
        <v>44</v>
      </c>
      <c r="T436" s="41"/>
      <c r="U436" s="41"/>
      <c r="V436" s="41"/>
      <c r="W436" s="41"/>
      <c r="X436" s="42" t="s">
        <v>3564</v>
      </c>
      <c r="Y436" s="43" t="s">
        <v>3565</v>
      </c>
      <c r="Z436" s="211" t="s">
        <v>3566</v>
      </c>
      <c r="AA436" s="45">
        <v>44944</v>
      </c>
      <c r="AB436" s="101" t="s">
        <v>30</v>
      </c>
      <c r="AC436" s="36"/>
      <c r="AD436" s="47" t="s">
        <v>49</v>
      </c>
      <c r="AE436" s="48" t="s">
        <v>41</v>
      </c>
      <c r="AF436" s="48" t="s">
        <v>41</v>
      </c>
      <c r="AG436" s="48" t="s">
        <v>49</v>
      </c>
      <c r="AH436" s="48" t="s">
        <v>41</v>
      </c>
      <c r="AI436" s="48" t="s">
        <v>41</v>
      </c>
      <c r="AJ436" s="49" t="s">
        <v>41</v>
      </c>
      <c r="AK436" s="48" t="s">
        <v>41</v>
      </c>
      <c r="AL436" s="62" t="s">
        <v>139</v>
      </c>
      <c r="AM436" s="59"/>
      <c r="AN436" s="10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1"/>
    </row>
    <row r="437" spans="1:51" ht="15" customHeight="1" x14ac:dyDescent="0.2">
      <c r="A437" s="33">
        <f t="shared" si="7"/>
        <v>432</v>
      </c>
      <c r="B437" s="34" t="s">
        <v>3567</v>
      </c>
      <c r="C437" s="35" t="s">
        <v>3568</v>
      </c>
      <c r="D437" s="36" t="s">
        <v>3569</v>
      </c>
      <c r="E437" s="36" t="s">
        <v>54</v>
      </c>
      <c r="F437" s="226" t="s">
        <v>3570</v>
      </c>
      <c r="G437" s="37" t="s">
        <v>360</v>
      </c>
      <c r="H437" s="37" t="s">
        <v>350</v>
      </c>
      <c r="I437" s="140" t="s">
        <v>3571</v>
      </c>
      <c r="J437" s="34" t="s">
        <v>41</v>
      </c>
      <c r="K437" s="39" t="s">
        <v>42</v>
      </c>
      <c r="L437" s="99" t="s">
        <v>1409</v>
      </c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2" t="s">
        <v>3572</v>
      </c>
      <c r="Y437" s="52" t="s">
        <v>3573</v>
      </c>
      <c r="Z437" s="119" t="s">
        <v>61</v>
      </c>
      <c r="AA437" s="45">
        <v>40280</v>
      </c>
      <c r="AB437" s="101" t="s">
        <v>30</v>
      </c>
      <c r="AC437" s="36" t="s">
        <v>26</v>
      </c>
      <c r="AD437" s="47" t="s">
        <v>49</v>
      </c>
      <c r="AE437" s="48" t="s">
        <v>49</v>
      </c>
      <c r="AF437" s="48" t="s">
        <v>41</v>
      </c>
      <c r="AG437" s="48" t="s">
        <v>41</v>
      </c>
      <c r="AH437" s="48" t="s">
        <v>41</v>
      </c>
      <c r="AI437" s="48" t="s">
        <v>41</v>
      </c>
      <c r="AJ437" s="49" t="s">
        <v>41</v>
      </c>
      <c r="AK437" s="48" t="s">
        <v>41</v>
      </c>
      <c r="AL437" s="62" t="s">
        <v>4587</v>
      </c>
      <c r="AM437" s="59"/>
      <c r="AN437" s="10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1"/>
    </row>
    <row r="438" spans="1:51" ht="15" customHeight="1" x14ac:dyDescent="0.2">
      <c r="A438" s="33">
        <f t="shared" si="7"/>
        <v>433</v>
      </c>
      <c r="B438" s="34" t="s">
        <v>3574</v>
      </c>
      <c r="C438" s="35" t="s">
        <v>3575</v>
      </c>
      <c r="D438" s="36" t="s">
        <v>3576</v>
      </c>
      <c r="E438" s="36" t="s">
        <v>36</v>
      </c>
      <c r="F438" s="226" t="s">
        <v>3577</v>
      </c>
      <c r="G438" s="37" t="s">
        <v>252</v>
      </c>
      <c r="H438" s="37" t="s">
        <v>57</v>
      </c>
      <c r="I438" s="140" t="s">
        <v>3578</v>
      </c>
      <c r="J438" s="34"/>
      <c r="K438" s="39" t="s">
        <v>42</v>
      </c>
      <c r="L438" s="120">
        <v>45699</v>
      </c>
      <c r="M438" s="41"/>
      <c r="N438" s="41"/>
      <c r="O438" s="41"/>
      <c r="P438" s="41"/>
      <c r="Q438" s="41"/>
      <c r="R438" s="41"/>
      <c r="S438" s="41"/>
      <c r="T438" s="41"/>
      <c r="U438" s="41"/>
      <c r="V438" s="41" t="s">
        <v>44</v>
      </c>
      <c r="W438" s="41"/>
      <c r="X438" s="140" t="s">
        <v>3579</v>
      </c>
      <c r="Y438" s="43" t="s">
        <v>3580</v>
      </c>
      <c r="Z438" s="119"/>
      <c r="AA438" s="45"/>
      <c r="AB438" s="101"/>
      <c r="AC438" s="36"/>
      <c r="AD438" s="47" t="s">
        <v>49</v>
      </c>
      <c r="AE438" s="48" t="s">
        <v>41</v>
      </c>
      <c r="AF438" s="48" t="s">
        <v>41</v>
      </c>
      <c r="AG438" s="48" t="s">
        <v>41</v>
      </c>
      <c r="AH438" s="48" t="s">
        <v>41</v>
      </c>
      <c r="AI438" s="48" t="s">
        <v>41</v>
      </c>
      <c r="AJ438" s="49" t="s">
        <v>49</v>
      </c>
      <c r="AK438" s="48" t="s">
        <v>41</v>
      </c>
      <c r="AL438" s="62" t="s">
        <v>148</v>
      </c>
      <c r="AM438" s="59"/>
      <c r="AN438" s="10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1"/>
    </row>
    <row r="439" spans="1:51" ht="15" customHeight="1" x14ac:dyDescent="0.2">
      <c r="A439" s="33">
        <f t="shared" si="7"/>
        <v>434</v>
      </c>
      <c r="B439" s="34" t="s">
        <v>3581</v>
      </c>
      <c r="C439" s="35" t="s">
        <v>3582</v>
      </c>
      <c r="D439" s="36" t="s">
        <v>3583</v>
      </c>
      <c r="E439" s="36" t="s">
        <v>54</v>
      </c>
      <c r="F439" s="226" t="s">
        <v>3584</v>
      </c>
      <c r="G439" s="37" t="s">
        <v>377</v>
      </c>
      <c r="H439" s="37" t="s">
        <v>378</v>
      </c>
      <c r="I439" s="140" t="s">
        <v>3585</v>
      </c>
      <c r="J439" s="34" t="s">
        <v>41</v>
      </c>
      <c r="K439" s="39" t="s">
        <v>42</v>
      </c>
      <c r="L439" s="99" t="s">
        <v>3586</v>
      </c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42" t="s">
        <v>3587</v>
      </c>
      <c r="Y439" s="52" t="s">
        <v>3588</v>
      </c>
      <c r="Z439" s="211" t="s">
        <v>3589</v>
      </c>
      <c r="AA439" s="45">
        <v>44944</v>
      </c>
      <c r="AB439" s="101" t="s">
        <v>30</v>
      </c>
      <c r="AC439" s="36" t="s">
        <v>26</v>
      </c>
      <c r="AD439" s="47" t="s">
        <v>49</v>
      </c>
      <c r="AE439" s="48" t="s">
        <v>49</v>
      </c>
      <c r="AF439" s="48" t="s">
        <v>49</v>
      </c>
      <c r="AG439" s="48" t="s">
        <v>49</v>
      </c>
      <c r="AH439" s="48" t="s">
        <v>49</v>
      </c>
      <c r="AI439" s="48" t="s">
        <v>49</v>
      </c>
      <c r="AJ439" s="49" t="s">
        <v>49</v>
      </c>
      <c r="AK439" s="48" t="s">
        <v>41</v>
      </c>
      <c r="AL439" s="62" t="s">
        <v>148</v>
      </c>
      <c r="AM439" s="59"/>
      <c r="AN439" s="10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1"/>
    </row>
    <row r="440" spans="1:51" ht="15" customHeight="1" x14ac:dyDescent="0.2">
      <c r="A440" s="33">
        <f t="shared" si="7"/>
        <v>435</v>
      </c>
      <c r="B440" s="34" t="s">
        <v>3590</v>
      </c>
      <c r="C440" s="35" t="s">
        <v>3591</v>
      </c>
      <c r="D440" s="36" t="s">
        <v>3592</v>
      </c>
      <c r="E440" s="36" t="s">
        <v>36</v>
      </c>
      <c r="F440" s="226" t="s">
        <v>3593</v>
      </c>
      <c r="G440" s="37" t="s">
        <v>1354</v>
      </c>
      <c r="H440" s="37" t="s">
        <v>57</v>
      </c>
      <c r="I440" s="140" t="s">
        <v>3594</v>
      </c>
      <c r="J440" s="34" t="s">
        <v>41</v>
      </c>
      <c r="K440" s="39" t="s">
        <v>42</v>
      </c>
      <c r="L440" s="120">
        <v>44689</v>
      </c>
      <c r="M440" s="115"/>
      <c r="N440" s="115"/>
      <c r="O440" s="115"/>
      <c r="P440" s="115"/>
      <c r="Q440" s="115"/>
      <c r="R440" s="115"/>
      <c r="S440" s="115" t="s">
        <v>44</v>
      </c>
      <c r="T440" s="56"/>
      <c r="U440" s="56"/>
      <c r="V440" s="56"/>
      <c r="W440" s="56"/>
      <c r="X440" s="42" t="s">
        <v>3595</v>
      </c>
      <c r="Y440" s="43" t="s">
        <v>3596</v>
      </c>
      <c r="Z440" s="207" t="s">
        <v>3597</v>
      </c>
      <c r="AA440" s="45">
        <v>44944</v>
      </c>
      <c r="AB440" s="101" t="s">
        <v>30</v>
      </c>
      <c r="AC440" s="36"/>
      <c r="AD440" s="47" t="s">
        <v>49</v>
      </c>
      <c r="AE440" s="48" t="s">
        <v>41</v>
      </c>
      <c r="AF440" s="48" t="s">
        <v>41</v>
      </c>
      <c r="AG440" s="48" t="s">
        <v>49</v>
      </c>
      <c r="AH440" s="48" t="s">
        <v>49</v>
      </c>
      <c r="AI440" s="48" t="s">
        <v>49</v>
      </c>
      <c r="AJ440" s="49" t="s">
        <v>49</v>
      </c>
      <c r="AK440" s="48" t="s">
        <v>49</v>
      </c>
      <c r="AL440" s="62" t="s">
        <v>32</v>
      </c>
      <c r="AM440" s="59"/>
      <c r="AN440" s="10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1"/>
    </row>
    <row r="441" spans="1:51" ht="15" customHeight="1" x14ac:dyDescent="0.2">
      <c r="A441" s="33">
        <f t="shared" si="7"/>
        <v>436</v>
      </c>
      <c r="B441" s="122" t="s">
        <v>3598</v>
      </c>
      <c r="C441" s="123" t="s">
        <v>3599</v>
      </c>
      <c r="D441" s="202" t="s">
        <v>3600</v>
      </c>
      <c r="E441" s="36" t="s">
        <v>54</v>
      </c>
      <c r="F441" s="122" t="s">
        <v>3601</v>
      </c>
      <c r="G441" s="126" t="s">
        <v>323</v>
      </c>
      <c r="H441" s="126" t="s">
        <v>39</v>
      </c>
      <c r="I441" s="122" t="s">
        <v>3602</v>
      </c>
      <c r="J441" s="122" t="s">
        <v>41</v>
      </c>
      <c r="K441" s="128" t="s">
        <v>42</v>
      </c>
      <c r="L441" s="163" t="s">
        <v>3603</v>
      </c>
      <c r="M441" s="112"/>
      <c r="N441" s="112"/>
      <c r="O441" s="112"/>
      <c r="P441" s="112"/>
      <c r="Q441" s="112"/>
      <c r="R441" s="112"/>
      <c r="S441" s="112"/>
      <c r="T441" s="41"/>
      <c r="U441" s="41"/>
      <c r="V441" s="41"/>
      <c r="W441" s="41"/>
      <c r="X441" s="42" t="s">
        <v>3604</v>
      </c>
      <c r="Y441" s="52" t="s">
        <v>3605</v>
      </c>
      <c r="Z441" s="233" t="s">
        <v>61</v>
      </c>
      <c r="AA441" s="45">
        <v>40280</v>
      </c>
      <c r="AB441" s="164" t="s">
        <v>30</v>
      </c>
      <c r="AC441" s="36" t="s">
        <v>26</v>
      </c>
      <c r="AD441" s="133" t="s">
        <v>49</v>
      </c>
      <c r="AE441" s="48" t="s">
        <v>49</v>
      </c>
      <c r="AF441" s="48" t="s">
        <v>49</v>
      </c>
      <c r="AG441" s="48" t="s">
        <v>49</v>
      </c>
      <c r="AH441" s="48" t="s">
        <v>49</v>
      </c>
      <c r="AI441" s="48" t="s">
        <v>49</v>
      </c>
      <c r="AJ441" s="49" t="s">
        <v>49</v>
      </c>
      <c r="AK441" s="48" t="s">
        <v>49</v>
      </c>
      <c r="AL441" s="62" t="s">
        <v>32</v>
      </c>
      <c r="AM441" s="134"/>
      <c r="AN441" s="10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1"/>
    </row>
    <row r="442" spans="1:51" ht="15" customHeight="1" x14ac:dyDescent="0.2">
      <c r="A442" s="33">
        <f t="shared" si="7"/>
        <v>437</v>
      </c>
      <c r="B442" s="122" t="s">
        <v>3606</v>
      </c>
      <c r="C442" s="123" t="s">
        <v>3607</v>
      </c>
      <c r="D442" s="202" t="s">
        <v>3608</v>
      </c>
      <c r="E442" s="36" t="s">
        <v>54</v>
      </c>
      <c r="F442" s="122" t="s">
        <v>3609</v>
      </c>
      <c r="G442" s="126" t="s">
        <v>747</v>
      </c>
      <c r="H442" s="126" t="s">
        <v>378</v>
      </c>
      <c r="I442" s="122" t="s">
        <v>3610</v>
      </c>
      <c r="J442" s="122" t="s">
        <v>3611</v>
      </c>
      <c r="K442" s="128" t="s">
        <v>42</v>
      </c>
      <c r="L442" s="163" t="s">
        <v>3612</v>
      </c>
      <c r="M442" s="41"/>
      <c r="N442" s="188"/>
      <c r="O442" s="188"/>
      <c r="P442" s="188"/>
      <c r="Q442" s="188"/>
      <c r="R442" s="188"/>
      <c r="S442" s="188"/>
      <c r="T442" s="188"/>
      <c r="U442" s="188"/>
      <c r="V442" s="188"/>
      <c r="W442" s="188"/>
      <c r="X442" s="42" t="s">
        <v>3613</v>
      </c>
      <c r="Y442" s="52" t="s">
        <v>3614</v>
      </c>
      <c r="Z442" s="44" t="s">
        <v>61</v>
      </c>
      <c r="AA442" s="45">
        <v>38593</v>
      </c>
      <c r="AB442" s="164" t="s">
        <v>30</v>
      </c>
      <c r="AC442" s="36" t="s">
        <v>26</v>
      </c>
      <c r="AD442" s="133" t="s">
        <v>49</v>
      </c>
      <c r="AE442" s="48" t="s">
        <v>49</v>
      </c>
      <c r="AF442" s="48" t="s">
        <v>49</v>
      </c>
      <c r="AG442" s="48" t="s">
        <v>49</v>
      </c>
      <c r="AH442" s="48" t="s">
        <v>49</v>
      </c>
      <c r="AI442" s="48" t="s">
        <v>49</v>
      </c>
      <c r="AJ442" s="49" t="s">
        <v>49</v>
      </c>
      <c r="AK442" s="48" t="s">
        <v>41</v>
      </c>
      <c r="AL442" s="62" t="s">
        <v>148</v>
      </c>
      <c r="AM442" s="134"/>
      <c r="AN442" s="10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1"/>
    </row>
    <row r="443" spans="1:51" ht="15" customHeight="1" x14ac:dyDescent="0.2">
      <c r="A443" s="33">
        <f t="shared" si="7"/>
        <v>438</v>
      </c>
      <c r="B443" s="34" t="s">
        <v>3615</v>
      </c>
      <c r="C443" s="35" t="s">
        <v>3616</v>
      </c>
      <c r="D443" s="36" t="s">
        <v>3617</v>
      </c>
      <c r="E443" s="36" t="s">
        <v>54</v>
      </c>
      <c r="F443" s="34" t="s">
        <v>3618</v>
      </c>
      <c r="G443" s="37" t="s">
        <v>186</v>
      </c>
      <c r="H443" s="37" t="s">
        <v>187</v>
      </c>
      <c r="I443" s="34" t="s">
        <v>3619</v>
      </c>
      <c r="J443" s="122" t="s">
        <v>41</v>
      </c>
      <c r="K443" s="39" t="s">
        <v>42</v>
      </c>
      <c r="L443" s="99" t="s">
        <v>3158</v>
      </c>
      <c r="M443" s="56"/>
      <c r="N443" s="137"/>
      <c r="O443" s="137"/>
      <c r="P443" s="137"/>
      <c r="Q443" s="137"/>
      <c r="R443" s="137"/>
      <c r="S443" s="137"/>
      <c r="T443" s="137" t="s">
        <v>732</v>
      </c>
      <c r="U443" s="137"/>
      <c r="V443" s="137"/>
      <c r="W443" s="137"/>
      <c r="X443" s="42" t="s">
        <v>3620</v>
      </c>
      <c r="Y443" s="58" t="s">
        <v>3621</v>
      </c>
      <c r="Z443" s="44"/>
      <c r="AA443" s="45">
        <v>45642</v>
      </c>
      <c r="AB443" s="101"/>
      <c r="AC443" s="36" t="s">
        <v>26</v>
      </c>
      <c r="AD443" s="47" t="s">
        <v>49</v>
      </c>
      <c r="AE443" s="48" t="s">
        <v>49</v>
      </c>
      <c r="AF443" s="48" t="s">
        <v>49</v>
      </c>
      <c r="AG443" s="48" t="s">
        <v>49</v>
      </c>
      <c r="AH443" s="48" t="s">
        <v>49</v>
      </c>
      <c r="AI443" s="48" t="s">
        <v>49</v>
      </c>
      <c r="AJ443" s="49" t="s">
        <v>49</v>
      </c>
      <c r="AK443" s="48" t="s">
        <v>49</v>
      </c>
      <c r="AL443" s="62" t="s">
        <v>32</v>
      </c>
      <c r="AM443" s="59"/>
      <c r="AN443" s="10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1"/>
    </row>
    <row r="444" spans="1:51" ht="15" customHeight="1" x14ac:dyDescent="0.2">
      <c r="A444" s="33">
        <f t="shared" si="7"/>
        <v>439</v>
      </c>
      <c r="B444" s="34" t="s">
        <v>3622</v>
      </c>
      <c r="C444" s="35" t="s">
        <v>3623</v>
      </c>
      <c r="D444" s="36" t="s">
        <v>3624</v>
      </c>
      <c r="E444" s="36" t="s">
        <v>54</v>
      </c>
      <c r="F444" s="34" t="s">
        <v>3625</v>
      </c>
      <c r="G444" s="37" t="s">
        <v>858</v>
      </c>
      <c r="H444" s="37" t="s">
        <v>57</v>
      </c>
      <c r="I444" s="34" t="s">
        <v>3626</v>
      </c>
      <c r="J444" s="34" t="s">
        <v>41</v>
      </c>
      <c r="K444" s="39" t="s">
        <v>42</v>
      </c>
      <c r="L444" s="120">
        <v>31057</v>
      </c>
      <c r="M444" s="56"/>
      <c r="N444" s="114"/>
      <c r="O444" s="115"/>
      <c r="P444" s="114"/>
      <c r="Q444" s="115"/>
      <c r="R444" s="115"/>
      <c r="S444" s="114"/>
      <c r="T444" s="115"/>
      <c r="U444" s="115"/>
      <c r="V444" s="115"/>
      <c r="W444" s="115"/>
      <c r="X444" s="57" t="s">
        <v>3627</v>
      </c>
      <c r="Y444" s="43" t="s">
        <v>3628</v>
      </c>
      <c r="Z444" s="44" t="s">
        <v>3629</v>
      </c>
      <c r="AA444" s="45">
        <v>42325</v>
      </c>
      <c r="AB444" s="101" t="s">
        <v>30</v>
      </c>
      <c r="AC444" s="36" t="s">
        <v>26</v>
      </c>
      <c r="AD444" s="47" t="s">
        <v>49</v>
      </c>
      <c r="AE444" s="48" t="s">
        <v>49</v>
      </c>
      <c r="AF444" s="48" t="s">
        <v>49</v>
      </c>
      <c r="AG444" s="48" t="s">
        <v>49</v>
      </c>
      <c r="AH444" s="48" t="s">
        <v>49</v>
      </c>
      <c r="AI444" s="48" t="s">
        <v>49</v>
      </c>
      <c r="AJ444" s="49" t="s">
        <v>49</v>
      </c>
      <c r="AK444" s="48" t="s">
        <v>41</v>
      </c>
      <c r="AL444" s="65" t="s">
        <v>148</v>
      </c>
      <c r="AM444" s="59"/>
      <c r="AN444" s="10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1"/>
    </row>
    <row r="445" spans="1:51" ht="15" customHeight="1" x14ac:dyDescent="0.2">
      <c r="A445" s="33">
        <f t="shared" si="7"/>
        <v>440</v>
      </c>
      <c r="B445" s="34" t="s">
        <v>3630</v>
      </c>
      <c r="C445" s="35" t="s">
        <v>3631</v>
      </c>
      <c r="D445" s="36" t="s">
        <v>3632</v>
      </c>
      <c r="E445" s="36" t="s">
        <v>241</v>
      </c>
      <c r="F445" s="34" t="s">
        <v>3633</v>
      </c>
      <c r="G445" s="37" t="s">
        <v>858</v>
      </c>
      <c r="H445" s="37" t="s">
        <v>57</v>
      </c>
      <c r="I445" s="34" t="s">
        <v>3634</v>
      </c>
      <c r="J445" s="38" t="s">
        <v>3635</v>
      </c>
      <c r="K445" s="39" t="s">
        <v>42</v>
      </c>
      <c r="L445" s="99" t="s">
        <v>3636</v>
      </c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2" t="s">
        <v>3637</v>
      </c>
      <c r="Y445" s="83" t="s">
        <v>3638</v>
      </c>
      <c r="Z445" s="44" t="s">
        <v>61</v>
      </c>
      <c r="AA445" s="131">
        <v>36803</v>
      </c>
      <c r="AB445" s="101" t="s">
        <v>30</v>
      </c>
      <c r="AC445" s="36" t="s">
        <v>26</v>
      </c>
      <c r="AD445" s="47" t="s">
        <v>49</v>
      </c>
      <c r="AE445" s="48" t="s">
        <v>49</v>
      </c>
      <c r="AF445" s="48" t="s">
        <v>49</v>
      </c>
      <c r="AG445" s="48" t="s">
        <v>49</v>
      </c>
      <c r="AH445" s="48" t="s">
        <v>49</v>
      </c>
      <c r="AI445" s="48" t="s">
        <v>49</v>
      </c>
      <c r="AJ445" s="49" t="s">
        <v>49</v>
      </c>
      <c r="AK445" s="48" t="s">
        <v>49</v>
      </c>
      <c r="AL445" s="62" t="s">
        <v>32</v>
      </c>
      <c r="AM445" s="59"/>
      <c r="AN445" s="10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1"/>
    </row>
    <row r="446" spans="1:51" ht="15" customHeight="1" x14ac:dyDescent="0.2">
      <c r="A446" s="33">
        <f t="shared" si="7"/>
        <v>441</v>
      </c>
      <c r="B446" s="34" t="s">
        <v>3639</v>
      </c>
      <c r="C446" s="35" t="s">
        <v>3640</v>
      </c>
      <c r="D446" s="36" t="s">
        <v>3641</v>
      </c>
      <c r="E446" s="36" t="s">
        <v>54</v>
      </c>
      <c r="F446" s="34" t="s">
        <v>3642</v>
      </c>
      <c r="G446" s="37" t="s">
        <v>73</v>
      </c>
      <c r="H446" s="37" t="s">
        <v>73</v>
      </c>
      <c r="I446" s="34" t="s">
        <v>3643</v>
      </c>
      <c r="J446" s="34" t="s">
        <v>3644</v>
      </c>
      <c r="K446" s="39" t="s">
        <v>42</v>
      </c>
      <c r="L446" s="99" t="s">
        <v>3645</v>
      </c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42" t="s">
        <v>3646</v>
      </c>
      <c r="Y446" s="100" t="s">
        <v>3647</v>
      </c>
      <c r="Z446" s="44" t="s">
        <v>61</v>
      </c>
      <c r="AA446" s="45">
        <v>38593</v>
      </c>
      <c r="AB446" s="101" t="s">
        <v>30</v>
      </c>
      <c r="AC446" s="36" t="s">
        <v>26</v>
      </c>
      <c r="AD446" s="47" t="s">
        <v>49</v>
      </c>
      <c r="AE446" s="48" t="s">
        <v>49</v>
      </c>
      <c r="AF446" s="48" t="s">
        <v>49</v>
      </c>
      <c r="AG446" s="48" t="s">
        <v>49</v>
      </c>
      <c r="AH446" s="48" t="s">
        <v>41</v>
      </c>
      <c r="AI446" s="48" t="s">
        <v>41</v>
      </c>
      <c r="AJ446" s="49" t="s">
        <v>41</v>
      </c>
      <c r="AK446" s="48" t="s">
        <v>41</v>
      </c>
      <c r="AL446" s="62" t="s">
        <v>139</v>
      </c>
      <c r="AM446" s="59"/>
      <c r="AN446" s="10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1"/>
    </row>
    <row r="447" spans="1:51" ht="15" customHeight="1" x14ac:dyDescent="0.2">
      <c r="A447" s="33">
        <f t="shared" si="7"/>
        <v>442</v>
      </c>
      <c r="B447" s="34" t="s">
        <v>3648</v>
      </c>
      <c r="C447" s="35" t="s">
        <v>3649</v>
      </c>
      <c r="D447" s="36" t="s">
        <v>3650</v>
      </c>
      <c r="E447" s="36" t="s">
        <v>54</v>
      </c>
      <c r="F447" s="34" t="s">
        <v>3651</v>
      </c>
      <c r="G447" s="37" t="s">
        <v>205</v>
      </c>
      <c r="H447" s="37" t="s">
        <v>205</v>
      </c>
      <c r="I447" s="38" t="s">
        <v>3652</v>
      </c>
      <c r="J447" s="34" t="s">
        <v>41</v>
      </c>
      <c r="K447" s="39" t="s">
        <v>42</v>
      </c>
      <c r="L447" s="120">
        <v>45803</v>
      </c>
      <c r="M447" s="56" t="s">
        <v>179</v>
      </c>
      <c r="N447" s="56"/>
      <c r="O447" s="56"/>
      <c r="P447" s="56"/>
      <c r="Q447" s="56"/>
      <c r="R447" s="56"/>
      <c r="S447" s="56"/>
      <c r="T447" s="56"/>
      <c r="U447" s="56"/>
      <c r="V447" s="56" t="s">
        <v>44</v>
      </c>
      <c r="W447" s="56"/>
      <c r="X447" s="38" t="s">
        <v>3653</v>
      </c>
      <c r="Y447" s="146" t="s">
        <v>3654</v>
      </c>
      <c r="Z447" s="224"/>
      <c r="AA447" s="45"/>
      <c r="AB447" s="101"/>
      <c r="AC447" s="36"/>
      <c r="AD447" s="47" t="s">
        <v>49</v>
      </c>
      <c r="AE447" s="48" t="s">
        <v>41</v>
      </c>
      <c r="AF447" s="48" t="s">
        <v>41</v>
      </c>
      <c r="AG447" s="48" t="s">
        <v>41</v>
      </c>
      <c r="AH447" s="48" t="s">
        <v>41</v>
      </c>
      <c r="AI447" s="48" t="s">
        <v>41</v>
      </c>
      <c r="AJ447" s="49" t="s">
        <v>49</v>
      </c>
      <c r="AK447" s="48" t="s">
        <v>41</v>
      </c>
      <c r="AL447" s="62" t="s">
        <v>148</v>
      </c>
      <c r="AM447" s="59"/>
      <c r="AN447" s="10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1"/>
    </row>
    <row r="448" spans="1:51" ht="15" customHeight="1" x14ac:dyDescent="0.2">
      <c r="A448" s="33">
        <f t="shared" si="7"/>
        <v>443</v>
      </c>
      <c r="B448" s="34" t="s">
        <v>3655</v>
      </c>
      <c r="C448" s="35" t="s">
        <v>3656</v>
      </c>
      <c r="D448" s="36" t="s">
        <v>3657</v>
      </c>
      <c r="E448" s="36" t="s">
        <v>54</v>
      </c>
      <c r="F448" s="34" t="s">
        <v>3658</v>
      </c>
      <c r="G448" s="37" t="s">
        <v>1285</v>
      </c>
      <c r="H448" s="37" t="s">
        <v>350</v>
      </c>
      <c r="I448" s="34" t="s">
        <v>3659</v>
      </c>
      <c r="J448" s="34" t="s">
        <v>41</v>
      </c>
      <c r="K448" s="39" t="s">
        <v>42</v>
      </c>
      <c r="L448" s="120">
        <v>36739</v>
      </c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2" t="s">
        <v>3660</v>
      </c>
      <c r="Y448" s="52" t="s">
        <v>3661</v>
      </c>
      <c r="Z448" s="119" t="s">
        <v>61</v>
      </c>
      <c r="AA448" s="45">
        <v>40280</v>
      </c>
      <c r="AB448" s="101" t="s">
        <v>30</v>
      </c>
      <c r="AC448" s="36" t="s">
        <v>26</v>
      </c>
      <c r="AD448" s="47" t="s">
        <v>49</v>
      </c>
      <c r="AE448" s="48" t="s">
        <v>49</v>
      </c>
      <c r="AF448" s="48" t="s">
        <v>49</v>
      </c>
      <c r="AG448" s="48" t="s">
        <v>49</v>
      </c>
      <c r="AH448" s="48" t="s">
        <v>49</v>
      </c>
      <c r="AI448" s="48" t="s">
        <v>49</v>
      </c>
      <c r="AJ448" s="49" t="s">
        <v>49</v>
      </c>
      <c r="AK448" s="48" t="s">
        <v>41</v>
      </c>
      <c r="AL448" s="62" t="s">
        <v>148</v>
      </c>
      <c r="AM448" s="59"/>
      <c r="AN448" s="10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1"/>
    </row>
    <row r="449" spans="1:51" ht="15" customHeight="1" x14ac:dyDescent="0.2">
      <c r="A449" s="33">
        <f t="shared" si="7"/>
        <v>444</v>
      </c>
      <c r="B449" s="34" t="s">
        <v>3662</v>
      </c>
      <c r="C449" s="35" t="s">
        <v>3663</v>
      </c>
      <c r="D449" s="36" t="s">
        <v>3664</v>
      </c>
      <c r="E449" s="36" t="s">
        <v>54</v>
      </c>
      <c r="F449" s="34" t="s">
        <v>3665</v>
      </c>
      <c r="G449" s="37" t="s">
        <v>350</v>
      </c>
      <c r="H449" s="37" t="s">
        <v>350</v>
      </c>
      <c r="I449" s="38" t="s">
        <v>3666</v>
      </c>
      <c r="J449" s="34" t="s">
        <v>41</v>
      </c>
      <c r="K449" s="39" t="s">
        <v>42</v>
      </c>
      <c r="L449" s="120" t="s">
        <v>3667</v>
      </c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2" t="s">
        <v>3668</v>
      </c>
      <c r="Y449" s="43" t="s">
        <v>3669</v>
      </c>
      <c r="Z449" s="84" t="s">
        <v>3670</v>
      </c>
      <c r="AA449" s="45">
        <v>44650</v>
      </c>
      <c r="AB449" s="101" t="s">
        <v>30</v>
      </c>
      <c r="AC449" s="36" t="s">
        <v>26</v>
      </c>
      <c r="AD449" s="47" t="s">
        <v>49</v>
      </c>
      <c r="AE449" s="48" t="s">
        <v>49</v>
      </c>
      <c r="AF449" s="48" t="s">
        <v>49</v>
      </c>
      <c r="AG449" s="48" t="s">
        <v>49</v>
      </c>
      <c r="AH449" s="48" t="s">
        <v>41</v>
      </c>
      <c r="AI449" s="48" t="s">
        <v>41</v>
      </c>
      <c r="AJ449" s="49" t="s">
        <v>41</v>
      </c>
      <c r="AK449" s="48" t="s">
        <v>41</v>
      </c>
      <c r="AL449" s="62" t="s">
        <v>139</v>
      </c>
      <c r="AM449" s="59"/>
      <c r="AN449" s="10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1"/>
    </row>
    <row r="450" spans="1:51" ht="15" customHeight="1" x14ac:dyDescent="0.2">
      <c r="A450" s="33">
        <f t="shared" si="7"/>
        <v>445</v>
      </c>
      <c r="B450" s="34" t="s">
        <v>3671</v>
      </c>
      <c r="C450" s="35" t="s">
        <v>3672</v>
      </c>
      <c r="D450" s="36" t="s">
        <v>3673</v>
      </c>
      <c r="E450" s="36" t="s">
        <v>54</v>
      </c>
      <c r="F450" s="34" t="s">
        <v>3674</v>
      </c>
      <c r="G450" s="37" t="s">
        <v>73</v>
      </c>
      <c r="H450" s="37" t="s">
        <v>73</v>
      </c>
      <c r="I450" s="38" t="s">
        <v>3675</v>
      </c>
      <c r="J450" s="34" t="s">
        <v>41</v>
      </c>
      <c r="K450" s="39" t="s">
        <v>42</v>
      </c>
      <c r="L450" s="120">
        <v>44844</v>
      </c>
      <c r="M450" s="41"/>
      <c r="N450" s="94"/>
      <c r="O450" s="94"/>
      <c r="P450" s="94"/>
      <c r="Q450" s="94"/>
      <c r="R450" s="94"/>
      <c r="S450" s="94" t="s">
        <v>44</v>
      </c>
      <c r="T450" s="94"/>
      <c r="U450" s="94"/>
      <c r="V450" s="94"/>
      <c r="W450" s="94"/>
      <c r="X450" s="42" t="s">
        <v>3676</v>
      </c>
      <c r="Y450" s="43" t="s">
        <v>3677</v>
      </c>
      <c r="Z450" s="207" t="s">
        <v>3678</v>
      </c>
      <c r="AA450" s="45">
        <v>44944</v>
      </c>
      <c r="AB450" s="101" t="s">
        <v>30</v>
      </c>
      <c r="AC450" s="36"/>
      <c r="AD450" s="47" t="s">
        <v>49</v>
      </c>
      <c r="AE450" s="48" t="s">
        <v>41</v>
      </c>
      <c r="AF450" s="48" t="s">
        <v>41</v>
      </c>
      <c r="AG450" s="48" t="s">
        <v>49</v>
      </c>
      <c r="AH450" s="48" t="s">
        <v>49</v>
      </c>
      <c r="AI450" s="48" t="s">
        <v>49</v>
      </c>
      <c r="AJ450" s="49" t="s">
        <v>41</v>
      </c>
      <c r="AK450" s="48" t="s">
        <v>41</v>
      </c>
      <c r="AL450" s="62" t="s">
        <v>276</v>
      </c>
      <c r="AM450" s="59"/>
      <c r="AN450" s="10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1"/>
    </row>
    <row r="451" spans="1:51" x14ac:dyDescent="0.2">
      <c r="A451" s="33">
        <f t="shared" si="7"/>
        <v>446</v>
      </c>
      <c r="B451" s="34" t="s">
        <v>3679</v>
      </c>
      <c r="C451" s="35" t="s">
        <v>3680</v>
      </c>
      <c r="D451" s="36" t="s">
        <v>3681</v>
      </c>
      <c r="E451" s="36" t="s">
        <v>54</v>
      </c>
      <c r="F451" s="34" t="s">
        <v>3682</v>
      </c>
      <c r="G451" s="37" t="s">
        <v>73</v>
      </c>
      <c r="H451" s="37" t="s">
        <v>73</v>
      </c>
      <c r="I451" s="34" t="s">
        <v>3683</v>
      </c>
      <c r="J451" s="34" t="s">
        <v>3683</v>
      </c>
      <c r="K451" s="39" t="s">
        <v>42</v>
      </c>
      <c r="L451" s="120" t="s">
        <v>3684</v>
      </c>
      <c r="M451" s="41"/>
      <c r="N451" s="41"/>
      <c r="O451" s="41"/>
      <c r="P451" s="41"/>
      <c r="Q451" s="112"/>
      <c r="R451" s="41"/>
      <c r="S451" s="41"/>
      <c r="T451" s="41"/>
      <c r="U451" s="41"/>
      <c r="V451" s="41"/>
      <c r="W451" s="41"/>
      <c r="X451" s="42" t="s">
        <v>3685</v>
      </c>
      <c r="Y451" s="58" t="s">
        <v>3686</v>
      </c>
      <c r="Z451" s="84" t="s">
        <v>3687</v>
      </c>
      <c r="AA451" s="45">
        <v>44650</v>
      </c>
      <c r="AB451" s="101" t="s">
        <v>30</v>
      </c>
      <c r="AC451" s="36" t="s">
        <v>26</v>
      </c>
      <c r="AD451" s="61" t="s">
        <v>49</v>
      </c>
      <c r="AE451" s="48" t="s">
        <v>49</v>
      </c>
      <c r="AF451" s="48" t="s">
        <v>49</v>
      </c>
      <c r="AG451" s="48" t="s">
        <v>49</v>
      </c>
      <c r="AH451" s="48" t="s">
        <v>49</v>
      </c>
      <c r="AI451" s="48" t="s">
        <v>49</v>
      </c>
      <c r="AJ451" s="49" t="s">
        <v>49</v>
      </c>
      <c r="AK451" s="48" t="s">
        <v>49</v>
      </c>
      <c r="AL451" s="62" t="s">
        <v>32</v>
      </c>
      <c r="AM451" s="59"/>
      <c r="AN451" s="10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1"/>
    </row>
    <row r="452" spans="1:51" x14ac:dyDescent="0.2">
      <c r="A452" s="33">
        <f t="shared" si="7"/>
        <v>447</v>
      </c>
      <c r="B452" s="34" t="s">
        <v>3688</v>
      </c>
      <c r="C452" s="35" t="s">
        <v>3689</v>
      </c>
      <c r="D452" s="36" t="s">
        <v>3690</v>
      </c>
      <c r="E452" s="36" t="s">
        <v>36</v>
      </c>
      <c r="F452" s="34" t="s">
        <v>3552</v>
      </c>
      <c r="G452" s="37" t="s">
        <v>73</v>
      </c>
      <c r="H452" s="37" t="s">
        <v>73</v>
      </c>
      <c r="I452" s="34" t="s">
        <v>3553</v>
      </c>
      <c r="J452" s="34" t="s">
        <v>3691</v>
      </c>
      <c r="K452" s="39" t="s">
        <v>42</v>
      </c>
      <c r="L452" s="120">
        <v>30353</v>
      </c>
      <c r="M452" s="41" t="s">
        <v>179</v>
      </c>
      <c r="N452" s="41"/>
      <c r="O452" s="41"/>
      <c r="P452" s="41">
        <v>1</v>
      </c>
      <c r="Q452" s="41"/>
      <c r="R452" s="41"/>
      <c r="S452" s="41"/>
      <c r="T452" s="41"/>
      <c r="U452" s="41" t="s">
        <v>732</v>
      </c>
      <c r="V452" s="41"/>
      <c r="W452" s="41"/>
      <c r="X452" s="42" t="s">
        <v>3692</v>
      </c>
      <c r="Y452" s="58" t="s">
        <v>3693</v>
      </c>
      <c r="Z452" s="44" t="s">
        <v>61</v>
      </c>
      <c r="AA452" s="45">
        <v>40815</v>
      </c>
      <c r="AB452" s="101" t="s">
        <v>30</v>
      </c>
      <c r="AC452" s="36" t="s">
        <v>26</v>
      </c>
      <c r="AD452" s="64" t="s">
        <v>120</v>
      </c>
      <c r="AE452" s="48" t="s">
        <v>120</v>
      </c>
      <c r="AF452" s="48" t="s">
        <v>130</v>
      </c>
      <c r="AG452" s="48" t="s">
        <v>120</v>
      </c>
      <c r="AH452" s="48" t="s">
        <v>120</v>
      </c>
      <c r="AI452" s="48" t="s">
        <v>120</v>
      </c>
      <c r="AJ452" s="49" t="s">
        <v>120</v>
      </c>
      <c r="AK452" s="48" t="s">
        <v>120</v>
      </c>
      <c r="AL452" s="62" t="s">
        <v>32</v>
      </c>
      <c r="AM452" s="59"/>
      <c r="AN452" s="10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1"/>
    </row>
    <row r="453" spans="1:51" x14ac:dyDescent="0.2">
      <c r="A453" s="33">
        <f t="shared" si="7"/>
        <v>448</v>
      </c>
      <c r="B453" s="34" t="s">
        <v>3694</v>
      </c>
      <c r="C453" s="35" t="s">
        <v>3695</v>
      </c>
      <c r="D453" s="36" t="s">
        <v>3696</v>
      </c>
      <c r="E453" s="36" t="s">
        <v>54</v>
      </c>
      <c r="F453" s="34" t="s">
        <v>3697</v>
      </c>
      <c r="G453" s="37" t="s">
        <v>39</v>
      </c>
      <c r="H453" s="37" t="s">
        <v>39</v>
      </c>
      <c r="I453" s="34" t="s">
        <v>3698</v>
      </c>
      <c r="J453" s="34" t="s">
        <v>3699</v>
      </c>
      <c r="K453" s="39" t="s">
        <v>42</v>
      </c>
      <c r="L453" s="120">
        <v>37439</v>
      </c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2" t="s">
        <v>3700</v>
      </c>
      <c r="Y453" s="58" t="s">
        <v>3701</v>
      </c>
      <c r="Z453" s="44" t="s">
        <v>61</v>
      </c>
      <c r="AA453" s="45">
        <v>37877</v>
      </c>
      <c r="AB453" s="101" t="s">
        <v>30</v>
      </c>
      <c r="AC453" s="36" t="s">
        <v>26</v>
      </c>
      <c r="AD453" s="47" t="s">
        <v>49</v>
      </c>
      <c r="AE453" s="48" t="s">
        <v>49</v>
      </c>
      <c r="AF453" s="48" t="s">
        <v>49</v>
      </c>
      <c r="AG453" s="48" t="s">
        <v>49</v>
      </c>
      <c r="AH453" s="48" t="s">
        <v>49</v>
      </c>
      <c r="AI453" s="48" t="s">
        <v>49</v>
      </c>
      <c r="AJ453" s="49" t="s">
        <v>41</v>
      </c>
      <c r="AK453" s="48" t="s">
        <v>41</v>
      </c>
      <c r="AL453" s="62" t="s">
        <v>276</v>
      </c>
      <c r="AM453" s="59"/>
      <c r="AN453" s="10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1"/>
    </row>
    <row r="454" spans="1:51" x14ac:dyDescent="0.2">
      <c r="A454" s="33">
        <f t="shared" si="7"/>
        <v>449</v>
      </c>
      <c r="B454" s="34" t="s">
        <v>3702</v>
      </c>
      <c r="C454" s="35" t="s">
        <v>3703</v>
      </c>
      <c r="D454" s="36" t="s">
        <v>3704</v>
      </c>
      <c r="E454" s="36" t="s">
        <v>54</v>
      </c>
      <c r="F454" s="34" t="s">
        <v>3705</v>
      </c>
      <c r="G454" s="37" t="s">
        <v>73</v>
      </c>
      <c r="H454" s="37" t="s">
        <v>73</v>
      </c>
      <c r="I454" s="34" t="s">
        <v>3292</v>
      </c>
      <c r="J454" s="34" t="s">
        <v>41</v>
      </c>
      <c r="K454" s="39" t="s">
        <v>42</v>
      </c>
      <c r="L454" s="99" t="s">
        <v>3706</v>
      </c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2" t="s">
        <v>3707</v>
      </c>
      <c r="Y454" s="58" t="s">
        <v>3708</v>
      </c>
      <c r="Z454" s="119" t="s">
        <v>61</v>
      </c>
      <c r="AA454" s="45">
        <v>34597</v>
      </c>
      <c r="AB454" s="101" t="s">
        <v>30</v>
      </c>
      <c r="AC454" s="36"/>
      <c r="AD454" s="47" t="s">
        <v>49</v>
      </c>
      <c r="AE454" s="48" t="s">
        <v>41</v>
      </c>
      <c r="AF454" s="48" t="s">
        <v>41</v>
      </c>
      <c r="AG454" s="48" t="s">
        <v>41</v>
      </c>
      <c r="AH454" s="48" t="s">
        <v>41</v>
      </c>
      <c r="AI454" s="48" t="s">
        <v>41</v>
      </c>
      <c r="AJ454" s="49" t="s">
        <v>41</v>
      </c>
      <c r="AK454" s="48" t="s">
        <v>41</v>
      </c>
      <c r="AL454" s="65" t="s">
        <v>4588</v>
      </c>
      <c r="AM454" s="59"/>
      <c r="AN454" s="117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1"/>
    </row>
    <row r="455" spans="1:51" x14ac:dyDescent="0.2">
      <c r="A455" s="33">
        <f t="shared" si="7"/>
        <v>450</v>
      </c>
      <c r="B455" s="34" t="s">
        <v>3709</v>
      </c>
      <c r="C455" s="35" t="s">
        <v>3710</v>
      </c>
      <c r="D455" s="36" t="s">
        <v>3711</v>
      </c>
      <c r="E455" s="36" t="s">
        <v>54</v>
      </c>
      <c r="F455" s="34" t="s">
        <v>3712</v>
      </c>
      <c r="G455" s="37" t="s">
        <v>528</v>
      </c>
      <c r="H455" s="37" t="s">
        <v>57</v>
      </c>
      <c r="I455" s="38" t="s">
        <v>3713</v>
      </c>
      <c r="J455" s="34" t="s">
        <v>41</v>
      </c>
      <c r="K455" s="39" t="s">
        <v>42</v>
      </c>
      <c r="L455" s="120">
        <v>44409</v>
      </c>
      <c r="M455" s="41"/>
      <c r="N455" s="41"/>
      <c r="O455" s="41"/>
      <c r="P455" s="41"/>
      <c r="Q455" s="112"/>
      <c r="R455" s="41" t="s">
        <v>44</v>
      </c>
      <c r="S455" s="41"/>
      <c r="T455" s="41"/>
      <c r="U455" s="41"/>
      <c r="V455" s="41"/>
      <c r="W455" s="41"/>
      <c r="X455" s="42" t="s">
        <v>3714</v>
      </c>
      <c r="Y455" s="58" t="s">
        <v>3715</v>
      </c>
      <c r="Z455" s="144" t="s">
        <v>3716</v>
      </c>
      <c r="AA455" s="45">
        <v>44650</v>
      </c>
      <c r="AB455" s="101" t="s">
        <v>30</v>
      </c>
      <c r="AC455" s="36"/>
      <c r="AD455" s="47" t="s">
        <v>49</v>
      </c>
      <c r="AE455" s="48" t="s">
        <v>41</v>
      </c>
      <c r="AF455" s="48" t="s">
        <v>49</v>
      </c>
      <c r="AG455" s="48" t="s">
        <v>41</v>
      </c>
      <c r="AH455" s="48" t="s">
        <v>41</v>
      </c>
      <c r="AI455" s="48" t="s">
        <v>41</v>
      </c>
      <c r="AJ455" s="49" t="s">
        <v>41</v>
      </c>
      <c r="AK455" s="48" t="s">
        <v>41</v>
      </c>
      <c r="AL455" s="62" t="s">
        <v>110</v>
      </c>
      <c r="AM455" s="59"/>
      <c r="AN455" s="117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1"/>
    </row>
    <row r="456" spans="1:51" x14ac:dyDescent="0.2">
      <c r="A456" s="33">
        <f t="shared" si="7"/>
        <v>451</v>
      </c>
      <c r="B456" s="34" t="s">
        <v>3717</v>
      </c>
      <c r="C456" s="35" t="s">
        <v>3718</v>
      </c>
      <c r="D456" s="36" t="s">
        <v>3719</v>
      </c>
      <c r="E456" s="36" t="s">
        <v>54</v>
      </c>
      <c r="F456" s="34" t="s">
        <v>3720</v>
      </c>
      <c r="G456" s="37" t="s">
        <v>1285</v>
      </c>
      <c r="H456" s="37" t="s">
        <v>350</v>
      </c>
      <c r="I456" s="34" t="s">
        <v>3721</v>
      </c>
      <c r="J456" s="34" t="s">
        <v>41</v>
      </c>
      <c r="K456" s="39" t="s">
        <v>42</v>
      </c>
      <c r="L456" s="99" t="s">
        <v>3722</v>
      </c>
      <c r="M456" s="56"/>
      <c r="N456" s="186"/>
      <c r="O456" s="186"/>
      <c r="P456" s="186"/>
      <c r="Q456" s="115"/>
      <c r="R456" s="115"/>
      <c r="S456" s="115"/>
      <c r="T456" s="56"/>
      <c r="U456" s="56"/>
      <c r="V456" s="56"/>
      <c r="W456" s="56"/>
      <c r="X456" s="42" t="s">
        <v>3723</v>
      </c>
      <c r="Y456" s="69" t="s">
        <v>3724</v>
      </c>
      <c r="Z456" s="44" t="s">
        <v>61</v>
      </c>
      <c r="AA456" s="45">
        <v>36803</v>
      </c>
      <c r="AB456" s="101" t="s">
        <v>30</v>
      </c>
      <c r="AC456" s="36" t="s">
        <v>26</v>
      </c>
      <c r="AD456" s="47" t="s">
        <v>49</v>
      </c>
      <c r="AE456" s="48" t="s">
        <v>49</v>
      </c>
      <c r="AF456" s="48" t="s">
        <v>49</v>
      </c>
      <c r="AG456" s="48" t="s">
        <v>49</v>
      </c>
      <c r="AH456" s="48" t="s">
        <v>49</v>
      </c>
      <c r="AI456" s="48" t="s">
        <v>49</v>
      </c>
      <c r="AJ456" s="49" t="s">
        <v>49</v>
      </c>
      <c r="AK456" s="48" t="s">
        <v>49</v>
      </c>
      <c r="AL456" s="62" t="s">
        <v>32</v>
      </c>
      <c r="AM456" s="59"/>
      <c r="AN456" s="10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1"/>
    </row>
    <row r="457" spans="1:51" x14ac:dyDescent="0.2">
      <c r="A457" s="33">
        <f t="shared" ref="A457:A520" si="8">+A456+1</f>
        <v>452</v>
      </c>
      <c r="B457" s="34" t="s">
        <v>3725</v>
      </c>
      <c r="C457" s="35" t="s">
        <v>3726</v>
      </c>
      <c r="D457" s="36" t="s">
        <v>3727</v>
      </c>
      <c r="E457" s="36" t="s">
        <v>36</v>
      </c>
      <c r="F457" s="34" t="s">
        <v>3728</v>
      </c>
      <c r="G457" s="37" t="s">
        <v>73</v>
      </c>
      <c r="H457" s="37" t="s">
        <v>73</v>
      </c>
      <c r="I457" s="34" t="s">
        <v>3729</v>
      </c>
      <c r="J457" s="34" t="s">
        <v>41</v>
      </c>
      <c r="K457" s="39" t="s">
        <v>42</v>
      </c>
      <c r="L457" s="120">
        <v>35106</v>
      </c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42" t="s">
        <v>3730</v>
      </c>
      <c r="Y457" s="52" t="s">
        <v>3731</v>
      </c>
      <c r="Z457" s="44" t="s">
        <v>3732</v>
      </c>
      <c r="AA457" s="45">
        <v>42325</v>
      </c>
      <c r="AB457" s="101" t="s">
        <v>30</v>
      </c>
      <c r="AC457" s="36" t="s">
        <v>26</v>
      </c>
      <c r="AD457" s="47" t="s">
        <v>49</v>
      </c>
      <c r="AE457" s="48" t="s">
        <v>49</v>
      </c>
      <c r="AF457" s="48" t="s">
        <v>49</v>
      </c>
      <c r="AG457" s="48" t="s">
        <v>49</v>
      </c>
      <c r="AH457" s="48" t="s">
        <v>49</v>
      </c>
      <c r="AI457" s="48" t="s">
        <v>49</v>
      </c>
      <c r="AJ457" s="49" t="s">
        <v>49</v>
      </c>
      <c r="AK457" s="48" t="s">
        <v>41</v>
      </c>
      <c r="AL457" s="62" t="s">
        <v>148</v>
      </c>
      <c r="AM457" s="59"/>
      <c r="AN457" s="10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1"/>
    </row>
    <row r="458" spans="1:51" x14ac:dyDescent="0.2">
      <c r="A458" s="33">
        <f t="shared" si="8"/>
        <v>453</v>
      </c>
      <c r="B458" s="34" t="s">
        <v>3733</v>
      </c>
      <c r="C458" s="35" t="s">
        <v>3734</v>
      </c>
      <c r="D458" s="36" t="s">
        <v>3735</v>
      </c>
      <c r="E458" s="36" t="s">
        <v>54</v>
      </c>
      <c r="F458" s="34" t="s">
        <v>3736</v>
      </c>
      <c r="G458" s="37" t="s">
        <v>73</v>
      </c>
      <c r="H458" s="37" t="s">
        <v>73</v>
      </c>
      <c r="I458" s="34" t="s">
        <v>3737</v>
      </c>
      <c r="J458" s="34" t="s">
        <v>41</v>
      </c>
      <c r="K458" s="39" t="s">
        <v>42</v>
      </c>
      <c r="L458" s="120">
        <v>43807</v>
      </c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42" t="s">
        <v>3738</v>
      </c>
      <c r="Y458" s="58" t="s">
        <v>3739</v>
      </c>
      <c r="Z458" s="44" t="s">
        <v>3740</v>
      </c>
      <c r="AA458" s="45">
        <v>42325</v>
      </c>
      <c r="AB458" s="101" t="s">
        <v>30</v>
      </c>
      <c r="AC458" s="36" t="s">
        <v>26</v>
      </c>
      <c r="AD458" s="47" t="s">
        <v>49</v>
      </c>
      <c r="AE458" s="48" t="s">
        <v>49</v>
      </c>
      <c r="AF458" s="48" t="s">
        <v>49</v>
      </c>
      <c r="AG458" s="48" t="s">
        <v>49</v>
      </c>
      <c r="AH458" s="48" t="s">
        <v>49</v>
      </c>
      <c r="AI458" s="48" t="s">
        <v>49</v>
      </c>
      <c r="AJ458" s="49" t="s">
        <v>49</v>
      </c>
      <c r="AK458" s="48" t="s">
        <v>49</v>
      </c>
      <c r="AL458" s="62" t="s">
        <v>32</v>
      </c>
      <c r="AM458" s="59"/>
      <c r="AN458" s="10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1"/>
    </row>
    <row r="459" spans="1:51" x14ac:dyDescent="0.2">
      <c r="A459" s="33">
        <f t="shared" si="8"/>
        <v>454</v>
      </c>
      <c r="B459" s="34" t="s">
        <v>3741</v>
      </c>
      <c r="C459" s="35" t="s">
        <v>3742</v>
      </c>
      <c r="D459" s="36" t="s">
        <v>3743</v>
      </c>
      <c r="E459" s="36" t="s">
        <v>36</v>
      </c>
      <c r="F459" s="34" t="s">
        <v>3744</v>
      </c>
      <c r="G459" s="37" t="s">
        <v>73</v>
      </c>
      <c r="H459" s="37" t="s">
        <v>73</v>
      </c>
      <c r="I459" s="34" t="s">
        <v>3745</v>
      </c>
      <c r="J459" s="34" t="s">
        <v>3746</v>
      </c>
      <c r="K459" s="39" t="s">
        <v>42</v>
      </c>
      <c r="L459" s="99" t="s">
        <v>3747</v>
      </c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42" t="s">
        <v>3748</v>
      </c>
      <c r="Y459" s="69" t="s">
        <v>3749</v>
      </c>
      <c r="Z459" s="44" t="s">
        <v>61</v>
      </c>
      <c r="AA459" s="45">
        <v>42325</v>
      </c>
      <c r="AB459" s="101" t="s">
        <v>30</v>
      </c>
      <c r="AC459" s="36" t="s">
        <v>26</v>
      </c>
      <c r="AD459" s="64" t="s">
        <v>120</v>
      </c>
      <c r="AE459" s="48" t="s">
        <v>120</v>
      </c>
      <c r="AF459" s="48" t="s">
        <v>120</v>
      </c>
      <c r="AG459" s="48" t="s">
        <v>120</v>
      </c>
      <c r="AH459" s="48" t="s">
        <v>120</v>
      </c>
      <c r="AI459" s="48" t="s">
        <v>120</v>
      </c>
      <c r="AJ459" s="49" t="s">
        <v>120</v>
      </c>
      <c r="AK459" s="48" t="s">
        <v>120</v>
      </c>
      <c r="AL459" s="65" t="s">
        <v>32</v>
      </c>
      <c r="AM459" s="59"/>
      <c r="AN459" s="10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1"/>
    </row>
    <row r="460" spans="1:51" x14ac:dyDescent="0.2">
      <c r="A460" s="33">
        <f t="shared" si="8"/>
        <v>455</v>
      </c>
      <c r="B460" s="34" t="s">
        <v>3750</v>
      </c>
      <c r="C460" s="35" t="s">
        <v>3751</v>
      </c>
      <c r="D460" s="36" t="s">
        <v>3752</v>
      </c>
      <c r="E460" s="36" t="s">
        <v>54</v>
      </c>
      <c r="F460" s="34" t="s">
        <v>3753</v>
      </c>
      <c r="G460" s="37" t="s">
        <v>73</v>
      </c>
      <c r="H460" s="37" t="s">
        <v>73</v>
      </c>
      <c r="I460" s="34" t="s">
        <v>3754</v>
      </c>
      <c r="J460" s="38" t="s">
        <v>3755</v>
      </c>
      <c r="K460" s="39" t="s">
        <v>42</v>
      </c>
      <c r="L460" s="120">
        <v>34430</v>
      </c>
      <c r="M460" s="41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42" t="s">
        <v>3756</v>
      </c>
      <c r="Y460" s="69" t="s">
        <v>3757</v>
      </c>
      <c r="Z460" s="44" t="s">
        <v>61</v>
      </c>
      <c r="AA460" s="45">
        <v>34597</v>
      </c>
      <c r="AB460" s="101" t="s">
        <v>30</v>
      </c>
      <c r="AC460" s="36" t="s">
        <v>26</v>
      </c>
      <c r="AD460" s="47" t="s">
        <v>49</v>
      </c>
      <c r="AE460" s="48" t="s">
        <v>49</v>
      </c>
      <c r="AF460" s="48" t="s">
        <v>49</v>
      </c>
      <c r="AG460" s="48" t="s">
        <v>49</v>
      </c>
      <c r="AH460" s="48" t="s">
        <v>41</v>
      </c>
      <c r="AI460" s="48" t="s">
        <v>41</v>
      </c>
      <c r="AJ460" s="49" t="s">
        <v>41</v>
      </c>
      <c r="AK460" s="48" t="s">
        <v>41</v>
      </c>
      <c r="AL460" s="62" t="s">
        <v>139</v>
      </c>
      <c r="AM460" s="59"/>
      <c r="AN460" s="10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1"/>
    </row>
    <row r="461" spans="1:51" x14ac:dyDescent="0.2">
      <c r="A461" s="33">
        <f t="shared" si="8"/>
        <v>456</v>
      </c>
      <c r="B461" s="34" t="s">
        <v>3758</v>
      </c>
      <c r="C461" s="35" t="s">
        <v>3759</v>
      </c>
      <c r="D461" s="36" t="s">
        <v>3760</v>
      </c>
      <c r="E461" s="36" t="s">
        <v>54</v>
      </c>
      <c r="F461" s="34" t="s">
        <v>3761</v>
      </c>
      <c r="G461" s="37" t="s">
        <v>323</v>
      </c>
      <c r="H461" s="37" t="s">
        <v>39</v>
      </c>
      <c r="I461" s="38" t="s">
        <v>3762</v>
      </c>
      <c r="J461" s="38"/>
      <c r="K461" s="39" t="s">
        <v>42</v>
      </c>
      <c r="L461" s="120">
        <v>45357</v>
      </c>
      <c r="M461" s="41"/>
      <c r="N461" s="41"/>
      <c r="O461" s="41"/>
      <c r="P461" s="41"/>
      <c r="Q461" s="41"/>
      <c r="R461" s="41"/>
      <c r="S461" s="41"/>
      <c r="T461" s="41"/>
      <c r="U461" s="41" t="s">
        <v>44</v>
      </c>
      <c r="V461" s="41"/>
      <c r="W461" s="41"/>
      <c r="X461" s="54" t="s">
        <v>3763</v>
      </c>
      <c r="Y461" s="58" t="s">
        <v>3764</v>
      </c>
      <c r="Z461" s="44"/>
      <c r="AA461" s="45"/>
      <c r="AB461" s="101"/>
      <c r="AC461" s="36"/>
      <c r="AD461" s="47" t="s">
        <v>49</v>
      </c>
      <c r="AE461" s="48" t="s">
        <v>41</v>
      </c>
      <c r="AF461" s="48" t="s">
        <v>41</v>
      </c>
      <c r="AG461" s="48" t="s">
        <v>41</v>
      </c>
      <c r="AH461" s="48" t="s">
        <v>41</v>
      </c>
      <c r="AI461" s="48" t="s">
        <v>49</v>
      </c>
      <c r="AJ461" s="49" t="s">
        <v>49</v>
      </c>
      <c r="AK461" s="48" t="s">
        <v>41</v>
      </c>
      <c r="AL461" s="65" t="s">
        <v>148</v>
      </c>
      <c r="AM461" s="103"/>
      <c r="AN461" s="10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1"/>
    </row>
    <row r="462" spans="1:51" x14ac:dyDescent="0.2">
      <c r="A462" s="33">
        <f t="shared" si="8"/>
        <v>457</v>
      </c>
      <c r="B462" s="34" t="s">
        <v>3765</v>
      </c>
      <c r="C462" s="35" t="s">
        <v>3766</v>
      </c>
      <c r="D462" s="36" t="s">
        <v>3767</v>
      </c>
      <c r="E462" s="36" t="s">
        <v>54</v>
      </c>
      <c r="F462" s="34" t="s">
        <v>3768</v>
      </c>
      <c r="G462" s="37" t="s">
        <v>1417</v>
      </c>
      <c r="H462" s="37" t="s">
        <v>187</v>
      </c>
      <c r="I462" s="38" t="s">
        <v>3769</v>
      </c>
      <c r="J462" s="34" t="s">
        <v>41</v>
      </c>
      <c r="K462" s="39" t="s">
        <v>42</v>
      </c>
      <c r="L462" s="120">
        <v>42562</v>
      </c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7" t="s">
        <v>3770</v>
      </c>
      <c r="Y462" s="58" t="s">
        <v>3771</v>
      </c>
      <c r="Z462" s="44" t="s">
        <v>3772</v>
      </c>
      <c r="AA462" s="45">
        <v>44041</v>
      </c>
      <c r="AB462" s="101" t="s">
        <v>30</v>
      </c>
      <c r="AC462" s="36" t="s">
        <v>26</v>
      </c>
      <c r="AD462" s="47" t="s">
        <v>49</v>
      </c>
      <c r="AE462" s="48" t="s">
        <v>49</v>
      </c>
      <c r="AF462" s="48" t="s">
        <v>41</v>
      </c>
      <c r="AG462" s="48" t="s">
        <v>41</v>
      </c>
      <c r="AH462" s="48" t="s">
        <v>41</v>
      </c>
      <c r="AI462" s="48" t="s">
        <v>41</v>
      </c>
      <c r="AJ462" s="49" t="s">
        <v>41</v>
      </c>
      <c r="AK462" s="48" t="s">
        <v>41</v>
      </c>
      <c r="AL462" s="62" t="s">
        <v>4587</v>
      </c>
      <c r="AM462" s="59"/>
      <c r="AN462" s="10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1"/>
    </row>
    <row r="463" spans="1:51" x14ac:dyDescent="0.2">
      <c r="A463" s="33">
        <f t="shared" si="8"/>
        <v>458</v>
      </c>
      <c r="B463" s="34" t="s">
        <v>3773</v>
      </c>
      <c r="C463" s="35" t="s">
        <v>3774</v>
      </c>
      <c r="D463" s="36" t="s">
        <v>3775</v>
      </c>
      <c r="E463" s="36" t="s">
        <v>54</v>
      </c>
      <c r="F463" s="34" t="s">
        <v>3776</v>
      </c>
      <c r="G463" s="37" t="s">
        <v>1417</v>
      </c>
      <c r="H463" s="37" t="s">
        <v>187</v>
      </c>
      <c r="I463" s="38" t="s">
        <v>3777</v>
      </c>
      <c r="J463" s="34" t="s">
        <v>41</v>
      </c>
      <c r="K463" s="39" t="s">
        <v>42</v>
      </c>
      <c r="L463" s="120">
        <v>43227</v>
      </c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42" t="s">
        <v>3778</v>
      </c>
      <c r="Y463" s="69" t="s">
        <v>3779</v>
      </c>
      <c r="Z463" s="44" t="s">
        <v>3780</v>
      </c>
      <c r="AA463" s="45">
        <v>44041</v>
      </c>
      <c r="AB463" s="101" t="s">
        <v>30</v>
      </c>
      <c r="AC463" s="36" t="s">
        <v>26</v>
      </c>
      <c r="AD463" s="47" t="s">
        <v>49</v>
      </c>
      <c r="AE463" s="48" t="s">
        <v>49</v>
      </c>
      <c r="AF463" s="48" t="s">
        <v>49</v>
      </c>
      <c r="AG463" s="48" t="s">
        <v>49</v>
      </c>
      <c r="AH463" s="48" t="s">
        <v>49</v>
      </c>
      <c r="AI463" s="48" t="s">
        <v>41</v>
      </c>
      <c r="AJ463" s="49" t="s">
        <v>41</v>
      </c>
      <c r="AK463" s="48" t="s">
        <v>41</v>
      </c>
      <c r="AL463" s="62" t="s">
        <v>4589</v>
      </c>
      <c r="AM463" s="59"/>
      <c r="AN463" s="117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1"/>
    </row>
    <row r="464" spans="1:51" ht="15" customHeight="1" x14ac:dyDescent="0.2">
      <c r="A464" s="33">
        <f t="shared" si="8"/>
        <v>459</v>
      </c>
      <c r="B464" s="34" t="s">
        <v>3781</v>
      </c>
      <c r="C464" s="35" t="s">
        <v>3782</v>
      </c>
      <c r="D464" s="36" t="s">
        <v>3783</v>
      </c>
      <c r="E464" s="36" t="s">
        <v>54</v>
      </c>
      <c r="F464" s="34" t="s">
        <v>3784</v>
      </c>
      <c r="G464" s="37" t="s">
        <v>323</v>
      </c>
      <c r="H464" s="37" t="s">
        <v>39</v>
      </c>
      <c r="I464" s="38" t="s">
        <v>3785</v>
      </c>
      <c r="J464" s="34" t="s">
        <v>41</v>
      </c>
      <c r="K464" s="39" t="s">
        <v>42</v>
      </c>
      <c r="L464" s="120" t="s">
        <v>3786</v>
      </c>
      <c r="M464" s="56"/>
      <c r="N464" s="56"/>
      <c r="O464" s="56"/>
      <c r="P464" s="56"/>
      <c r="Q464" s="56"/>
      <c r="R464" s="56" t="s">
        <v>44</v>
      </c>
      <c r="S464" s="56"/>
      <c r="T464" s="56"/>
      <c r="U464" s="56"/>
      <c r="V464" s="56"/>
      <c r="W464" s="56"/>
      <c r="X464" s="42" t="s">
        <v>3787</v>
      </c>
      <c r="Y464" s="58" t="s">
        <v>3788</v>
      </c>
      <c r="Z464" s="207" t="s">
        <v>3789</v>
      </c>
      <c r="AA464" s="45">
        <v>44944</v>
      </c>
      <c r="AB464" s="101" t="s">
        <v>30</v>
      </c>
      <c r="AC464" s="36"/>
      <c r="AD464" s="47" t="s">
        <v>49</v>
      </c>
      <c r="AE464" s="48" t="s">
        <v>41</v>
      </c>
      <c r="AF464" s="48" t="s">
        <v>49</v>
      </c>
      <c r="AG464" s="48" t="s">
        <v>49</v>
      </c>
      <c r="AH464" s="48" t="s">
        <v>49</v>
      </c>
      <c r="AI464" s="48" t="s">
        <v>49</v>
      </c>
      <c r="AJ464" s="49" t="s">
        <v>49</v>
      </c>
      <c r="AK464" s="48" t="s">
        <v>49</v>
      </c>
      <c r="AL464" s="65" t="s">
        <v>32</v>
      </c>
      <c r="AM464" s="59"/>
      <c r="AN464" s="10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1"/>
    </row>
    <row r="465" spans="1:51" ht="15" customHeight="1" x14ac:dyDescent="0.2">
      <c r="A465" s="33">
        <f t="shared" si="8"/>
        <v>460</v>
      </c>
      <c r="B465" s="34" t="s">
        <v>4622</v>
      </c>
      <c r="C465" s="35" t="s">
        <v>3791</v>
      </c>
      <c r="D465" s="36" t="s">
        <v>4623</v>
      </c>
      <c r="E465" s="36" t="s">
        <v>54</v>
      </c>
      <c r="F465" s="34" t="s">
        <v>4621</v>
      </c>
      <c r="G465" s="37" t="s">
        <v>252</v>
      </c>
      <c r="H465" s="37" t="s">
        <v>57</v>
      </c>
      <c r="I465" s="34" t="s">
        <v>3794</v>
      </c>
      <c r="J465" s="34" t="s">
        <v>41</v>
      </c>
      <c r="K465" s="39" t="s">
        <v>42</v>
      </c>
      <c r="L465" s="120">
        <v>30353</v>
      </c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2" t="s">
        <v>3795</v>
      </c>
      <c r="Y465" s="43" t="s">
        <v>3796</v>
      </c>
      <c r="Z465" s="119" t="s">
        <v>61</v>
      </c>
      <c r="AA465" s="45">
        <v>34597</v>
      </c>
      <c r="AB465" s="101" t="s">
        <v>30</v>
      </c>
      <c r="AC465" s="36" t="s">
        <v>26</v>
      </c>
      <c r="AD465" s="47" t="s">
        <v>49</v>
      </c>
      <c r="AE465" s="48" t="s">
        <v>49</v>
      </c>
      <c r="AF465" s="48" t="s">
        <v>49</v>
      </c>
      <c r="AG465" s="48" t="s">
        <v>49</v>
      </c>
      <c r="AH465" s="48" t="s">
        <v>49</v>
      </c>
      <c r="AI465" s="48" t="s">
        <v>49</v>
      </c>
      <c r="AJ465" s="49" t="s">
        <v>49</v>
      </c>
      <c r="AK465" s="48" t="s">
        <v>49</v>
      </c>
      <c r="AL465" s="65" t="s">
        <v>32</v>
      </c>
      <c r="AM465" s="59"/>
      <c r="AN465" s="10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1"/>
    </row>
    <row r="466" spans="1:51" ht="15" customHeight="1" x14ac:dyDescent="0.2">
      <c r="A466" s="33">
        <f t="shared" si="8"/>
        <v>461</v>
      </c>
      <c r="B466" s="34" t="s">
        <v>3797</v>
      </c>
      <c r="C466" s="35" t="s">
        <v>3798</v>
      </c>
      <c r="D466" s="36" t="s">
        <v>3799</v>
      </c>
      <c r="E466" s="36" t="s">
        <v>54</v>
      </c>
      <c r="F466" s="34" t="s">
        <v>3800</v>
      </c>
      <c r="G466" s="37" t="s">
        <v>73</v>
      </c>
      <c r="H466" s="37" t="s">
        <v>73</v>
      </c>
      <c r="I466" s="34" t="s">
        <v>3801</v>
      </c>
      <c r="J466" s="38" t="s">
        <v>41</v>
      </c>
      <c r="K466" s="39" t="s">
        <v>42</v>
      </c>
      <c r="L466" s="120">
        <v>33795</v>
      </c>
      <c r="M466" s="56" t="s">
        <v>179</v>
      </c>
      <c r="N466" s="56" t="s">
        <v>341</v>
      </c>
      <c r="O466" s="56" t="s">
        <v>1878</v>
      </c>
      <c r="P466" s="56"/>
      <c r="Q466" s="56"/>
      <c r="R466" s="56"/>
      <c r="S466" s="56"/>
      <c r="T466" s="56"/>
      <c r="U466" s="56" t="s">
        <v>732</v>
      </c>
      <c r="V466" s="56"/>
      <c r="W466" s="56"/>
      <c r="X466" s="42" t="s">
        <v>3802</v>
      </c>
      <c r="Y466" s="69" t="s">
        <v>3803</v>
      </c>
      <c r="Z466" s="44" t="s">
        <v>3804</v>
      </c>
      <c r="AA466" s="45">
        <v>44041</v>
      </c>
      <c r="AB466" s="101" t="s">
        <v>30</v>
      </c>
      <c r="AC466" s="36" t="s">
        <v>26</v>
      </c>
      <c r="AD466" s="47" t="s">
        <v>49</v>
      </c>
      <c r="AE466" s="48" t="s">
        <v>49</v>
      </c>
      <c r="AF466" s="48" t="s">
        <v>49</v>
      </c>
      <c r="AG466" s="48" t="s">
        <v>49</v>
      </c>
      <c r="AH466" s="48" t="s">
        <v>49</v>
      </c>
      <c r="AI466" s="48" t="s">
        <v>49</v>
      </c>
      <c r="AJ466" s="49" t="s">
        <v>41</v>
      </c>
      <c r="AK466" s="48" t="s">
        <v>41</v>
      </c>
      <c r="AL466" s="62" t="s">
        <v>276</v>
      </c>
      <c r="AM466" s="59"/>
      <c r="AN466" s="10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1"/>
    </row>
    <row r="467" spans="1:51" ht="15" customHeight="1" x14ac:dyDescent="0.2">
      <c r="A467" s="33">
        <f t="shared" si="8"/>
        <v>462</v>
      </c>
      <c r="B467" s="34" t="s">
        <v>3805</v>
      </c>
      <c r="C467" s="35" t="s">
        <v>3806</v>
      </c>
      <c r="D467" s="174" t="s">
        <v>3807</v>
      </c>
      <c r="E467" s="36" t="s">
        <v>54</v>
      </c>
      <c r="F467" s="34" t="s">
        <v>3808</v>
      </c>
      <c r="G467" s="37" t="s">
        <v>73</v>
      </c>
      <c r="H467" s="37" t="s">
        <v>73</v>
      </c>
      <c r="I467" s="38" t="s">
        <v>3809</v>
      </c>
      <c r="J467" s="38" t="s">
        <v>41</v>
      </c>
      <c r="K467" s="39" t="s">
        <v>42</v>
      </c>
      <c r="L467" s="120" t="s">
        <v>3810</v>
      </c>
      <c r="M467" s="56"/>
      <c r="N467" s="56"/>
      <c r="O467" s="56"/>
      <c r="P467" s="56"/>
      <c r="Q467" s="56"/>
      <c r="R467" s="56" t="s">
        <v>44</v>
      </c>
      <c r="S467" s="56"/>
      <c r="T467" s="56"/>
      <c r="U467" s="56" t="s">
        <v>732</v>
      </c>
      <c r="V467" s="56"/>
      <c r="W467" s="56"/>
      <c r="X467" s="42" t="s">
        <v>3811</v>
      </c>
      <c r="Y467" s="58" t="s">
        <v>3812</v>
      </c>
      <c r="Z467" s="121"/>
      <c r="AA467" s="45"/>
      <c r="AB467" s="101"/>
      <c r="AC467" s="36"/>
      <c r="AD467" s="47" t="s">
        <v>49</v>
      </c>
      <c r="AE467" s="48" t="s">
        <v>41</v>
      </c>
      <c r="AF467" s="48" t="s">
        <v>49</v>
      </c>
      <c r="AG467" s="48" t="s">
        <v>49</v>
      </c>
      <c r="AH467" s="48" t="s">
        <v>49</v>
      </c>
      <c r="AI467" s="48" t="s">
        <v>49</v>
      </c>
      <c r="AJ467" s="49" t="s">
        <v>49</v>
      </c>
      <c r="AK467" s="48" t="s">
        <v>49</v>
      </c>
      <c r="AL467" s="62" t="s">
        <v>32</v>
      </c>
      <c r="AM467" s="59"/>
      <c r="AN467" s="10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1"/>
    </row>
    <row r="468" spans="1:51" ht="15" customHeight="1" x14ac:dyDescent="0.2">
      <c r="A468" s="33">
        <f t="shared" si="8"/>
        <v>463</v>
      </c>
      <c r="B468" s="34" t="s">
        <v>3813</v>
      </c>
      <c r="C468" s="35" t="s">
        <v>3814</v>
      </c>
      <c r="D468" s="104" t="s">
        <v>3815</v>
      </c>
      <c r="E468" s="36" t="s">
        <v>54</v>
      </c>
      <c r="F468" s="34" t="s">
        <v>3816</v>
      </c>
      <c r="G468" s="37" t="s">
        <v>73</v>
      </c>
      <c r="H468" s="37" t="s">
        <v>73</v>
      </c>
      <c r="I468" s="34" t="s">
        <v>3746</v>
      </c>
      <c r="J468" s="34" t="s">
        <v>41</v>
      </c>
      <c r="K468" s="39" t="s">
        <v>42</v>
      </c>
      <c r="L468" s="99" t="s">
        <v>3817</v>
      </c>
      <c r="M468" s="56"/>
      <c r="N468" s="56"/>
      <c r="O468" s="56"/>
      <c r="P468" s="56"/>
      <c r="Q468" s="56"/>
      <c r="R468" s="56"/>
      <c r="S468" s="56"/>
      <c r="T468" s="56" t="s">
        <v>732</v>
      </c>
      <c r="U468" s="56"/>
      <c r="V468" s="56"/>
      <c r="W468" s="56"/>
      <c r="X468" s="42" t="s">
        <v>3818</v>
      </c>
      <c r="Y468" s="52" t="s">
        <v>3819</v>
      </c>
      <c r="Z468" s="119"/>
      <c r="AA468" s="45">
        <v>45642</v>
      </c>
      <c r="AB468" s="101"/>
      <c r="AC468" s="36" t="s">
        <v>26</v>
      </c>
      <c r="AD468" s="47" t="s">
        <v>49</v>
      </c>
      <c r="AE468" s="48" t="s">
        <v>49</v>
      </c>
      <c r="AF468" s="48" t="s">
        <v>49</v>
      </c>
      <c r="AG468" s="48" t="s">
        <v>49</v>
      </c>
      <c r="AH468" s="48" t="s">
        <v>49</v>
      </c>
      <c r="AI468" s="48" t="s">
        <v>49</v>
      </c>
      <c r="AJ468" s="49" t="s">
        <v>49</v>
      </c>
      <c r="AK468" s="48" t="s">
        <v>49</v>
      </c>
      <c r="AL468" s="65" t="s">
        <v>32</v>
      </c>
      <c r="AM468" s="59"/>
      <c r="AN468" s="10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1"/>
    </row>
    <row r="469" spans="1:51" ht="15" customHeight="1" x14ac:dyDescent="0.2">
      <c r="A469" s="33">
        <f t="shared" si="8"/>
        <v>464</v>
      </c>
      <c r="B469" s="34" t="s">
        <v>3820</v>
      </c>
      <c r="C469" s="35" t="s">
        <v>3821</v>
      </c>
      <c r="D469" s="36" t="s">
        <v>3822</v>
      </c>
      <c r="E469" s="36" t="s">
        <v>54</v>
      </c>
      <c r="F469" s="34" t="s">
        <v>3808</v>
      </c>
      <c r="G469" s="37" t="s">
        <v>73</v>
      </c>
      <c r="H469" s="37" t="s">
        <v>73</v>
      </c>
      <c r="I469" s="34" t="s">
        <v>3823</v>
      </c>
      <c r="J469" s="34" t="s">
        <v>41</v>
      </c>
      <c r="K469" s="39" t="s">
        <v>42</v>
      </c>
      <c r="L469" s="99" t="s">
        <v>3824</v>
      </c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42" t="s">
        <v>3825</v>
      </c>
      <c r="Y469" s="58" t="s">
        <v>3826</v>
      </c>
      <c r="Z469" s="44" t="s">
        <v>3827</v>
      </c>
      <c r="AA469" s="45">
        <v>44041</v>
      </c>
      <c r="AB469" s="101" t="s">
        <v>30</v>
      </c>
      <c r="AC469" s="36" t="s">
        <v>26</v>
      </c>
      <c r="AD469" s="47" t="s">
        <v>49</v>
      </c>
      <c r="AE469" s="48" t="s">
        <v>49</v>
      </c>
      <c r="AF469" s="48" t="s">
        <v>49</v>
      </c>
      <c r="AG469" s="48" t="s">
        <v>49</v>
      </c>
      <c r="AH469" s="48" t="s">
        <v>49</v>
      </c>
      <c r="AI469" s="48" t="s">
        <v>49</v>
      </c>
      <c r="AJ469" s="49" t="s">
        <v>49</v>
      </c>
      <c r="AK469" s="48" t="s">
        <v>49</v>
      </c>
      <c r="AL469" s="62" t="s">
        <v>32</v>
      </c>
      <c r="AM469" s="59"/>
      <c r="AN469" s="10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1"/>
    </row>
    <row r="470" spans="1:51" ht="15" customHeight="1" x14ac:dyDescent="0.2">
      <c r="A470" s="33">
        <f t="shared" si="8"/>
        <v>465</v>
      </c>
      <c r="B470" s="34" t="s">
        <v>3828</v>
      </c>
      <c r="C470" s="35" t="s">
        <v>3829</v>
      </c>
      <c r="D470" s="36" t="s">
        <v>3830</v>
      </c>
      <c r="E470" s="36" t="s">
        <v>54</v>
      </c>
      <c r="F470" s="34" t="s">
        <v>3831</v>
      </c>
      <c r="G470" s="37" t="s">
        <v>176</v>
      </c>
      <c r="H470" s="37" t="s">
        <v>39</v>
      </c>
      <c r="I470" s="38" t="s">
        <v>3832</v>
      </c>
      <c r="J470" s="34" t="s">
        <v>41</v>
      </c>
      <c r="K470" s="39" t="s">
        <v>42</v>
      </c>
      <c r="L470" s="99" t="s">
        <v>3833</v>
      </c>
      <c r="M470" s="56"/>
      <c r="N470" s="56"/>
      <c r="O470" s="56"/>
      <c r="P470" s="56"/>
      <c r="Q470" s="56"/>
      <c r="R470" s="56"/>
      <c r="S470" s="56"/>
      <c r="T470" s="56" t="s">
        <v>732</v>
      </c>
      <c r="U470" s="56"/>
      <c r="V470" s="56"/>
      <c r="W470" s="56"/>
      <c r="X470" s="42" t="s">
        <v>3834</v>
      </c>
      <c r="Y470" s="58" t="s">
        <v>3835</v>
      </c>
      <c r="Z470" s="58"/>
      <c r="AA470" s="58" t="s">
        <v>47</v>
      </c>
      <c r="AB470" s="101"/>
      <c r="AC470" s="36" t="s">
        <v>26</v>
      </c>
      <c r="AD470" s="47" t="s">
        <v>49</v>
      </c>
      <c r="AE470" s="48" t="s">
        <v>49</v>
      </c>
      <c r="AF470" s="48" t="s">
        <v>49</v>
      </c>
      <c r="AG470" s="48" t="s">
        <v>49</v>
      </c>
      <c r="AH470" s="48" t="s">
        <v>49</v>
      </c>
      <c r="AI470" s="48" t="s">
        <v>41</v>
      </c>
      <c r="AJ470" s="49" t="s">
        <v>41</v>
      </c>
      <c r="AK470" s="48" t="s">
        <v>41</v>
      </c>
      <c r="AL470" s="62" t="s">
        <v>4589</v>
      </c>
      <c r="AM470" s="59"/>
      <c r="AN470" s="10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1"/>
    </row>
    <row r="471" spans="1:51" ht="15" customHeight="1" x14ac:dyDescent="0.2">
      <c r="A471" s="33">
        <f t="shared" si="8"/>
        <v>466</v>
      </c>
      <c r="B471" s="34" t="s">
        <v>3836</v>
      </c>
      <c r="C471" s="35" t="s">
        <v>3837</v>
      </c>
      <c r="D471" s="36" t="s">
        <v>3838</v>
      </c>
      <c r="E471" s="36" t="s">
        <v>54</v>
      </c>
      <c r="F471" s="34" t="s">
        <v>3839</v>
      </c>
      <c r="G471" s="37" t="s">
        <v>252</v>
      </c>
      <c r="H471" s="37" t="s">
        <v>57</v>
      </c>
      <c r="I471" s="38" t="s">
        <v>3840</v>
      </c>
      <c r="J471" s="34" t="s">
        <v>41</v>
      </c>
      <c r="K471" s="39" t="s">
        <v>42</v>
      </c>
      <c r="L471" s="120">
        <v>45322</v>
      </c>
      <c r="M471" s="41"/>
      <c r="N471" s="41"/>
      <c r="O471" s="41"/>
      <c r="P471" s="41"/>
      <c r="Q471" s="41"/>
      <c r="R471" s="41"/>
      <c r="S471" s="41"/>
      <c r="T471" s="41"/>
      <c r="U471" s="41" t="s">
        <v>44</v>
      </c>
      <c r="V471" s="41"/>
      <c r="W471" s="41"/>
      <c r="X471" s="42" t="s">
        <v>3841</v>
      </c>
      <c r="Y471" s="58" t="s">
        <v>3842</v>
      </c>
      <c r="Z471" s="121"/>
      <c r="AA471" s="45"/>
      <c r="AB471" s="101"/>
      <c r="AC471" s="36"/>
      <c r="AD471" s="47" t="s">
        <v>49</v>
      </c>
      <c r="AE471" s="48" t="s">
        <v>41</v>
      </c>
      <c r="AF471" s="48" t="s">
        <v>41</v>
      </c>
      <c r="AG471" s="48" t="s">
        <v>41</v>
      </c>
      <c r="AH471" s="48" t="s">
        <v>41</v>
      </c>
      <c r="AI471" s="48" t="s">
        <v>49</v>
      </c>
      <c r="AJ471" s="49" t="s">
        <v>49</v>
      </c>
      <c r="AK471" s="48" t="s">
        <v>49</v>
      </c>
      <c r="AL471" s="65" t="s">
        <v>32</v>
      </c>
      <c r="AM471" s="59"/>
      <c r="AN471" s="117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1"/>
    </row>
    <row r="472" spans="1:51" ht="15" customHeight="1" x14ac:dyDescent="0.2">
      <c r="A472" s="33">
        <f t="shared" si="8"/>
        <v>467</v>
      </c>
      <c r="B472" s="34" t="s">
        <v>3843</v>
      </c>
      <c r="C472" s="35" t="s">
        <v>3844</v>
      </c>
      <c r="D472" s="36" t="s">
        <v>3845</v>
      </c>
      <c r="E472" s="36" t="s">
        <v>54</v>
      </c>
      <c r="F472" s="34" t="s">
        <v>3846</v>
      </c>
      <c r="G472" s="37" t="s">
        <v>360</v>
      </c>
      <c r="H472" s="37" t="s">
        <v>350</v>
      </c>
      <c r="I472" s="34" t="s">
        <v>3847</v>
      </c>
      <c r="J472" s="34"/>
      <c r="K472" s="39" t="s">
        <v>42</v>
      </c>
      <c r="L472" s="99" t="s">
        <v>3848</v>
      </c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2" t="s">
        <v>3849</v>
      </c>
      <c r="Y472" s="52" t="s">
        <v>3850</v>
      </c>
      <c r="Z472" s="44" t="s">
        <v>61</v>
      </c>
      <c r="AA472" s="45">
        <v>37877</v>
      </c>
      <c r="AB472" s="101" t="s">
        <v>30</v>
      </c>
      <c r="AC472" s="36"/>
      <c r="AD472" s="47" t="s">
        <v>49</v>
      </c>
      <c r="AE472" s="48" t="s">
        <v>41</v>
      </c>
      <c r="AF472" s="48" t="s">
        <v>41</v>
      </c>
      <c r="AG472" s="48" t="s">
        <v>41</v>
      </c>
      <c r="AH472" s="48" t="s">
        <v>41</v>
      </c>
      <c r="AI472" s="48" t="s">
        <v>41</v>
      </c>
      <c r="AJ472" s="49" t="s">
        <v>41</v>
      </c>
      <c r="AK472" s="48" t="s">
        <v>41</v>
      </c>
      <c r="AL472" s="65" t="s">
        <v>4590</v>
      </c>
      <c r="AM472" s="59" t="s">
        <v>3851</v>
      </c>
      <c r="AN472" s="117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1"/>
    </row>
    <row r="473" spans="1:51" ht="15" customHeight="1" x14ac:dyDescent="0.2">
      <c r="A473" s="33">
        <f t="shared" si="8"/>
        <v>468</v>
      </c>
      <c r="B473" s="34" t="s">
        <v>3852</v>
      </c>
      <c r="C473" s="35" t="s">
        <v>3853</v>
      </c>
      <c r="D473" s="36" t="s">
        <v>3854</v>
      </c>
      <c r="E473" s="36" t="s">
        <v>54</v>
      </c>
      <c r="F473" s="34" t="s">
        <v>3855</v>
      </c>
      <c r="G473" s="37" t="s">
        <v>73</v>
      </c>
      <c r="H473" s="37" t="s">
        <v>73</v>
      </c>
      <c r="I473" s="34" t="s">
        <v>3856</v>
      </c>
      <c r="J473" s="34" t="s">
        <v>41</v>
      </c>
      <c r="K473" s="39" t="s">
        <v>42</v>
      </c>
      <c r="L473" s="99" t="s">
        <v>3857</v>
      </c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42" t="s">
        <v>3858</v>
      </c>
      <c r="Y473" s="52" t="s">
        <v>3859</v>
      </c>
      <c r="Z473" s="44" t="s">
        <v>61</v>
      </c>
      <c r="AA473" s="45">
        <v>38593</v>
      </c>
      <c r="AB473" s="101" t="s">
        <v>30</v>
      </c>
      <c r="AC473" s="36" t="s">
        <v>26</v>
      </c>
      <c r="AD473" s="47" t="s">
        <v>49</v>
      </c>
      <c r="AE473" s="48" t="s">
        <v>49</v>
      </c>
      <c r="AF473" s="48" t="s">
        <v>49</v>
      </c>
      <c r="AG473" s="48" t="s">
        <v>49</v>
      </c>
      <c r="AH473" s="48" t="s">
        <v>49</v>
      </c>
      <c r="AI473" s="48" t="s">
        <v>41</v>
      </c>
      <c r="AJ473" s="49" t="s">
        <v>41</v>
      </c>
      <c r="AK473" s="48" t="s">
        <v>41</v>
      </c>
      <c r="AL473" s="62" t="s">
        <v>4589</v>
      </c>
      <c r="AM473" s="59"/>
      <c r="AN473" s="10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1"/>
    </row>
    <row r="474" spans="1:51" ht="15" customHeight="1" x14ac:dyDescent="0.2">
      <c r="A474" s="33">
        <f t="shared" si="8"/>
        <v>469</v>
      </c>
      <c r="B474" s="34" t="s">
        <v>3860</v>
      </c>
      <c r="C474" s="35" t="s">
        <v>3861</v>
      </c>
      <c r="D474" s="36" t="s">
        <v>3862</v>
      </c>
      <c r="E474" s="36" t="s">
        <v>54</v>
      </c>
      <c r="F474" s="34" t="s">
        <v>3863</v>
      </c>
      <c r="G474" s="37" t="s">
        <v>176</v>
      </c>
      <c r="H474" s="37" t="s">
        <v>39</v>
      </c>
      <c r="I474" s="34" t="s">
        <v>3864</v>
      </c>
      <c r="J474" s="34" t="s">
        <v>41</v>
      </c>
      <c r="K474" s="39" t="s">
        <v>42</v>
      </c>
      <c r="L474" s="99" t="s">
        <v>3865</v>
      </c>
      <c r="M474" s="56" t="s">
        <v>179</v>
      </c>
      <c r="N474" s="56" t="s">
        <v>179</v>
      </c>
      <c r="O474" s="56"/>
      <c r="P474" s="56">
        <v>2</v>
      </c>
      <c r="Q474" s="56"/>
      <c r="R474" s="56"/>
      <c r="S474" s="56"/>
      <c r="T474" s="56" t="s">
        <v>732</v>
      </c>
      <c r="U474" s="56"/>
      <c r="V474" s="56"/>
      <c r="W474" s="56"/>
      <c r="X474" s="57" t="s">
        <v>3866</v>
      </c>
      <c r="Y474" s="55" t="s">
        <v>3867</v>
      </c>
      <c r="Z474" s="224" t="s">
        <v>3868</v>
      </c>
      <c r="AA474" s="45">
        <v>42325</v>
      </c>
      <c r="AB474" s="101" t="s">
        <v>30</v>
      </c>
      <c r="AC474" s="36" t="s">
        <v>26</v>
      </c>
      <c r="AD474" s="47" t="s">
        <v>49</v>
      </c>
      <c r="AE474" s="48" t="s">
        <v>49</v>
      </c>
      <c r="AF474" s="48" t="s">
        <v>49</v>
      </c>
      <c r="AG474" s="48" t="s">
        <v>49</v>
      </c>
      <c r="AH474" s="48" t="s">
        <v>49</v>
      </c>
      <c r="AI474" s="48" t="s">
        <v>49</v>
      </c>
      <c r="AJ474" s="49" t="s">
        <v>41</v>
      </c>
      <c r="AK474" s="48" t="s">
        <v>41</v>
      </c>
      <c r="AL474" s="62" t="s">
        <v>276</v>
      </c>
      <c r="AM474" s="59"/>
      <c r="AN474" s="10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1"/>
    </row>
    <row r="475" spans="1:51" ht="15" customHeight="1" x14ac:dyDescent="0.2">
      <c r="A475" s="33">
        <f t="shared" si="8"/>
        <v>470</v>
      </c>
      <c r="B475" s="34" t="s">
        <v>3869</v>
      </c>
      <c r="C475" s="35" t="s">
        <v>3870</v>
      </c>
      <c r="D475" s="36" t="s">
        <v>3871</v>
      </c>
      <c r="E475" s="36" t="s">
        <v>54</v>
      </c>
      <c r="F475" s="34" t="s">
        <v>3872</v>
      </c>
      <c r="G475" s="37" t="s">
        <v>252</v>
      </c>
      <c r="H475" s="37" t="s">
        <v>57</v>
      </c>
      <c r="I475" s="38" t="s">
        <v>3873</v>
      </c>
      <c r="J475" s="34" t="s">
        <v>41</v>
      </c>
      <c r="K475" s="39" t="s">
        <v>42</v>
      </c>
      <c r="L475" s="120">
        <v>45322</v>
      </c>
      <c r="M475" s="56"/>
      <c r="N475" s="56"/>
      <c r="O475" s="56"/>
      <c r="P475" s="56"/>
      <c r="Q475" s="56"/>
      <c r="R475" s="56"/>
      <c r="S475" s="56"/>
      <c r="T475" s="56"/>
      <c r="U475" s="56" t="s">
        <v>44</v>
      </c>
      <c r="V475" s="56"/>
      <c r="W475" s="56"/>
      <c r="X475" s="54" t="s">
        <v>3874</v>
      </c>
      <c r="Y475" s="43" t="s">
        <v>3875</v>
      </c>
      <c r="Z475" s="119"/>
      <c r="AA475" s="45"/>
      <c r="AB475" s="101"/>
      <c r="AC475" s="36"/>
      <c r="AD475" s="47" t="s">
        <v>49</v>
      </c>
      <c r="AE475" s="48" t="s">
        <v>41</v>
      </c>
      <c r="AF475" s="48" t="s">
        <v>41</v>
      </c>
      <c r="AG475" s="48" t="s">
        <v>41</v>
      </c>
      <c r="AH475" s="48" t="s">
        <v>41</v>
      </c>
      <c r="AI475" s="48" t="s">
        <v>49</v>
      </c>
      <c r="AJ475" s="49" t="s">
        <v>49</v>
      </c>
      <c r="AK475" s="48" t="s">
        <v>49</v>
      </c>
      <c r="AL475" s="62" t="s">
        <v>32</v>
      </c>
      <c r="AM475" s="59"/>
      <c r="AN475" s="10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1"/>
    </row>
    <row r="476" spans="1:51" ht="15" customHeight="1" x14ac:dyDescent="0.2">
      <c r="A476" s="33">
        <f t="shared" si="8"/>
        <v>471</v>
      </c>
      <c r="B476" s="34" t="s">
        <v>3876</v>
      </c>
      <c r="C476" s="35" t="s">
        <v>3877</v>
      </c>
      <c r="D476" s="36" t="s">
        <v>3878</v>
      </c>
      <c r="E476" s="36" t="s">
        <v>54</v>
      </c>
      <c r="F476" s="34" t="s">
        <v>3879</v>
      </c>
      <c r="G476" s="37" t="s">
        <v>176</v>
      </c>
      <c r="H476" s="37" t="s">
        <v>39</v>
      </c>
      <c r="I476" s="34" t="s">
        <v>3864</v>
      </c>
      <c r="J476" s="34" t="s">
        <v>41</v>
      </c>
      <c r="K476" s="39" t="s">
        <v>42</v>
      </c>
      <c r="L476" s="99" t="s">
        <v>3865</v>
      </c>
      <c r="M476" s="56"/>
      <c r="N476" s="56"/>
      <c r="O476" s="56"/>
      <c r="P476" s="56"/>
      <c r="Q476" s="56"/>
      <c r="R476" s="56"/>
      <c r="S476" s="56"/>
      <c r="T476" s="56" t="s">
        <v>44</v>
      </c>
      <c r="U476" s="56"/>
      <c r="V476" s="56"/>
      <c r="W476" s="56"/>
      <c r="X476" s="42" t="s">
        <v>3880</v>
      </c>
      <c r="Y476" s="43" t="s">
        <v>3881</v>
      </c>
      <c r="Z476" s="207" t="s">
        <v>3882</v>
      </c>
      <c r="AA476" s="45">
        <v>44944</v>
      </c>
      <c r="AB476" s="101" t="s">
        <v>30</v>
      </c>
      <c r="AC476" s="36"/>
      <c r="AD476" s="47" t="s">
        <v>49</v>
      </c>
      <c r="AE476" s="48" t="s">
        <v>41</v>
      </c>
      <c r="AF476" s="48" t="s">
        <v>41</v>
      </c>
      <c r="AG476" s="48" t="s">
        <v>41</v>
      </c>
      <c r="AH476" s="48" t="s">
        <v>49</v>
      </c>
      <c r="AI476" s="48" t="s">
        <v>49</v>
      </c>
      <c r="AJ476" s="49" t="s">
        <v>49</v>
      </c>
      <c r="AK476" s="48" t="s">
        <v>49</v>
      </c>
      <c r="AL476" s="62" t="s">
        <v>32</v>
      </c>
      <c r="AM476" s="59"/>
      <c r="AN476" s="10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1"/>
    </row>
    <row r="477" spans="1:51" x14ac:dyDescent="0.2">
      <c r="A477" s="33">
        <f t="shared" si="8"/>
        <v>472</v>
      </c>
      <c r="B477" s="34" t="s">
        <v>3883</v>
      </c>
      <c r="C477" s="35" t="s">
        <v>3884</v>
      </c>
      <c r="D477" s="36" t="s">
        <v>3885</v>
      </c>
      <c r="E477" s="36" t="s">
        <v>36</v>
      </c>
      <c r="F477" s="34" t="s">
        <v>3886</v>
      </c>
      <c r="G477" s="37" t="s">
        <v>73</v>
      </c>
      <c r="H477" s="37" t="s">
        <v>73</v>
      </c>
      <c r="I477" s="38" t="s">
        <v>3887</v>
      </c>
      <c r="J477" s="38" t="s">
        <v>41</v>
      </c>
      <c r="K477" s="39" t="s">
        <v>42</v>
      </c>
      <c r="L477" s="120" t="s">
        <v>3888</v>
      </c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42" t="s">
        <v>3889</v>
      </c>
      <c r="Y477" s="58" t="s">
        <v>3890</v>
      </c>
      <c r="Z477" s="119" t="s">
        <v>3891</v>
      </c>
      <c r="AA477" s="45">
        <v>43200</v>
      </c>
      <c r="AB477" s="101" t="s">
        <v>30</v>
      </c>
      <c r="AC477" s="36" t="s">
        <v>26</v>
      </c>
      <c r="AD477" s="64" t="s">
        <v>120</v>
      </c>
      <c r="AE477" s="48" t="s">
        <v>120</v>
      </c>
      <c r="AF477" s="48" t="s">
        <v>120</v>
      </c>
      <c r="AG477" s="48" t="s">
        <v>120</v>
      </c>
      <c r="AH477" s="48" t="s">
        <v>120</v>
      </c>
      <c r="AI477" s="48" t="s">
        <v>120</v>
      </c>
      <c r="AJ477" s="49" t="s">
        <v>41</v>
      </c>
      <c r="AK477" s="48" t="s">
        <v>41</v>
      </c>
      <c r="AL477" s="62" t="s">
        <v>276</v>
      </c>
      <c r="AM477" s="59"/>
      <c r="AN477" s="102"/>
      <c r="AO477" s="32"/>
      <c r="AP477" s="32"/>
      <c r="AQ477" s="32"/>
      <c r="AR477" s="32"/>
      <c r="AS477" s="32"/>
      <c r="AT477" s="32"/>
      <c r="AU477" s="220"/>
      <c r="AV477" s="220"/>
      <c r="AW477" s="220"/>
      <c r="AX477" s="220"/>
      <c r="AY477" s="31"/>
    </row>
    <row r="478" spans="1:51" x14ac:dyDescent="0.2">
      <c r="A478" s="33">
        <f t="shared" si="8"/>
        <v>473</v>
      </c>
      <c r="B478" s="34" t="s">
        <v>3892</v>
      </c>
      <c r="C478" s="35" t="s">
        <v>3893</v>
      </c>
      <c r="D478" s="36" t="s">
        <v>3894</v>
      </c>
      <c r="E478" s="36" t="s">
        <v>36</v>
      </c>
      <c r="F478" s="34" t="s">
        <v>3895</v>
      </c>
      <c r="G478" s="37" t="s">
        <v>73</v>
      </c>
      <c r="H478" s="37" t="s">
        <v>73</v>
      </c>
      <c r="I478" s="38" t="s">
        <v>3896</v>
      </c>
      <c r="J478" s="38" t="s">
        <v>41</v>
      </c>
      <c r="K478" s="39" t="s">
        <v>42</v>
      </c>
      <c r="L478" s="120" t="s">
        <v>3897</v>
      </c>
      <c r="M478" s="56"/>
      <c r="N478" s="56"/>
      <c r="O478" s="56"/>
      <c r="P478" s="56"/>
      <c r="Q478" s="56"/>
      <c r="R478" s="56" t="s">
        <v>44</v>
      </c>
      <c r="S478" s="56"/>
      <c r="T478" s="56"/>
      <c r="U478" s="56"/>
      <c r="V478" s="56"/>
      <c r="W478" s="56"/>
      <c r="X478" s="42" t="s">
        <v>3898</v>
      </c>
      <c r="Y478" s="83" t="s">
        <v>3899</v>
      </c>
      <c r="Z478" s="121" t="s">
        <v>3900</v>
      </c>
      <c r="AA478" s="45">
        <v>44650</v>
      </c>
      <c r="AB478" s="101" t="s">
        <v>30</v>
      </c>
      <c r="AC478" s="36"/>
      <c r="AD478" s="61" t="s">
        <v>49</v>
      </c>
      <c r="AE478" s="48" t="s">
        <v>41</v>
      </c>
      <c r="AF478" s="48" t="s">
        <v>49</v>
      </c>
      <c r="AG478" s="48" t="s">
        <v>49</v>
      </c>
      <c r="AH478" s="48" t="s">
        <v>49</v>
      </c>
      <c r="AI478" s="48" t="s">
        <v>41</v>
      </c>
      <c r="AJ478" s="49" t="s">
        <v>41</v>
      </c>
      <c r="AK478" s="48" t="s">
        <v>41</v>
      </c>
      <c r="AL478" s="62" t="s">
        <v>4589</v>
      </c>
      <c r="AM478" s="59"/>
      <c r="AN478" s="117"/>
      <c r="AO478" s="32"/>
      <c r="AP478" s="32"/>
      <c r="AQ478" s="32"/>
      <c r="AR478" s="32"/>
      <c r="AS478" s="32"/>
      <c r="AT478" s="32"/>
      <c r="AU478" s="220"/>
      <c r="AV478" s="220"/>
      <c r="AW478" s="220"/>
      <c r="AX478" s="220"/>
      <c r="AY478" s="31"/>
    </row>
    <row r="479" spans="1:51" x14ac:dyDescent="0.2">
      <c r="A479" s="33">
        <f t="shared" si="8"/>
        <v>474</v>
      </c>
      <c r="B479" s="34" t="s">
        <v>3901</v>
      </c>
      <c r="C479" s="35" t="s">
        <v>3902</v>
      </c>
      <c r="D479" s="36" t="s">
        <v>3903</v>
      </c>
      <c r="E479" s="36" t="s">
        <v>54</v>
      </c>
      <c r="F479" s="34" t="s">
        <v>3904</v>
      </c>
      <c r="G479" s="37" t="s">
        <v>73</v>
      </c>
      <c r="H479" s="37" t="s">
        <v>73</v>
      </c>
      <c r="I479" s="34" t="s">
        <v>3905</v>
      </c>
      <c r="J479" s="34" t="s">
        <v>3906</v>
      </c>
      <c r="K479" s="39" t="s">
        <v>42</v>
      </c>
      <c r="L479" s="120">
        <v>30353</v>
      </c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2" t="s">
        <v>3907</v>
      </c>
      <c r="Y479" s="52" t="s">
        <v>3908</v>
      </c>
      <c r="Z479" s="44" t="s">
        <v>61</v>
      </c>
      <c r="AA479" s="45">
        <v>34597</v>
      </c>
      <c r="AB479" s="101" t="s">
        <v>30</v>
      </c>
      <c r="AC479" s="36" t="s">
        <v>26</v>
      </c>
      <c r="AD479" s="47" t="s">
        <v>49</v>
      </c>
      <c r="AE479" s="48" t="s">
        <v>49</v>
      </c>
      <c r="AF479" s="48" t="s">
        <v>49</v>
      </c>
      <c r="AG479" s="48" t="s">
        <v>49</v>
      </c>
      <c r="AH479" s="48" t="s">
        <v>49</v>
      </c>
      <c r="AI479" s="48" t="s">
        <v>49</v>
      </c>
      <c r="AJ479" s="49" t="s">
        <v>49</v>
      </c>
      <c r="AK479" s="48" t="s">
        <v>49</v>
      </c>
      <c r="AL479" s="65" t="s">
        <v>32</v>
      </c>
      <c r="AM479" s="59"/>
      <c r="AN479" s="102"/>
      <c r="AO479" s="32"/>
      <c r="AP479" s="32"/>
      <c r="AQ479" s="32"/>
      <c r="AR479" s="32"/>
      <c r="AS479" s="32"/>
      <c r="AT479" s="32"/>
      <c r="AU479" s="234"/>
      <c r="AV479" s="234"/>
      <c r="AW479" s="234"/>
      <c r="AX479" s="234"/>
      <c r="AY479" s="31"/>
    </row>
    <row r="480" spans="1:51" x14ac:dyDescent="0.2">
      <c r="A480" s="33">
        <f t="shared" si="8"/>
        <v>475</v>
      </c>
      <c r="B480" s="34" t="s">
        <v>3909</v>
      </c>
      <c r="C480" s="35" t="s">
        <v>3910</v>
      </c>
      <c r="D480" s="36" t="s">
        <v>3911</v>
      </c>
      <c r="E480" s="36" t="s">
        <v>36</v>
      </c>
      <c r="F480" s="34" t="s">
        <v>3912</v>
      </c>
      <c r="G480" s="37" t="s">
        <v>360</v>
      </c>
      <c r="H480" s="37" t="s">
        <v>350</v>
      </c>
      <c r="I480" s="38" t="s">
        <v>3913</v>
      </c>
      <c r="J480" s="38" t="s">
        <v>41</v>
      </c>
      <c r="K480" s="39" t="s">
        <v>42</v>
      </c>
      <c r="L480" s="120">
        <v>42499</v>
      </c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2" t="s">
        <v>3914</v>
      </c>
      <c r="Y480" s="69" t="s">
        <v>3915</v>
      </c>
      <c r="Z480" s="119" t="s">
        <v>3916</v>
      </c>
      <c r="AA480" s="45">
        <v>42935</v>
      </c>
      <c r="AB480" s="101" t="s">
        <v>30</v>
      </c>
      <c r="AC480" s="36" t="s">
        <v>26</v>
      </c>
      <c r="AD480" s="47" t="s">
        <v>49</v>
      </c>
      <c r="AE480" s="48" t="s">
        <v>49</v>
      </c>
      <c r="AF480" s="48" t="s">
        <v>49</v>
      </c>
      <c r="AG480" s="48" t="s">
        <v>49</v>
      </c>
      <c r="AH480" s="48" t="s">
        <v>49</v>
      </c>
      <c r="AI480" s="48" t="s">
        <v>49</v>
      </c>
      <c r="AJ480" s="49" t="s">
        <v>49</v>
      </c>
      <c r="AK480" s="48" t="s">
        <v>49</v>
      </c>
      <c r="AL480" s="62" t="s">
        <v>32</v>
      </c>
      <c r="AM480" s="59"/>
      <c r="AN480" s="10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1"/>
    </row>
    <row r="481" spans="1:51" ht="20.25" customHeight="1" x14ac:dyDescent="0.2">
      <c r="A481" s="33">
        <f t="shared" si="8"/>
        <v>476</v>
      </c>
      <c r="B481" s="34" t="s">
        <v>3917</v>
      </c>
      <c r="C481" s="35" t="s">
        <v>3918</v>
      </c>
      <c r="D481" s="36" t="s">
        <v>3919</v>
      </c>
      <c r="E481" s="36" t="s">
        <v>54</v>
      </c>
      <c r="F481" s="34" t="s">
        <v>3920</v>
      </c>
      <c r="G481" s="37" t="s">
        <v>73</v>
      </c>
      <c r="H481" s="37" t="s">
        <v>73</v>
      </c>
      <c r="I481" s="34" t="s">
        <v>3921</v>
      </c>
      <c r="J481" s="34" t="s">
        <v>3921</v>
      </c>
      <c r="K481" s="39" t="s">
        <v>42</v>
      </c>
      <c r="L481" s="120" t="s">
        <v>3922</v>
      </c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42" t="s">
        <v>3923</v>
      </c>
      <c r="Y481" s="58" t="s">
        <v>3924</v>
      </c>
      <c r="Z481" s="207" t="s">
        <v>3925</v>
      </c>
      <c r="AA481" s="45">
        <v>44944</v>
      </c>
      <c r="AB481" s="101" t="s">
        <v>30</v>
      </c>
      <c r="AC481" s="36" t="s">
        <v>26</v>
      </c>
      <c r="AD481" s="47" t="s">
        <v>49</v>
      </c>
      <c r="AE481" s="48" t="s">
        <v>49</v>
      </c>
      <c r="AF481" s="48" t="s">
        <v>49</v>
      </c>
      <c r="AG481" s="48" t="s">
        <v>49</v>
      </c>
      <c r="AH481" s="48" t="s">
        <v>49</v>
      </c>
      <c r="AI481" s="48" t="s">
        <v>41</v>
      </c>
      <c r="AJ481" s="49" t="s">
        <v>41</v>
      </c>
      <c r="AK481" s="48" t="s">
        <v>41</v>
      </c>
      <c r="AL481" s="62" t="s">
        <v>4589</v>
      </c>
      <c r="AM481" s="59"/>
      <c r="AN481" s="10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1"/>
    </row>
    <row r="482" spans="1:51" x14ac:dyDescent="0.2">
      <c r="A482" s="33">
        <f t="shared" si="8"/>
        <v>477</v>
      </c>
      <c r="B482" s="34" t="s">
        <v>3926</v>
      </c>
      <c r="C482" s="35" t="s">
        <v>3927</v>
      </c>
      <c r="D482" s="36" t="s">
        <v>3928</v>
      </c>
      <c r="E482" s="36" t="s">
        <v>36</v>
      </c>
      <c r="F482" s="34" t="s">
        <v>3929</v>
      </c>
      <c r="G482" s="37" t="s">
        <v>73</v>
      </c>
      <c r="H482" s="37" t="s">
        <v>73</v>
      </c>
      <c r="I482" s="34" t="s">
        <v>3930</v>
      </c>
      <c r="J482" s="34" t="s">
        <v>3931</v>
      </c>
      <c r="K482" s="39" t="s">
        <v>42</v>
      </c>
      <c r="L482" s="99" t="s">
        <v>3932</v>
      </c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42" t="s">
        <v>3933</v>
      </c>
      <c r="Y482" s="52" t="s">
        <v>3934</v>
      </c>
      <c r="Z482" s="44" t="s">
        <v>3935</v>
      </c>
      <c r="AA482" s="45">
        <v>42935</v>
      </c>
      <c r="AB482" s="101" t="s">
        <v>30</v>
      </c>
      <c r="AC482" s="36" t="s">
        <v>26</v>
      </c>
      <c r="AD482" s="64" t="s">
        <v>120</v>
      </c>
      <c r="AE482" s="48" t="s">
        <v>120</v>
      </c>
      <c r="AF482" s="48" t="s">
        <v>120</v>
      </c>
      <c r="AG482" s="48" t="s">
        <v>120</v>
      </c>
      <c r="AH482" s="48" t="s">
        <v>120</v>
      </c>
      <c r="AI482" s="48" t="s">
        <v>120</v>
      </c>
      <c r="AJ482" s="49" t="s">
        <v>120</v>
      </c>
      <c r="AK482" s="48" t="s">
        <v>120</v>
      </c>
      <c r="AL482" s="62" t="s">
        <v>32</v>
      </c>
      <c r="AM482" s="59"/>
      <c r="AN482" s="10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1"/>
    </row>
    <row r="483" spans="1:51" x14ac:dyDescent="0.2">
      <c r="A483" s="33">
        <f t="shared" si="8"/>
        <v>478</v>
      </c>
      <c r="B483" s="34" t="s">
        <v>3936</v>
      </c>
      <c r="C483" s="35" t="s">
        <v>3937</v>
      </c>
      <c r="D483" s="36" t="s">
        <v>2845</v>
      </c>
      <c r="E483" s="36" t="s">
        <v>54</v>
      </c>
      <c r="F483" s="34" t="s">
        <v>3938</v>
      </c>
      <c r="G483" s="37" t="s">
        <v>73</v>
      </c>
      <c r="H483" s="37" t="s">
        <v>73</v>
      </c>
      <c r="I483" s="34" t="s">
        <v>3939</v>
      </c>
      <c r="J483" s="34" t="s">
        <v>3940</v>
      </c>
      <c r="K483" s="39" t="s">
        <v>42</v>
      </c>
      <c r="L483" s="159" t="s">
        <v>3941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42" t="s">
        <v>3942</v>
      </c>
      <c r="Y483" s="52" t="s">
        <v>3943</v>
      </c>
      <c r="Z483" s="44" t="s">
        <v>3944</v>
      </c>
      <c r="AA483" s="45">
        <v>42935</v>
      </c>
      <c r="AB483" s="160" t="s">
        <v>30</v>
      </c>
      <c r="AC483" s="36" t="s">
        <v>26</v>
      </c>
      <c r="AD483" s="47" t="s">
        <v>49</v>
      </c>
      <c r="AE483" s="48" t="s">
        <v>49</v>
      </c>
      <c r="AF483" s="48" t="s">
        <v>49</v>
      </c>
      <c r="AG483" s="48" t="s">
        <v>49</v>
      </c>
      <c r="AH483" s="48" t="s">
        <v>49</v>
      </c>
      <c r="AI483" s="48" t="s">
        <v>49</v>
      </c>
      <c r="AJ483" s="49" t="s">
        <v>41</v>
      </c>
      <c r="AK483" s="48" t="s">
        <v>41</v>
      </c>
      <c r="AL483" s="62" t="s">
        <v>276</v>
      </c>
      <c r="AM483" s="59"/>
      <c r="AN483" s="10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1"/>
    </row>
    <row r="484" spans="1:51" x14ac:dyDescent="0.2">
      <c r="A484" s="33">
        <f t="shared" si="8"/>
        <v>479</v>
      </c>
      <c r="B484" s="34" t="s">
        <v>3945</v>
      </c>
      <c r="C484" s="35" t="s">
        <v>3946</v>
      </c>
      <c r="D484" s="73" t="s">
        <v>3947</v>
      </c>
      <c r="E484" s="36" t="s">
        <v>54</v>
      </c>
      <c r="F484" s="98" t="s">
        <v>3948</v>
      </c>
      <c r="G484" s="37" t="s">
        <v>73</v>
      </c>
      <c r="H484" s="37" t="s">
        <v>73</v>
      </c>
      <c r="I484" s="38" t="s">
        <v>3949</v>
      </c>
      <c r="J484" s="38" t="s">
        <v>41</v>
      </c>
      <c r="K484" s="39" t="s">
        <v>42</v>
      </c>
      <c r="L484" s="235" t="s">
        <v>3950</v>
      </c>
      <c r="M484" s="68"/>
      <c r="N484" s="68"/>
      <c r="O484" s="68"/>
      <c r="P484" s="68"/>
      <c r="Q484" s="68"/>
      <c r="R484" s="68" t="s">
        <v>44</v>
      </c>
      <c r="S484" s="68"/>
      <c r="T484" s="68"/>
      <c r="U484" s="68"/>
      <c r="V484" s="68"/>
      <c r="W484" s="68"/>
      <c r="X484" s="42" t="s">
        <v>3951</v>
      </c>
      <c r="Y484" s="58" t="s">
        <v>3952</v>
      </c>
      <c r="Z484" s="84" t="s">
        <v>3953</v>
      </c>
      <c r="AA484" s="45">
        <v>44650</v>
      </c>
      <c r="AB484" s="160" t="s">
        <v>30</v>
      </c>
      <c r="AC484" s="73"/>
      <c r="AD484" s="47" t="s">
        <v>49</v>
      </c>
      <c r="AE484" s="48" t="s">
        <v>41</v>
      </c>
      <c r="AF484" s="48" t="s">
        <v>49</v>
      </c>
      <c r="AG484" s="48" t="s">
        <v>41</v>
      </c>
      <c r="AH484" s="48" t="s">
        <v>41</v>
      </c>
      <c r="AI484" s="48" t="s">
        <v>41</v>
      </c>
      <c r="AJ484" s="49" t="s">
        <v>41</v>
      </c>
      <c r="AK484" s="48" t="s">
        <v>41</v>
      </c>
      <c r="AL484" s="62" t="s">
        <v>110</v>
      </c>
      <c r="AM484" s="59"/>
      <c r="AN484" s="10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1"/>
    </row>
    <row r="485" spans="1:51" x14ac:dyDescent="0.2">
      <c r="A485" s="33">
        <f t="shared" si="8"/>
        <v>480</v>
      </c>
      <c r="B485" s="34" t="s">
        <v>3954</v>
      </c>
      <c r="C485" s="35" t="s">
        <v>3955</v>
      </c>
      <c r="D485" s="73" t="s">
        <v>3956</v>
      </c>
      <c r="E485" s="36" t="s">
        <v>54</v>
      </c>
      <c r="F485" s="98" t="s">
        <v>3957</v>
      </c>
      <c r="G485" s="37" t="s">
        <v>73</v>
      </c>
      <c r="H485" s="37" t="s">
        <v>73</v>
      </c>
      <c r="I485" s="38" t="s">
        <v>3958</v>
      </c>
      <c r="J485" s="38" t="s">
        <v>41</v>
      </c>
      <c r="K485" s="39" t="s">
        <v>42</v>
      </c>
      <c r="L485" s="159" t="s">
        <v>3959</v>
      </c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42" t="s">
        <v>3960</v>
      </c>
      <c r="Y485" s="58" t="s">
        <v>3961</v>
      </c>
      <c r="Z485" s="119" t="s">
        <v>3962</v>
      </c>
      <c r="AA485" s="45">
        <v>42325</v>
      </c>
      <c r="AB485" s="160" t="s">
        <v>30</v>
      </c>
      <c r="AC485" s="73"/>
      <c r="AD485" s="47" t="s">
        <v>49</v>
      </c>
      <c r="AE485" s="48" t="s">
        <v>41</v>
      </c>
      <c r="AF485" s="48" t="s">
        <v>41</v>
      </c>
      <c r="AG485" s="48" t="s">
        <v>41</v>
      </c>
      <c r="AH485" s="48" t="s">
        <v>41</v>
      </c>
      <c r="AI485" s="48" t="s">
        <v>41</v>
      </c>
      <c r="AJ485" s="49" t="s">
        <v>41</v>
      </c>
      <c r="AK485" s="48" t="s">
        <v>41</v>
      </c>
      <c r="AL485" s="65" t="s">
        <v>4588</v>
      </c>
      <c r="AM485" s="59"/>
      <c r="AN485" s="10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1"/>
    </row>
    <row r="486" spans="1:51" x14ac:dyDescent="0.2">
      <c r="A486" s="33">
        <f t="shared" si="8"/>
        <v>481</v>
      </c>
      <c r="B486" s="34" t="s">
        <v>3963</v>
      </c>
      <c r="C486" s="35" t="s">
        <v>3964</v>
      </c>
      <c r="D486" s="36" t="s">
        <v>3965</v>
      </c>
      <c r="E486" s="36" t="s">
        <v>54</v>
      </c>
      <c r="F486" s="98" t="s">
        <v>3966</v>
      </c>
      <c r="G486" s="37" t="s">
        <v>1354</v>
      </c>
      <c r="H486" s="37" t="s">
        <v>57</v>
      </c>
      <c r="I486" s="38" t="s">
        <v>3967</v>
      </c>
      <c r="J486" s="38" t="s">
        <v>41</v>
      </c>
      <c r="K486" s="39" t="s">
        <v>42</v>
      </c>
      <c r="L486" s="161">
        <v>44198</v>
      </c>
      <c r="M486" s="68"/>
      <c r="N486" s="68"/>
      <c r="O486" s="68"/>
      <c r="P486" s="68"/>
      <c r="Q486" s="68"/>
      <c r="R486" s="68" t="s">
        <v>44</v>
      </c>
      <c r="S486" s="68"/>
      <c r="T486" s="68"/>
      <c r="U486" s="68"/>
      <c r="V486" s="68"/>
      <c r="W486" s="68"/>
      <c r="X486" s="42" t="s">
        <v>3968</v>
      </c>
      <c r="Y486" s="58" t="s">
        <v>3969</v>
      </c>
      <c r="Z486" s="121" t="s">
        <v>3970</v>
      </c>
      <c r="AA486" s="45">
        <v>44650</v>
      </c>
      <c r="AB486" s="160" t="s">
        <v>30</v>
      </c>
      <c r="AC486" s="73"/>
      <c r="AD486" s="47" t="s">
        <v>49</v>
      </c>
      <c r="AE486" s="48" t="s">
        <v>41</v>
      </c>
      <c r="AF486" s="48" t="s">
        <v>49</v>
      </c>
      <c r="AG486" s="48" t="s">
        <v>49</v>
      </c>
      <c r="AH486" s="48" t="s">
        <v>49</v>
      </c>
      <c r="AI486" s="48" t="s">
        <v>49</v>
      </c>
      <c r="AJ486" s="49" t="s">
        <v>41</v>
      </c>
      <c r="AK486" s="48" t="s">
        <v>41</v>
      </c>
      <c r="AL486" s="62" t="s">
        <v>276</v>
      </c>
      <c r="AM486" s="59"/>
      <c r="AN486" s="10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1"/>
    </row>
    <row r="487" spans="1:51" x14ac:dyDescent="0.2">
      <c r="A487" s="33">
        <f t="shared" si="8"/>
        <v>482</v>
      </c>
      <c r="B487" s="34" t="s">
        <v>3971</v>
      </c>
      <c r="C487" s="35" t="s">
        <v>3972</v>
      </c>
      <c r="D487" s="36" t="s">
        <v>3973</v>
      </c>
      <c r="E487" s="36" t="s">
        <v>54</v>
      </c>
      <c r="F487" s="98" t="s">
        <v>3974</v>
      </c>
      <c r="G487" s="37" t="s">
        <v>377</v>
      </c>
      <c r="H487" s="37" t="s">
        <v>378</v>
      </c>
      <c r="I487" s="38" t="s">
        <v>3975</v>
      </c>
      <c r="J487" s="38" t="s">
        <v>41</v>
      </c>
      <c r="K487" s="39" t="s">
        <v>42</v>
      </c>
      <c r="L487" s="120" t="s">
        <v>3976</v>
      </c>
      <c r="M487" s="56"/>
      <c r="N487" s="56"/>
      <c r="O487" s="56"/>
      <c r="P487" s="56"/>
      <c r="Q487" s="56"/>
      <c r="R487" s="56"/>
      <c r="S487" s="56"/>
      <c r="T487" s="56" t="s">
        <v>44</v>
      </c>
      <c r="U487" s="56"/>
      <c r="V487" s="56"/>
      <c r="W487" s="56"/>
      <c r="X487" s="42" t="s">
        <v>3977</v>
      </c>
      <c r="Y487" s="58" t="s">
        <v>3978</v>
      </c>
      <c r="Z487" s="58"/>
      <c r="AA487" s="45">
        <v>45642</v>
      </c>
      <c r="AB487" s="101"/>
      <c r="AC487" s="73"/>
      <c r="AD487" s="47" t="s">
        <v>49</v>
      </c>
      <c r="AE487" s="48" t="s">
        <v>41</v>
      </c>
      <c r="AF487" s="48" t="s">
        <v>41</v>
      </c>
      <c r="AG487" s="48" t="s">
        <v>41</v>
      </c>
      <c r="AH487" s="48" t="s">
        <v>49</v>
      </c>
      <c r="AI487" s="48" t="s">
        <v>49</v>
      </c>
      <c r="AJ487" s="49" t="s">
        <v>49</v>
      </c>
      <c r="AK487" s="48" t="s">
        <v>41</v>
      </c>
      <c r="AL487" s="62" t="s">
        <v>148</v>
      </c>
      <c r="AM487" s="59"/>
      <c r="AN487" s="10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1"/>
    </row>
    <row r="488" spans="1:51" x14ac:dyDescent="0.2">
      <c r="A488" s="33">
        <f t="shared" si="8"/>
        <v>483</v>
      </c>
      <c r="B488" s="34" t="s">
        <v>3979</v>
      </c>
      <c r="C488" s="35" t="s">
        <v>3980</v>
      </c>
      <c r="D488" s="36" t="s">
        <v>3981</v>
      </c>
      <c r="E488" s="36" t="s">
        <v>54</v>
      </c>
      <c r="F488" s="34" t="s">
        <v>3982</v>
      </c>
      <c r="G488" s="37" t="s">
        <v>73</v>
      </c>
      <c r="H488" s="37" t="s">
        <v>73</v>
      </c>
      <c r="I488" s="34" t="s">
        <v>3983</v>
      </c>
      <c r="J488" s="236" t="s">
        <v>3984</v>
      </c>
      <c r="K488" s="39" t="s">
        <v>42</v>
      </c>
      <c r="L488" s="99" t="s">
        <v>3985</v>
      </c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42" t="s">
        <v>3986</v>
      </c>
      <c r="Y488" s="43" t="s">
        <v>3987</v>
      </c>
      <c r="Z488" s="119" t="s">
        <v>3988</v>
      </c>
      <c r="AA488" s="45">
        <v>41793</v>
      </c>
      <c r="AB488" s="101" t="s">
        <v>30</v>
      </c>
      <c r="AC488" s="36" t="s">
        <v>26</v>
      </c>
      <c r="AD488" s="47" t="s">
        <v>49</v>
      </c>
      <c r="AE488" s="48" t="s">
        <v>49</v>
      </c>
      <c r="AF488" s="48" t="s">
        <v>49</v>
      </c>
      <c r="AG488" s="48" t="s">
        <v>49</v>
      </c>
      <c r="AH488" s="48" t="s">
        <v>41</v>
      </c>
      <c r="AI488" s="48" t="s">
        <v>41</v>
      </c>
      <c r="AJ488" s="49" t="s">
        <v>41</v>
      </c>
      <c r="AK488" s="48" t="s">
        <v>41</v>
      </c>
      <c r="AL488" s="62" t="s">
        <v>139</v>
      </c>
      <c r="AM488" s="59"/>
      <c r="AN488" s="10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1"/>
    </row>
    <row r="489" spans="1:51" x14ac:dyDescent="0.2">
      <c r="A489" s="33">
        <f t="shared" si="8"/>
        <v>484</v>
      </c>
      <c r="B489" s="34" t="s">
        <v>3989</v>
      </c>
      <c r="C489" s="35" t="s">
        <v>3990</v>
      </c>
      <c r="D489" s="36" t="s">
        <v>3991</v>
      </c>
      <c r="E489" s="36" t="s">
        <v>54</v>
      </c>
      <c r="F489" s="98" t="s">
        <v>3992</v>
      </c>
      <c r="G489" s="37" t="s">
        <v>205</v>
      </c>
      <c r="H489" s="37" t="s">
        <v>205</v>
      </c>
      <c r="I489" s="38" t="s">
        <v>3993</v>
      </c>
      <c r="J489" s="34" t="s">
        <v>41</v>
      </c>
      <c r="K489" s="39" t="s">
        <v>42</v>
      </c>
      <c r="L489" s="99" t="s">
        <v>3994</v>
      </c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42" t="s">
        <v>3995</v>
      </c>
      <c r="Y489" s="52" t="s">
        <v>3996</v>
      </c>
      <c r="Z489" s="44" t="s">
        <v>3997</v>
      </c>
      <c r="AA489" s="45">
        <v>41793</v>
      </c>
      <c r="AB489" s="101" t="s">
        <v>30</v>
      </c>
      <c r="AC489" s="36" t="s">
        <v>26</v>
      </c>
      <c r="AD489" s="47" t="s">
        <v>49</v>
      </c>
      <c r="AE489" s="48" t="s">
        <v>49</v>
      </c>
      <c r="AF489" s="48" t="s">
        <v>49</v>
      </c>
      <c r="AG489" s="48" t="s">
        <v>49</v>
      </c>
      <c r="AH489" s="48" t="s">
        <v>49</v>
      </c>
      <c r="AI489" s="48" t="s">
        <v>49</v>
      </c>
      <c r="AJ489" s="49" t="s">
        <v>41</v>
      </c>
      <c r="AK489" s="48" t="s">
        <v>41</v>
      </c>
      <c r="AL489" s="62" t="s">
        <v>276</v>
      </c>
      <c r="AM489" s="59"/>
      <c r="AN489" s="10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1"/>
    </row>
    <row r="490" spans="1:51" x14ac:dyDescent="0.2">
      <c r="A490" s="33">
        <f t="shared" si="8"/>
        <v>485</v>
      </c>
      <c r="B490" s="34" t="s">
        <v>3998</v>
      </c>
      <c r="C490" s="35" t="s">
        <v>3999</v>
      </c>
      <c r="D490" s="36" t="s">
        <v>4000</v>
      </c>
      <c r="E490" s="36" t="s">
        <v>54</v>
      </c>
      <c r="F490" s="98" t="s">
        <v>4001</v>
      </c>
      <c r="G490" s="37" t="s">
        <v>73</v>
      </c>
      <c r="H490" s="37" t="s">
        <v>73</v>
      </c>
      <c r="I490" s="38" t="s">
        <v>4002</v>
      </c>
      <c r="J490" s="107" t="s">
        <v>41</v>
      </c>
      <c r="K490" s="39" t="s">
        <v>42</v>
      </c>
      <c r="L490" s="99" t="s">
        <v>4003</v>
      </c>
      <c r="M490" s="56"/>
      <c r="N490" s="56"/>
      <c r="O490" s="56"/>
      <c r="P490" s="56"/>
      <c r="Q490" s="56"/>
      <c r="R490" s="56"/>
      <c r="S490" s="56" t="s">
        <v>44</v>
      </c>
      <c r="T490" s="56"/>
      <c r="U490" s="56"/>
      <c r="V490" s="56"/>
      <c r="W490" s="56"/>
      <c r="X490" s="42" t="s">
        <v>4004</v>
      </c>
      <c r="Y490" s="43" t="s">
        <v>4005</v>
      </c>
      <c r="Z490" s="121" t="s">
        <v>4006</v>
      </c>
      <c r="AA490" s="45">
        <v>44650</v>
      </c>
      <c r="AB490" s="101" t="s">
        <v>30</v>
      </c>
      <c r="AC490" s="36"/>
      <c r="AD490" s="47" t="s">
        <v>49</v>
      </c>
      <c r="AE490" s="48" t="s">
        <v>41</v>
      </c>
      <c r="AF490" s="48" t="s">
        <v>41</v>
      </c>
      <c r="AG490" s="48" t="s">
        <v>49</v>
      </c>
      <c r="AH490" s="48" t="s">
        <v>49</v>
      </c>
      <c r="AI490" s="48" t="s">
        <v>49</v>
      </c>
      <c r="AJ490" s="49" t="s">
        <v>49</v>
      </c>
      <c r="AK490" s="48" t="s">
        <v>49</v>
      </c>
      <c r="AL490" s="65" t="s">
        <v>32</v>
      </c>
      <c r="AM490" s="59"/>
      <c r="AN490" s="10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1"/>
    </row>
    <row r="491" spans="1:51" x14ac:dyDescent="0.2">
      <c r="A491" s="33">
        <f t="shared" si="8"/>
        <v>486</v>
      </c>
      <c r="B491" s="34" t="s">
        <v>4007</v>
      </c>
      <c r="C491" s="35" t="s">
        <v>4008</v>
      </c>
      <c r="D491" s="73" t="s">
        <v>4009</v>
      </c>
      <c r="E491" s="36" t="s">
        <v>54</v>
      </c>
      <c r="F491" s="98" t="s">
        <v>4010</v>
      </c>
      <c r="G491" s="37" t="s">
        <v>73</v>
      </c>
      <c r="H491" s="37" t="s">
        <v>73</v>
      </c>
      <c r="I491" s="34" t="s">
        <v>4011</v>
      </c>
      <c r="J491" s="34" t="s">
        <v>41</v>
      </c>
      <c r="K491" s="39" t="s">
        <v>42</v>
      </c>
      <c r="L491" s="163" t="s">
        <v>4012</v>
      </c>
      <c r="M491" s="130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42" t="s">
        <v>4013</v>
      </c>
      <c r="Y491" s="52" t="s">
        <v>4014</v>
      </c>
      <c r="Z491" s="44" t="s">
        <v>4015</v>
      </c>
      <c r="AA491" s="45">
        <v>42935</v>
      </c>
      <c r="AB491" s="164" t="s">
        <v>30</v>
      </c>
      <c r="AC491" s="73" t="s">
        <v>26</v>
      </c>
      <c r="AD491" s="47" t="s">
        <v>49</v>
      </c>
      <c r="AE491" s="48" t="s">
        <v>49</v>
      </c>
      <c r="AF491" s="48" t="s">
        <v>49</v>
      </c>
      <c r="AG491" s="48" t="s">
        <v>49</v>
      </c>
      <c r="AH491" s="48" t="s">
        <v>49</v>
      </c>
      <c r="AI491" s="48" t="s">
        <v>49</v>
      </c>
      <c r="AJ491" s="49" t="s">
        <v>49</v>
      </c>
      <c r="AK491" s="48" t="s">
        <v>41</v>
      </c>
      <c r="AL491" s="62" t="s">
        <v>148</v>
      </c>
      <c r="AM491" s="59"/>
      <c r="AN491" s="10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1"/>
    </row>
    <row r="492" spans="1:51" x14ac:dyDescent="0.2">
      <c r="A492" s="33">
        <f t="shared" si="8"/>
        <v>487</v>
      </c>
      <c r="B492" s="34" t="s">
        <v>4016</v>
      </c>
      <c r="C492" s="35" t="s">
        <v>4017</v>
      </c>
      <c r="D492" s="73" t="s">
        <v>4018</v>
      </c>
      <c r="E492" s="36" t="s">
        <v>36</v>
      </c>
      <c r="F492" s="34" t="s">
        <v>4019</v>
      </c>
      <c r="G492" s="37" t="s">
        <v>205</v>
      </c>
      <c r="H492" s="37" t="s">
        <v>205</v>
      </c>
      <c r="I492" s="34" t="s">
        <v>4020</v>
      </c>
      <c r="J492" s="34" t="s">
        <v>4021</v>
      </c>
      <c r="K492" s="39" t="s">
        <v>42</v>
      </c>
      <c r="L492" s="165">
        <v>40706</v>
      </c>
      <c r="M492" s="188"/>
      <c r="N492" s="112"/>
      <c r="O492" s="112"/>
      <c r="P492" s="112"/>
      <c r="Q492" s="112"/>
      <c r="R492" s="41"/>
      <c r="S492" s="41"/>
      <c r="T492" s="41"/>
      <c r="U492" s="41"/>
      <c r="V492" s="41"/>
      <c r="W492" s="41"/>
      <c r="X492" s="57" t="s">
        <v>4022</v>
      </c>
      <c r="Y492" s="58" t="s">
        <v>4023</v>
      </c>
      <c r="Z492" s="44" t="s">
        <v>4024</v>
      </c>
      <c r="AA492" s="45">
        <v>41793</v>
      </c>
      <c r="AB492" s="164" t="s">
        <v>30</v>
      </c>
      <c r="AC492" s="73"/>
      <c r="AD492" s="47" t="s">
        <v>49</v>
      </c>
      <c r="AE492" s="48" t="s">
        <v>41</v>
      </c>
      <c r="AF492" s="48" t="s">
        <v>41</v>
      </c>
      <c r="AG492" s="48" t="s">
        <v>41</v>
      </c>
      <c r="AH492" s="48" t="s">
        <v>41</v>
      </c>
      <c r="AI492" s="48" t="s">
        <v>41</v>
      </c>
      <c r="AJ492" s="49" t="s">
        <v>41</v>
      </c>
      <c r="AK492" s="48" t="s">
        <v>41</v>
      </c>
      <c r="AL492" s="65" t="s">
        <v>4588</v>
      </c>
      <c r="AM492" s="59"/>
      <c r="AN492" s="117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1"/>
    </row>
    <row r="493" spans="1:51" x14ac:dyDescent="0.2">
      <c r="A493" s="33">
        <f t="shared" si="8"/>
        <v>488</v>
      </c>
      <c r="B493" s="34" t="s">
        <v>4025</v>
      </c>
      <c r="C493" s="35" t="s">
        <v>4026</v>
      </c>
      <c r="D493" s="73" t="s">
        <v>4027</v>
      </c>
      <c r="E493" s="36" t="s">
        <v>54</v>
      </c>
      <c r="F493" s="34" t="s">
        <v>4028</v>
      </c>
      <c r="G493" s="37" t="s">
        <v>360</v>
      </c>
      <c r="H493" s="37" t="s">
        <v>350</v>
      </c>
      <c r="I493" s="38" t="s">
        <v>4029</v>
      </c>
      <c r="J493" s="34" t="s">
        <v>41</v>
      </c>
      <c r="K493" s="39" t="s">
        <v>42</v>
      </c>
      <c r="L493" s="120" t="s">
        <v>4030</v>
      </c>
      <c r="M493" s="41"/>
      <c r="N493" s="41"/>
      <c r="O493" s="41"/>
      <c r="P493" s="41"/>
      <c r="Q493" s="41"/>
      <c r="R493" s="41"/>
      <c r="S493" s="41"/>
      <c r="T493" s="41" t="s">
        <v>44</v>
      </c>
      <c r="U493" s="41"/>
      <c r="V493" s="41"/>
      <c r="W493" s="41"/>
      <c r="X493" s="54" t="s">
        <v>4031</v>
      </c>
      <c r="Y493" s="58" t="s">
        <v>4032</v>
      </c>
      <c r="Z493" s="44"/>
      <c r="AA493" s="45">
        <v>45642</v>
      </c>
      <c r="AB493" s="101"/>
      <c r="AC493" s="73"/>
      <c r="AD493" s="47" t="s">
        <v>49</v>
      </c>
      <c r="AE493" s="48" t="s">
        <v>41</v>
      </c>
      <c r="AF493" s="48" t="s">
        <v>41</v>
      </c>
      <c r="AG493" s="48" t="s">
        <v>41</v>
      </c>
      <c r="AH493" s="48" t="s">
        <v>49</v>
      </c>
      <c r="AI493" s="48" t="s">
        <v>49</v>
      </c>
      <c r="AJ493" s="49" t="s">
        <v>49</v>
      </c>
      <c r="AK493" s="48" t="s">
        <v>49</v>
      </c>
      <c r="AL493" s="62" t="s">
        <v>32</v>
      </c>
      <c r="AM493" s="59"/>
      <c r="AN493" s="10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1"/>
    </row>
    <row r="494" spans="1:51" x14ac:dyDescent="0.2">
      <c r="A494" s="33">
        <f t="shared" si="8"/>
        <v>489</v>
      </c>
      <c r="B494" s="34" t="s">
        <v>4033</v>
      </c>
      <c r="C494" s="35" t="s">
        <v>4034</v>
      </c>
      <c r="D494" s="36" t="s">
        <v>4035</v>
      </c>
      <c r="E494" s="36" t="s">
        <v>54</v>
      </c>
      <c r="F494" s="34" t="s">
        <v>4036</v>
      </c>
      <c r="G494" s="37" t="s">
        <v>39</v>
      </c>
      <c r="H494" s="37" t="s">
        <v>39</v>
      </c>
      <c r="I494" s="34" t="s">
        <v>4037</v>
      </c>
      <c r="J494" s="38" t="s">
        <v>4038</v>
      </c>
      <c r="K494" s="39" t="s">
        <v>42</v>
      </c>
      <c r="L494" s="120">
        <v>41924</v>
      </c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42" t="s">
        <v>4039</v>
      </c>
      <c r="Y494" s="83" t="s">
        <v>4040</v>
      </c>
      <c r="Z494" s="44" t="s">
        <v>4041</v>
      </c>
      <c r="AA494" s="45">
        <v>42325</v>
      </c>
      <c r="AB494" s="101" t="s">
        <v>30</v>
      </c>
      <c r="AC494" s="36" t="s">
        <v>26</v>
      </c>
      <c r="AD494" s="47" t="s">
        <v>49</v>
      </c>
      <c r="AE494" s="48" t="s">
        <v>49</v>
      </c>
      <c r="AF494" s="48" t="s">
        <v>49</v>
      </c>
      <c r="AG494" s="48" t="s">
        <v>49</v>
      </c>
      <c r="AH494" s="48" t="s">
        <v>49</v>
      </c>
      <c r="AI494" s="48" t="s">
        <v>49</v>
      </c>
      <c r="AJ494" s="49" t="s">
        <v>49</v>
      </c>
      <c r="AK494" s="48" t="s">
        <v>49</v>
      </c>
      <c r="AL494" s="62" t="s">
        <v>32</v>
      </c>
      <c r="AM494" s="59"/>
      <c r="AN494" s="10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1"/>
    </row>
    <row r="495" spans="1:51" x14ac:dyDescent="0.2">
      <c r="A495" s="33">
        <f t="shared" si="8"/>
        <v>490</v>
      </c>
      <c r="B495" s="34" t="s">
        <v>4042</v>
      </c>
      <c r="C495" s="35" t="s">
        <v>4043</v>
      </c>
      <c r="D495" s="36" t="s">
        <v>4044</v>
      </c>
      <c r="E495" s="36" t="s">
        <v>54</v>
      </c>
      <c r="F495" s="34" t="s">
        <v>4045</v>
      </c>
      <c r="G495" s="37" t="s">
        <v>73</v>
      </c>
      <c r="H495" s="37" t="s">
        <v>73</v>
      </c>
      <c r="I495" s="34" t="s">
        <v>3939</v>
      </c>
      <c r="J495" s="34" t="s">
        <v>4046</v>
      </c>
      <c r="K495" s="39" t="s">
        <v>42</v>
      </c>
      <c r="L495" s="120">
        <v>34761</v>
      </c>
      <c r="M495" s="41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42" t="s">
        <v>4047</v>
      </c>
      <c r="Y495" s="69" t="s">
        <v>4048</v>
      </c>
      <c r="Z495" s="44" t="s">
        <v>4049</v>
      </c>
      <c r="AA495" s="45">
        <v>42325</v>
      </c>
      <c r="AB495" s="101" t="s">
        <v>30</v>
      </c>
      <c r="AC495" s="36" t="s">
        <v>26</v>
      </c>
      <c r="AD495" s="47" t="s">
        <v>49</v>
      </c>
      <c r="AE495" s="48" t="s">
        <v>49</v>
      </c>
      <c r="AF495" s="48" t="s">
        <v>49</v>
      </c>
      <c r="AG495" s="48" t="s">
        <v>49</v>
      </c>
      <c r="AH495" s="48" t="s">
        <v>49</v>
      </c>
      <c r="AI495" s="48" t="s">
        <v>41</v>
      </c>
      <c r="AJ495" s="49" t="s">
        <v>41</v>
      </c>
      <c r="AK495" s="48" t="s">
        <v>41</v>
      </c>
      <c r="AL495" s="62" t="s">
        <v>4589</v>
      </c>
      <c r="AM495" s="59"/>
      <c r="AN495" s="10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1"/>
    </row>
    <row r="496" spans="1:51" x14ac:dyDescent="0.2">
      <c r="A496" s="33">
        <f t="shared" si="8"/>
        <v>491</v>
      </c>
      <c r="B496" s="34" t="s">
        <v>4050</v>
      </c>
      <c r="C496" s="35" t="s">
        <v>4051</v>
      </c>
      <c r="D496" s="73" t="s">
        <v>4052</v>
      </c>
      <c r="E496" s="36" t="s">
        <v>54</v>
      </c>
      <c r="F496" s="98" t="s">
        <v>4053</v>
      </c>
      <c r="G496" s="37" t="s">
        <v>73</v>
      </c>
      <c r="H496" s="37" t="s">
        <v>73</v>
      </c>
      <c r="I496" s="38" t="s">
        <v>4054</v>
      </c>
      <c r="J496" s="34" t="s">
        <v>41</v>
      </c>
      <c r="K496" s="39" t="s">
        <v>42</v>
      </c>
      <c r="L496" s="99" t="s">
        <v>3438</v>
      </c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42" t="s">
        <v>4055</v>
      </c>
      <c r="Y496" s="100" t="s">
        <v>4056</v>
      </c>
      <c r="Z496" s="44" t="s">
        <v>4057</v>
      </c>
      <c r="AA496" s="45">
        <v>44041</v>
      </c>
      <c r="AB496" s="101" t="s">
        <v>30</v>
      </c>
      <c r="AC496" s="73" t="s">
        <v>26</v>
      </c>
      <c r="AD496" s="47" t="s">
        <v>49</v>
      </c>
      <c r="AE496" s="48" t="s">
        <v>49</v>
      </c>
      <c r="AF496" s="48" t="s">
        <v>49</v>
      </c>
      <c r="AG496" s="48" t="s">
        <v>49</v>
      </c>
      <c r="AH496" s="48" t="s">
        <v>49</v>
      </c>
      <c r="AI496" s="48" t="s">
        <v>49</v>
      </c>
      <c r="AJ496" s="49" t="s">
        <v>49</v>
      </c>
      <c r="AK496" s="48" t="s">
        <v>41</v>
      </c>
      <c r="AL496" s="65" t="s">
        <v>148</v>
      </c>
      <c r="AM496" s="59"/>
      <c r="AN496" s="10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1"/>
    </row>
    <row r="497" spans="1:51" x14ac:dyDescent="0.2">
      <c r="A497" s="33">
        <f t="shared" si="8"/>
        <v>492</v>
      </c>
      <c r="B497" s="34" t="s">
        <v>4058</v>
      </c>
      <c r="C497" s="35" t="s">
        <v>4059</v>
      </c>
      <c r="D497" s="73" t="s">
        <v>4060</v>
      </c>
      <c r="E497" s="36" t="s">
        <v>54</v>
      </c>
      <c r="F497" s="98" t="s">
        <v>4061</v>
      </c>
      <c r="G497" s="37" t="s">
        <v>349</v>
      </c>
      <c r="H497" s="37" t="s">
        <v>350</v>
      </c>
      <c r="I497" s="38" t="s">
        <v>4062</v>
      </c>
      <c r="J497" s="34" t="s">
        <v>41</v>
      </c>
      <c r="K497" s="39" t="s">
        <v>42</v>
      </c>
      <c r="L497" s="99" t="s">
        <v>4063</v>
      </c>
      <c r="M497" s="56"/>
      <c r="N497" s="56"/>
      <c r="O497" s="56"/>
      <c r="P497" s="56"/>
      <c r="Q497" s="56"/>
      <c r="R497" s="56" t="s">
        <v>44</v>
      </c>
      <c r="S497" s="56"/>
      <c r="T497" s="56"/>
      <c r="U497" s="56"/>
      <c r="V497" s="56"/>
      <c r="W497" s="56"/>
      <c r="X497" s="42" t="s">
        <v>4064</v>
      </c>
      <c r="Y497" s="100" t="s">
        <v>4065</v>
      </c>
      <c r="Z497" s="84" t="s">
        <v>4066</v>
      </c>
      <c r="AA497" s="45">
        <v>44650</v>
      </c>
      <c r="AB497" s="101" t="s">
        <v>30</v>
      </c>
      <c r="AC497" s="73"/>
      <c r="AD497" s="47" t="s">
        <v>49</v>
      </c>
      <c r="AE497" s="48" t="s">
        <v>41</v>
      </c>
      <c r="AF497" s="48" t="s">
        <v>49</v>
      </c>
      <c r="AG497" s="48" t="s">
        <v>49</v>
      </c>
      <c r="AH497" s="48" t="s">
        <v>49</v>
      </c>
      <c r="AI497" s="48" t="s">
        <v>49</v>
      </c>
      <c r="AJ497" s="49" t="s">
        <v>49</v>
      </c>
      <c r="AK497" s="48" t="s">
        <v>49</v>
      </c>
      <c r="AL497" s="65" t="s">
        <v>32</v>
      </c>
      <c r="AM497" s="59"/>
      <c r="AN497" s="10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1"/>
    </row>
    <row r="498" spans="1:51" x14ac:dyDescent="0.2">
      <c r="A498" s="33">
        <f t="shared" si="8"/>
        <v>493</v>
      </c>
      <c r="B498" s="34" t="s">
        <v>4067</v>
      </c>
      <c r="C498" s="35" t="s">
        <v>4068</v>
      </c>
      <c r="D498" s="73" t="s">
        <v>4069</v>
      </c>
      <c r="E498" s="36" t="s">
        <v>54</v>
      </c>
      <c r="F498" s="98" t="s">
        <v>4070</v>
      </c>
      <c r="G498" s="37" t="s">
        <v>349</v>
      </c>
      <c r="H498" s="37" t="s">
        <v>350</v>
      </c>
      <c r="I498" s="38" t="s">
        <v>4071</v>
      </c>
      <c r="J498" s="34" t="s">
        <v>41</v>
      </c>
      <c r="K498" s="39" t="s">
        <v>42</v>
      </c>
      <c r="L498" s="99" t="s">
        <v>4072</v>
      </c>
      <c r="M498" s="56"/>
      <c r="N498" s="56"/>
      <c r="O498" s="56"/>
      <c r="P498" s="56"/>
      <c r="Q498" s="56"/>
      <c r="R498" s="56" t="s">
        <v>44</v>
      </c>
      <c r="S498" s="56"/>
      <c r="T498" s="56"/>
      <c r="U498" s="56"/>
      <c r="V498" s="56"/>
      <c r="W498" s="56"/>
      <c r="X498" s="42" t="s">
        <v>4073</v>
      </c>
      <c r="Y498" s="100" t="s">
        <v>4074</v>
      </c>
      <c r="Z498" s="84" t="s">
        <v>4075</v>
      </c>
      <c r="AA498" s="45">
        <v>44650</v>
      </c>
      <c r="AB498" s="101" t="s">
        <v>30</v>
      </c>
      <c r="AC498" s="73"/>
      <c r="AD498" s="47" t="s">
        <v>49</v>
      </c>
      <c r="AE498" s="48" t="s">
        <v>41</v>
      </c>
      <c r="AF498" s="48" t="s">
        <v>49</v>
      </c>
      <c r="AG498" s="48" t="s">
        <v>49</v>
      </c>
      <c r="AH498" s="48" t="s">
        <v>49</v>
      </c>
      <c r="AI498" s="48" t="s">
        <v>49</v>
      </c>
      <c r="AJ498" s="49" t="s">
        <v>49</v>
      </c>
      <c r="AK498" s="48" t="s">
        <v>49</v>
      </c>
      <c r="AL498" s="62" t="s">
        <v>32</v>
      </c>
      <c r="AM498" s="59"/>
      <c r="AN498" s="10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1"/>
    </row>
    <row r="499" spans="1:51" x14ac:dyDescent="0.2">
      <c r="A499" s="33">
        <f t="shared" si="8"/>
        <v>494</v>
      </c>
      <c r="B499" s="34" t="s">
        <v>4076</v>
      </c>
      <c r="C499" s="35" t="s">
        <v>4077</v>
      </c>
      <c r="D499" s="36" t="s">
        <v>4078</v>
      </c>
      <c r="E499" s="36" t="s">
        <v>54</v>
      </c>
      <c r="F499" s="34" t="s">
        <v>4079</v>
      </c>
      <c r="G499" s="37" t="s">
        <v>38</v>
      </c>
      <c r="H499" s="37" t="s">
        <v>39</v>
      </c>
      <c r="I499" s="34" t="s">
        <v>4080</v>
      </c>
      <c r="J499" s="34" t="s">
        <v>41</v>
      </c>
      <c r="K499" s="39" t="s">
        <v>42</v>
      </c>
      <c r="L499" s="99" t="s">
        <v>4081</v>
      </c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42" t="s">
        <v>4082</v>
      </c>
      <c r="Y499" s="58" t="s">
        <v>4083</v>
      </c>
      <c r="Z499" s="119" t="s">
        <v>61</v>
      </c>
      <c r="AA499" s="45">
        <v>39286</v>
      </c>
      <c r="AB499" s="101" t="s">
        <v>30</v>
      </c>
      <c r="AC499" s="36" t="s">
        <v>26</v>
      </c>
      <c r="AD499" s="47" t="s">
        <v>49</v>
      </c>
      <c r="AE499" s="48" t="s">
        <v>49</v>
      </c>
      <c r="AF499" s="48" t="s">
        <v>49</v>
      </c>
      <c r="AG499" s="48" t="s">
        <v>49</v>
      </c>
      <c r="AH499" s="48" t="s">
        <v>49</v>
      </c>
      <c r="AI499" s="48" t="s">
        <v>49</v>
      </c>
      <c r="AJ499" s="49" t="s">
        <v>49</v>
      </c>
      <c r="AK499" s="48" t="s">
        <v>41</v>
      </c>
      <c r="AL499" s="65" t="s">
        <v>148</v>
      </c>
      <c r="AM499" s="59"/>
      <c r="AN499" s="10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1"/>
    </row>
    <row r="500" spans="1:51" x14ac:dyDescent="0.2">
      <c r="A500" s="33">
        <f t="shared" si="8"/>
        <v>495</v>
      </c>
      <c r="B500" s="34" t="s">
        <v>4084</v>
      </c>
      <c r="C500" s="35" t="s">
        <v>4085</v>
      </c>
      <c r="D500" s="36" t="s">
        <v>4086</v>
      </c>
      <c r="E500" s="36" t="s">
        <v>54</v>
      </c>
      <c r="F500" s="34" t="s">
        <v>4087</v>
      </c>
      <c r="G500" s="37" t="s">
        <v>243</v>
      </c>
      <c r="H500" s="37" t="s">
        <v>205</v>
      </c>
      <c r="I500" s="34" t="s">
        <v>4088</v>
      </c>
      <c r="J500" s="34" t="s">
        <v>41</v>
      </c>
      <c r="K500" s="39" t="s">
        <v>42</v>
      </c>
      <c r="L500" s="99" t="s">
        <v>4089</v>
      </c>
      <c r="M500" s="56" t="s">
        <v>179</v>
      </c>
      <c r="N500" s="56" t="s">
        <v>179</v>
      </c>
      <c r="O500" s="56"/>
      <c r="P500" s="56">
        <v>2</v>
      </c>
      <c r="Q500" s="56"/>
      <c r="R500" s="56"/>
      <c r="S500" s="56"/>
      <c r="T500" s="56"/>
      <c r="U500" s="56" t="s">
        <v>732</v>
      </c>
      <c r="V500" s="56"/>
      <c r="W500" s="56"/>
      <c r="X500" s="42" t="s">
        <v>4090</v>
      </c>
      <c r="Y500" s="58" t="s">
        <v>4091</v>
      </c>
      <c r="Z500" s="44"/>
      <c r="AA500" s="45"/>
      <c r="AB500" s="101"/>
      <c r="AC500" s="73" t="s">
        <v>26</v>
      </c>
      <c r="AD500" s="47" t="s">
        <v>49</v>
      </c>
      <c r="AE500" s="48" t="s">
        <v>49</v>
      </c>
      <c r="AF500" s="48" t="s">
        <v>49</v>
      </c>
      <c r="AG500" s="48" t="s">
        <v>49</v>
      </c>
      <c r="AH500" s="48" t="s">
        <v>49</v>
      </c>
      <c r="AI500" s="48" t="s">
        <v>49</v>
      </c>
      <c r="AJ500" s="49" t="s">
        <v>41</v>
      </c>
      <c r="AK500" s="48" t="s">
        <v>41</v>
      </c>
      <c r="AL500" s="62" t="s">
        <v>276</v>
      </c>
      <c r="AM500" s="59"/>
      <c r="AN500" s="10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1"/>
    </row>
    <row r="501" spans="1:51" x14ac:dyDescent="0.2">
      <c r="A501" s="33">
        <f t="shared" si="8"/>
        <v>496</v>
      </c>
      <c r="B501" s="34" t="s">
        <v>4092</v>
      </c>
      <c r="C501" s="35" t="s">
        <v>4093</v>
      </c>
      <c r="D501" s="73" t="s">
        <v>4094</v>
      </c>
      <c r="E501" s="36" t="s">
        <v>54</v>
      </c>
      <c r="F501" s="98" t="s">
        <v>4095</v>
      </c>
      <c r="G501" s="37" t="s">
        <v>73</v>
      </c>
      <c r="H501" s="37" t="s">
        <v>73</v>
      </c>
      <c r="I501" s="38" t="s">
        <v>4096</v>
      </c>
      <c r="J501" s="34" t="s">
        <v>41</v>
      </c>
      <c r="K501" s="39" t="s">
        <v>42</v>
      </c>
      <c r="L501" s="99" t="s">
        <v>4097</v>
      </c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42" t="s">
        <v>4098</v>
      </c>
      <c r="Y501" s="100" t="s">
        <v>4099</v>
      </c>
      <c r="Z501" s="121" t="s">
        <v>4100</v>
      </c>
      <c r="AA501" s="45">
        <v>44650</v>
      </c>
      <c r="AB501" s="101" t="s">
        <v>30</v>
      </c>
      <c r="AC501" s="73" t="s">
        <v>26</v>
      </c>
      <c r="AD501" s="47" t="s">
        <v>49</v>
      </c>
      <c r="AE501" s="48" t="s">
        <v>49</v>
      </c>
      <c r="AF501" s="48" t="s">
        <v>49</v>
      </c>
      <c r="AG501" s="48" t="s">
        <v>49</v>
      </c>
      <c r="AH501" s="48" t="s">
        <v>49</v>
      </c>
      <c r="AI501" s="48" t="s">
        <v>49</v>
      </c>
      <c r="AJ501" s="49" t="s">
        <v>49</v>
      </c>
      <c r="AK501" s="48" t="s">
        <v>49</v>
      </c>
      <c r="AL501" s="65" t="s">
        <v>32</v>
      </c>
      <c r="AM501" s="59"/>
      <c r="AN501" s="10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1"/>
    </row>
    <row r="502" spans="1:51" x14ac:dyDescent="0.2">
      <c r="A502" s="33">
        <f t="shared" si="8"/>
        <v>497</v>
      </c>
      <c r="B502" s="34" t="s">
        <v>4101</v>
      </c>
      <c r="C502" s="35" t="s">
        <v>4102</v>
      </c>
      <c r="D502" s="36" t="s">
        <v>4103</v>
      </c>
      <c r="E502" s="36" t="s">
        <v>54</v>
      </c>
      <c r="F502" s="34" t="s">
        <v>4104</v>
      </c>
      <c r="G502" s="37" t="s">
        <v>73</v>
      </c>
      <c r="H502" s="37" t="s">
        <v>73</v>
      </c>
      <c r="I502" s="34" t="s">
        <v>4105</v>
      </c>
      <c r="J502" s="34" t="s">
        <v>4106</v>
      </c>
      <c r="K502" s="39" t="s">
        <v>42</v>
      </c>
      <c r="L502" s="99" t="s">
        <v>4107</v>
      </c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42" t="s">
        <v>4108</v>
      </c>
      <c r="Y502" s="43" t="s">
        <v>4109</v>
      </c>
      <c r="Z502" s="44" t="s">
        <v>4110</v>
      </c>
      <c r="AA502" s="45">
        <v>42935</v>
      </c>
      <c r="AB502" s="101" t="s">
        <v>30</v>
      </c>
      <c r="AC502" s="36" t="s">
        <v>26</v>
      </c>
      <c r="AD502" s="47" t="s">
        <v>49</v>
      </c>
      <c r="AE502" s="48" t="s">
        <v>49</v>
      </c>
      <c r="AF502" s="48" t="s">
        <v>49</v>
      </c>
      <c r="AG502" s="48" t="s">
        <v>49</v>
      </c>
      <c r="AH502" s="48" t="s">
        <v>49</v>
      </c>
      <c r="AI502" s="48" t="s">
        <v>49</v>
      </c>
      <c r="AJ502" s="49" t="s">
        <v>49</v>
      </c>
      <c r="AK502" s="48" t="s">
        <v>49</v>
      </c>
      <c r="AL502" s="65" t="s">
        <v>32</v>
      </c>
      <c r="AM502" s="59"/>
      <c r="AN502" s="10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1"/>
    </row>
    <row r="503" spans="1:51" x14ac:dyDescent="0.2">
      <c r="A503" s="33">
        <f t="shared" si="8"/>
        <v>498</v>
      </c>
      <c r="B503" s="34" t="s">
        <v>4111</v>
      </c>
      <c r="C503" s="35" t="s">
        <v>4112</v>
      </c>
      <c r="D503" s="36" t="s">
        <v>4113</v>
      </c>
      <c r="E503" s="36" t="s">
        <v>54</v>
      </c>
      <c r="F503" s="237" t="s">
        <v>4114</v>
      </c>
      <c r="G503" s="37" t="s">
        <v>73</v>
      </c>
      <c r="H503" s="37" t="s">
        <v>73</v>
      </c>
      <c r="I503" s="34" t="s">
        <v>4115</v>
      </c>
      <c r="J503" s="34" t="s">
        <v>41</v>
      </c>
      <c r="K503" s="39" t="s">
        <v>42</v>
      </c>
      <c r="L503" s="120">
        <v>30353</v>
      </c>
      <c r="M503" s="56" t="s">
        <v>179</v>
      </c>
      <c r="N503" s="56"/>
      <c r="O503" s="56"/>
      <c r="P503" s="56">
        <v>2</v>
      </c>
      <c r="Q503" s="56" t="s">
        <v>4116</v>
      </c>
      <c r="R503" s="56"/>
      <c r="S503" s="56"/>
      <c r="T503" s="56"/>
      <c r="U503" s="56"/>
      <c r="V503" s="56"/>
      <c r="W503" s="56"/>
      <c r="X503" s="42" t="s">
        <v>4117</v>
      </c>
      <c r="Y503" s="58" t="s">
        <v>4118</v>
      </c>
      <c r="Z503" s="44"/>
      <c r="AA503" s="45" t="s">
        <v>47</v>
      </c>
      <c r="AB503" s="101"/>
      <c r="AC503" s="36" t="s">
        <v>26</v>
      </c>
      <c r="AD503" s="66" t="s">
        <v>130</v>
      </c>
      <c r="AE503" s="48" t="s">
        <v>130</v>
      </c>
      <c r="AF503" s="48" t="s">
        <v>41</v>
      </c>
      <c r="AG503" s="48" t="s">
        <v>41</v>
      </c>
      <c r="AH503" s="48" t="s">
        <v>41</v>
      </c>
      <c r="AI503" s="48" t="s">
        <v>41</v>
      </c>
      <c r="AJ503" s="49" t="s">
        <v>41</v>
      </c>
      <c r="AK503" s="48" t="s">
        <v>41</v>
      </c>
      <c r="AL503" s="62" t="s">
        <v>4587</v>
      </c>
      <c r="AM503" s="59"/>
      <c r="AN503" s="10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1"/>
    </row>
    <row r="504" spans="1:51" x14ac:dyDescent="0.2">
      <c r="A504" s="33">
        <f t="shared" si="8"/>
        <v>499</v>
      </c>
      <c r="B504" s="107" t="s">
        <v>4119</v>
      </c>
      <c r="C504" s="35" t="s">
        <v>4120</v>
      </c>
      <c r="D504" s="36" t="s">
        <v>4121</v>
      </c>
      <c r="E504" s="36" t="s">
        <v>54</v>
      </c>
      <c r="F504" s="34" t="s">
        <v>4122</v>
      </c>
      <c r="G504" s="37" t="s">
        <v>1354</v>
      </c>
      <c r="H504" s="37" t="s">
        <v>57</v>
      </c>
      <c r="I504" s="34" t="s">
        <v>4123</v>
      </c>
      <c r="J504" s="34" t="s">
        <v>41</v>
      </c>
      <c r="K504" s="39" t="s">
        <v>42</v>
      </c>
      <c r="L504" s="228" t="s">
        <v>4124</v>
      </c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42" t="s">
        <v>4125</v>
      </c>
      <c r="Y504" s="58" t="s">
        <v>4126</v>
      </c>
      <c r="Z504" s="44" t="s">
        <v>4127</v>
      </c>
      <c r="AA504" s="45">
        <v>42325</v>
      </c>
      <c r="AB504" s="101"/>
      <c r="AC504" s="36" t="s">
        <v>26</v>
      </c>
      <c r="AD504" s="47" t="s">
        <v>49</v>
      </c>
      <c r="AE504" s="48" t="s">
        <v>49</v>
      </c>
      <c r="AF504" s="48" t="s">
        <v>49</v>
      </c>
      <c r="AG504" s="48" t="s">
        <v>49</v>
      </c>
      <c r="AH504" s="48" t="s">
        <v>49</v>
      </c>
      <c r="AI504" s="48" t="s">
        <v>49</v>
      </c>
      <c r="AJ504" s="49" t="s">
        <v>49</v>
      </c>
      <c r="AK504" s="48" t="s">
        <v>49</v>
      </c>
      <c r="AL504" s="65" t="s">
        <v>32</v>
      </c>
      <c r="AM504" s="59"/>
      <c r="AN504" s="10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1"/>
    </row>
    <row r="505" spans="1:51" x14ac:dyDescent="0.2">
      <c r="A505" s="33">
        <f t="shared" si="8"/>
        <v>500</v>
      </c>
      <c r="B505" s="34" t="s">
        <v>4128</v>
      </c>
      <c r="C505" s="35" t="s">
        <v>4129</v>
      </c>
      <c r="D505" s="36" t="s">
        <v>4130</v>
      </c>
      <c r="E505" s="36" t="s">
        <v>54</v>
      </c>
      <c r="F505" s="52" t="s">
        <v>4131</v>
      </c>
      <c r="G505" s="37" t="s">
        <v>323</v>
      </c>
      <c r="H505" s="37" t="s">
        <v>39</v>
      </c>
      <c r="I505" s="34" t="s">
        <v>4132</v>
      </c>
      <c r="J505" s="34" t="s">
        <v>41</v>
      </c>
      <c r="K505" s="39" t="s">
        <v>42</v>
      </c>
      <c r="L505" s="99" t="s">
        <v>4133</v>
      </c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42" t="s">
        <v>4134</v>
      </c>
      <c r="Y505" s="58" t="s">
        <v>4135</v>
      </c>
      <c r="Z505" s="44" t="s">
        <v>61</v>
      </c>
      <c r="AA505" s="45">
        <v>40280</v>
      </c>
      <c r="AB505" s="101" t="s">
        <v>30</v>
      </c>
      <c r="AC505" s="36" t="s">
        <v>26</v>
      </c>
      <c r="AD505" s="47" t="s">
        <v>49</v>
      </c>
      <c r="AE505" s="48" t="s">
        <v>49</v>
      </c>
      <c r="AF505" s="48" t="s">
        <v>49</v>
      </c>
      <c r="AG505" s="48" t="s">
        <v>49</v>
      </c>
      <c r="AH505" s="48" t="s">
        <v>49</v>
      </c>
      <c r="AI505" s="48" t="s">
        <v>49</v>
      </c>
      <c r="AJ505" s="49" t="s">
        <v>49</v>
      </c>
      <c r="AK505" s="48" t="s">
        <v>41</v>
      </c>
      <c r="AL505" s="65" t="s">
        <v>148</v>
      </c>
      <c r="AM505" s="59"/>
      <c r="AN505" s="10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1"/>
    </row>
    <row r="506" spans="1:51" x14ac:dyDescent="0.2">
      <c r="A506" s="33">
        <f t="shared" si="8"/>
        <v>501</v>
      </c>
      <c r="B506" s="107" t="s">
        <v>4136</v>
      </c>
      <c r="C506" s="35" t="s">
        <v>4137</v>
      </c>
      <c r="D506" s="154" t="s">
        <v>4138</v>
      </c>
      <c r="E506" s="36" t="s">
        <v>36</v>
      </c>
      <c r="F506" s="238" t="s">
        <v>4139</v>
      </c>
      <c r="G506" s="75" t="s">
        <v>243</v>
      </c>
      <c r="H506" s="75" t="s">
        <v>205</v>
      </c>
      <c r="I506" s="239" t="s">
        <v>4140</v>
      </c>
      <c r="J506" s="72" t="s">
        <v>41</v>
      </c>
      <c r="K506" s="77" t="s">
        <v>42</v>
      </c>
      <c r="L506" s="228" t="s">
        <v>4141</v>
      </c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42" t="s">
        <v>4142</v>
      </c>
      <c r="Y506" s="58" t="s">
        <v>4143</v>
      </c>
      <c r="Z506" s="44" t="s">
        <v>61</v>
      </c>
      <c r="AA506" s="45">
        <v>40280</v>
      </c>
      <c r="AB506" s="206" t="s">
        <v>30</v>
      </c>
      <c r="AC506" s="154" t="s">
        <v>26</v>
      </c>
      <c r="AD506" s="81" t="s">
        <v>49</v>
      </c>
      <c r="AE506" s="48" t="s">
        <v>49</v>
      </c>
      <c r="AF506" s="48" t="s">
        <v>49</v>
      </c>
      <c r="AG506" s="48" t="s">
        <v>49</v>
      </c>
      <c r="AH506" s="48" t="s">
        <v>49</v>
      </c>
      <c r="AI506" s="48" t="s">
        <v>49</v>
      </c>
      <c r="AJ506" s="49" t="s">
        <v>41</v>
      </c>
      <c r="AK506" s="48" t="s">
        <v>41</v>
      </c>
      <c r="AL506" s="62" t="s">
        <v>276</v>
      </c>
      <c r="AM506" s="59"/>
      <c r="AN506" s="10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1"/>
    </row>
    <row r="507" spans="1:51" x14ac:dyDescent="0.2">
      <c r="A507" s="33">
        <f t="shared" si="8"/>
        <v>502</v>
      </c>
      <c r="B507" s="34" t="s">
        <v>4144</v>
      </c>
      <c r="C507" s="35" t="s">
        <v>4145</v>
      </c>
      <c r="D507" s="36" t="s">
        <v>4146</v>
      </c>
      <c r="E507" s="36" t="s">
        <v>54</v>
      </c>
      <c r="F507" s="60" t="s">
        <v>4147</v>
      </c>
      <c r="G507" s="37" t="s">
        <v>176</v>
      </c>
      <c r="H507" s="37" t="s">
        <v>39</v>
      </c>
      <c r="I507" s="240" t="s">
        <v>4148</v>
      </c>
      <c r="J507" s="34" t="s">
        <v>41</v>
      </c>
      <c r="K507" s="39" t="s">
        <v>42</v>
      </c>
      <c r="L507" s="99" t="s">
        <v>1955</v>
      </c>
      <c r="M507" s="56"/>
      <c r="N507" s="56"/>
      <c r="O507" s="56"/>
      <c r="P507" s="56"/>
      <c r="Q507" s="56"/>
      <c r="R507" s="56"/>
      <c r="S507" s="56" t="s">
        <v>44</v>
      </c>
      <c r="T507" s="56"/>
      <c r="U507" s="56"/>
      <c r="V507" s="56"/>
      <c r="W507" s="56"/>
      <c r="X507" s="42" t="s">
        <v>4149</v>
      </c>
      <c r="Y507" s="58" t="s">
        <v>4150</v>
      </c>
      <c r="Z507" s="44"/>
      <c r="AA507" s="45">
        <v>45642</v>
      </c>
      <c r="AB507" s="101"/>
      <c r="AC507" s="36"/>
      <c r="AD507" s="47" t="s">
        <v>49</v>
      </c>
      <c r="AE507" s="48" t="s">
        <v>41</v>
      </c>
      <c r="AF507" s="48" t="s">
        <v>41</v>
      </c>
      <c r="AG507" s="48" t="s">
        <v>49</v>
      </c>
      <c r="AH507" s="48" t="s">
        <v>49</v>
      </c>
      <c r="AI507" s="48" t="s">
        <v>49</v>
      </c>
      <c r="AJ507" s="49" t="s">
        <v>41</v>
      </c>
      <c r="AK507" s="48" t="s">
        <v>41</v>
      </c>
      <c r="AL507" s="62" t="s">
        <v>276</v>
      </c>
      <c r="AM507" s="59"/>
      <c r="AN507" s="10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1"/>
    </row>
    <row r="508" spans="1:51" x14ac:dyDescent="0.2">
      <c r="A508" s="33">
        <f t="shared" si="8"/>
        <v>503</v>
      </c>
      <c r="B508" s="34" t="s">
        <v>4151</v>
      </c>
      <c r="C508" s="35" t="s">
        <v>4152</v>
      </c>
      <c r="D508" s="36" t="s">
        <v>4153</v>
      </c>
      <c r="E508" s="36" t="s">
        <v>54</v>
      </c>
      <c r="F508" s="108" t="s">
        <v>4154</v>
      </c>
      <c r="G508" s="37" t="s">
        <v>413</v>
      </c>
      <c r="H508" s="37" t="s">
        <v>378</v>
      </c>
      <c r="I508" s="108" t="s">
        <v>4155</v>
      </c>
      <c r="J508" s="34" t="s">
        <v>41</v>
      </c>
      <c r="K508" s="39" t="s">
        <v>42</v>
      </c>
      <c r="L508" s="99" t="s">
        <v>4156</v>
      </c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2" t="s">
        <v>4157</v>
      </c>
      <c r="Y508" s="58" t="s">
        <v>4158</v>
      </c>
      <c r="Z508" s="44" t="s">
        <v>61</v>
      </c>
      <c r="AA508" s="45">
        <v>37877</v>
      </c>
      <c r="AB508" s="101" t="s">
        <v>30</v>
      </c>
      <c r="AC508" s="36"/>
      <c r="AD508" s="47" t="s">
        <v>49</v>
      </c>
      <c r="AE508" s="48" t="s">
        <v>41</v>
      </c>
      <c r="AF508" s="48" t="s">
        <v>41</v>
      </c>
      <c r="AG508" s="48" t="s">
        <v>41</v>
      </c>
      <c r="AH508" s="48" t="s">
        <v>41</v>
      </c>
      <c r="AI508" s="48" t="s">
        <v>41</v>
      </c>
      <c r="AJ508" s="49" t="s">
        <v>41</v>
      </c>
      <c r="AK508" s="48" t="s">
        <v>41</v>
      </c>
      <c r="AL508" s="241" t="s">
        <v>4588</v>
      </c>
      <c r="AM508" s="59" t="s">
        <v>1230</v>
      </c>
      <c r="AN508" s="117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1"/>
    </row>
    <row r="509" spans="1:51" x14ac:dyDescent="0.2">
      <c r="A509" s="33">
        <f t="shared" si="8"/>
        <v>504</v>
      </c>
      <c r="B509" s="34" t="s">
        <v>4159</v>
      </c>
      <c r="C509" s="35" t="s">
        <v>4160</v>
      </c>
      <c r="D509" s="36" t="s">
        <v>4161</v>
      </c>
      <c r="E509" s="36" t="s">
        <v>241</v>
      </c>
      <c r="F509" s="34" t="s">
        <v>4162</v>
      </c>
      <c r="G509" s="37" t="s">
        <v>456</v>
      </c>
      <c r="H509" s="37" t="s">
        <v>187</v>
      </c>
      <c r="I509" s="34" t="s">
        <v>4163</v>
      </c>
      <c r="J509" s="34" t="s">
        <v>41</v>
      </c>
      <c r="K509" s="39" t="s">
        <v>42</v>
      </c>
      <c r="L509" s="99" t="s">
        <v>4164</v>
      </c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2" t="s">
        <v>1145</v>
      </c>
      <c r="Y509" s="58" t="s">
        <v>4165</v>
      </c>
      <c r="Z509" s="44" t="s">
        <v>61</v>
      </c>
      <c r="AA509" s="45">
        <v>36641</v>
      </c>
      <c r="AB509" s="101" t="s">
        <v>30</v>
      </c>
      <c r="AC509" s="36"/>
      <c r="AD509" s="47" t="s">
        <v>49</v>
      </c>
      <c r="AE509" s="48" t="s">
        <v>41</v>
      </c>
      <c r="AF509" s="48" t="s">
        <v>41</v>
      </c>
      <c r="AG509" s="48" t="s">
        <v>41</v>
      </c>
      <c r="AH509" s="48" t="s">
        <v>41</v>
      </c>
      <c r="AI509" s="48" t="s">
        <v>41</v>
      </c>
      <c r="AJ509" s="49" t="s">
        <v>41</v>
      </c>
      <c r="AK509" s="48" t="s">
        <v>41</v>
      </c>
      <c r="AL509" s="241" t="s">
        <v>4591</v>
      </c>
      <c r="AM509" s="59" t="s">
        <v>460</v>
      </c>
      <c r="AN509" s="10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1"/>
    </row>
    <row r="510" spans="1:51" x14ac:dyDescent="0.2">
      <c r="A510" s="33">
        <f t="shared" si="8"/>
        <v>505</v>
      </c>
      <c r="B510" s="34" t="s">
        <v>4166</v>
      </c>
      <c r="C510" s="35" t="s">
        <v>4167</v>
      </c>
      <c r="D510" s="36" t="s">
        <v>4168</v>
      </c>
      <c r="E510" s="36" t="s">
        <v>4169</v>
      </c>
      <c r="F510" s="34" t="s">
        <v>4170</v>
      </c>
      <c r="G510" s="37" t="s">
        <v>73</v>
      </c>
      <c r="H510" s="37" t="s">
        <v>73</v>
      </c>
      <c r="I510" s="42" t="s">
        <v>4171</v>
      </c>
      <c r="J510" s="34" t="s">
        <v>41</v>
      </c>
      <c r="K510" s="39" t="s">
        <v>42</v>
      </c>
      <c r="L510" s="120">
        <v>45933</v>
      </c>
      <c r="M510" s="41" t="s">
        <v>179</v>
      </c>
      <c r="N510" s="41"/>
      <c r="O510" s="41"/>
      <c r="P510" s="41"/>
      <c r="Q510" s="112"/>
      <c r="R510" s="41"/>
      <c r="S510" s="41"/>
      <c r="T510" s="41"/>
      <c r="U510" s="41"/>
      <c r="V510" s="41" t="s">
        <v>44</v>
      </c>
      <c r="W510" s="41"/>
      <c r="X510" s="42" t="s">
        <v>4172</v>
      </c>
      <c r="Y510" s="58" t="s">
        <v>4173</v>
      </c>
      <c r="Z510" s="44"/>
      <c r="AA510" s="45"/>
      <c r="AB510" s="101"/>
      <c r="AC510" s="36"/>
      <c r="AD510" s="47" t="s">
        <v>49</v>
      </c>
      <c r="AE510" s="48" t="s">
        <v>41</v>
      </c>
      <c r="AF510" s="48" t="s">
        <v>41</v>
      </c>
      <c r="AG510" s="48" t="s">
        <v>41</v>
      </c>
      <c r="AH510" s="48" t="s">
        <v>41</v>
      </c>
      <c r="AI510" s="48" t="s">
        <v>41</v>
      </c>
      <c r="AJ510" s="49" t="s">
        <v>49</v>
      </c>
      <c r="AK510" s="48" t="s">
        <v>41</v>
      </c>
      <c r="AL510" s="241" t="s">
        <v>148</v>
      </c>
      <c r="AM510" s="59"/>
      <c r="AN510" s="10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1"/>
    </row>
    <row r="511" spans="1:51" x14ac:dyDescent="0.2">
      <c r="A511" s="33">
        <f t="shared" si="8"/>
        <v>506</v>
      </c>
      <c r="B511" s="34" t="s">
        <v>4174</v>
      </c>
      <c r="C511" s="35" t="s">
        <v>4175</v>
      </c>
      <c r="D511" s="36" t="s">
        <v>4176</v>
      </c>
      <c r="E511" s="36" t="s">
        <v>54</v>
      </c>
      <c r="F511" s="34" t="s">
        <v>4177</v>
      </c>
      <c r="G511" s="37" t="s">
        <v>39</v>
      </c>
      <c r="H511" s="37" t="s">
        <v>39</v>
      </c>
      <c r="I511" s="38" t="s">
        <v>4178</v>
      </c>
      <c r="J511" s="34" t="s">
        <v>41</v>
      </c>
      <c r="K511" s="39" t="s">
        <v>42</v>
      </c>
      <c r="L511" s="99" t="s">
        <v>282</v>
      </c>
      <c r="M511" s="41"/>
      <c r="N511" s="112"/>
      <c r="O511" s="111"/>
      <c r="P511" s="112"/>
      <c r="Q511" s="111"/>
      <c r="R511" s="112"/>
      <c r="S511" s="112"/>
      <c r="T511" s="41"/>
      <c r="U511" s="41"/>
      <c r="V511" s="41"/>
      <c r="W511" s="41"/>
      <c r="X511" s="42" t="s">
        <v>4179</v>
      </c>
      <c r="Y511" s="69" t="s">
        <v>4180</v>
      </c>
      <c r="Z511" s="44" t="s">
        <v>4181</v>
      </c>
      <c r="AA511" s="45">
        <v>42935</v>
      </c>
      <c r="AB511" s="101" t="s">
        <v>30</v>
      </c>
      <c r="AC511" s="36" t="s">
        <v>26</v>
      </c>
      <c r="AD511" s="47" t="s">
        <v>49</v>
      </c>
      <c r="AE511" s="48" t="s">
        <v>49</v>
      </c>
      <c r="AF511" s="48" t="s">
        <v>49</v>
      </c>
      <c r="AG511" s="48" t="s">
        <v>49</v>
      </c>
      <c r="AH511" s="48" t="s">
        <v>49</v>
      </c>
      <c r="AI511" s="48" t="s">
        <v>49</v>
      </c>
      <c r="AJ511" s="49" t="s">
        <v>49</v>
      </c>
      <c r="AK511" s="48" t="s">
        <v>49</v>
      </c>
      <c r="AL511" s="213">
        <v>0</v>
      </c>
      <c r="AM511" s="59"/>
      <c r="AN511" s="10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1"/>
    </row>
    <row r="512" spans="1:51" x14ac:dyDescent="0.2">
      <c r="A512" s="33">
        <f t="shared" si="8"/>
        <v>507</v>
      </c>
      <c r="B512" s="34" t="s">
        <v>4182</v>
      </c>
      <c r="C512" s="35" t="s">
        <v>4183</v>
      </c>
      <c r="D512" s="36" t="s">
        <v>4184</v>
      </c>
      <c r="E512" s="36" t="s">
        <v>54</v>
      </c>
      <c r="F512" s="34" t="s">
        <v>4185</v>
      </c>
      <c r="G512" s="37" t="s">
        <v>377</v>
      </c>
      <c r="H512" s="37" t="s">
        <v>378</v>
      </c>
      <c r="I512" s="34" t="s">
        <v>41</v>
      </c>
      <c r="J512" s="34" t="s">
        <v>41</v>
      </c>
      <c r="K512" s="39" t="s">
        <v>42</v>
      </c>
      <c r="L512" s="99" t="s">
        <v>4186</v>
      </c>
      <c r="M512" s="41" t="s">
        <v>179</v>
      </c>
      <c r="N512" s="41" t="s">
        <v>179</v>
      </c>
      <c r="O512" s="41"/>
      <c r="P512" s="41">
        <v>1</v>
      </c>
      <c r="Q512" s="41"/>
      <c r="R512" s="41"/>
      <c r="S512" s="41"/>
      <c r="T512" s="41"/>
      <c r="U512" s="41" t="s">
        <v>732</v>
      </c>
      <c r="V512" s="41"/>
      <c r="W512" s="41"/>
      <c r="X512" s="42" t="s">
        <v>4187</v>
      </c>
      <c r="Y512" s="52" t="s">
        <v>4188</v>
      </c>
      <c r="Z512" s="44"/>
      <c r="AA512" s="45"/>
      <c r="AB512" s="101" t="s">
        <v>30</v>
      </c>
      <c r="AC512" s="36" t="s">
        <v>26</v>
      </c>
      <c r="AD512" s="47" t="s">
        <v>49</v>
      </c>
      <c r="AE512" s="48" t="s">
        <v>49</v>
      </c>
      <c r="AF512" s="48" t="s">
        <v>49</v>
      </c>
      <c r="AG512" s="48" t="s">
        <v>49</v>
      </c>
      <c r="AH512" s="48" t="s">
        <v>49</v>
      </c>
      <c r="AI512" s="48" t="s">
        <v>49</v>
      </c>
      <c r="AJ512" s="49" t="s">
        <v>41</v>
      </c>
      <c r="AK512" s="48" t="s">
        <v>41</v>
      </c>
      <c r="AL512" s="62" t="s">
        <v>276</v>
      </c>
      <c r="AM512" s="59"/>
      <c r="AN512" s="10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1"/>
    </row>
    <row r="513" spans="1:51" x14ac:dyDescent="0.2">
      <c r="A513" s="33">
        <f t="shared" si="8"/>
        <v>508</v>
      </c>
      <c r="B513" s="34" t="s">
        <v>4189</v>
      </c>
      <c r="C513" s="35" t="s">
        <v>4190</v>
      </c>
      <c r="D513" s="36" t="s">
        <v>4191</v>
      </c>
      <c r="E513" s="36" t="s">
        <v>54</v>
      </c>
      <c r="F513" s="34" t="s">
        <v>4192</v>
      </c>
      <c r="G513" s="37" t="s">
        <v>73</v>
      </c>
      <c r="H513" s="37" t="s">
        <v>73</v>
      </c>
      <c r="I513" s="38" t="s">
        <v>4193</v>
      </c>
      <c r="J513" s="34" t="s">
        <v>41</v>
      </c>
      <c r="K513" s="39" t="s">
        <v>42</v>
      </c>
      <c r="L513" s="99" t="s">
        <v>1887</v>
      </c>
      <c r="M513" s="41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42" t="s">
        <v>4194</v>
      </c>
      <c r="Y513" s="43" t="s">
        <v>4195</v>
      </c>
      <c r="Z513" s="44" t="s">
        <v>4196</v>
      </c>
      <c r="AA513" s="45">
        <v>44041</v>
      </c>
      <c r="AB513" s="101" t="s">
        <v>30</v>
      </c>
      <c r="AC513" s="36" t="s">
        <v>26</v>
      </c>
      <c r="AD513" s="47" t="s">
        <v>49</v>
      </c>
      <c r="AE513" s="48" t="s">
        <v>49</v>
      </c>
      <c r="AF513" s="48" t="s">
        <v>49</v>
      </c>
      <c r="AG513" s="48" t="s">
        <v>49</v>
      </c>
      <c r="AH513" s="48" t="s">
        <v>49</v>
      </c>
      <c r="AI513" s="48" t="s">
        <v>49</v>
      </c>
      <c r="AJ513" s="49" t="s">
        <v>49</v>
      </c>
      <c r="AK513" s="48" t="s">
        <v>49</v>
      </c>
      <c r="AL513" s="62" t="s">
        <v>32</v>
      </c>
      <c r="AM513" s="59"/>
      <c r="AN513" s="10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1"/>
    </row>
    <row r="514" spans="1:51" x14ac:dyDescent="0.2">
      <c r="A514" s="33">
        <f t="shared" si="8"/>
        <v>509</v>
      </c>
      <c r="B514" s="34" t="s">
        <v>4197</v>
      </c>
      <c r="C514" s="35" t="s">
        <v>4198</v>
      </c>
      <c r="D514" s="36" t="s">
        <v>4199</v>
      </c>
      <c r="E514" s="36" t="s">
        <v>54</v>
      </c>
      <c r="F514" s="34" t="s">
        <v>4200</v>
      </c>
      <c r="G514" s="37" t="s">
        <v>73</v>
      </c>
      <c r="H514" s="37" t="s">
        <v>73</v>
      </c>
      <c r="I514" s="34" t="s">
        <v>3116</v>
      </c>
      <c r="J514" s="34" t="s">
        <v>3117</v>
      </c>
      <c r="K514" s="39" t="s">
        <v>42</v>
      </c>
      <c r="L514" s="120">
        <v>36591</v>
      </c>
      <c r="M514" s="41"/>
      <c r="N514" s="41"/>
      <c r="O514" s="41"/>
      <c r="P514" s="41"/>
      <c r="Q514" s="112"/>
      <c r="R514" s="112"/>
      <c r="S514" s="112"/>
      <c r="T514" s="41"/>
      <c r="U514" s="41"/>
      <c r="V514" s="41"/>
      <c r="W514" s="41"/>
      <c r="X514" s="42" t="s">
        <v>4201</v>
      </c>
      <c r="Y514" s="100" t="s">
        <v>4202</v>
      </c>
      <c r="Z514" s="119" t="s">
        <v>61</v>
      </c>
      <c r="AA514" s="45">
        <v>37208</v>
      </c>
      <c r="AB514" s="101" t="s">
        <v>30</v>
      </c>
      <c r="AC514" s="36"/>
      <c r="AD514" s="47" t="s">
        <v>49</v>
      </c>
      <c r="AE514" s="48" t="s">
        <v>41</v>
      </c>
      <c r="AF514" s="48" t="s">
        <v>41</v>
      </c>
      <c r="AG514" s="48" t="s">
        <v>41</v>
      </c>
      <c r="AH514" s="48" t="s">
        <v>41</v>
      </c>
      <c r="AI514" s="48" t="s">
        <v>41</v>
      </c>
      <c r="AJ514" s="49" t="s">
        <v>41</v>
      </c>
      <c r="AK514" s="48" t="s">
        <v>41</v>
      </c>
      <c r="AL514" s="65" t="s">
        <v>4592</v>
      </c>
      <c r="AM514" s="59" t="s">
        <v>192</v>
      </c>
      <c r="AN514" s="10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1"/>
    </row>
    <row r="515" spans="1:51" x14ac:dyDescent="0.2">
      <c r="A515" s="33">
        <f t="shared" si="8"/>
        <v>510</v>
      </c>
      <c r="B515" s="34" t="s">
        <v>4203</v>
      </c>
      <c r="C515" s="35" t="s">
        <v>4204</v>
      </c>
      <c r="D515" s="36" t="s">
        <v>4205</v>
      </c>
      <c r="E515" s="36" t="s">
        <v>54</v>
      </c>
      <c r="F515" s="226" t="s">
        <v>4206</v>
      </c>
      <c r="G515" s="37" t="s">
        <v>73</v>
      </c>
      <c r="H515" s="37" t="s">
        <v>73</v>
      </c>
      <c r="I515" s="34" t="s">
        <v>4207</v>
      </c>
      <c r="J515" s="34" t="s">
        <v>41</v>
      </c>
      <c r="K515" s="39" t="s">
        <v>42</v>
      </c>
      <c r="L515" s="99" t="s">
        <v>235</v>
      </c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2" t="s">
        <v>4208</v>
      </c>
      <c r="Y515" s="58" t="s">
        <v>4209</v>
      </c>
      <c r="Z515" s="44" t="s">
        <v>61</v>
      </c>
      <c r="AA515" s="45">
        <v>40280</v>
      </c>
      <c r="AB515" s="101" t="s">
        <v>30</v>
      </c>
      <c r="AC515" s="36" t="s">
        <v>26</v>
      </c>
      <c r="AD515" s="47" t="s">
        <v>49</v>
      </c>
      <c r="AE515" s="48" t="s">
        <v>49</v>
      </c>
      <c r="AF515" s="48" t="s">
        <v>41</v>
      </c>
      <c r="AG515" s="48" t="s">
        <v>41</v>
      </c>
      <c r="AH515" s="48" t="s">
        <v>41</v>
      </c>
      <c r="AI515" s="48" t="s">
        <v>41</v>
      </c>
      <c r="AJ515" s="49" t="s">
        <v>41</v>
      </c>
      <c r="AK515" s="48" t="s">
        <v>41</v>
      </c>
      <c r="AL515" s="62" t="s">
        <v>4587</v>
      </c>
      <c r="AM515" s="59"/>
      <c r="AN515" s="10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1"/>
    </row>
    <row r="516" spans="1:51" x14ac:dyDescent="0.2">
      <c r="A516" s="33">
        <f t="shared" si="8"/>
        <v>511</v>
      </c>
      <c r="B516" s="34" t="s">
        <v>4210</v>
      </c>
      <c r="C516" s="35" t="s">
        <v>4211</v>
      </c>
      <c r="D516" s="36" t="s">
        <v>4212</v>
      </c>
      <c r="E516" s="36" t="s">
        <v>54</v>
      </c>
      <c r="F516" s="98" t="s">
        <v>4213</v>
      </c>
      <c r="G516" s="37" t="s">
        <v>73</v>
      </c>
      <c r="H516" s="37" t="s">
        <v>73</v>
      </c>
      <c r="I516" s="34" t="s">
        <v>4214</v>
      </c>
      <c r="J516" s="34" t="s">
        <v>4214</v>
      </c>
      <c r="K516" s="39" t="s">
        <v>42</v>
      </c>
      <c r="L516" s="120">
        <v>37110</v>
      </c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2" t="s">
        <v>4215</v>
      </c>
      <c r="Y516" s="58" t="s">
        <v>4216</v>
      </c>
      <c r="Z516" s="44" t="s">
        <v>4217</v>
      </c>
      <c r="AA516" s="45">
        <v>41793</v>
      </c>
      <c r="AB516" s="101" t="s">
        <v>30</v>
      </c>
      <c r="AC516" s="36" t="s">
        <v>26</v>
      </c>
      <c r="AD516" s="47" t="s">
        <v>49</v>
      </c>
      <c r="AE516" s="48" t="s">
        <v>49</v>
      </c>
      <c r="AF516" s="48" t="s">
        <v>49</v>
      </c>
      <c r="AG516" s="48" t="s">
        <v>49</v>
      </c>
      <c r="AH516" s="48" t="s">
        <v>41</v>
      </c>
      <c r="AI516" s="48" t="s">
        <v>41</v>
      </c>
      <c r="AJ516" s="49" t="s">
        <v>41</v>
      </c>
      <c r="AK516" s="48" t="s">
        <v>41</v>
      </c>
      <c r="AL516" s="62" t="s">
        <v>139</v>
      </c>
      <c r="AM516" s="59"/>
      <c r="AN516" s="10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1"/>
    </row>
    <row r="517" spans="1:51" x14ac:dyDescent="0.2">
      <c r="A517" s="33">
        <f t="shared" si="8"/>
        <v>512</v>
      </c>
      <c r="B517" s="34" t="s">
        <v>4218</v>
      </c>
      <c r="C517" s="35" t="s">
        <v>4219</v>
      </c>
      <c r="D517" s="36" t="s">
        <v>4220</v>
      </c>
      <c r="E517" s="36" t="s">
        <v>36</v>
      </c>
      <c r="F517" s="237" t="s">
        <v>4221</v>
      </c>
      <c r="G517" s="37" t="s">
        <v>252</v>
      </c>
      <c r="H517" s="37" t="s">
        <v>57</v>
      </c>
      <c r="I517" s="34" t="s">
        <v>4222</v>
      </c>
      <c r="J517" s="34" t="s">
        <v>41</v>
      </c>
      <c r="K517" s="39" t="s">
        <v>42</v>
      </c>
      <c r="L517" s="120">
        <v>30353</v>
      </c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42" t="s">
        <v>4223</v>
      </c>
      <c r="Y517" s="58" t="s">
        <v>4224</v>
      </c>
      <c r="Z517" s="44" t="s">
        <v>4225</v>
      </c>
      <c r="AA517" s="45">
        <v>43200</v>
      </c>
      <c r="AB517" s="101" t="s">
        <v>30</v>
      </c>
      <c r="AC517" s="36" t="s">
        <v>26</v>
      </c>
      <c r="AD517" s="47" t="s">
        <v>49</v>
      </c>
      <c r="AE517" s="48" t="s">
        <v>49</v>
      </c>
      <c r="AF517" s="48" t="s">
        <v>49</v>
      </c>
      <c r="AG517" s="48" t="s">
        <v>49</v>
      </c>
      <c r="AH517" s="48" t="s">
        <v>49</v>
      </c>
      <c r="AI517" s="48" t="s">
        <v>49</v>
      </c>
      <c r="AJ517" s="49" t="s">
        <v>49</v>
      </c>
      <c r="AK517" s="48" t="s">
        <v>49</v>
      </c>
      <c r="AL517" s="62" t="s">
        <v>32</v>
      </c>
      <c r="AM517" s="59"/>
      <c r="AN517" s="10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1"/>
    </row>
    <row r="518" spans="1:51" x14ac:dyDescent="0.2">
      <c r="A518" s="33">
        <f t="shared" si="8"/>
        <v>513</v>
      </c>
      <c r="B518" s="34" t="s">
        <v>4226</v>
      </c>
      <c r="C518" s="35" t="s">
        <v>4227</v>
      </c>
      <c r="D518" s="36" t="s">
        <v>4228</v>
      </c>
      <c r="E518" s="36" t="s">
        <v>54</v>
      </c>
      <c r="F518" s="34" t="s">
        <v>4229</v>
      </c>
      <c r="G518" s="37" t="s">
        <v>73</v>
      </c>
      <c r="H518" s="37" t="s">
        <v>73</v>
      </c>
      <c r="I518" s="34" t="s">
        <v>4230</v>
      </c>
      <c r="J518" s="34" t="s">
        <v>4230</v>
      </c>
      <c r="K518" s="39" t="s">
        <v>42</v>
      </c>
      <c r="L518" s="120" t="s">
        <v>4231</v>
      </c>
      <c r="M518" s="41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42" t="s">
        <v>4232</v>
      </c>
      <c r="Y518" s="69" t="s">
        <v>4233</v>
      </c>
      <c r="Z518" s="44" t="s">
        <v>4234</v>
      </c>
      <c r="AA518" s="45">
        <v>42935</v>
      </c>
      <c r="AB518" s="101" t="s">
        <v>30</v>
      </c>
      <c r="AC518" s="36" t="s">
        <v>26</v>
      </c>
      <c r="AD518" s="47" t="s">
        <v>49</v>
      </c>
      <c r="AE518" s="48" t="s">
        <v>49</v>
      </c>
      <c r="AF518" s="48" t="s">
        <v>49</v>
      </c>
      <c r="AG518" s="48" t="s">
        <v>49</v>
      </c>
      <c r="AH518" s="48" t="s">
        <v>49</v>
      </c>
      <c r="AI518" s="48" t="s">
        <v>49</v>
      </c>
      <c r="AJ518" s="49" t="s">
        <v>41</v>
      </c>
      <c r="AK518" s="48" t="s">
        <v>41</v>
      </c>
      <c r="AL518" s="62" t="s">
        <v>276</v>
      </c>
      <c r="AM518" s="59"/>
      <c r="AN518" s="10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1"/>
    </row>
    <row r="519" spans="1:51" x14ac:dyDescent="0.2">
      <c r="A519" s="33">
        <f t="shared" si="8"/>
        <v>514</v>
      </c>
      <c r="B519" s="34" t="s">
        <v>4235</v>
      </c>
      <c r="C519" s="35" t="s">
        <v>4236</v>
      </c>
      <c r="D519" s="36" t="s">
        <v>4237</v>
      </c>
      <c r="E519" s="36" t="s">
        <v>54</v>
      </c>
      <c r="F519" s="34" t="s">
        <v>4238</v>
      </c>
      <c r="G519" s="37" t="s">
        <v>73</v>
      </c>
      <c r="H519" s="37" t="s">
        <v>73</v>
      </c>
      <c r="I519" s="34" t="s">
        <v>4239</v>
      </c>
      <c r="J519" s="34" t="s">
        <v>4240</v>
      </c>
      <c r="K519" s="39" t="s">
        <v>42</v>
      </c>
      <c r="L519" s="99" t="s">
        <v>4241</v>
      </c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42" t="s">
        <v>4242</v>
      </c>
      <c r="Y519" s="52" t="s">
        <v>4243</v>
      </c>
      <c r="Z519" s="44" t="s">
        <v>4244</v>
      </c>
      <c r="AA519" s="45">
        <v>43200</v>
      </c>
      <c r="AB519" s="101" t="s">
        <v>30</v>
      </c>
      <c r="AC519" s="36" t="s">
        <v>26</v>
      </c>
      <c r="AD519" s="47" t="s">
        <v>49</v>
      </c>
      <c r="AE519" s="48" t="s">
        <v>49</v>
      </c>
      <c r="AF519" s="48" t="s">
        <v>49</v>
      </c>
      <c r="AG519" s="48" t="s">
        <v>49</v>
      </c>
      <c r="AH519" s="48" t="s">
        <v>41</v>
      </c>
      <c r="AI519" s="48" t="s">
        <v>41</v>
      </c>
      <c r="AJ519" s="49" t="s">
        <v>41</v>
      </c>
      <c r="AK519" s="48" t="s">
        <v>41</v>
      </c>
      <c r="AL519" s="62" t="s">
        <v>139</v>
      </c>
      <c r="AM519" s="59"/>
      <c r="AN519" s="10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1"/>
    </row>
    <row r="520" spans="1:51" ht="14.25" customHeight="1" x14ac:dyDescent="0.2">
      <c r="A520" s="33">
        <f t="shared" si="8"/>
        <v>515</v>
      </c>
      <c r="B520" s="34" t="s">
        <v>4245</v>
      </c>
      <c r="C520" s="35" t="s">
        <v>4246</v>
      </c>
      <c r="D520" s="36" t="s">
        <v>4247</v>
      </c>
      <c r="E520" s="36" t="s">
        <v>54</v>
      </c>
      <c r="F520" s="34" t="s">
        <v>4248</v>
      </c>
      <c r="G520" s="37" t="s">
        <v>528</v>
      </c>
      <c r="H520" s="37" t="s">
        <v>57</v>
      </c>
      <c r="I520" s="38" t="s">
        <v>4249</v>
      </c>
      <c r="J520" s="34" t="s">
        <v>41</v>
      </c>
      <c r="K520" s="39" t="s">
        <v>42</v>
      </c>
      <c r="L520" s="99" t="s">
        <v>530</v>
      </c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2" t="s">
        <v>4250</v>
      </c>
      <c r="Y520" s="43" t="s">
        <v>4251</v>
      </c>
      <c r="Z520" s="207" t="s">
        <v>4252</v>
      </c>
      <c r="AA520" s="45">
        <v>44944</v>
      </c>
      <c r="AB520" s="101" t="s">
        <v>30</v>
      </c>
      <c r="AC520" s="36"/>
      <c r="AD520" s="47" t="s">
        <v>49</v>
      </c>
      <c r="AE520" s="48" t="s">
        <v>41</v>
      </c>
      <c r="AF520" s="48" t="s">
        <v>49</v>
      </c>
      <c r="AG520" s="48" t="s">
        <v>49</v>
      </c>
      <c r="AH520" s="48" t="s">
        <v>49</v>
      </c>
      <c r="AI520" s="48" t="s">
        <v>49</v>
      </c>
      <c r="AJ520" s="49" t="s">
        <v>41</v>
      </c>
      <c r="AK520" s="48" t="s">
        <v>41</v>
      </c>
      <c r="AL520" s="62" t="s">
        <v>276</v>
      </c>
      <c r="AM520" s="59"/>
      <c r="AN520" s="10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1"/>
    </row>
    <row r="521" spans="1:51" ht="14.25" customHeight="1" x14ac:dyDescent="0.2">
      <c r="A521" s="33">
        <f t="shared" ref="A521:A552" si="9">+A520+1</f>
        <v>516</v>
      </c>
      <c r="B521" s="34" t="s">
        <v>4253</v>
      </c>
      <c r="C521" s="35" t="s">
        <v>4254</v>
      </c>
      <c r="D521" s="36" t="s">
        <v>4255</v>
      </c>
      <c r="E521" s="36" t="s">
        <v>36</v>
      </c>
      <c r="F521" s="34" t="s">
        <v>4256</v>
      </c>
      <c r="G521" s="37" t="s">
        <v>56</v>
      </c>
      <c r="H521" s="37" t="s">
        <v>57</v>
      </c>
      <c r="I521" s="38" t="s">
        <v>4257</v>
      </c>
      <c r="J521" s="34" t="s">
        <v>41</v>
      </c>
      <c r="K521" s="39" t="s">
        <v>42</v>
      </c>
      <c r="L521" s="120" t="s">
        <v>4258</v>
      </c>
      <c r="M521" s="41"/>
      <c r="N521" s="41"/>
      <c r="O521" s="41"/>
      <c r="P521" s="41"/>
      <c r="Q521" s="41"/>
      <c r="R521" s="41"/>
      <c r="S521" s="41"/>
      <c r="T521" s="41" t="s">
        <v>44</v>
      </c>
      <c r="U521" s="41"/>
      <c r="V521" s="41"/>
      <c r="W521" s="41"/>
      <c r="X521" s="42" t="s">
        <v>4259</v>
      </c>
      <c r="Y521" s="69" t="s">
        <v>4260</v>
      </c>
      <c r="Z521" s="44"/>
      <c r="AA521" s="45">
        <v>45642</v>
      </c>
      <c r="AB521" s="101"/>
      <c r="AC521" s="36"/>
      <c r="AD521" s="47" t="s">
        <v>49</v>
      </c>
      <c r="AE521" s="48" t="s">
        <v>41</v>
      </c>
      <c r="AF521" s="48" t="s">
        <v>41</v>
      </c>
      <c r="AG521" s="48" t="s">
        <v>41</v>
      </c>
      <c r="AH521" s="48" t="s">
        <v>49</v>
      </c>
      <c r="AI521" s="48" t="s">
        <v>49</v>
      </c>
      <c r="AJ521" s="49" t="s">
        <v>49</v>
      </c>
      <c r="AK521" s="48" t="s">
        <v>41</v>
      </c>
      <c r="AL521" s="65" t="s">
        <v>148</v>
      </c>
      <c r="AM521" s="59"/>
      <c r="AN521" s="10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1"/>
    </row>
    <row r="522" spans="1:51" ht="14.25" customHeight="1" x14ac:dyDescent="0.2">
      <c r="A522" s="33">
        <f t="shared" si="9"/>
        <v>517</v>
      </c>
      <c r="B522" s="34" t="s">
        <v>4261</v>
      </c>
      <c r="C522" s="35" t="s">
        <v>4262</v>
      </c>
      <c r="D522" s="36" t="s">
        <v>4263</v>
      </c>
      <c r="E522" s="36" t="s">
        <v>54</v>
      </c>
      <c r="F522" s="34" t="s">
        <v>4264</v>
      </c>
      <c r="G522" s="37" t="s">
        <v>73</v>
      </c>
      <c r="H522" s="37" t="s">
        <v>73</v>
      </c>
      <c r="I522" s="34" t="s">
        <v>4265</v>
      </c>
      <c r="J522" s="34" t="s">
        <v>4266</v>
      </c>
      <c r="K522" s="39" t="s">
        <v>42</v>
      </c>
      <c r="L522" s="99" t="s">
        <v>4267</v>
      </c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42" t="s">
        <v>4604</v>
      </c>
      <c r="Y522" s="52" t="s">
        <v>4268</v>
      </c>
      <c r="Z522" s="44" t="s">
        <v>61</v>
      </c>
      <c r="AA522" s="45">
        <v>40280</v>
      </c>
      <c r="AB522" s="101" t="s">
        <v>30</v>
      </c>
      <c r="AC522" s="36" t="s">
        <v>26</v>
      </c>
      <c r="AD522" s="61" t="s">
        <v>49</v>
      </c>
      <c r="AE522" s="48" t="s">
        <v>49</v>
      </c>
      <c r="AF522" s="48" t="s">
        <v>49</v>
      </c>
      <c r="AG522" s="48" t="s">
        <v>49</v>
      </c>
      <c r="AH522" s="48" t="s">
        <v>49</v>
      </c>
      <c r="AI522" s="48" t="s">
        <v>49</v>
      </c>
      <c r="AJ522" s="49" t="s">
        <v>49</v>
      </c>
      <c r="AK522" s="48" t="s">
        <v>49</v>
      </c>
      <c r="AL522" s="65" t="s">
        <v>32</v>
      </c>
      <c r="AM522" s="59"/>
      <c r="AN522" s="10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1"/>
    </row>
    <row r="523" spans="1:51" ht="14.25" customHeight="1" x14ac:dyDescent="0.2">
      <c r="A523" s="33">
        <f t="shared" si="9"/>
        <v>518</v>
      </c>
      <c r="B523" s="34" t="s">
        <v>4269</v>
      </c>
      <c r="C523" s="35" t="s">
        <v>4270</v>
      </c>
      <c r="D523" s="36" t="s">
        <v>4271</v>
      </c>
      <c r="E523" s="36" t="s">
        <v>54</v>
      </c>
      <c r="F523" s="34" t="s">
        <v>4272</v>
      </c>
      <c r="G523" s="37" t="s">
        <v>73</v>
      </c>
      <c r="H523" s="37" t="s">
        <v>73</v>
      </c>
      <c r="I523" s="34" t="s">
        <v>4273</v>
      </c>
      <c r="J523" s="34" t="s">
        <v>41</v>
      </c>
      <c r="K523" s="39" t="s">
        <v>42</v>
      </c>
      <c r="L523" s="120">
        <v>44662</v>
      </c>
      <c r="M523" s="56"/>
      <c r="N523" s="56"/>
      <c r="O523" s="56"/>
      <c r="P523" s="56"/>
      <c r="Q523" s="56"/>
      <c r="R523" s="56"/>
      <c r="S523" s="56" t="s">
        <v>44</v>
      </c>
      <c r="T523" s="56"/>
      <c r="U523" s="56"/>
      <c r="V523" s="56"/>
      <c r="W523" s="56"/>
      <c r="X523" s="42" t="s">
        <v>4274</v>
      </c>
      <c r="Y523" s="43" t="s">
        <v>4275</v>
      </c>
      <c r="Z523" s="211" t="s">
        <v>4276</v>
      </c>
      <c r="AA523" s="45">
        <v>44944</v>
      </c>
      <c r="AB523" s="101" t="s">
        <v>30</v>
      </c>
      <c r="AC523" s="36"/>
      <c r="AD523" s="61" t="s">
        <v>49</v>
      </c>
      <c r="AE523" s="48" t="s">
        <v>41</v>
      </c>
      <c r="AF523" s="48" t="s">
        <v>41</v>
      </c>
      <c r="AG523" s="48" t="s">
        <v>49</v>
      </c>
      <c r="AH523" s="48" t="s">
        <v>49</v>
      </c>
      <c r="AI523" s="48" t="s">
        <v>49</v>
      </c>
      <c r="AJ523" s="49" t="s">
        <v>49</v>
      </c>
      <c r="AK523" s="48" t="s">
        <v>49</v>
      </c>
      <c r="AL523" s="62" t="s">
        <v>32</v>
      </c>
      <c r="AM523" s="59"/>
      <c r="AN523" s="10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1"/>
    </row>
    <row r="524" spans="1:51" x14ac:dyDescent="0.2">
      <c r="A524" s="33">
        <f t="shared" si="9"/>
        <v>519</v>
      </c>
      <c r="B524" s="34" t="s">
        <v>4277</v>
      </c>
      <c r="C524" s="35" t="s">
        <v>4278</v>
      </c>
      <c r="D524" s="36" t="s">
        <v>4279</v>
      </c>
      <c r="E524" s="36" t="s">
        <v>54</v>
      </c>
      <c r="F524" s="34" t="s">
        <v>4280</v>
      </c>
      <c r="G524" s="37" t="s">
        <v>73</v>
      </c>
      <c r="H524" s="37" t="s">
        <v>73</v>
      </c>
      <c r="I524" s="34" t="s">
        <v>2633</v>
      </c>
      <c r="J524" s="34" t="s">
        <v>2633</v>
      </c>
      <c r="K524" s="39" t="s">
        <v>42</v>
      </c>
      <c r="L524" s="120">
        <v>44837</v>
      </c>
      <c r="M524" s="56"/>
      <c r="N524" s="56"/>
      <c r="O524" s="56"/>
      <c r="P524" s="56"/>
      <c r="Q524" s="56"/>
      <c r="R524" s="56"/>
      <c r="S524" s="56" t="s">
        <v>44</v>
      </c>
      <c r="T524" s="56"/>
      <c r="U524" s="56"/>
      <c r="V524" s="56"/>
      <c r="W524" s="56"/>
      <c r="X524" s="42" t="s">
        <v>4281</v>
      </c>
      <c r="Y524" s="43" t="s">
        <v>4282</v>
      </c>
      <c r="Z524" s="84" t="s">
        <v>4283</v>
      </c>
      <c r="AA524" s="45">
        <v>44650</v>
      </c>
      <c r="AB524" s="101" t="s">
        <v>30</v>
      </c>
      <c r="AC524" s="36"/>
      <c r="AD524" s="64" t="s">
        <v>120</v>
      </c>
      <c r="AE524" s="48" t="s">
        <v>41</v>
      </c>
      <c r="AF524" s="48" t="s">
        <v>120</v>
      </c>
      <c r="AG524" s="48" t="s">
        <v>120</v>
      </c>
      <c r="AH524" s="48" t="s">
        <v>120</v>
      </c>
      <c r="AI524" s="48" t="s">
        <v>120</v>
      </c>
      <c r="AJ524" s="49" t="s">
        <v>41</v>
      </c>
      <c r="AK524" s="48" t="s">
        <v>41</v>
      </c>
      <c r="AL524" s="62" t="s">
        <v>276</v>
      </c>
      <c r="AM524" s="59"/>
      <c r="AN524" s="10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1"/>
    </row>
    <row r="525" spans="1:51" x14ac:dyDescent="0.2">
      <c r="A525" s="33">
        <f t="shared" si="9"/>
        <v>520</v>
      </c>
      <c r="B525" s="72" t="s">
        <v>4284</v>
      </c>
      <c r="C525" s="35" t="s">
        <v>4285</v>
      </c>
      <c r="D525" s="73" t="s">
        <v>4286</v>
      </c>
      <c r="E525" s="36" t="s">
        <v>36</v>
      </c>
      <c r="F525" s="74" t="s">
        <v>4287</v>
      </c>
      <c r="G525" s="75" t="s">
        <v>73</v>
      </c>
      <c r="H525" s="75" t="s">
        <v>73</v>
      </c>
      <c r="I525" s="72" t="s">
        <v>4288</v>
      </c>
      <c r="J525" s="72" t="s">
        <v>4289</v>
      </c>
      <c r="K525" s="77" t="s">
        <v>42</v>
      </c>
      <c r="L525" s="242">
        <v>40195</v>
      </c>
      <c r="M525" s="243"/>
      <c r="N525" s="243"/>
      <c r="O525" s="243"/>
      <c r="P525" s="243"/>
      <c r="Q525" s="243"/>
      <c r="R525" s="243"/>
      <c r="S525" s="243"/>
      <c r="T525" s="243"/>
      <c r="U525" s="243"/>
      <c r="V525" s="243"/>
      <c r="W525" s="243"/>
      <c r="X525" s="42" t="s">
        <v>4290</v>
      </c>
      <c r="Y525" s="58" t="s">
        <v>4291</v>
      </c>
      <c r="Z525" s="44" t="s">
        <v>4292</v>
      </c>
      <c r="AA525" s="45">
        <v>41793</v>
      </c>
      <c r="AB525" s="244" t="s">
        <v>129</v>
      </c>
      <c r="AC525" s="73" t="s">
        <v>26</v>
      </c>
      <c r="AD525" s="81" t="s">
        <v>49</v>
      </c>
      <c r="AE525" s="48" t="s">
        <v>49</v>
      </c>
      <c r="AF525" s="48" t="s">
        <v>49</v>
      </c>
      <c r="AG525" s="48" t="s">
        <v>41</v>
      </c>
      <c r="AH525" s="48" t="s">
        <v>41</v>
      </c>
      <c r="AI525" s="48" t="s">
        <v>41</v>
      </c>
      <c r="AJ525" s="49" t="s">
        <v>41</v>
      </c>
      <c r="AK525" s="48" t="s">
        <v>41</v>
      </c>
      <c r="AL525" s="62" t="s">
        <v>110</v>
      </c>
      <c r="AM525" s="59"/>
      <c r="AN525" s="117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1"/>
    </row>
    <row r="526" spans="1:51" x14ac:dyDescent="0.2">
      <c r="A526" s="33">
        <f t="shared" si="9"/>
        <v>521</v>
      </c>
      <c r="B526" s="72" t="s">
        <v>4293</v>
      </c>
      <c r="C526" s="35" t="s">
        <v>4294</v>
      </c>
      <c r="D526" s="73" t="s">
        <v>4295</v>
      </c>
      <c r="E526" s="36" t="s">
        <v>36</v>
      </c>
      <c r="F526" s="74" t="s">
        <v>4296</v>
      </c>
      <c r="G526" s="75" t="s">
        <v>73</v>
      </c>
      <c r="H526" s="75" t="s">
        <v>73</v>
      </c>
      <c r="I526" s="245" t="s">
        <v>4297</v>
      </c>
      <c r="J526" s="72"/>
      <c r="K526" s="77" t="s">
        <v>42</v>
      </c>
      <c r="L526" s="242">
        <v>45198</v>
      </c>
      <c r="M526" s="243" t="s">
        <v>179</v>
      </c>
      <c r="N526" s="243" t="s">
        <v>341</v>
      </c>
      <c r="O526" s="243" t="s">
        <v>1878</v>
      </c>
      <c r="P526" s="243">
        <v>1</v>
      </c>
      <c r="Q526" s="243"/>
      <c r="R526" s="243"/>
      <c r="S526" s="243"/>
      <c r="T526" s="243" t="s">
        <v>44</v>
      </c>
      <c r="U526" s="243"/>
      <c r="V526" s="243"/>
      <c r="W526" s="243"/>
      <c r="X526" s="229" t="s">
        <v>4298</v>
      </c>
      <c r="Y526" s="58" t="s">
        <v>4299</v>
      </c>
      <c r="Z526" s="58"/>
      <c r="AA526" s="58" t="s">
        <v>47</v>
      </c>
      <c r="AB526" s="244"/>
      <c r="AC526" s="73"/>
      <c r="AD526" s="81" t="s">
        <v>49</v>
      </c>
      <c r="AE526" s="48" t="s">
        <v>41</v>
      </c>
      <c r="AF526" s="48" t="s">
        <v>41</v>
      </c>
      <c r="AG526" s="48" t="s">
        <v>41</v>
      </c>
      <c r="AH526" s="48" t="s">
        <v>49</v>
      </c>
      <c r="AI526" s="48" t="s">
        <v>49</v>
      </c>
      <c r="AJ526" s="49" t="s">
        <v>49</v>
      </c>
      <c r="AK526" s="48" t="s">
        <v>49</v>
      </c>
      <c r="AL526" s="62" t="s">
        <v>32</v>
      </c>
      <c r="AM526" s="59"/>
      <c r="AN526" s="10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1"/>
    </row>
    <row r="527" spans="1:51" x14ac:dyDescent="0.2">
      <c r="A527" s="33">
        <f t="shared" si="9"/>
        <v>522</v>
      </c>
      <c r="B527" s="72" t="s">
        <v>4300</v>
      </c>
      <c r="C527" s="35" t="s">
        <v>4301</v>
      </c>
      <c r="D527" s="73" t="s">
        <v>4302</v>
      </c>
      <c r="E527" s="36" t="s">
        <v>36</v>
      </c>
      <c r="F527" s="74" t="s">
        <v>4303</v>
      </c>
      <c r="G527" s="75" t="s">
        <v>176</v>
      </c>
      <c r="H527" s="75" t="s">
        <v>39</v>
      </c>
      <c r="I527" s="72" t="s">
        <v>4304</v>
      </c>
      <c r="J527" s="72" t="s">
        <v>41</v>
      </c>
      <c r="K527" s="77" t="s">
        <v>42</v>
      </c>
      <c r="L527" s="242">
        <v>45171</v>
      </c>
      <c r="M527" s="243" t="s">
        <v>179</v>
      </c>
      <c r="N527" s="243" t="s">
        <v>179</v>
      </c>
      <c r="O527" s="243"/>
      <c r="P527" s="243">
        <v>3</v>
      </c>
      <c r="Q527" s="243"/>
      <c r="R527" s="243"/>
      <c r="S527" s="243"/>
      <c r="T527" s="243" t="s">
        <v>44</v>
      </c>
      <c r="U527" s="243"/>
      <c r="V527" s="243"/>
      <c r="W527" s="243"/>
      <c r="X527" s="42" t="s">
        <v>4305</v>
      </c>
      <c r="Y527" s="58" t="s">
        <v>4306</v>
      </c>
      <c r="Z527" s="58"/>
      <c r="AA527" s="58" t="s">
        <v>47</v>
      </c>
      <c r="AB527" s="244"/>
      <c r="AC527" s="73"/>
      <c r="AD527" s="81" t="s">
        <v>49</v>
      </c>
      <c r="AE527" s="48" t="s">
        <v>41</v>
      </c>
      <c r="AF527" s="48" t="s">
        <v>41</v>
      </c>
      <c r="AG527" s="48" t="s">
        <v>41</v>
      </c>
      <c r="AH527" s="48" t="s">
        <v>49</v>
      </c>
      <c r="AI527" s="48" t="s">
        <v>41</v>
      </c>
      <c r="AJ527" s="49" t="s">
        <v>41</v>
      </c>
      <c r="AK527" s="48" t="s">
        <v>41</v>
      </c>
      <c r="AL527" s="62" t="s">
        <v>4589</v>
      </c>
      <c r="AM527" s="59"/>
      <c r="AN527" s="117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1"/>
    </row>
    <row r="528" spans="1:51" x14ac:dyDescent="0.2">
      <c r="A528" s="33">
        <f t="shared" si="9"/>
        <v>523</v>
      </c>
      <c r="B528" s="34" t="s">
        <v>4307</v>
      </c>
      <c r="C528" s="35" t="s">
        <v>4308</v>
      </c>
      <c r="D528" s="36" t="s">
        <v>4309</v>
      </c>
      <c r="E528" s="36" t="s">
        <v>54</v>
      </c>
      <c r="F528" s="98" t="s">
        <v>4310</v>
      </c>
      <c r="G528" s="37" t="s">
        <v>39</v>
      </c>
      <c r="H528" s="37" t="s">
        <v>39</v>
      </c>
      <c r="I528" s="38" t="s">
        <v>4311</v>
      </c>
      <c r="J528" s="38" t="s">
        <v>4312</v>
      </c>
      <c r="K528" s="39" t="s">
        <v>42</v>
      </c>
      <c r="L528" s="120">
        <v>42552</v>
      </c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2" t="s">
        <v>4313</v>
      </c>
      <c r="Y528" s="52" t="s">
        <v>4314</v>
      </c>
      <c r="Z528" s="58"/>
      <c r="AA528" s="45">
        <v>42935</v>
      </c>
      <c r="AB528" s="101" t="s">
        <v>129</v>
      </c>
      <c r="AC528" s="36" t="s">
        <v>26</v>
      </c>
      <c r="AD528" s="47" t="s">
        <v>49</v>
      </c>
      <c r="AE528" s="48" t="s">
        <v>49</v>
      </c>
      <c r="AF528" s="48" t="s">
        <v>49</v>
      </c>
      <c r="AG528" s="48" t="s">
        <v>49</v>
      </c>
      <c r="AH528" s="48" t="s">
        <v>49</v>
      </c>
      <c r="AI528" s="48" t="s">
        <v>49</v>
      </c>
      <c r="AJ528" s="49" t="s">
        <v>49</v>
      </c>
      <c r="AK528" s="48" t="s">
        <v>49</v>
      </c>
      <c r="AL528" s="62" t="s">
        <v>32</v>
      </c>
      <c r="AM528" s="59"/>
      <c r="AN528" s="10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1"/>
    </row>
    <row r="529" spans="1:51" x14ac:dyDescent="0.2">
      <c r="A529" s="33">
        <f t="shared" si="9"/>
        <v>524</v>
      </c>
      <c r="B529" s="34" t="s">
        <v>4315</v>
      </c>
      <c r="C529" s="35" t="s">
        <v>4316</v>
      </c>
      <c r="D529" s="36" t="s">
        <v>4317</v>
      </c>
      <c r="E529" s="36" t="s">
        <v>36</v>
      </c>
      <c r="F529" s="98" t="s">
        <v>4318</v>
      </c>
      <c r="G529" s="37" t="s">
        <v>73</v>
      </c>
      <c r="H529" s="37" t="s">
        <v>73</v>
      </c>
      <c r="I529" s="38" t="s">
        <v>4319</v>
      </c>
      <c r="J529" s="38" t="s">
        <v>41</v>
      </c>
      <c r="K529" s="39" t="s">
        <v>42</v>
      </c>
      <c r="L529" s="120" t="s">
        <v>3950</v>
      </c>
      <c r="M529" s="41"/>
      <c r="N529" s="41"/>
      <c r="O529" s="41"/>
      <c r="P529" s="41"/>
      <c r="Q529" s="41"/>
      <c r="R529" s="41" t="s">
        <v>44</v>
      </c>
      <c r="S529" s="41"/>
      <c r="T529" s="41"/>
      <c r="U529" s="41"/>
      <c r="V529" s="41"/>
      <c r="W529" s="41"/>
      <c r="X529" s="42" t="s">
        <v>4320</v>
      </c>
      <c r="Y529" s="43" t="s">
        <v>4321</v>
      </c>
      <c r="Z529" s="84" t="s">
        <v>4322</v>
      </c>
      <c r="AA529" s="45">
        <v>44650</v>
      </c>
      <c r="AB529" s="101" t="s">
        <v>30</v>
      </c>
      <c r="AC529" s="36"/>
      <c r="AD529" s="64" t="s">
        <v>120</v>
      </c>
      <c r="AE529" s="48" t="s">
        <v>41</v>
      </c>
      <c r="AF529" s="48" t="s">
        <v>120</v>
      </c>
      <c r="AG529" s="48" t="s">
        <v>120</v>
      </c>
      <c r="AH529" s="48" t="s">
        <v>120</v>
      </c>
      <c r="AI529" s="48" t="s">
        <v>120</v>
      </c>
      <c r="AJ529" s="49" t="s">
        <v>120</v>
      </c>
      <c r="AK529" s="48" t="s">
        <v>120</v>
      </c>
      <c r="AL529" s="62" t="s">
        <v>32</v>
      </c>
      <c r="AM529" s="59"/>
      <c r="AN529" s="10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1"/>
    </row>
    <row r="530" spans="1:51" x14ac:dyDescent="0.2">
      <c r="A530" s="33">
        <f t="shared" si="9"/>
        <v>525</v>
      </c>
      <c r="B530" s="34" t="s">
        <v>4323</v>
      </c>
      <c r="C530" s="35" t="s">
        <v>4324</v>
      </c>
      <c r="D530" s="36" t="s">
        <v>4325</v>
      </c>
      <c r="E530" s="36" t="s">
        <v>54</v>
      </c>
      <c r="F530" s="34" t="s">
        <v>4326</v>
      </c>
      <c r="G530" s="37" t="s">
        <v>73</v>
      </c>
      <c r="H530" s="37" t="s">
        <v>73</v>
      </c>
      <c r="I530" s="34" t="s">
        <v>4327</v>
      </c>
      <c r="J530" s="34" t="s">
        <v>4328</v>
      </c>
      <c r="K530" s="39" t="s">
        <v>42</v>
      </c>
      <c r="L530" s="99" t="s">
        <v>4329</v>
      </c>
      <c r="M530" s="112"/>
      <c r="N530" s="112"/>
      <c r="O530" s="112"/>
      <c r="P530" s="112"/>
      <c r="Q530" s="112"/>
      <c r="R530" s="112"/>
      <c r="S530" s="112"/>
      <c r="T530" s="41"/>
      <c r="U530" s="41"/>
      <c r="V530" s="41"/>
      <c r="W530" s="41"/>
      <c r="X530" s="42" t="s">
        <v>4330</v>
      </c>
      <c r="Y530" s="43" t="s">
        <v>4331</v>
      </c>
      <c r="Z530" s="44" t="s">
        <v>4332</v>
      </c>
      <c r="AA530" s="45">
        <v>41793</v>
      </c>
      <c r="AB530" s="101" t="s">
        <v>30</v>
      </c>
      <c r="AC530" s="36" t="s">
        <v>26</v>
      </c>
      <c r="AD530" s="61" t="s">
        <v>49</v>
      </c>
      <c r="AE530" s="48" t="s">
        <v>49</v>
      </c>
      <c r="AF530" s="48" t="s">
        <v>49</v>
      </c>
      <c r="AG530" s="48" t="s">
        <v>49</v>
      </c>
      <c r="AH530" s="48" t="s">
        <v>49</v>
      </c>
      <c r="AI530" s="48" t="s">
        <v>49</v>
      </c>
      <c r="AJ530" s="49" t="s">
        <v>49</v>
      </c>
      <c r="AK530" s="48" t="s">
        <v>49</v>
      </c>
      <c r="AL530" s="62" t="s">
        <v>32</v>
      </c>
      <c r="AM530" s="59"/>
      <c r="AN530" s="10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1"/>
    </row>
    <row r="531" spans="1:51" x14ac:dyDescent="0.2">
      <c r="A531" s="33">
        <f t="shared" si="9"/>
        <v>526</v>
      </c>
      <c r="B531" s="122" t="s">
        <v>4333</v>
      </c>
      <c r="C531" s="123" t="s">
        <v>4334</v>
      </c>
      <c r="D531" s="202" t="s">
        <v>4335</v>
      </c>
      <c r="E531" s="36" t="s">
        <v>36</v>
      </c>
      <c r="F531" s="122" t="s">
        <v>4336</v>
      </c>
      <c r="G531" s="126" t="s">
        <v>39</v>
      </c>
      <c r="H531" s="126" t="s">
        <v>39</v>
      </c>
      <c r="I531" s="127" t="s">
        <v>4337</v>
      </c>
      <c r="J531" s="122" t="s">
        <v>41</v>
      </c>
      <c r="K531" s="128" t="s">
        <v>42</v>
      </c>
      <c r="L531" s="163" t="s">
        <v>1869</v>
      </c>
      <c r="M531" s="130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42" t="s">
        <v>4338</v>
      </c>
      <c r="Y531" s="52" t="s">
        <v>4339</v>
      </c>
      <c r="Z531" s="44" t="s">
        <v>61</v>
      </c>
      <c r="AA531" s="131">
        <v>37208</v>
      </c>
      <c r="AB531" s="164"/>
      <c r="AC531" s="36" t="s">
        <v>26</v>
      </c>
      <c r="AD531" s="133" t="s">
        <v>49</v>
      </c>
      <c r="AE531" s="48" t="s">
        <v>49</v>
      </c>
      <c r="AF531" s="48" t="s">
        <v>41</v>
      </c>
      <c r="AG531" s="48" t="s">
        <v>41</v>
      </c>
      <c r="AH531" s="48" t="s">
        <v>41</v>
      </c>
      <c r="AI531" s="48" t="s">
        <v>41</v>
      </c>
      <c r="AJ531" s="49" t="s">
        <v>41</v>
      </c>
      <c r="AK531" s="48" t="s">
        <v>41</v>
      </c>
      <c r="AL531" s="62" t="s">
        <v>4587</v>
      </c>
      <c r="AM531" s="134" t="s">
        <v>460</v>
      </c>
      <c r="AN531" s="10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1"/>
    </row>
    <row r="532" spans="1:51" x14ac:dyDescent="0.2">
      <c r="A532" s="33">
        <f t="shared" si="9"/>
        <v>527</v>
      </c>
      <c r="B532" s="122" t="s">
        <v>4340</v>
      </c>
      <c r="C532" s="123" t="s">
        <v>4341</v>
      </c>
      <c r="D532" s="202" t="s">
        <v>4342</v>
      </c>
      <c r="E532" s="36" t="s">
        <v>54</v>
      </c>
      <c r="F532" s="122" t="s">
        <v>4343</v>
      </c>
      <c r="G532" s="126" t="s">
        <v>39</v>
      </c>
      <c r="H532" s="126" t="s">
        <v>39</v>
      </c>
      <c r="I532" s="122" t="s">
        <v>4344</v>
      </c>
      <c r="J532" s="122" t="s">
        <v>4345</v>
      </c>
      <c r="K532" s="128" t="s">
        <v>42</v>
      </c>
      <c r="L532" s="165">
        <v>42343</v>
      </c>
      <c r="M532" s="130"/>
      <c r="N532" s="246"/>
      <c r="O532" s="115"/>
      <c r="P532" s="246"/>
      <c r="Q532" s="115"/>
      <c r="R532" s="115"/>
      <c r="S532" s="115"/>
      <c r="T532" s="56"/>
      <c r="U532" s="56"/>
      <c r="V532" s="56"/>
      <c r="W532" s="56"/>
      <c r="X532" s="42" t="s">
        <v>4346</v>
      </c>
      <c r="Y532" s="52" t="s">
        <v>4347</v>
      </c>
      <c r="Z532" s="44" t="s">
        <v>4348</v>
      </c>
      <c r="AA532" s="45" t="s">
        <v>1130</v>
      </c>
      <c r="AB532" s="164" t="s">
        <v>30</v>
      </c>
      <c r="AC532" s="36" t="s">
        <v>26</v>
      </c>
      <c r="AD532" s="133" t="s">
        <v>49</v>
      </c>
      <c r="AE532" s="48" t="s">
        <v>49</v>
      </c>
      <c r="AF532" s="48" t="s">
        <v>49</v>
      </c>
      <c r="AG532" s="48" t="s">
        <v>49</v>
      </c>
      <c r="AH532" s="48" t="s">
        <v>49</v>
      </c>
      <c r="AI532" s="48" t="s">
        <v>49</v>
      </c>
      <c r="AJ532" s="49" t="s">
        <v>49</v>
      </c>
      <c r="AK532" s="48" t="s">
        <v>49</v>
      </c>
      <c r="AL532" s="62" t="s">
        <v>32</v>
      </c>
      <c r="AM532" s="134"/>
      <c r="AN532" s="10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1"/>
    </row>
    <row r="533" spans="1:51" x14ac:dyDescent="0.2">
      <c r="A533" s="33">
        <f t="shared" si="9"/>
        <v>528</v>
      </c>
      <c r="B533" s="34" t="s">
        <v>4349</v>
      </c>
      <c r="C533" s="35" t="s">
        <v>4350</v>
      </c>
      <c r="D533" s="36" t="s">
        <v>4351</v>
      </c>
      <c r="E533" s="36" t="s">
        <v>54</v>
      </c>
      <c r="F533" s="34" t="s">
        <v>4352</v>
      </c>
      <c r="G533" s="37" t="s">
        <v>73</v>
      </c>
      <c r="H533" s="37" t="s">
        <v>73</v>
      </c>
      <c r="I533" s="34" t="s">
        <v>4353</v>
      </c>
      <c r="J533" s="34" t="s">
        <v>41</v>
      </c>
      <c r="K533" s="39" t="s">
        <v>42</v>
      </c>
      <c r="L533" s="165">
        <v>42555</v>
      </c>
      <c r="M533" s="188"/>
      <c r="N533" s="188"/>
      <c r="O533" s="188"/>
      <c r="P533" s="188"/>
      <c r="Q533" s="188"/>
      <c r="R533" s="188"/>
      <c r="S533" s="188"/>
      <c r="T533" s="188"/>
      <c r="U533" s="188"/>
      <c r="V533" s="188"/>
      <c r="W533" s="188"/>
      <c r="X533" s="42" t="s">
        <v>4354</v>
      </c>
      <c r="Y533" s="58" t="s">
        <v>4355</v>
      </c>
      <c r="Z533" s="44" t="s">
        <v>4356</v>
      </c>
      <c r="AA533" s="45">
        <v>42935</v>
      </c>
      <c r="AB533" s="164" t="s">
        <v>30</v>
      </c>
      <c r="AC533" s="36" t="s">
        <v>26</v>
      </c>
      <c r="AD533" s="47" t="s">
        <v>49</v>
      </c>
      <c r="AE533" s="48" t="s">
        <v>49</v>
      </c>
      <c r="AF533" s="48" t="s">
        <v>49</v>
      </c>
      <c r="AG533" s="48" t="s">
        <v>49</v>
      </c>
      <c r="AH533" s="48" t="s">
        <v>49</v>
      </c>
      <c r="AI533" s="48" t="s">
        <v>49</v>
      </c>
      <c r="AJ533" s="49" t="s">
        <v>49</v>
      </c>
      <c r="AK533" s="48" t="s">
        <v>49</v>
      </c>
      <c r="AL533" s="65" t="s">
        <v>32</v>
      </c>
      <c r="AM533" s="59"/>
      <c r="AN533" s="117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1"/>
    </row>
    <row r="534" spans="1:51" x14ac:dyDescent="0.2">
      <c r="A534" s="33">
        <f t="shared" si="9"/>
        <v>529</v>
      </c>
      <c r="B534" s="34" t="s">
        <v>4357</v>
      </c>
      <c r="C534" s="35" t="s">
        <v>4358</v>
      </c>
      <c r="D534" s="36" t="s">
        <v>4359</v>
      </c>
      <c r="E534" s="36" t="s">
        <v>54</v>
      </c>
      <c r="F534" s="34" t="s">
        <v>4360</v>
      </c>
      <c r="G534" s="37" t="s">
        <v>528</v>
      </c>
      <c r="H534" s="37" t="s">
        <v>57</v>
      </c>
      <c r="I534" s="34" t="s">
        <v>4361</v>
      </c>
      <c r="J534" s="34" t="s">
        <v>41</v>
      </c>
      <c r="K534" s="39" t="s">
        <v>42</v>
      </c>
      <c r="L534" s="165">
        <v>37174</v>
      </c>
      <c r="M534" s="188" t="s">
        <v>179</v>
      </c>
      <c r="N534" s="188"/>
      <c r="O534" s="188"/>
      <c r="P534" s="188"/>
      <c r="Q534" s="188"/>
      <c r="R534" s="188"/>
      <c r="S534" s="188"/>
      <c r="T534" s="188"/>
      <c r="U534" s="188"/>
      <c r="V534" s="188" t="s">
        <v>732</v>
      </c>
      <c r="W534" s="188"/>
      <c r="X534" s="42" t="s">
        <v>4362</v>
      </c>
      <c r="Y534" s="69" t="s">
        <v>4363</v>
      </c>
      <c r="Z534" s="44" t="s">
        <v>61</v>
      </c>
      <c r="AA534" s="45">
        <v>37208</v>
      </c>
      <c r="AB534" s="164" t="s">
        <v>30</v>
      </c>
      <c r="AC534" s="36" t="s">
        <v>26</v>
      </c>
      <c r="AD534" s="47" t="s">
        <v>49</v>
      </c>
      <c r="AE534" s="48" t="s">
        <v>49</v>
      </c>
      <c r="AF534" s="48" t="s">
        <v>49</v>
      </c>
      <c r="AG534" s="48" t="s">
        <v>49</v>
      </c>
      <c r="AH534" s="48" t="s">
        <v>49</v>
      </c>
      <c r="AI534" s="48" t="s">
        <v>49</v>
      </c>
      <c r="AJ534" s="49" t="s">
        <v>49</v>
      </c>
      <c r="AK534" s="48" t="s">
        <v>41</v>
      </c>
      <c r="AL534" s="62" t="s">
        <v>148</v>
      </c>
      <c r="AM534" s="59"/>
      <c r="AN534" s="10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1"/>
    </row>
    <row r="535" spans="1:51" x14ac:dyDescent="0.2">
      <c r="A535" s="33">
        <f t="shared" si="9"/>
        <v>530</v>
      </c>
      <c r="B535" s="34" t="s">
        <v>4364</v>
      </c>
      <c r="C535" s="35" t="s">
        <v>4365</v>
      </c>
      <c r="D535" s="36" t="s">
        <v>4366</v>
      </c>
      <c r="E535" s="36" t="s">
        <v>54</v>
      </c>
      <c r="F535" s="34" t="s">
        <v>4367</v>
      </c>
      <c r="G535" s="37" t="s">
        <v>1354</v>
      </c>
      <c r="H535" s="37" t="s">
        <v>57</v>
      </c>
      <c r="I535" s="34" t="s">
        <v>4368</v>
      </c>
      <c r="J535" s="34" t="s">
        <v>41</v>
      </c>
      <c r="K535" s="39" t="s">
        <v>42</v>
      </c>
      <c r="L535" s="99" t="s">
        <v>3857</v>
      </c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42" t="s">
        <v>4369</v>
      </c>
      <c r="Y535" s="52" t="s">
        <v>4370</v>
      </c>
      <c r="Z535" s="44" t="s">
        <v>4371</v>
      </c>
      <c r="AA535" s="45">
        <v>41793</v>
      </c>
      <c r="AB535" s="101" t="s">
        <v>30</v>
      </c>
      <c r="AC535" s="36" t="s">
        <v>26</v>
      </c>
      <c r="AD535" s="47" t="s">
        <v>49</v>
      </c>
      <c r="AE535" s="48" t="s">
        <v>49</v>
      </c>
      <c r="AF535" s="48" t="s">
        <v>49</v>
      </c>
      <c r="AG535" s="48" t="s">
        <v>49</v>
      </c>
      <c r="AH535" s="48" t="s">
        <v>49</v>
      </c>
      <c r="AI535" s="48" t="s">
        <v>49</v>
      </c>
      <c r="AJ535" s="49" t="s">
        <v>49</v>
      </c>
      <c r="AK535" s="48" t="s">
        <v>49</v>
      </c>
      <c r="AL535" s="62" t="s">
        <v>32</v>
      </c>
      <c r="AM535" s="134"/>
      <c r="AN535" s="10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1"/>
    </row>
    <row r="536" spans="1:51" x14ac:dyDescent="0.2">
      <c r="A536" s="33">
        <f t="shared" si="9"/>
        <v>531</v>
      </c>
      <c r="B536" s="34" t="s">
        <v>4372</v>
      </c>
      <c r="C536" s="35" t="s">
        <v>4373</v>
      </c>
      <c r="D536" s="73" t="s">
        <v>4374</v>
      </c>
      <c r="E536" s="36" t="s">
        <v>54</v>
      </c>
      <c r="F536" s="98" t="s">
        <v>4375</v>
      </c>
      <c r="G536" s="37" t="s">
        <v>73</v>
      </c>
      <c r="H536" s="37" t="s">
        <v>73</v>
      </c>
      <c r="I536" s="38" t="s">
        <v>4376</v>
      </c>
      <c r="J536" s="34" t="s">
        <v>41</v>
      </c>
      <c r="K536" s="39" t="s">
        <v>42</v>
      </c>
      <c r="L536" s="120">
        <v>42440</v>
      </c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42" t="s">
        <v>4377</v>
      </c>
      <c r="Y536" s="69" t="s">
        <v>4378</v>
      </c>
      <c r="Z536" s="44" t="s">
        <v>4379</v>
      </c>
      <c r="AA536" s="45">
        <v>42935</v>
      </c>
      <c r="AB536" s="101" t="s">
        <v>30</v>
      </c>
      <c r="AC536" s="73" t="s">
        <v>26</v>
      </c>
      <c r="AD536" s="47" t="s">
        <v>49</v>
      </c>
      <c r="AE536" s="48" t="s">
        <v>49</v>
      </c>
      <c r="AF536" s="48" t="s">
        <v>49</v>
      </c>
      <c r="AG536" s="48" t="s">
        <v>49</v>
      </c>
      <c r="AH536" s="48" t="s">
        <v>41</v>
      </c>
      <c r="AI536" s="48" t="s">
        <v>41</v>
      </c>
      <c r="AJ536" s="49" t="s">
        <v>41</v>
      </c>
      <c r="AK536" s="48" t="s">
        <v>41</v>
      </c>
      <c r="AL536" s="62" t="s">
        <v>139</v>
      </c>
      <c r="AM536" s="59"/>
      <c r="AN536" s="10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1"/>
    </row>
    <row r="537" spans="1:51" x14ac:dyDescent="0.2">
      <c r="A537" s="33">
        <f t="shared" si="9"/>
        <v>532</v>
      </c>
      <c r="B537" s="34" t="s">
        <v>4380</v>
      </c>
      <c r="C537" s="35" t="s">
        <v>4381</v>
      </c>
      <c r="D537" s="73" t="s">
        <v>4382</v>
      </c>
      <c r="E537" s="36" t="s">
        <v>54</v>
      </c>
      <c r="F537" s="98" t="s">
        <v>4383</v>
      </c>
      <c r="G537" s="37" t="s">
        <v>73</v>
      </c>
      <c r="H537" s="37" t="s">
        <v>73</v>
      </c>
      <c r="I537" s="38" t="s">
        <v>4384</v>
      </c>
      <c r="J537" s="34" t="s">
        <v>41</v>
      </c>
      <c r="K537" s="39" t="s">
        <v>42</v>
      </c>
      <c r="L537" s="120">
        <v>43771</v>
      </c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42" t="s">
        <v>4385</v>
      </c>
      <c r="Y537" s="52" t="s">
        <v>4386</v>
      </c>
      <c r="Z537" s="44" t="s">
        <v>4387</v>
      </c>
      <c r="AA537" s="45">
        <v>44041</v>
      </c>
      <c r="AB537" s="101" t="s">
        <v>30</v>
      </c>
      <c r="AC537" s="73" t="s">
        <v>26</v>
      </c>
      <c r="AD537" s="47" t="s">
        <v>49</v>
      </c>
      <c r="AE537" s="48" t="s">
        <v>49</v>
      </c>
      <c r="AF537" s="48" t="s">
        <v>49</v>
      </c>
      <c r="AG537" s="48" t="s">
        <v>49</v>
      </c>
      <c r="AH537" s="48" t="s">
        <v>49</v>
      </c>
      <c r="AI537" s="48" t="s">
        <v>41</v>
      </c>
      <c r="AJ537" s="49" t="s">
        <v>41</v>
      </c>
      <c r="AK537" s="48" t="s">
        <v>41</v>
      </c>
      <c r="AL537" s="62" t="s">
        <v>4589</v>
      </c>
      <c r="AM537" s="59"/>
      <c r="AN537" s="10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1"/>
    </row>
    <row r="538" spans="1:51" x14ac:dyDescent="0.2">
      <c r="A538" s="33">
        <f t="shared" si="9"/>
        <v>533</v>
      </c>
      <c r="B538" s="34" t="s">
        <v>4388</v>
      </c>
      <c r="C538" s="35" t="s">
        <v>4389</v>
      </c>
      <c r="D538" s="36" t="s">
        <v>4390</v>
      </c>
      <c r="E538" s="36" t="s">
        <v>54</v>
      </c>
      <c r="F538" s="34" t="s">
        <v>4391</v>
      </c>
      <c r="G538" s="37" t="s">
        <v>350</v>
      </c>
      <c r="H538" s="37" t="s">
        <v>350</v>
      </c>
      <c r="I538" s="34" t="s">
        <v>4392</v>
      </c>
      <c r="J538" s="34" t="s">
        <v>41</v>
      </c>
      <c r="K538" s="39" t="s">
        <v>42</v>
      </c>
      <c r="L538" s="120">
        <v>37264</v>
      </c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2" t="s">
        <v>4393</v>
      </c>
      <c r="Y538" s="69" t="s">
        <v>4394</v>
      </c>
      <c r="Z538" s="44" t="s">
        <v>61</v>
      </c>
      <c r="AA538" s="45" t="s">
        <v>4395</v>
      </c>
      <c r="AB538" s="101" t="s">
        <v>30</v>
      </c>
      <c r="AC538" s="36" t="s">
        <v>26</v>
      </c>
      <c r="AD538" s="47" t="s">
        <v>49</v>
      </c>
      <c r="AE538" s="48" t="s">
        <v>49</v>
      </c>
      <c r="AF538" s="48" t="s">
        <v>49</v>
      </c>
      <c r="AG538" s="48" t="s">
        <v>49</v>
      </c>
      <c r="AH538" s="48" t="s">
        <v>49</v>
      </c>
      <c r="AI538" s="48" t="s">
        <v>49</v>
      </c>
      <c r="AJ538" s="49" t="s">
        <v>49</v>
      </c>
      <c r="AK538" s="48" t="s">
        <v>41</v>
      </c>
      <c r="AL538" s="65" t="s">
        <v>148</v>
      </c>
      <c r="AM538" s="59"/>
      <c r="AN538" s="10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1"/>
    </row>
    <row r="539" spans="1:51" x14ac:dyDescent="0.2">
      <c r="A539" s="33">
        <f t="shared" si="9"/>
        <v>534</v>
      </c>
      <c r="B539" s="34" t="s">
        <v>4396</v>
      </c>
      <c r="C539" s="35" t="s">
        <v>4397</v>
      </c>
      <c r="D539" s="36" t="s">
        <v>4398</v>
      </c>
      <c r="E539" s="36" t="s">
        <v>36</v>
      </c>
      <c r="F539" s="34" t="s">
        <v>4399</v>
      </c>
      <c r="G539" s="37" t="s">
        <v>73</v>
      </c>
      <c r="H539" s="37" t="s">
        <v>73</v>
      </c>
      <c r="I539" s="34" t="s">
        <v>4400</v>
      </c>
      <c r="J539" s="34" t="s">
        <v>4400</v>
      </c>
      <c r="K539" s="39" t="s">
        <v>42</v>
      </c>
      <c r="L539" s="120">
        <v>30353</v>
      </c>
      <c r="M539" s="56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42" t="s">
        <v>4401</v>
      </c>
      <c r="Y539" s="58" t="s">
        <v>4402</v>
      </c>
      <c r="Z539" s="44" t="s">
        <v>4403</v>
      </c>
      <c r="AA539" s="131" t="s">
        <v>1130</v>
      </c>
      <c r="AB539" s="101" t="s">
        <v>30</v>
      </c>
      <c r="AC539" s="36" t="s">
        <v>26</v>
      </c>
      <c r="AD539" s="64" t="s">
        <v>120</v>
      </c>
      <c r="AE539" s="48" t="s">
        <v>120</v>
      </c>
      <c r="AF539" s="48" t="s">
        <v>120</v>
      </c>
      <c r="AG539" s="48" t="s">
        <v>120</v>
      </c>
      <c r="AH539" s="48" t="s">
        <v>120</v>
      </c>
      <c r="AI539" s="48" t="s">
        <v>120</v>
      </c>
      <c r="AJ539" s="49" t="s">
        <v>120</v>
      </c>
      <c r="AK539" s="48" t="s">
        <v>120</v>
      </c>
      <c r="AL539" s="62" t="s">
        <v>32</v>
      </c>
      <c r="AM539" s="103"/>
      <c r="AN539" s="10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1"/>
    </row>
    <row r="540" spans="1:51" x14ac:dyDescent="0.2">
      <c r="A540" s="33">
        <f t="shared" si="9"/>
        <v>535</v>
      </c>
      <c r="B540" s="34" t="s">
        <v>4404</v>
      </c>
      <c r="C540" s="35" t="s">
        <v>4405</v>
      </c>
      <c r="D540" s="36" t="s">
        <v>4406</v>
      </c>
      <c r="E540" s="36" t="s">
        <v>54</v>
      </c>
      <c r="F540" s="34" t="s">
        <v>4407</v>
      </c>
      <c r="G540" s="37" t="s">
        <v>681</v>
      </c>
      <c r="H540" s="37" t="s">
        <v>378</v>
      </c>
      <c r="I540" s="38" t="s">
        <v>4408</v>
      </c>
      <c r="J540" s="38" t="s">
        <v>4409</v>
      </c>
      <c r="K540" s="39" t="s">
        <v>42</v>
      </c>
      <c r="L540" s="99" t="s">
        <v>4410</v>
      </c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42" t="s">
        <v>4411</v>
      </c>
      <c r="Y540" s="58" t="s">
        <v>4412</v>
      </c>
      <c r="Z540" s="44" t="s">
        <v>4413</v>
      </c>
      <c r="AA540" s="45">
        <v>45003</v>
      </c>
      <c r="AB540" s="101" t="s">
        <v>30</v>
      </c>
      <c r="AC540" s="36" t="s">
        <v>26</v>
      </c>
      <c r="AD540" s="47" t="s">
        <v>49</v>
      </c>
      <c r="AE540" s="48" t="s">
        <v>49</v>
      </c>
      <c r="AF540" s="48" t="s">
        <v>49</v>
      </c>
      <c r="AG540" s="48" t="s">
        <v>49</v>
      </c>
      <c r="AH540" s="48" t="s">
        <v>49</v>
      </c>
      <c r="AI540" s="48" t="s">
        <v>49</v>
      </c>
      <c r="AJ540" s="49" t="s">
        <v>49</v>
      </c>
      <c r="AK540" s="48" t="s">
        <v>49</v>
      </c>
      <c r="AL540" s="62" t="s">
        <v>32</v>
      </c>
      <c r="AM540" s="59"/>
      <c r="AN540" s="10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1"/>
    </row>
    <row r="541" spans="1:51" x14ac:dyDescent="0.2">
      <c r="A541" s="33">
        <f t="shared" si="9"/>
        <v>536</v>
      </c>
      <c r="B541" s="34" t="s">
        <v>4414</v>
      </c>
      <c r="C541" s="35" t="s">
        <v>4415</v>
      </c>
      <c r="D541" s="36" t="s">
        <v>4416</v>
      </c>
      <c r="E541" s="36" t="s">
        <v>36</v>
      </c>
      <c r="F541" s="34" t="s">
        <v>4417</v>
      </c>
      <c r="G541" s="37" t="s">
        <v>73</v>
      </c>
      <c r="H541" s="37" t="s">
        <v>73</v>
      </c>
      <c r="I541" s="34" t="s">
        <v>4418</v>
      </c>
      <c r="J541" s="34" t="s">
        <v>1996</v>
      </c>
      <c r="K541" s="39" t="s">
        <v>42</v>
      </c>
      <c r="L541" s="120">
        <v>30353</v>
      </c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42" t="s">
        <v>4419</v>
      </c>
      <c r="Y541" s="52" t="s">
        <v>4420</v>
      </c>
      <c r="Z541" s="44" t="s">
        <v>4421</v>
      </c>
      <c r="AA541" s="45">
        <v>44041</v>
      </c>
      <c r="AB541" s="101" t="s">
        <v>30</v>
      </c>
      <c r="AC541" s="36" t="s">
        <v>26</v>
      </c>
      <c r="AD541" s="66" t="s">
        <v>130</v>
      </c>
      <c r="AE541" s="48" t="s">
        <v>130</v>
      </c>
      <c r="AF541" s="48" t="s">
        <v>130</v>
      </c>
      <c r="AG541" s="48" t="s">
        <v>130</v>
      </c>
      <c r="AH541" s="48" t="s">
        <v>130</v>
      </c>
      <c r="AI541" s="48" t="s">
        <v>130</v>
      </c>
      <c r="AJ541" s="49" t="s">
        <v>130</v>
      </c>
      <c r="AK541" s="48" t="s">
        <v>130</v>
      </c>
      <c r="AL541" s="62" t="s">
        <v>32</v>
      </c>
      <c r="AM541" s="59"/>
      <c r="AN541" s="10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1"/>
    </row>
    <row r="542" spans="1:51" x14ac:dyDescent="0.2">
      <c r="A542" s="33">
        <f t="shared" si="9"/>
        <v>537</v>
      </c>
      <c r="B542" s="34" t="s">
        <v>4422</v>
      </c>
      <c r="C542" s="35" t="s">
        <v>4423</v>
      </c>
      <c r="D542" s="36" t="s">
        <v>4424</v>
      </c>
      <c r="E542" s="36" t="s">
        <v>54</v>
      </c>
      <c r="F542" s="34" t="s">
        <v>4425</v>
      </c>
      <c r="G542" s="37" t="s">
        <v>1285</v>
      </c>
      <c r="H542" s="37" t="s">
        <v>350</v>
      </c>
      <c r="I542" s="38" t="s">
        <v>4426</v>
      </c>
      <c r="J542" s="34" t="s">
        <v>41</v>
      </c>
      <c r="K542" s="39" t="s">
        <v>42</v>
      </c>
      <c r="L542" s="120" t="s">
        <v>4427</v>
      </c>
      <c r="M542" s="115" t="s">
        <v>179</v>
      </c>
      <c r="N542" s="56"/>
      <c r="O542" s="56"/>
      <c r="P542" s="56">
        <v>5</v>
      </c>
      <c r="Q542" s="56"/>
      <c r="R542" s="56"/>
      <c r="S542" s="56"/>
      <c r="T542" s="56"/>
      <c r="U542" s="56"/>
      <c r="V542" s="56"/>
      <c r="W542" s="56"/>
      <c r="X542" s="42" t="s">
        <v>4428</v>
      </c>
      <c r="Y542" s="69" t="s">
        <v>4429</v>
      </c>
      <c r="Z542" s="44"/>
      <c r="AA542" s="45" t="s">
        <v>4430</v>
      </c>
      <c r="AB542" s="101"/>
      <c r="AC542" s="36"/>
      <c r="AD542" s="61" t="s">
        <v>49</v>
      </c>
      <c r="AE542" s="48" t="s">
        <v>41</v>
      </c>
      <c r="AF542" s="48" t="s">
        <v>41</v>
      </c>
      <c r="AG542" s="48" t="s">
        <v>41</v>
      </c>
      <c r="AH542" s="48" t="s">
        <v>41</v>
      </c>
      <c r="AI542" s="48" t="s">
        <v>41</v>
      </c>
      <c r="AJ542" s="49" t="s">
        <v>41</v>
      </c>
      <c r="AK542" s="48" t="s">
        <v>41</v>
      </c>
      <c r="AL542" s="65" t="s">
        <v>4588</v>
      </c>
      <c r="AM542" s="59"/>
      <c r="AN542" s="117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1"/>
    </row>
    <row r="543" spans="1:51" x14ac:dyDescent="0.2">
      <c r="A543" s="33">
        <f t="shared" si="9"/>
        <v>538</v>
      </c>
      <c r="B543" s="34" t="s">
        <v>4431</v>
      </c>
      <c r="C543" s="35" t="s">
        <v>4432</v>
      </c>
      <c r="D543" s="36" t="s">
        <v>4433</v>
      </c>
      <c r="E543" s="36" t="s">
        <v>54</v>
      </c>
      <c r="F543" s="34" t="s">
        <v>4434</v>
      </c>
      <c r="G543" s="37" t="s">
        <v>214</v>
      </c>
      <c r="H543" s="37" t="s">
        <v>205</v>
      </c>
      <c r="I543" s="38" t="s">
        <v>4435</v>
      </c>
      <c r="J543" s="34" t="s">
        <v>41</v>
      </c>
      <c r="K543" s="39" t="s">
        <v>42</v>
      </c>
      <c r="L543" s="120">
        <v>45716</v>
      </c>
      <c r="M543" s="56" t="s">
        <v>179</v>
      </c>
      <c r="N543" s="56"/>
      <c r="O543" s="56"/>
      <c r="P543" s="56"/>
      <c r="Q543" s="56"/>
      <c r="R543" s="56"/>
      <c r="S543" s="56"/>
      <c r="T543" s="56"/>
      <c r="U543" s="56"/>
      <c r="V543" s="56" t="s">
        <v>44</v>
      </c>
      <c r="W543" s="56"/>
      <c r="X543" s="42" t="s">
        <v>4436</v>
      </c>
      <c r="Y543" s="58" t="s">
        <v>4437</v>
      </c>
      <c r="Z543" s="44"/>
      <c r="AA543" s="45"/>
      <c r="AB543" s="101"/>
      <c r="AC543" s="36"/>
      <c r="AD543" s="61" t="s">
        <v>49</v>
      </c>
      <c r="AE543" s="48" t="s">
        <v>41</v>
      </c>
      <c r="AF543" s="48" t="s">
        <v>41</v>
      </c>
      <c r="AG543" s="48" t="s">
        <v>41</v>
      </c>
      <c r="AH543" s="48" t="s">
        <v>41</v>
      </c>
      <c r="AI543" s="48" t="s">
        <v>41</v>
      </c>
      <c r="AJ543" s="49" t="s">
        <v>49</v>
      </c>
      <c r="AK543" s="48" t="s">
        <v>41</v>
      </c>
      <c r="AL543" s="62" t="s">
        <v>148</v>
      </c>
      <c r="AM543" s="59"/>
      <c r="AN543" s="117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1"/>
    </row>
    <row r="544" spans="1:51" x14ac:dyDescent="0.2">
      <c r="A544" s="33">
        <f t="shared" si="9"/>
        <v>539</v>
      </c>
      <c r="B544" s="34" t="s">
        <v>4438</v>
      </c>
      <c r="C544" s="35" t="s">
        <v>4439</v>
      </c>
      <c r="D544" s="36" t="s">
        <v>4440</v>
      </c>
      <c r="E544" s="36" t="s">
        <v>54</v>
      </c>
      <c r="F544" s="34" t="s">
        <v>4441</v>
      </c>
      <c r="G544" s="37" t="s">
        <v>349</v>
      </c>
      <c r="H544" s="37" t="s">
        <v>350</v>
      </c>
      <c r="I544" s="38" t="s">
        <v>4442</v>
      </c>
      <c r="J544" s="34" t="s">
        <v>41</v>
      </c>
      <c r="K544" s="39" t="s">
        <v>42</v>
      </c>
      <c r="L544" s="120">
        <v>43682</v>
      </c>
      <c r="M544" s="53"/>
      <c r="N544" s="53"/>
      <c r="O544" s="53"/>
      <c r="P544" s="53"/>
      <c r="Q544" s="115"/>
      <c r="R544" s="115"/>
      <c r="S544" s="115"/>
      <c r="T544" s="115"/>
      <c r="U544" s="115"/>
      <c r="V544" s="115"/>
      <c r="W544" s="115"/>
      <c r="X544" s="57" t="s">
        <v>4443</v>
      </c>
      <c r="Y544" s="43" t="s">
        <v>4444</v>
      </c>
      <c r="Z544" s="44" t="s">
        <v>4445</v>
      </c>
      <c r="AA544" s="45">
        <v>44041</v>
      </c>
      <c r="AB544" s="101" t="s">
        <v>30</v>
      </c>
      <c r="AC544" s="36" t="s">
        <v>26</v>
      </c>
      <c r="AD544" s="61" t="s">
        <v>49</v>
      </c>
      <c r="AE544" s="48" t="s">
        <v>49</v>
      </c>
      <c r="AF544" s="48" t="s">
        <v>49</v>
      </c>
      <c r="AG544" s="48" t="s">
        <v>49</v>
      </c>
      <c r="AH544" s="48" t="s">
        <v>49</v>
      </c>
      <c r="AI544" s="48" t="s">
        <v>49</v>
      </c>
      <c r="AJ544" s="49" t="s">
        <v>49</v>
      </c>
      <c r="AK544" s="48" t="s">
        <v>41</v>
      </c>
      <c r="AL544" s="62" t="s">
        <v>148</v>
      </c>
      <c r="AM544" s="59"/>
      <c r="AN544" s="10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1"/>
    </row>
    <row r="545" spans="1:51" x14ac:dyDescent="0.2">
      <c r="A545" s="33">
        <f t="shared" si="9"/>
        <v>540</v>
      </c>
      <c r="B545" s="34" t="s">
        <v>4446</v>
      </c>
      <c r="C545" s="35" t="s">
        <v>4447</v>
      </c>
      <c r="D545" s="36" t="s">
        <v>4448</v>
      </c>
      <c r="E545" s="36" t="s">
        <v>54</v>
      </c>
      <c r="F545" s="34" t="s">
        <v>4449</v>
      </c>
      <c r="G545" s="37" t="s">
        <v>1285</v>
      </c>
      <c r="H545" s="37" t="s">
        <v>350</v>
      </c>
      <c r="I545" s="38" t="s">
        <v>4450</v>
      </c>
      <c r="J545" s="34" t="s">
        <v>41</v>
      </c>
      <c r="K545" s="39" t="s">
        <v>42</v>
      </c>
      <c r="L545" s="120">
        <v>45372</v>
      </c>
      <c r="M545" s="56"/>
      <c r="N545" s="137"/>
      <c r="O545" s="137"/>
      <c r="P545" s="137"/>
      <c r="Q545" s="137"/>
      <c r="R545" s="137"/>
      <c r="S545" s="137"/>
      <c r="T545" s="137"/>
      <c r="U545" s="137" t="s">
        <v>44</v>
      </c>
      <c r="V545" s="137"/>
      <c r="W545" s="137"/>
      <c r="X545" s="54" t="s">
        <v>4451</v>
      </c>
      <c r="Y545" s="43" t="s">
        <v>4452</v>
      </c>
      <c r="Z545" s="44"/>
      <c r="AA545" s="45"/>
      <c r="AB545" s="101"/>
      <c r="AC545" s="36"/>
      <c r="AD545" s="61" t="s">
        <v>49</v>
      </c>
      <c r="AE545" s="48" t="s">
        <v>41</v>
      </c>
      <c r="AF545" s="48" t="s">
        <v>41</v>
      </c>
      <c r="AG545" s="48" t="s">
        <v>41</v>
      </c>
      <c r="AH545" s="48" t="s">
        <v>41</v>
      </c>
      <c r="AI545" s="48" t="s">
        <v>49</v>
      </c>
      <c r="AJ545" s="49" t="s">
        <v>41</v>
      </c>
      <c r="AK545" s="48" t="s">
        <v>41</v>
      </c>
      <c r="AL545" s="62" t="s">
        <v>276</v>
      </c>
      <c r="AM545" s="59"/>
      <c r="AN545" s="10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1"/>
    </row>
    <row r="546" spans="1:51" x14ac:dyDescent="0.2">
      <c r="A546" s="33">
        <f t="shared" si="9"/>
        <v>541</v>
      </c>
      <c r="B546" s="34" t="s">
        <v>4453</v>
      </c>
      <c r="C546" s="35" t="s">
        <v>4454</v>
      </c>
      <c r="D546" s="247" t="s">
        <v>4594</v>
      </c>
      <c r="E546" s="36" t="s">
        <v>54</v>
      </c>
      <c r="F546" s="34" t="s">
        <v>4455</v>
      </c>
      <c r="G546" s="37" t="s">
        <v>39</v>
      </c>
      <c r="H546" s="37" t="s">
        <v>39</v>
      </c>
      <c r="I546" s="38" t="s">
        <v>4456</v>
      </c>
      <c r="J546" s="34" t="s">
        <v>41</v>
      </c>
      <c r="K546" s="39" t="s">
        <v>42</v>
      </c>
      <c r="L546" s="120">
        <v>45357</v>
      </c>
      <c r="M546" s="56"/>
      <c r="N546" s="56"/>
      <c r="O546" s="56"/>
      <c r="P546" s="56"/>
      <c r="Q546" s="56"/>
      <c r="R546" s="56"/>
      <c r="S546" s="56"/>
      <c r="T546" s="56"/>
      <c r="U546" s="56" t="s">
        <v>44</v>
      </c>
      <c r="V546" s="56"/>
      <c r="W546" s="56"/>
      <c r="X546" s="54" t="s">
        <v>4457</v>
      </c>
      <c r="Y546" s="55" t="s">
        <v>4458</v>
      </c>
      <c r="Z546" s="44"/>
      <c r="AA546" s="45"/>
      <c r="AB546" s="101"/>
      <c r="AC546" s="36"/>
      <c r="AD546" s="47" t="s">
        <v>49</v>
      </c>
      <c r="AE546" s="48" t="s">
        <v>41</v>
      </c>
      <c r="AF546" s="48" t="s">
        <v>41</v>
      </c>
      <c r="AG546" s="48" t="s">
        <v>41</v>
      </c>
      <c r="AH546" s="48" t="s">
        <v>41</v>
      </c>
      <c r="AI546" s="48" t="s">
        <v>49</v>
      </c>
      <c r="AJ546" s="49" t="s">
        <v>49</v>
      </c>
      <c r="AK546" s="48" t="s">
        <v>49</v>
      </c>
      <c r="AL546" s="62" t="s">
        <v>32</v>
      </c>
      <c r="AM546" s="59"/>
      <c r="AN546" s="10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1"/>
    </row>
    <row r="547" spans="1:51" x14ac:dyDescent="0.2">
      <c r="A547" s="33">
        <f t="shared" si="9"/>
        <v>542</v>
      </c>
      <c r="B547" s="34" t="s">
        <v>4459</v>
      </c>
      <c r="C547" s="35" t="s">
        <v>4460</v>
      </c>
      <c r="D547" s="36" t="s">
        <v>4461</v>
      </c>
      <c r="E547" s="36" t="s">
        <v>54</v>
      </c>
      <c r="F547" s="34" t="s">
        <v>4462</v>
      </c>
      <c r="G547" s="37" t="s">
        <v>252</v>
      </c>
      <c r="H547" s="37" t="s">
        <v>57</v>
      </c>
      <c r="I547" s="34" t="s">
        <v>4463</v>
      </c>
      <c r="J547" s="34" t="s">
        <v>4464</v>
      </c>
      <c r="K547" s="39" t="s">
        <v>42</v>
      </c>
      <c r="L547" s="120">
        <v>31057</v>
      </c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7" t="s">
        <v>4465</v>
      </c>
      <c r="Y547" s="58" t="s">
        <v>4466</v>
      </c>
      <c r="Z547" s="44" t="s">
        <v>4467</v>
      </c>
      <c r="AA547" s="45">
        <v>44041</v>
      </c>
      <c r="AB547" s="101" t="s">
        <v>30</v>
      </c>
      <c r="AC547" s="36" t="s">
        <v>26</v>
      </c>
      <c r="AD547" s="47" t="s">
        <v>49</v>
      </c>
      <c r="AE547" s="48" t="s">
        <v>49</v>
      </c>
      <c r="AF547" s="48" t="s">
        <v>49</v>
      </c>
      <c r="AG547" s="48" t="s">
        <v>49</v>
      </c>
      <c r="AH547" s="48" t="s">
        <v>49</v>
      </c>
      <c r="AI547" s="48" t="s">
        <v>49</v>
      </c>
      <c r="AJ547" s="49" t="s">
        <v>49</v>
      </c>
      <c r="AK547" s="48" t="s">
        <v>41</v>
      </c>
      <c r="AL547" s="62" t="s">
        <v>148</v>
      </c>
      <c r="AM547" s="59"/>
      <c r="AN547" s="10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1"/>
    </row>
    <row r="548" spans="1:51" x14ac:dyDescent="0.2">
      <c r="A548" s="33">
        <f t="shared" si="9"/>
        <v>543</v>
      </c>
      <c r="B548" s="34" t="s">
        <v>4468</v>
      </c>
      <c r="C548" s="35" t="s">
        <v>4469</v>
      </c>
      <c r="D548" s="109" t="s">
        <v>4470</v>
      </c>
      <c r="E548" s="36" t="s">
        <v>54</v>
      </c>
      <c r="F548" s="34" t="s">
        <v>4471</v>
      </c>
      <c r="G548" s="37" t="s">
        <v>73</v>
      </c>
      <c r="H548" s="37" t="s">
        <v>73</v>
      </c>
      <c r="I548" s="34" t="s">
        <v>4472</v>
      </c>
      <c r="J548" s="34" t="s">
        <v>41</v>
      </c>
      <c r="K548" s="39" t="s">
        <v>42</v>
      </c>
      <c r="L548" s="99" t="s">
        <v>4473</v>
      </c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42" t="s">
        <v>4474</v>
      </c>
      <c r="Y548" s="52" t="s">
        <v>4475</v>
      </c>
      <c r="Z548" s="44" t="s">
        <v>4476</v>
      </c>
      <c r="AA548" s="45">
        <v>41793</v>
      </c>
      <c r="AB548" s="101" t="s">
        <v>30</v>
      </c>
      <c r="AC548" s="109" t="s">
        <v>26</v>
      </c>
      <c r="AD548" s="47" t="s">
        <v>49</v>
      </c>
      <c r="AE548" s="48" t="s">
        <v>49</v>
      </c>
      <c r="AF548" s="48" t="s">
        <v>49</v>
      </c>
      <c r="AG548" s="48" t="s">
        <v>49</v>
      </c>
      <c r="AH548" s="48" t="s">
        <v>49</v>
      </c>
      <c r="AI548" s="48" t="s">
        <v>49</v>
      </c>
      <c r="AJ548" s="49" t="s">
        <v>41</v>
      </c>
      <c r="AK548" s="48" t="s">
        <v>41</v>
      </c>
      <c r="AL548" s="62" t="s">
        <v>276</v>
      </c>
      <c r="AM548" s="59"/>
      <c r="AN548" s="248"/>
      <c r="AO548" s="32"/>
      <c r="AP548" s="220"/>
      <c r="AQ548" s="32"/>
      <c r="AR548" s="32"/>
      <c r="AS548" s="32"/>
      <c r="AT548" s="32"/>
      <c r="AU548" s="32"/>
      <c r="AV548" s="32"/>
      <c r="AW548" s="32"/>
      <c r="AX548" s="32"/>
      <c r="AY548" s="31"/>
    </row>
    <row r="549" spans="1:51" x14ac:dyDescent="0.2">
      <c r="A549" s="33">
        <f t="shared" si="9"/>
        <v>544</v>
      </c>
      <c r="B549" s="34" t="s">
        <v>4477</v>
      </c>
      <c r="C549" s="35" t="s">
        <v>4478</v>
      </c>
      <c r="D549" s="36" t="s">
        <v>4479</v>
      </c>
      <c r="E549" s="36" t="s">
        <v>36</v>
      </c>
      <c r="F549" s="34" t="s">
        <v>4480</v>
      </c>
      <c r="G549" s="37" t="s">
        <v>73</v>
      </c>
      <c r="H549" s="37" t="s">
        <v>73</v>
      </c>
      <c r="I549" s="34" t="s">
        <v>4481</v>
      </c>
      <c r="J549" s="34" t="s">
        <v>4482</v>
      </c>
      <c r="K549" s="39" t="s">
        <v>42</v>
      </c>
      <c r="L549" s="161">
        <v>32357</v>
      </c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42" t="s">
        <v>4483</v>
      </c>
      <c r="Y549" s="69" t="s">
        <v>4484</v>
      </c>
      <c r="Z549" s="44" t="s">
        <v>61</v>
      </c>
      <c r="AA549" s="45">
        <v>39286</v>
      </c>
      <c r="AB549" s="160" t="s">
        <v>129</v>
      </c>
      <c r="AC549" s="36" t="s">
        <v>26</v>
      </c>
      <c r="AD549" s="66" t="s">
        <v>130</v>
      </c>
      <c r="AE549" s="48" t="s">
        <v>130</v>
      </c>
      <c r="AF549" s="48" t="s">
        <v>130</v>
      </c>
      <c r="AG549" s="48" t="s">
        <v>130</v>
      </c>
      <c r="AH549" s="48" t="s">
        <v>130</v>
      </c>
      <c r="AI549" s="48" t="s">
        <v>130</v>
      </c>
      <c r="AJ549" s="49" t="s">
        <v>130</v>
      </c>
      <c r="AK549" s="48" t="s">
        <v>130</v>
      </c>
      <c r="AL549" s="62" t="s">
        <v>32</v>
      </c>
      <c r="AM549" s="51"/>
      <c r="AN549" s="10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1"/>
    </row>
    <row r="550" spans="1:51" x14ac:dyDescent="0.2">
      <c r="A550" s="33">
        <f t="shared" si="9"/>
        <v>545</v>
      </c>
      <c r="B550" s="171" t="s">
        <v>4485</v>
      </c>
      <c r="C550" s="249" t="s">
        <v>4486</v>
      </c>
      <c r="D550" s="170" t="s">
        <v>4487</v>
      </c>
      <c r="E550" s="36" t="s">
        <v>54</v>
      </c>
      <c r="F550" s="171" t="s">
        <v>4488</v>
      </c>
      <c r="G550" s="182" t="s">
        <v>186</v>
      </c>
      <c r="H550" s="182" t="s">
        <v>187</v>
      </c>
      <c r="I550" s="139" t="s">
        <v>4489</v>
      </c>
      <c r="J550" s="171" t="s">
        <v>41</v>
      </c>
      <c r="K550" s="172" t="s">
        <v>42</v>
      </c>
      <c r="L550" s="161">
        <v>36440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42" t="s">
        <v>4490</v>
      </c>
      <c r="Y550" s="52" t="s">
        <v>4491</v>
      </c>
      <c r="Z550" s="44" t="s">
        <v>61</v>
      </c>
      <c r="AA550" s="250">
        <v>40815</v>
      </c>
      <c r="AB550" s="160" t="s">
        <v>30</v>
      </c>
      <c r="AC550" s="36" t="s">
        <v>26</v>
      </c>
      <c r="AD550" s="251" t="s">
        <v>49</v>
      </c>
      <c r="AE550" s="48" t="s">
        <v>49</v>
      </c>
      <c r="AF550" s="48" t="s">
        <v>49</v>
      </c>
      <c r="AG550" s="48" t="s">
        <v>49</v>
      </c>
      <c r="AH550" s="48" t="s">
        <v>49</v>
      </c>
      <c r="AI550" s="48" t="s">
        <v>49</v>
      </c>
      <c r="AJ550" s="49" t="s">
        <v>49</v>
      </c>
      <c r="AK550" s="48" t="s">
        <v>49</v>
      </c>
      <c r="AL550" s="65" t="s">
        <v>32</v>
      </c>
      <c r="AM550" s="138"/>
      <c r="AN550" s="117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1"/>
    </row>
    <row r="551" spans="1:51" ht="15" customHeight="1" x14ac:dyDescent="0.2">
      <c r="A551" s="33">
        <f t="shared" si="9"/>
        <v>546</v>
      </c>
      <c r="B551" s="171" t="s">
        <v>4492</v>
      </c>
      <c r="C551" s="249" t="s">
        <v>4493</v>
      </c>
      <c r="D551" s="170" t="s">
        <v>4580</v>
      </c>
      <c r="E551" s="36" t="s">
        <v>36</v>
      </c>
      <c r="F551" s="171" t="s">
        <v>4495</v>
      </c>
      <c r="G551" s="182" t="s">
        <v>39</v>
      </c>
      <c r="H551" s="182" t="s">
        <v>39</v>
      </c>
      <c r="I551" s="140" t="s">
        <v>4496</v>
      </c>
      <c r="J551" s="171" t="s">
        <v>41</v>
      </c>
      <c r="K551" s="172" t="s">
        <v>42</v>
      </c>
      <c r="L551" s="161" t="s">
        <v>4497</v>
      </c>
      <c r="M551" s="70" t="s">
        <v>179</v>
      </c>
      <c r="N551" s="70"/>
      <c r="O551" s="70"/>
      <c r="P551" s="70"/>
      <c r="Q551" s="70"/>
      <c r="R551" s="70"/>
      <c r="S551" s="70" t="s">
        <v>44</v>
      </c>
      <c r="T551" s="70"/>
      <c r="U551" s="70"/>
      <c r="V551" s="70" t="s">
        <v>732</v>
      </c>
      <c r="W551" s="70"/>
      <c r="X551" s="42" t="s">
        <v>4498</v>
      </c>
      <c r="Y551" s="43" t="s">
        <v>4499</v>
      </c>
      <c r="Z551" s="211" t="s">
        <v>4500</v>
      </c>
      <c r="AA551" s="45">
        <v>44944</v>
      </c>
      <c r="AB551" s="160" t="s">
        <v>30</v>
      </c>
      <c r="AC551" s="36"/>
      <c r="AD551" s="251" t="s">
        <v>49</v>
      </c>
      <c r="AE551" s="48" t="s">
        <v>41</v>
      </c>
      <c r="AF551" s="48" t="s">
        <v>41</v>
      </c>
      <c r="AG551" s="48" t="s">
        <v>41</v>
      </c>
      <c r="AH551" s="48" t="s">
        <v>49</v>
      </c>
      <c r="AI551" s="48" t="s">
        <v>49</v>
      </c>
      <c r="AJ551" s="49" t="s">
        <v>49</v>
      </c>
      <c r="AK551" s="48" t="s">
        <v>49</v>
      </c>
      <c r="AL551" s="213">
        <v>0</v>
      </c>
      <c r="AM551" s="138"/>
      <c r="AN551" s="118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1"/>
    </row>
    <row r="552" spans="1:51" ht="15" customHeight="1" x14ac:dyDescent="0.2">
      <c r="A552" s="33">
        <f t="shared" si="9"/>
        <v>547</v>
      </c>
      <c r="B552" s="34" t="s">
        <v>4501</v>
      </c>
      <c r="C552" s="35" t="s">
        <v>4502</v>
      </c>
      <c r="D552" s="36" t="s">
        <v>4503</v>
      </c>
      <c r="E552" s="36" t="s">
        <v>54</v>
      </c>
      <c r="F552" s="34" t="s">
        <v>4504</v>
      </c>
      <c r="G552" s="37" t="s">
        <v>528</v>
      </c>
      <c r="H552" s="37" t="s">
        <v>57</v>
      </c>
      <c r="I552" s="34" t="s">
        <v>4505</v>
      </c>
      <c r="J552" s="34" t="s">
        <v>4505</v>
      </c>
      <c r="K552" s="39" t="s">
        <v>42</v>
      </c>
      <c r="L552" s="120">
        <v>31057</v>
      </c>
      <c r="M552" s="41"/>
      <c r="N552" s="177"/>
      <c r="O552" s="177"/>
      <c r="P552" s="177"/>
      <c r="Q552" s="112"/>
      <c r="R552" s="112"/>
      <c r="S552" s="112"/>
      <c r="T552" s="41"/>
      <c r="U552" s="41"/>
      <c r="V552" s="41"/>
      <c r="W552" s="41"/>
      <c r="X552" s="42" t="s">
        <v>4506</v>
      </c>
      <c r="Y552" s="52" t="s">
        <v>4507</v>
      </c>
      <c r="Z552" s="44" t="s">
        <v>61</v>
      </c>
      <c r="AA552" s="45">
        <v>34597</v>
      </c>
      <c r="AB552" s="101" t="s">
        <v>30</v>
      </c>
      <c r="AC552" s="36" t="s">
        <v>26</v>
      </c>
      <c r="AD552" s="47" t="s">
        <v>49</v>
      </c>
      <c r="AE552" s="48" t="s">
        <v>49</v>
      </c>
      <c r="AF552" s="48" t="s">
        <v>49</v>
      </c>
      <c r="AG552" s="48" t="s">
        <v>49</v>
      </c>
      <c r="AH552" s="48" t="s">
        <v>49</v>
      </c>
      <c r="AI552" s="48" t="s">
        <v>49</v>
      </c>
      <c r="AJ552" s="49" t="s">
        <v>49</v>
      </c>
      <c r="AK552" s="48" t="s">
        <v>41</v>
      </c>
      <c r="AL552" s="65" t="s">
        <v>148</v>
      </c>
      <c r="AM552" s="59"/>
      <c r="AN552" s="32"/>
      <c r="AO552" s="32"/>
      <c r="AP552" s="32"/>
      <c r="AQ552" s="220">
        <f>150*3250</f>
        <v>487500</v>
      </c>
      <c r="AR552" s="32"/>
      <c r="AS552" s="32"/>
      <c r="AT552" s="32"/>
      <c r="AU552" s="32"/>
      <c r="AV552" s="32"/>
      <c r="AW552" s="32"/>
      <c r="AX552" s="32"/>
      <c r="AY552" s="31"/>
    </row>
    <row r="553" spans="1:51" x14ac:dyDescent="0.2">
      <c r="A553" s="33"/>
      <c r="B553" s="252" t="s">
        <v>4508</v>
      </c>
      <c r="C553" s="253" t="s">
        <v>4509</v>
      </c>
      <c r="D553" s="252" t="s">
        <v>4510</v>
      </c>
      <c r="E553" s="252"/>
      <c r="F553" s="252" t="s">
        <v>4511</v>
      </c>
      <c r="G553" s="252"/>
      <c r="H553" s="252"/>
      <c r="I553" s="252" t="s">
        <v>4512</v>
      </c>
      <c r="J553" s="252" t="s">
        <v>4513</v>
      </c>
      <c r="K553" s="254"/>
      <c r="L553" s="255">
        <v>31057</v>
      </c>
      <c r="M553" s="256"/>
      <c r="N553" s="256"/>
      <c r="O553" s="256"/>
      <c r="P553" s="256"/>
      <c r="Q553" s="256"/>
      <c r="R553" s="256"/>
      <c r="S553" s="256"/>
      <c r="T553" s="256"/>
      <c r="U553" s="256"/>
      <c r="V553" s="256"/>
      <c r="W553" s="256"/>
      <c r="X553" s="257" t="s">
        <v>4514</v>
      </c>
      <c r="Y553" s="258" t="s">
        <v>4515</v>
      </c>
      <c r="Z553" s="259" t="s">
        <v>4516</v>
      </c>
      <c r="AA553" s="260">
        <v>43200</v>
      </c>
      <c r="AB553" s="252"/>
      <c r="AC553" s="252" t="s">
        <v>26</v>
      </c>
      <c r="AD553" s="66"/>
      <c r="AE553" s="48" t="s">
        <v>41</v>
      </c>
      <c r="AF553" s="48" t="s">
        <v>41</v>
      </c>
      <c r="AG553" s="48" t="s">
        <v>41</v>
      </c>
      <c r="AH553" s="48" t="s">
        <v>41</v>
      </c>
      <c r="AI553" s="48" t="s">
        <v>41</v>
      </c>
      <c r="AJ553" s="49" t="s">
        <v>41</v>
      </c>
      <c r="AK553" s="48" t="s">
        <v>41</v>
      </c>
      <c r="AL553" s="213"/>
      <c r="AM553" s="138" t="s">
        <v>4517</v>
      </c>
      <c r="AN553" s="118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1"/>
    </row>
    <row r="554" spans="1:51" x14ac:dyDescent="0.2">
      <c r="A554" s="33"/>
      <c r="B554" s="252" t="s">
        <v>4518</v>
      </c>
      <c r="C554" s="253" t="s">
        <v>4519</v>
      </c>
      <c r="D554" s="252" t="s">
        <v>4520</v>
      </c>
      <c r="E554" s="252"/>
      <c r="F554" s="252" t="s">
        <v>4521</v>
      </c>
      <c r="G554" s="252"/>
      <c r="H554" s="252"/>
      <c r="I554" s="261" t="s">
        <v>4522</v>
      </c>
      <c r="J554" s="261" t="s">
        <v>41</v>
      </c>
      <c r="K554" s="254"/>
      <c r="L554" s="262" t="s">
        <v>307</v>
      </c>
      <c r="M554" s="263"/>
      <c r="N554" s="264"/>
      <c r="O554" s="264"/>
      <c r="P554" s="264"/>
      <c r="Q554" s="264"/>
      <c r="R554" s="264"/>
      <c r="S554" s="264"/>
      <c r="T554" s="264"/>
      <c r="U554" s="264"/>
      <c r="V554" s="264"/>
      <c r="W554" s="264"/>
      <c r="X554" s="257" t="s">
        <v>4523</v>
      </c>
      <c r="Y554" s="258" t="s">
        <v>4524</v>
      </c>
      <c r="Z554" s="258"/>
      <c r="AA554" s="258"/>
      <c r="AB554" s="252" t="s">
        <v>30</v>
      </c>
      <c r="AC554" s="252"/>
      <c r="AD554" s="47"/>
      <c r="AE554" s="48" t="s">
        <v>41</v>
      </c>
      <c r="AF554" s="48" t="s">
        <v>41</v>
      </c>
      <c r="AG554" s="48" t="s">
        <v>41</v>
      </c>
      <c r="AH554" s="48" t="s">
        <v>41</v>
      </c>
      <c r="AI554" s="48" t="s">
        <v>41</v>
      </c>
      <c r="AJ554" s="49" t="s">
        <v>41</v>
      </c>
      <c r="AK554" s="48" t="s">
        <v>41</v>
      </c>
      <c r="AL554" s="65"/>
      <c r="AM554" s="59" t="s">
        <v>460</v>
      </c>
      <c r="AN554" s="195"/>
      <c r="AO554" s="196"/>
      <c r="AP554" s="196"/>
      <c r="AQ554" s="196"/>
      <c r="AR554" s="196"/>
      <c r="AS554" s="32"/>
      <c r="AT554" s="32"/>
      <c r="AU554" s="32"/>
      <c r="AV554" s="32"/>
      <c r="AW554" s="32"/>
      <c r="AX554" s="32"/>
      <c r="AY554" s="31"/>
    </row>
    <row r="555" spans="1:51" x14ac:dyDescent="0.2">
      <c r="A555" s="33"/>
      <c r="B555" s="252" t="s">
        <v>4525</v>
      </c>
      <c r="C555" s="253" t="s">
        <v>4526</v>
      </c>
      <c r="D555" s="252" t="s">
        <v>4527</v>
      </c>
      <c r="E555" s="252"/>
      <c r="F555" s="265" t="s">
        <v>4528</v>
      </c>
      <c r="G555" s="252"/>
      <c r="H555" s="252"/>
      <c r="I555" s="266" t="s">
        <v>4529</v>
      </c>
      <c r="J555" s="252"/>
      <c r="K555" s="254"/>
      <c r="L555" s="267" t="s">
        <v>2375</v>
      </c>
      <c r="M555" s="268"/>
      <c r="N555" s="254"/>
      <c r="O555" s="254"/>
      <c r="P555" s="254"/>
      <c r="Q555" s="254"/>
      <c r="R555" s="254"/>
      <c r="S555" s="254"/>
      <c r="T555" s="254"/>
      <c r="U555" s="254"/>
      <c r="V555" s="254"/>
      <c r="W555" s="256"/>
      <c r="X555" s="257" t="s">
        <v>4530</v>
      </c>
      <c r="Y555" s="258" t="s">
        <v>4531</v>
      </c>
      <c r="Z555" s="258"/>
      <c r="AA555" s="258"/>
      <c r="AB555" s="269"/>
      <c r="AC555" s="270" t="s">
        <v>26</v>
      </c>
      <c r="AD555" s="47"/>
      <c r="AE555" s="48" t="s">
        <v>41</v>
      </c>
      <c r="AF555" s="48" t="s">
        <v>41</v>
      </c>
      <c r="AG555" s="48" t="s">
        <v>41</v>
      </c>
      <c r="AH555" s="48" t="s">
        <v>41</v>
      </c>
      <c r="AI555" s="48" t="s">
        <v>41</v>
      </c>
      <c r="AJ555" s="49" t="s">
        <v>41</v>
      </c>
      <c r="AK555" s="48" t="s">
        <v>41</v>
      </c>
      <c r="AL555" s="232"/>
      <c r="AM555" s="138" t="s">
        <v>4517</v>
      </c>
      <c r="AN555" s="10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1"/>
    </row>
    <row r="556" spans="1:51" ht="16" thickBot="1" x14ac:dyDescent="0.25">
      <c r="A556" s="31"/>
      <c r="B556" s="197"/>
      <c r="C556" s="197"/>
      <c r="D556" s="197"/>
      <c r="E556" s="197"/>
      <c r="F556" s="31"/>
      <c r="G556" s="197"/>
      <c r="H556" s="197"/>
      <c r="I556" s="31"/>
      <c r="J556" s="31"/>
      <c r="K556" s="197"/>
      <c r="L556" s="31"/>
      <c r="M556" s="271">
        <f>COUNTIF(M6:M553,"BELUM")</f>
        <v>61</v>
      </c>
      <c r="N556" s="271">
        <f>COUNTIF(N6:N553,"SUDAH")</f>
        <v>5</v>
      </c>
      <c r="O556" s="271"/>
      <c r="P556" s="271"/>
      <c r="Q556" s="271">
        <f>COUNTIF(Q6:Q553,"BELUM")</f>
        <v>7</v>
      </c>
      <c r="R556" s="271">
        <f>COUNTIF(R6:R553,"BARU")</f>
        <v>29</v>
      </c>
      <c r="S556" s="271"/>
      <c r="T556" s="271"/>
      <c r="U556" s="271"/>
      <c r="V556" s="271"/>
      <c r="W556" s="271"/>
      <c r="X556" s="272"/>
      <c r="Y556" s="196"/>
      <c r="Z556" s="196"/>
      <c r="AA556" s="196"/>
      <c r="AB556" s="197"/>
      <c r="AC556" s="272"/>
      <c r="AD556" s="272"/>
      <c r="AE556" s="272"/>
      <c r="AF556" s="272"/>
      <c r="AG556" s="272"/>
      <c r="AH556" s="272"/>
      <c r="AI556" s="272"/>
      <c r="AJ556" s="272"/>
      <c r="AK556" s="272"/>
      <c r="AL556" s="273"/>
      <c r="AM556" s="32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</row>
    <row r="557" spans="1:51" ht="16" thickBot="1" x14ac:dyDescent="0.25">
      <c r="A557" s="274"/>
      <c r="B557" s="31"/>
      <c r="C557" s="31"/>
      <c r="D557" s="275"/>
      <c r="E557" s="271">
        <f>COUNTIF(E6:E552,"TEHNIK")</f>
        <v>425</v>
      </c>
      <c r="F557" s="276"/>
      <c r="G557" s="277">
        <f>COUNTIF(G6:G555,"UNGARAN")</f>
        <v>5</v>
      </c>
      <c r="H557" s="277">
        <f>COUNTIF(H6:H555,"KABUPATEN SEMARANG")</f>
        <v>0</v>
      </c>
      <c r="I557" s="370" t="s">
        <v>4532</v>
      </c>
      <c r="J557" s="278" t="s">
        <v>4533</v>
      </c>
      <c r="K557" s="279">
        <f>COUNTIF(K6:K555,"T")</f>
        <v>2</v>
      </c>
      <c r="L557" s="31"/>
      <c r="M557" s="31"/>
      <c r="N557" s="31"/>
      <c r="O557" s="31"/>
      <c r="P557" s="31"/>
      <c r="Q557" s="31"/>
      <c r="R557" s="31"/>
      <c r="S557" s="271">
        <f>COUNTIF(S6:S552,"BARU")</f>
        <v>33</v>
      </c>
      <c r="T557" s="271">
        <f>COUNTIF(T6:T552,"BARU")</f>
        <v>40</v>
      </c>
      <c r="U557" s="271">
        <f>COUNTIF(U6:U552,"BARU")</f>
        <v>24</v>
      </c>
      <c r="V557" s="271">
        <f>COUNTIF(V6:V552,"BARU")</f>
        <v>15</v>
      </c>
      <c r="W557" s="271">
        <f>COUNTIF(W6:W552,"BARU")</f>
        <v>2</v>
      </c>
      <c r="X557" s="272">
        <f>SUM(S557:W557)</f>
        <v>114</v>
      </c>
      <c r="Y557" s="196"/>
      <c r="Z557" s="280"/>
      <c r="AA557" s="281"/>
      <c r="AB557" s="279">
        <f>COUNTIF(AB6:AB555,"PJBU")</f>
        <v>402</v>
      </c>
      <c r="AC557" s="272"/>
      <c r="AD557" s="272"/>
      <c r="AE557" s="282">
        <f t="shared" ref="AE557:AK557" si="10">COUNTIF(AE4:AE553,"K")</f>
        <v>314</v>
      </c>
      <c r="AF557" s="283">
        <f t="shared" si="10"/>
        <v>321</v>
      </c>
      <c r="AG557" s="283">
        <f t="shared" si="10"/>
        <v>338</v>
      </c>
      <c r="AH557" s="283">
        <f t="shared" si="10"/>
        <v>357</v>
      </c>
      <c r="AI557" s="283">
        <f t="shared" si="10"/>
        <v>349</v>
      </c>
      <c r="AJ557" s="283">
        <f t="shared" si="10"/>
        <v>304</v>
      </c>
      <c r="AK557" s="284">
        <f t="shared" si="10"/>
        <v>205</v>
      </c>
      <c r="AL557" s="285"/>
      <c r="AM557" s="32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</row>
    <row r="558" spans="1:51" ht="16" thickBot="1" x14ac:dyDescent="0.25">
      <c r="A558" s="274"/>
      <c r="B558" s="31"/>
      <c r="C558" s="31"/>
      <c r="D558" s="197"/>
      <c r="E558" s="271">
        <f>COUNTIF(E6:E552,"NON TEHNIK")</f>
        <v>111</v>
      </c>
      <c r="F558" s="31"/>
      <c r="G558" s="277">
        <f>COUNTIF(G6:G555,"SALATIGA")</f>
        <v>0</v>
      </c>
      <c r="H558" s="277">
        <f>COUNTIF(H6:H555,"SALATIGA")</f>
        <v>0</v>
      </c>
      <c r="I558" s="371"/>
      <c r="J558" s="278" t="s">
        <v>4534</v>
      </c>
      <c r="K558" s="279">
        <f>COUNTIF(K6:K555,"P")</f>
        <v>545</v>
      </c>
      <c r="L558" s="31"/>
      <c r="M558" s="31"/>
      <c r="N558" s="31"/>
      <c r="O558" s="31"/>
      <c r="P558" s="31"/>
      <c r="Q558" s="31"/>
      <c r="R558" s="31"/>
      <c r="S558" s="31"/>
      <c r="T558" s="31"/>
      <c r="U558" s="271">
        <f>COUNTIF(U8:U553,"PRB")</f>
        <v>12</v>
      </c>
      <c r="V558" s="271">
        <f>COUNTIF(V8:V553,"PRB")</f>
        <v>12</v>
      </c>
      <c r="W558" s="271">
        <f>COUNTIF(W8:W553,"PRB")</f>
        <v>2</v>
      </c>
      <c r="X558" s="272"/>
      <c r="Y558" s="196"/>
      <c r="Z558" s="196"/>
      <c r="AA558" s="196"/>
      <c r="AB558" s="196"/>
      <c r="AC558" s="272"/>
      <c r="AD558" s="272"/>
      <c r="AE558" s="282">
        <f t="shared" ref="AE558:AK558" si="11">COUNTIF(AE5:AE555,"M")</f>
        <v>23</v>
      </c>
      <c r="AF558" s="283">
        <f t="shared" si="11"/>
        <v>25</v>
      </c>
      <c r="AG558" s="283">
        <f t="shared" si="11"/>
        <v>25</v>
      </c>
      <c r="AH558" s="283">
        <f t="shared" si="11"/>
        <v>25</v>
      </c>
      <c r="AI558" s="283">
        <f t="shared" si="11"/>
        <v>25</v>
      </c>
      <c r="AJ558" s="283">
        <f t="shared" si="11"/>
        <v>19</v>
      </c>
      <c r="AK558" s="284">
        <f t="shared" si="11"/>
        <v>15</v>
      </c>
      <c r="AL558" s="272"/>
      <c r="AM558" s="32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</row>
    <row r="559" spans="1:51" ht="16" thickBot="1" x14ac:dyDescent="0.25">
      <c r="A559" s="274"/>
      <c r="B559" s="31"/>
      <c r="C559" s="31"/>
      <c r="D559" s="197"/>
      <c r="E559" s="271">
        <f>COUNTIF(E6:E552,"NON S-1")</f>
        <v>9</v>
      </c>
      <c r="F559" s="31"/>
      <c r="G559" s="277">
        <f>COUNTIF(G6:G555,"KENDAL")</f>
        <v>9</v>
      </c>
      <c r="H559" s="277">
        <f>COUNTIF(H6:H555,"KABUPATEN SEMARANG")</f>
        <v>0</v>
      </c>
      <c r="I559" s="371"/>
      <c r="J559" s="278" t="s">
        <v>4535</v>
      </c>
      <c r="K559" s="279"/>
      <c r="L559" s="31"/>
      <c r="M559" s="286" t="s">
        <v>4536</v>
      </c>
      <c r="N559" s="286"/>
      <c r="O559" s="286"/>
      <c r="P559" s="286"/>
      <c r="Q559" s="286"/>
      <c r="R559" s="286"/>
      <c r="S559" s="286"/>
      <c r="T559" s="286"/>
      <c r="U559" s="286"/>
      <c r="V559" s="286"/>
      <c r="W559" s="286"/>
      <c r="X559" s="272"/>
      <c r="Y559" s="286"/>
      <c r="Z559" s="286"/>
      <c r="AA559" s="286"/>
      <c r="AB559" s="286"/>
      <c r="AC559" s="287"/>
      <c r="AD559" s="282"/>
      <c r="AE559" s="284">
        <f t="shared" ref="AE559:AK559" si="12">COUNTIF(AE6:AE555,"B")</f>
        <v>5</v>
      </c>
      <c r="AF559" s="288">
        <f t="shared" si="12"/>
        <v>5</v>
      </c>
      <c r="AG559" s="288">
        <f t="shared" si="12"/>
        <v>4</v>
      </c>
      <c r="AH559" s="288">
        <f t="shared" si="12"/>
        <v>5</v>
      </c>
      <c r="AI559" s="288">
        <f t="shared" si="12"/>
        <v>5</v>
      </c>
      <c r="AJ559" s="288">
        <f t="shared" si="12"/>
        <v>5</v>
      </c>
      <c r="AK559" s="284">
        <f t="shared" si="12"/>
        <v>4</v>
      </c>
      <c r="AL559" s="289"/>
      <c r="AM559" s="290">
        <f>COUNTIF(AL6:AL555,"0")</f>
        <v>224</v>
      </c>
      <c r="AN559" s="284">
        <f>COUNTIF(AL6:AL555,"1")</f>
        <v>108</v>
      </c>
      <c r="AO559" s="284">
        <f>COUNTIF(AL6:AL555,"2")</f>
        <v>65</v>
      </c>
      <c r="AP559" s="284">
        <f>COUNTIF(AL6:AL555,"3")</f>
        <v>31</v>
      </c>
      <c r="AQ559" s="284">
        <f>COUNTIF(AL6:AL555,"4")</f>
        <v>20</v>
      </c>
      <c r="AR559" s="284">
        <f>COUNTIF(AL6:AL555,"5")</f>
        <v>20</v>
      </c>
      <c r="AS559" s="284">
        <f>COUNTIF(AL6:AL555,"6")</f>
        <v>26</v>
      </c>
      <c r="AT559" s="284">
        <f>COUNTIF(AL6:AL555,"7")</f>
        <v>9</v>
      </c>
      <c r="AU559" s="284">
        <f>COUNTIF(AL6:AL555,"8")</f>
        <v>19</v>
      </c>
      <c r="AV559" s="284">
        <f>COUNTIF(AL6:AL555,"9")</f>
        <v>12</v>
      </c>
      <c r="AW559" s="284">
        <f>COUNTIF(AL6:AL555,"10")</f>
        <v>13</v>
      </c>
      <c r="AX559" s="291">
        <f>SUM(AM559:AW559)</f>
        <v>547</v>
      </c>
      <c r="AY559" s="31" t="s">
        <v>4537</v>
      </c>
    </row>
    <row r="560" spans="1:51" ht="16" thickBot="1" x14ac:dyDescent="0.25">
      <c r="A560" s="274"/>
      <c r="B560" s="31"/>
      <c r="C560" s="31"/>
      <c r="D560" s="197"/>
      <c r="E560" s="197">
        <f>SUM(E557:E559)</f>
        <v>545</v>
      </c>
      <c r="F560" s="31"/>
      <c r="G560" s="277">
        <f>COUNTIF(G6:G555,"KABUPATEN SEMARANG")</f>
        <v>0</v>
      </c>
      <c r="H560" s="277">
        <f>COUNTIF(H6:H555,"KABUPATEN SEMARANG")</f>
        <v>0</v>
      </c>
      <c r="I560" s="371"/>
      <c r="J560" s="278" t="s">
        <v>4538</v>
      </c>
      <c r="K560" s="292">
        <f>SUM(K557:K558)</f>
        <v>547</v>
      </c>
      <c r="L560" s="31"/>
      <c r="M560" s="286" t="s">
        <v>4539</v>
      </c>
      <c r="N560" s="286"/>
      <c r="O560" s="286"/>
      <c r="P560" s="286"/>
      <c r="Q560" s="286"/>
      <c r="R560" s="286"/>
      <c r="S560" s="286"/>
      <c r="T560" s="286"/>
      <c r="U560" s="286"/>
      <c r="V560" s="286"/>
      <c r="W560" s="286"/>
      <c r="X560" s="272"/>
      <c r="Y560" s="286"/>
      <c r="Z560" s="286"/>
      <c r="AA560" s="286"/>
      <c r="AB560" s="286"/>
      <c r="AC560" s="293"/>
      <c r="AD560" s="284">
        <f>COUNTIF(AD6:AD555,"K")</f>
        <v>511</v>
      </c>
      <c r="AE560" s="294">
        <f t="shared" ref="AE560:AH560" si="13">SUM(AE557:AE559)</f>
        <v>342</v>
      </c>
      <c r="AF560" s="294">
        <f t="shared" si="13"/>
        <v>351</v>
      </c>
      <c r="AG560" s="294">
        <f t="shared" si="13"/>
        <v>367</v>
      </c>
      <c r="AH560" s="294">
        <f t="shared" si="13"/>
        <v>387</v>
      </c>
      <c r="AI560" s="294">
        <f>SUM(AI557:AI559)</f>
        <v>379</v>
      </c>
      <c r="AJ560" s="294">
        <f>SUM(AJ557:AJ559)</f>
        <v>328</v>
      </c>
      <c r="AK560" s="295">
        <f>SUM(AK557:AK559)</f>
        <v>224</v>
      </c>
      <c r="AL560" s="289"/>
      <c r="AM560" s="374" t="s">
        <v>28</v>
      </c>
      <c r="AN560" s="374"/>
      <c r="AO560" s="374"/>
      <c r="AP560" s="374"/>
      <c r="AQ560" s="374"/>
      <c r="AR560" s="374"/>
      <c r="AS560" s="374"/>
      <c r="AT560" s="374"/>
      <c r="AU560" s="374"/>
      <c r="AV560" s="374"/>
      <c r="AW560" s="374"/>
      <c r="AX560" s="31"/>
      <c r="AY560" s="31"/>
    </row>
    <row r="561" spans="1:51" ht="16" thickBot="1" x14ac:dyDescent="0.25">
      <c r="A561" s="274"/>
      <c r="B561" s="31"/>
      <c r="C561" s="31"/>
      <c r="D561" s="197"/>
      <c r="E561" s="197"/>
      <c r="F561" s="31"/>
      <c r="G561" s="277">
        <f>COUNTIF(G6:G555,"DEMAK")</f>
        <v>4</v>
      </c>
      <c r="H561" s="277">
        <f>COUNTIF(H6:H555,"KABUPATEN SEMARANG")</f>
        <v>0</v>
      </c>
      <c r="I561" s="369"/>
      <c r="J561" s="278" t="s">
        <v>4540</v>
      </c>
      <c r="K561" s="197"/>
      <c r="L561" s="31"/>
      <c r="M561" s="286"/>
      <c r="N561" s="286"/>
      <c r="O561" s="286"/>
      <c r="P561" s="286"/>
      <c r="Q561" s="286"/>
      <c r="R561" s="286"/>
      <c r="S561" s="286"/>
      <c r="T561" s="286"/>
      <c r="U561" s="286"/>
      <c r="V561" s="286"/>
      <c r="W561" s="286"/>
      <c r="X561" s="272"/>
      <c r="Y561" s="286"/>
      <c r="Z561" s="286"/>
      <c r="AA561" s="286"/>
      <c r="AB561" s="286"/>
      <c r="AC561" s="293"/>
      <c r="AD561" s="284">
        <f>COUNTIF(AD6:AD555,"M")</f>
        <v>29</v>
      </c>
      <c r="AE561" s="272">
        <v>2020</v>
      </c>
      <c r="AF561" s="272">
        <v>2021</v>
      </c>
      <c r="AG561" s="294">
        <v>2022</v>
      </c>
      <c r="AH561" s="294">
        <v>2023</v>
      </c>
      <c r="AI561" s="294">
        <v>2024</v>
      </c>
      <c r="AJ561" s="294">
        <v>2025</v>
      </c>
      <c r="AK561" s="296">
        <v>2026</v>
      </c>
      <c r="AL561" s="289"/>
      <c r="AM561" s="32"/>
      <c r="AN561" s="297"/>
      <c r="AO561" s="297"/>
      <c r="AP561" s="297"/>
      <c r="AQ561" s="297"/>
      <c r="AR561" s="31"/>
      <c r="AS561" s="31"/>
      <c r="AT561" s="31"/>
      <c r="AU561" s="31"/>
      <c r="AV561" s="31"/>
      <c r="AW561" s="31"/>
      <c r="AX561" s="31"/>
      <c r="AY561" s="31"/>
    </row>
    <row r="562" spans="1:51" ht="16" thickBot="1" x14ac:dyDescent="0.25">
      <c r="A562" s="274"/>
      <c r="B562" s="31"/>
      <c r="C562" s="31"/>
      <c r="D562" s="197"/>
      <c r="E562" s="197"/>
      <c r="F562" s="31"/>
      <c r="G562" s="298">
        <f>SUM(G557:G561)</f>
        <v>18</v>
      </c>
      <c r="H562" s="298">
        <f>SUM(H557:H561)</f>
        <v>0</v>
      </c>
      <c r="I562" s="299" t="s">
        <v>4541</v>
      </c>
      <c r="J562" s="278"/>
      <c r="K562" s="197"/>
      <c r="L562" s="31"/>
      <c r="M562" s="32" t="s">
        <v>4542</v>
      </c>
      <c r="N562" s="32"/>
      <c r="O562" s="32"/>
      <c r="P562" s="32"/>
      <c r="Q562" s="32"/>
      <c r="R562" s="32"/>
      <c r="S562" s="32">
        <f>+R556+S556</f>
        <v>29</v>
      </c>
      <c r="T562" s="32"/>
      <c r="U562" s="32"/>
      <c r="V562" s="32"/>
      <c r="W562" s="32"/>
      <c r="X562" s="272"/>
      <c r="Y562" s="196"/>
      <c r="Z562" s="196"/>
      <c r="AA562" s="196"/>
      <c r="AB562" s="196"/>
      <c r="AC562" s="293"/>
      <c r="AD562" s="300">
        <f>COUNTIF(AD6:AD555,"B")</f>
        <v>7</v>
      </c>
      <c r="AE562" s="272"/>
      <c r="AF562" s="272"/>
      <c r="AG562" s="272"/>
      <c r="AH562" s="272"/>
      <c r="AI562" s="272"/>
      <c r="AJ562" s="272"/>
      <c r="AK562" s="272"/>
      <c r="AL562" s="289"/>
      <c r="AM562" s="32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</row>
    <row r="563" spans="1:51" ht="16" thickBot="1" x14ac:dyDescent="0.25">
      <c r="A563" s="274"/>
      <c r="B563" s="31"/>
      <c r="C563" s="31"/>
      <c r="D563" s="197"/>
      <c r="E563" s="197"/>
      <c r="F563" s="31"/>
      <c r="G563" s="277"/>
      <c r="H563" s="277"/>
      <c r="I563" s="301"/>
      <c r="J563" s="278"/>
      <c r="K563" s="197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272"/>
      <c r="Y563" s="196"/>
      <c r="Z563" s="196"/>
      <c r="AA563" s="196"/>
      <c r="AB563" s="196"/>
      <c r="AC563" s="293"/>
      <c r="AD563" s="302">
        <f>SUM(AD560:AD562)</f>
        <v>547</v>
      </c>
      <c r="AE563" s="272"/>
      <c r="AF563" s="272"/>
      <c r="AG563" s="272"/>
      <c r="AH563" s="272"/>
      <c r="AI563" s="272"/>
      <c r="AJ563" s="272"/>
      <c r="AK563" s="272"/>
      <c r="AL563" s="272"/>
      <c r="AM563" s="32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</row>
    <row r="564" spans="1:51" ht="16" thickBot="1" x14ac:dyDescent="0.25">
      <c r="A564" s="274"/>
      <c r="B564" s="31"/>
      <c r="C564" s="31"/>
      <c r="D564" s="197"/>
      <c r="E564" s="197"/>
      <c r="F564" s="31"/>
      <c r="G564" s="277">
        <f>COUNTIF(G6:G555,"PATI")</f>
        <v>12</v>
      </c>
      <c r="H564" s="277">
        <f>COUNTIF(H6:H555,"PATI")</f>
        <v>49</v>
      </c>
      <c r="I564" s="370" t="s">
        <v>4543</v>
      </c>
      <c r="J564" s="278" t="s">
        <v>4544</v>
      </c>
      <c r="K564" s="197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272"/>
      <c r="Y564" s="196"/>
      <c r="Z564" s="196"/>
      <c r="AA564" s="196"/>
      <c r="AB564" s="196"/>
      <c r="AC564" s="272"/>
      <c r="AD564" s="272"/>
      <c r="AE564" s="272"/>
      <c r="AF564" s="272"/>
      <c r="AG564" s="272"/>
      <c r="AH564" s="272"/>
      <c r="AI564" s="272"/>
      <c r="AJ564" s="272"/>
      <c r="AK564" s="272"/>
      <c r="AL564" s="272"/>
      <c r="AM564" s="32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</row>
    <row r="565" spans="1:51" ht="16" thickBot="1" x14ac:dyDescent="0.25">
      <c r="A565" s="274"/>
      <c r="B565" s="31"/>
      <c r="C565" s="31"/>
      <c r="D565" s="197"/>
      <c r="E565" s="197"/>
      <c r="F565" s="31"/>
      <c r="G565" s="277">
        <f>COUNTIF(G6:G555,"KUDUS")</f>
        <v>12</v>
      </c>
      <c r="H565" s="277">
        <f>COUNTIF(H6:H555,"PATI")</f>
        <v>49</v>
      </c>
      <c r="I565" s="371"/>
      <c r="J565" s="278" t="s">
        <v>4545</v>
      </c>
      <c r="K565" s="197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272"/>
      <c r="Y565" s="196"/>
      <c r="Z565" s="196"/>
      <c r="AA565" s="196"/>
      <c r="AB565" s="196"/>
      <c r="AC565" s="272"/>
      <c r="AD565" s="272">
        <v>2022</v>
      </c>
      <c r="AE565" s="272">
        <v>266</v>
      </c>
      <c r="AF565" s="272">
        <v>23</v>
      </c>
      <c r="AG565" s="272">
        <v>8</v>
      </c>
      <c r="AH565" s="272">
        <f>SUM(AE565:AG565)</f>
        <v>297</v>
      </c>
      <c r="AI565" s="272">
        <v>336</v>
      </c>
      <c r="AJ565" s="272">
        <f>+AI565-AH565</f>
        <v>39</v>
      </c>
      <c r="AK565" s="272"/>
      <c r="AL565" s="272"/>
      <c r="AM565" s="32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</row>
    <row r="566" spans="1:51" ht="16" thickBot="1" x14ac:dyDescent="0.25">
      <c r="A566" s="274"/>
      <c r="B566" s="31"/>
      <c r="C566" s="31"/>
      <c r="D566" s="197">
        <f>52-5</f>
        <v>47</v>
      </c>
      <c r="E566" s="197"/>
      <c r="F566" s="31"/>
      <c r="G566" s="277">
        <f>COUNTIF(G6:G555,"PATI")</f>
        <v>12</v>
      </c>
      <c r="H566" s="277">
        <f>COUNTIF(H6:H555,"PATI")</f>
        <v>49</v>
      </c>
      <c r="I566" s="371"/>
      <c r="J566" s="278" t="s">
        <v>4546</v>
      </c>
      <c r="K566" s="197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272"/>
      <c r="Y566" s="196"/>
      <c r="Z566" s="196"/>
      <c r="AA566" s="196"/>
      <c r="AB566" s="196"/>
      <c r="AC566" s="272"/>
      <c r="AD566" s="272">
        <v>2023</v>
      </c>
      <c r="AE566" s="272">
        <v>309</v>
      </c>
      <c r="AF566" s="272">
        <v>20</v>
      </c>
      <c r="AG566" s="272">
        <v>6</v>
      </c>
      <c r="AH566" s="272">
        <f t="shared" ref="AH566:AH568" si="14">SUM(AE566:AG566)</f>
        <v>335</v>
      </c>
      <c r="AI566" s="272">
        <v>383</v>
      </c>
      <c r="AJ566" s="272">
        <f t="shared" ref="AJ566:AJ568" si="15">+AI566-AH566</f>
        <v>48</v>
      </c>
      <c r="AK566" s="272"/>
      <c r="AL566" s="272"/>
      <c r="AM566" s="32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</row>
    <row r="567" spans="1:51" ht="16" thickBot="1" x14ac:dyDescent="0.25">
      <c r="A567" s="274"/>
      <c r="B567" s="31">
        <f>1200000*3</f>
        <v>3600000</v>
      </c>
      <c r="C567" s="31"/>
      <c r="D567" s="197"/>
      <c r="E567" s="197"/>
      <c r="F567" s="31"/>
      <c r="G567" s="277">
        <f>COUNTIF(G6:G555,"REMBANG")</f>
        <v>9</v>
      </c>
      <c r="H567" s="277">
        <f>COUNTIF(H6:H555,"PATI")</f>
        <v>49</v>
      </c>
      <c r="I567" s="371"/>
      <c r="J567" s="278" t="s">
        <v>4547</v>
      </c>
      <c r="K567" s="197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272"/>
      <c r="Y567" s="196"/>
      <c r="Z567" s="196"/>
      <c r="AA567" s="196"/>
      <c r="AB567" s="196"/>
      <c r="AC567" s="272"/>
      <c r="AD567" s="272">
        <v>2024</v>
      </c>
      <c r="AE567" s="272">
        <v>302</v>
      </c>
      <c r="AF567" s="272">
        <v>24</v>
      </c>
      <c r="AG567" s="272">
        <v>7</v>
      </c>
      <c r="AH567" s="272">
        <f t="shared" si="14"/>
        <v>333</v>
      </c>
      <c r="AI567" s="272">
        <v>368</v>
      </c>
      <c r="AJ567" s="272">
        <f t="shared" si="15"/>
        <v>35</v>
      </c>
      <c r="AK567" s="272"/>
      <c r="AL567" s="272"/>
      <c r="AM567" s="32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</row>
    <row r="568" spans="1:51" ht="16" thickBot="1" x14ac:dyDescent="0.25">
      <c r="A568" s="274"/>
      <c r="B568" s="31"/>
      <c r="C568" s="31"/>
      <c r="D568" s="197"/>
      <c r="E568" s="197"/>
      <c r="F568" s="31"/>
      <c r="G568" s="277">
        <f>COUNTIF(G6:G555,"BLORA")</f>
        <v>16</v>
      </c>
      <c r="H568" s="277">
        <f>COUNTIF(H6:H555,"PATI")</f>
        <v>49</v>
      </c>
      <c r="I568" s="369"/>
      <c r="J568" s="278" t="s">
        <v>4548</v>
      </c>
      <c r="K568" s="197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272"/>
      <c r="Y568" s="196"/>
      <c r="Z568" s="196"/>
      <c r="AA568" s="196"/>
      <c r="AB568" s="196"/>
      <c r="AC568" s="272"/>
      <c r="AD568" s="272">
        <v>2025</v>
      </c>
      <c r="AE568" s="272">
        <v>265</v>
      </c>
      <c r="AF568" s="272">
        <v>16</v>
      </c>
      <c r="AG568" s="272">
        <v>5</v>
      </c>
      <c r="AH568" s="272">
        <f t="shared" si="14"/>
        <v>286</v>
      </c>
      <c r="AI568" s="272">
        <v>292</v>
      </c>
      <c r="AJ568" s="272">
        <f t="shared" si="15"/>
        <v>6</v>
      </c>
      <c r="AK568" s="272"/>
      <c r="AL568" s="272"/>
      <c r="AM568" s="32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</row>
    <row r="569" spans="1:51" x14ac:dyDescent="0.2">
      <c r="A569" s="274"/>
      <c r="B569" s="31"/>
      <c r="C569" s="31"/>
      <c r="D569" s="197"/>
      <c r="E569" s="197"/>
      <c r="F569" s="31"/>
      <c r="G569" s="303">
        <f>SUM(G564:G568)</f>
        <v>61</v>
      </c>
      <c r="H569" s="303">
        <f>SUM(H564:H568)</f>
        <v>245</v>
      </c>
      <c r="I569" s="299" t="s">
        <v>4541</v>
      </c>
      <c r="J569" s="278"/>
      <c r="K569" s="197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272"/>
      <c r="Y569" s="196"/>
      <c r="Z569" s="196"/>
      <c r="AA569" s="196"/>
      <c r="AB569" s="196"/>
      <c r="AC569" s="272"/>
      <c r="AD569" s="272"/>
      <c r="AE569" s="272"/>
      <c r="AF569" s="272"/>
      <c r="AG569" s="272"/>
      <c r="AH569" s="272"/>
      <c r="AI569" s="272"/>
      <c r="AJ569" s="272"/>
      <c r="AK569" s="272"/>
      <c r="AL569" s="272"/>
      <c r="AM569" s="32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</row>
    <row r="570" spans="1:51" ht="16" thickBot="1" x14ac:dyDescent="0.25"/>
    <row r="571" spans="1:51" ht="16" thickBot="1" x14ac:dyDescent="0.25">
      <c r="G571" s="277">
        <f>COUNTIF(G6:G555,"SURAKARTA")</f>
        <v>27</v>
      </c>
      <c r="H571" s="277">
        <f>COUNTIF(H6:H555,"SURAKARTA")</f>
        <v>57</v>
      </c>
      <c r="I571" s="370" t="s">
        <v>4549</v>
      </c>
      <c r="J571" s="278" t="s">
        <v>4550</v>
      </c>
    </row>
    <row r="572" spans="1:51" ht="16" thickBot="1" x14ac:dyDescent="0.25">
      <c r="G572" s="277">
        <f>COUNTIF(G6:G555,"BOYOLALI")</f>
        <v>6</v>
      </c>
      <c r="H572" s="277">
        <f>COUNTIF(H6:H555,"BOYOLALI")</f>
        <v>0</v>
      </c>
      <c r="I572" s="371"/>
      <c r="J572" s="278" t="s">
        <v>4551</v>
      </c>
    </row>
    <row r="573" spans="1:51" ht="16" thickBot="1" x14ac:dyDescent="0.25">
      <c r="E573">
        <f>10+24</f>
        <v>34</v>
      </c>
      <c r="G573" s="277">
        <f>COUNTIF(G6:G555,"KLATEN")</f>
        <v>12</v>
      </c>
      <c r="H573" s="277">
        <f>COUNTIF(H6:H555,"SURAKARTA")</f>
        <v>57</v>
      </c>
      <c r="I573" s="371"/>
      <c r="J573" s="278" t="s">
        <v>4552</v>
      </c>
    </row>
    <row r="574" spans="1:51" ht="16" thickBot="1" x14ac:dyDescent="0.25">
      <c r="G574" s="277">
        <f>COUNTIF(G6:G555,"SUKOHARJO")</f>
        <v>10</v>
      </c>
      <c r="H574" s="277">
        <f>COUNTIF(H6:H555,"SURAKARTA")</f>
        <v>57</v>
      </c>
      <c r="I574" s="371"/>
      <c r="J574" s="278" t="s">
        <v>4553</v>
      </c>
    </row>
    <row r="575" spans="1:51" ht="16" thickBot="1" x14ac:dyDescent="0.25">
      <c r="G575" s="277">
        <f>COUNTIF(G6:G555,"SURAKARTA")</f>
        <v>27</v>
      </c>
      <c r="H575" s="277">
        <f>COUNTIF(H6:H555,"SURAKARTA")</f>
        <v>57</v>
      </c>
      <c r="I575" s="371"/>
      <c r="J575" s="278" t="s">
        <v>4554</v>
      </c>
    </row>
    <row r="576" spans="1:51" ht="16" thickBot="1" x14ac:dyDescent="0.25">
      <c r="G576" s="277">
        <f>COUNTIF(G6:G555,"SURAKARTA")</f>
        <v>27</v>
      </c>
      <c r="H576" s="277">
        <f>COUNTIF(H6:H555,"SURAKARTA")</f>
        <v>57</v>
      </c>
      <c r="I576" s="371"/>
      <c r="J576" s="278" t="s">
        <v>4554</v>
      </c>
    </row>
    <row r="577" spans="7:10" ht="16" thickBot="1" x14ac:dyDescent="0.25">
      <c r="G577" s="277">
        <f>COUNTIF(G6:G555,"WONOGIRI")</f>
        <v>1</v>
      </c>
      <c r="H577" s="277">
        <f>COUNTIF(H6:H555,"SURAKARTA")</f>
        <v>57</v>
      </c>
      <c r="I577" s="369"/>
      <c r="J577" s="278" t="s">
        <v>4555</v>
      </c>
    </row>
    <row r="578" spans="7:10" ht="16" thickBot="1" x14ac:dyDescent="0.25">
      <c r="G578" s="303">
        <f>SUM(G571:G577)</f>
        <v>110</v>
      </c>
      <c r="H578" s="303">
        <f>SUM(H571:H577)</f>
        <v>342</v>
      </c>
      <c r="I578" s="299" t="s">
        <v>4541</v>
      </c>
      <c r="J578" s="278"/>
    </row>
    <row r="579" spans="7:10" ht="16" thickBot="1" x14ac:dyDescent="0.25">
      <c r="G579" s="277"/>
      <c r="H579" s="277"/>
      <c r="I579" s="301"/>
      <c r="J579" s="278"/>
    </row>
    <row r="580" spans="7:10" ht="16" thickBot="1" x14ac:dyDescent="0.25">
      <c r="G580" s="277">
        <f>COUNTIF(G6:G555,"MAGELANG")</f>
        <v>29</v>
      </c>
      <c r="H580" s="277">
        <f>COUNTIF(H6:H555,"KEDU")</f>
        <v>64</v>
      </c>
      <c r="I580" s="370" t="s">
        <v>4556</v>
      </c>
      <c r="J580" s="304" t="s">
        <v>4557</v>
      </c>
    </row>
    <row r="581" spans="7:10" ht="16" thickBot="1" x14ac:dyDescent="0.25">
      <c r="G581" s="277">
        <f>COUNTIF(G6:G555,"PURWOREJO")</f>
        <v>8</v>
      </c>
      <c r="H581" s="277">
        <f>COUNTIF(H6:H555,"KEDU")</f>
        <v>64</v>
      </c>
      <c r="I581" s="371"/>
      <c r="J581" s="278" t="s">
        <v>4558</v>
      </c>
    </row>
    <row r="582" spans="7:10" ht="16" thickBot="1" x14ac:dyDescent="0.25">
      <c r="G582" s="277">
        <f>COUNTIF(G6:G555,"TEMANGGUNG")</f>
        <v>10</v>
      </c>
      <c r="H582" s="277">
        <f>COUNTIF(H6:H555,"KEDU")</f>
        <v>64</v>
      </c>
      <c r="I582" s="371"/>
      <c r="J582" s="278" t="s">
        <v>4559</v>
      </c>
    </row>
    <row r="583" spans="7:10" ht="16" thickBot="1" x14ac:dyDescent="0.25">
      <c r="G583" s="277">
        <f>COUNTIF(G6:G555,"KEBUMEN")</f>
        <v>11</v>
      </c>
      <c r="H583" s="277">
        <f>COUNTIF(H6:H555,"KEDU")</f>
        <v>64</v>
      </c>
      <c r="I583" s="371"/>
      <c r="J583" s="278" t="s">
        <v>4560</v>
      </c>
    </row>
    <row r="584" spans="7:10" ht="16" thickBot="1" x14ac:dyDescent="0.25">
      <c r="G584" s="277">
        <f>COUNTIF(G6:G555,"WONOSOBO")</f>
        <v>6</v>
      </c>
      <c r="H584" s="277">
        <f>COUNTIF(H6:H555,"KEDU")</f>
        <v>64</v>
      </c>
      <c r="I584" s="369"/>
      <c r="J584" s="278" t="s">
        <v>4561</v>
      </c>
    </row>
    <row r="585" spans="7:10" ht="16" thickBot="1" x14ac:dyDescent="0.25">
      <c r="G585" s="303">
        <f>SUM(G580:G584)</f>
        <v>64</v>
      </c>
      <c r="H585" s="303">
        <f>SUM(H580:H584)</f>
        <v>320</v>
      </c>
      <c r="I585" s="299" t="s">
        <v>4541</v>
      </c>
      <c r="J585" s="304"/>
    </row>
    <row r="586" spans="7:10" ht="16" thickBot="1" x14ac:dyDescent="0.25">
      <c r="G586" s="277"/>
      <c r="H586" s="277"/>
      <c r="I586" s="301"/>
      <c r="J586" s="304"/>
    </row>
    <row r="587" spans="7:10" ht="16" thickBot="1" x14ac:dyDescent="0.25">
      <c r="G587" s="277">
        <f>COUNTIF(G6:G555,"PURWOKERTO")</f>
        <v>9</v>
      </c>
      <c r="H587" s="277">
        <f>COUNTIF(H6:H555,"BANYUMAS")</f>
        <v>22</v>
      </c>
      <c r="I587" s="367" t="s">
        <v>4562</v>
      </c>
      <c r="J587" s="278" t="s">
        <v>4563</v>
      </c>
    </row>
    <row r="588" spans="7:10" ht="16" thickBot="1" x14ac:dyDescent="0.25">
      <c r="G588" s="277">
        <f>COUNTIF(G6:G555,"BANJARNEGARA")</f>
        <v>5</v>
      </c>
      <c r="H588" s="277">
        <f>COUNTIF(H6:H555,"BANYUMAS")</f>
        <v>22</v>
      </c>
      <c r="I588" s="368"/>
      <c r="J588" s="278" t="s">
        <v>4564</v>
      </c>
    </row>
    <row r="589" spans="7:10" ht="16" thickBot="1" x14ac:dyDescent="0.25">
      <c r="G589" s="277">
        <f>COUNTIF(G6:G555,"CILACAP")</f>
        <v>6</v>
      </c>
      <c r="H589" s="277">
        <f>COUNTIF(H6:H555,"BANYUMAS")</f>
        <v>22</v>
      </c>
      <c r="I589" s="368"/>
      <c r="J589" s="278" t="s">
        <v>4565</v>
      </c>
    </row>
    <row r="590" spans="7:10" ht="16" thickBot="1" x14ac:dyDescent="0.25">
      <c r="G590" s="277">
        <f>COUNTIF(G6:G555,"PURBALINGGA")</f>
        <v>2</v>
      </c>
      <c r="H590" s="277">
        <f>COUNTIF(H6:H555,"PURBALINGGA")</f>
        <v>0</v>
      </c>
      <c r="I590" s="369"/>
      <c r="J590" s="278" t="s">
        <v>4566</v>
      </c>
    </row>
    <row r="591" spans="7:10" ht="16" thickBot="1" x14ac:dyDescent="0.25">
      <c r="G591" s="305">
        <f>SUM(G587:G590)</f>
        <v>22</v>
      </c>
      <c r="H591" s="305">
        <f>SUM(H587:H590)</f>
        <v>66</v>
      </c>
      <c r="I591" s="299" t="s">
        <v>4541</v>
      </c>
      <c r="J591" s="278"/>
    </row>
    <row r="592" spans="7:10" ht="16" thickBot="1" x14ac:dyDescent="0.25">
      <c r="G592" s="277"/>
      <c r="H592" s="277"/>
      <c r="I592" s="10"/>
      <c r="J592" s="278"/>
    </row>
    <row r="593" spans="7:27" ht="16" thickBot="1" x14ac:dyDescent="0.25">
      <c r="G593" s="277">
        <f>COUNTIF(G6:G555,"BREBES")</f>
        <v>17</v>
      </c>
      <c r="H593" s="277">
        <f>COUNTIF(H6:H555,"PEKALONGAN")</f>
        <v>98</v>
      </c>
      <c r="I593" s="370" t="s">
        <v>4567</v>
      </c>
      <c r="J593" s="278" t="s">
        <v>4568</v>
      </c>
    </row>
    <row r="594" spans="7:27" x14ac:dyDescent="0.2">
      <c r="G594" s="277">
        <f>COUNTIF(G6:G555,"TEGAL")</f>
        <v>32</v>
      </c>
      <c r="H594" s="277">
        <f>COUNTIF(H6:H555,"PEKALONGAN")</f>
        <v>98</v>
      </c>
      <c r="I594" s="371"/>
      <c r="J594" s="278" t="s">
        <v>4569</v>
      </c>
    </row>
    <row r="598" spans="7:27" x14ac:dyDescent="0.2">
      <c r="Z598" t="s">
        <v>4595</v>
      </c>
      <c r="AA598">
        <v>3</v>
      </c>
    </row>
    <row r="599" spans="7:27" x14ac:dyDescent="0.2">
      <c r="Z599" t="s">
        <v>4596</v>
      </c>
      <c r="AA599">
        <v>1</v>
      </c>
    </row>
    <row r="600" spans="7:27" x14ac:dyDescent="0.2">
      <c r="Y600" t="s">
        <v>4570</v>
      </c>
      <c r="Z600" s="306" t="s">
        <v>4597</v>
      </c>
      <c r="AA600">
        <v>1</v>
      </c>
    </row>
    <row r="601" spans="7:27" x14ac:dyDescent="0.2">
      <c r="Y601" t="s">
        <v>4571</v>
      </c>
      <c r="Z601" s="306" t="s">
        <v>4598</v>
      </c>
      <c r="AA601">
        <v>1</v>
      </c>
    </row>
    <row r="602" spans="7:27" x14ac:dyDescent="0.2">
      <c r="Z602" s="306" t="s">
        <v>4602</v>
      </c>
      <c r="AA602">
        <v>1</v>
      </c>
    </row>
    <row r="603" spans="7:27" x14ac:dyDescent="0.2">
      <c r="Y603" t="s">
        <v>4572</v>
      </c>
      <c r="Z603" s="306" t="s">
        <v>4599</v>
      </c>
      <c r="AA603">
        <v>1</v>
      </c>
    </row>
    <row r="604" spans="7:27" x14ac:dyDescent="0.2">
      <c r="Y604" t="s">
        <v>4573</v>
      </c>
      <c r="Z604" s="306" t="s">
        <v>4600</v>
      </c>
      <c r="AA604">
        <v>2</v>
      </c>
    </row>
    <row r="605" spans="7:27" x14ac:dyDescent="0.2">
      <c r="Z605" s="306" t="s">
        <v>4601</v>
      </c>
      <c r="AA605">
        <v>1</v>
      </c>
    </row>
    <row r="606" spans="7:27" x14ac:dyDescent="0.2">
      <c r="Z606" s="306" t="s">
        <v>4603</v>
      </c>
      <c r="AA606">
        <v>2</v>
      </c>
    </row>
    <row r="607" spans="7:27" x14ac:dyDescent="0.2">
      <c r="Z607" s="308" t="s">
        <v>4541</v>
      </c>
      <c r="AA607" s="309">
        <f>SUM(AA598:AA606)</f>
        <v>13</v>
      </c>
    </row>
    <row r="608" spans="7:27" x14ac:dyDescent="0.2">
      <c r="Z608" s="306"/>
    </row>
    <row r="609" spans="26:26" x14ac:dyDescent="0.2">
      <c r="Z609" s="306"/>
    </row>
  </sheetData>
  <mergeCells count="30">
    <mergeCell ref="L3:L4"/>
    <mergeCell ref="M3:N3"/>
    <mergeCell ref="O3:O4"/>
    <mergeCell ref="P3:P4"/>
    <mergeCell ref="A1:AM1"/>
    <mergeCell ref="A2:AM2"/>
    <mergeCell ref="A3:A4"/>
    <mergeCell ref="B3:B4"/>
    <mergeCell ref="C3:C4"/>
    <mergeCell ref="D3:D4"/>
    <mergeCell ref="F3:F4"/>
    <mergeCell ref="G3:G4"/>
    <mergeCell ref="H3:H4"/>
    <mergeCell ref="I3:I4"/>
    <mergeCell ref="I587:I590"/>
    <mergeCell ref="I593:I594"/>
    <mergeCell ref="AK3:AK4"/>
    <mergeCell ref="I557:I561"/>
    <mergeCell ref="AM560:AW560"/>
    <mergeCell ref="I564:I568"/>
    <mergeCell ref="I571:I577"/>
    <mergeCell ref="I580:I584"/>
    <mergeCell ref="AE3:AE4"/>
    <mergeCell ref="AF3:AF4"/>
    <mergeCell ref="AG3:AG4"/>
    <mergeCell ref="AH3:AH4"/>
    <mergeCell ref="AI3:AI4"/>
    <mergeCell ref="AJ3:AJ4"/>
    <mergeCell ref="J3:J4"/>
    <mergeCell ref="K3:K4"/>
  </mergeCells>
  <hyperlinks>
    <hyperlink ref="Y554" r:id="rId1" xr:uid="{507EC8E7-F99B-40EF-9636-B1B1CD3F0DCA}"/>
    <hyperlink ref="Y262" r:id="rId2" xr:uid="{06A06815-C886-4DB8-B6F8-B002105DB6B4}"/>
    <hyperlink ref="Y281" r:id="rId3" xr:uid="{B5AF773F-3962-4DD4-9023-8BF9E342A9A3}"/>
    <hyperlink ref="Y59" r:id="rId4" xr:uid="{CB9BB7FC-3819-4377-B9BB-DA47C43588EF}"/>
    <hyperlink ref="Y9" r:id="rId5" xr:uid="{A259DA09-402D-4B9B-8322-633C84838C39}"/>
    <hyperlink ref="Y515" r:id="rId6" xr:uid="{D7A6E481-F3A4-473C-B033-C7AD59FDD32F}"/>
    <hyperlink ref="Y323" r:id="rId7" xr:uid="{9FEC21B9-4BF5-404B-A91D-EB4E0E046B46}"/>
    <hyperlink ref="Y253" r:id="rId8" xr:uid="{43AF7651-5121-474B-942B-33BFA53D3534}"/>
    <hyperlink ref="Y352" r:id="rId9" xr:uid="{8247801B-CE8B-4842-85C0-036319A79E1B}"/>
    <hyperlink ref="Y403" r:id="rId10" xr:uid="{351BBDE1-0E27-4136-B9A1-B8CA38C1076B}"/>
    <hyperlink ref="Y433" r:id="rId11" xr:uid="{82F58DCD-6925-47C5-BDB7-7864D578071E}"/>
    <hyperlink ref="Y428" r:id="rId12" xr:uid="{38FF609A-92E4-47D1-96D3-187E945E1090}"/>
    <hyperlink ref="Y505" r:id="rId13" xr:uid="{C3533A5E-3CC7-42AA-9404-A96FA97CD88B}"/>
    <hyperlink ref="Y181" r:id="rId14" xr:uid="{30AF389B-38F8-41F5-AFA4-5C0140364A52}"/>
    <hyperlink ref="Y245" r:id="rId15" xr:uid="{430E873B-06F3-4E73-9047-F6121D34D0BF}"/>
    <hyperlink ref="Y226" r:id="rId16" xr:uid="{30E88E1B-05CB-4D49-A016-E0A2266469F5}"/>
    <hyperlink ref="Y513" r:id="rId17" xr:uid="{305C1014-E338-470B-AF90-2F51CF556469}"/>
    <hyperlink ref="Y496" r:id="rId18" xr:uid="{1251EF00-747C-4DE8-840B-FEC04DD61A47}"/>
    <hyperlink ref="Y14" r:id="rId19" xr:uid="{8270EF53-2A8F-488D-B731-C1B1CCF38701}"/>
    <hyperlink ref="Y300" r:id="rId20" xr:uid="{50530966-8D05-45E8-B186-F09B9BC392EE}"/>
    <hyperlink ref="Y299" r:id="rId21" xr:uid="{BFA8CCCA-ED03-4229-892C-99410FAEA912}"/>
    <hyperlink ref="Y225" r:id="rId22" xr:uid="{56336C2D-0C83-48F5-8487-C8F7600DEA20}"/>
    <hyperlink ref="Y94" r:id="rId23" xr:uid="{465DBEEE-BD6A-4CC2-9086-022289357382}"/>
    <hyperlink ref="Y139" r:id="rId24" xr:uid="{00372B84-F0DB-4FEC-A2AD-F4848A8F119F}"/>
    <hyperlink ref="Y156" r:id="rId25" xr:uid="{D799D89E-04F9-42B7-A9A1-1DDAF0E54753}"/>
    <hyperlink ref="Y236" r:id="rId26" xr:uid="{E5D14287-C0F1-4912-874E-A8B05E728FD1}"/>
    <hyperlink ref="Y75" r:id="rId27" xr:uid="{4CF5883D-49AA-45F8-8D98-07E2C33F6356}"/>
    <hyperlink ref="Y17" r:id="rId28" xr:uid="{93666EA1-3814-4EDB-ADB9-67897E6CEF9C}"/>
    <hyperlink ref="Y92" r:id="rId29" xr:uid="{EFCBD7D5-1BF7-443E-94E2-8EBBF53F5A2D}"/>
    <hyperlink ref="Y449" r:id="rId30" xr:uid="{9B16885A-BCDB-46F2-9AF9-E20CDE94D20E}"/>
    <hyperlink ref="Y451" r:id="rId31" xr:uid="{470F9F7E-84E7-44E8-974D-C2BC76B76D69}"/>
    <hyperlink ref="Y421" r:id="rId32" xr:uid="{C73295EF-CCA3-4169-A1BD-910CA6A5BE61}"/>
    <hyperlink ref="Y420" r:id="rId33" xr:uid="{F677AE13-A275-42B5-A632-D41BA59C5468}"/>
    <hyperlink ref="Y360" r:id="rId34" xr:uid="{776D37EE-3130-4BA4-B666-9935C143A59F}"/>
    <hyperlink ref="Y138" r:id="rId35" xr:uid="{AB61C107-C0B0-47D1-942E-33D7C5328BEA}"/>
    <hyperlink ref="Y200" r:id="rId36" xr:uid="{2E6A3A6B-FA0E-4CB3-8C9C-2D699D0BD3D6}"/>
    <hyperlink ref="Y444" r:id="rId37" xr:uid="{55162A14-846D-4013-A552-7509BAF82E10}"/>
    <hyperlink ref="Y263" r:id="rId38" xr:uid="{0F659DB6-5F06-4F73-9991-000941049733}"/>
    <hyperlink ref="Y351" r:id="rId39" xr:uid="{1E3F5286-A9EB-4870-B286-574577E0B84B}"/>
    <hyperlink ref="Y501" r:id="rId40" xr:uid="{47EB50EA-867E-4646-84B6-B2B213FEFF8B}"/>
    <hyperlink ref="Y118" r:id="rId41" xr:uid="{67F093DC-8C63-4CE3-9461-14EC0382A8AE}"/>
    <hyperlink ref="Y6" r:id="rId42" xr:uid="{EB3083ED-DE63-4A28-BF7B-EF94626F4C08}"/>
    <hyperlink ref="Y520" r:id="rId43" xr:uid="{D4B753FC-F5FC-427E-A754-FF1011CD0BF7}"/>
    <hyperlink ref="Y63" r:id="rId44" xr:uid="{5E22A339-B91E-4BCE-AA23-37B5AC2ED1F8}"/>
    <hyperlink ref="Y144" r:id="rId45" xr:uid="{0DAAC058-EC3C-4B12-B6EE-0FA959C2B4FA}"/>
    <hyperlink ref="Y356" r:id="rId46" xr:uid="{91849734-9CAA-46B6-A2D3-8C3DD3B64EE9}"/>
    <hyperlink ref="Y455" r:id="rId47" xr:uid="{EF49E9C3-75D4-4137-A0F1-9E5328762FC7}"/>
    <hyperlink ref="Y264" r:id="rId48" xr:uid="{97DF7C8D-BCD8-4F8A-8C53-14265FBFB282}"/>
    <hyperlink ref="Y409" r:id="rId49" xr:uid="{6AFDFDD6-0E07-44DE-A313-ECE8086DFD1C}"/>
    <hyperlink ref="Y498" r:id="rId50" xr:uid="{7B034F98-2124-49C4-A188-F1E23E7D5896}"/>
    <hyperlink ref="Y81" r:id="rId51" xr:uid="{D5A21A09-630B-491D-9B91-0840DA7F11A3}"/>
    <hyperlink ref="Y136" r:id="rId52" xr:uid="{DA3C42BA-6FDA-4A0E-B773-39F2192AE39B}"/>
    <hyperlink ref="Y38" r:id="rId53" xr:uid="{91B20ED0-C9A0-4D4F-9FDF-7134AECBE10F}"/>
    <hyperlink ref="Y27" r:id="rId54" xr:uid="{4FF21726-3F41-42C0-B6AA-06281759139B}"/>
    <hyperlink ref="Y50" r:id="rId55" xr:uid="{E04BAD26-81E9-449D-B1D6-DF5FAB889FE1}"/>
    <hyperlink ref="Y42" r:id="rId56" xr:uid="{C66AAE33-C6E9-4E95-B22B-315EC5A6AD5E}"/>
    <hyperlink ref="Y34" r:id="rId57" xr:uid="{3791EFA2-C70C-4588-92FC-E9FC6A63D35C}"/>
    <hyperlink ref="Y84" r:id="rId58" xr:uid="{32EEA5A4-E493-4A42-A30F-0B4389D3627D}"/>
    <hyperlink ref="Y104" r:id="rId59" xr:uid="{61EDC49F-9F9B-462D-ABD1-5719DEF7E2B9}"/>
    <hyperlink ref="Y83" r:id="rId60" xr:uid="{8BF569DC-DDE5-416E-85BC-0E312CF155B1}"/>
    <hyperlink ref="Y142" r:id="rId61" xr:uid="{6FB793B7-A533-4E48-9907-684B94B1DFAA}"/>
    <hyperlink ref="Y446" r:id="rId62" xr:uid="{2521EDC3-ADC9-43AD-BD98-F3CC52D05563}"/>
    <hyperlink ref="Y116" r:id="rId63" xr:uid="{EA61C8B7-254D-4E43-95DF-F4AA3CF7787A}"/>
    <hyperlink ref="Y166" r:id="rId64" xr:uid="{1C5EC3F7-2BCD-4F3E-BE29-EB93F40BF73E}"/>
    <hyperlink ref="Y171" r:id="rId65" xr:uid="{D9B9E077-5810-42FD-8659-BC61882CFA7D}"/>
    <hyperlink ref="Y176" r:id="rId66" xr:uid="{19FD0C36-0A2D-46A9-B76E-B2401EF8C12E}"/>
    <hyperlink ref="Y178" r:id="rId67" xr:uid="{4434D0FA-C3CE-4BFD-B6B9-8F471F7F3230}"/>
    <hyperlink ref="Y222" r:id="rId68" xr:uid="{DD0C02CB-E742-4F7A-8CEE-6306B9FEF319}"/>
    <hyperlink ref="Y199" r:id="rId69" xr:uid="{5D426451-573F-48E3-A5FB-0A2B37D5D3A2}"/>
    <hyperlink ref="Y202" r:id="rId70" xr:uid="{BE11BB40-C868-434F-8132-583E55E98748}"/>
    <hyperlink ref="Y210" r:id="rId71" xr:uid="{EFA6B4C1-45A8-42FE-AD09-4B6833A5EAA0}"/>
    <hyperlink ref="Y212" r:id="rId72" xr:uid="{E5B7EBC6-99B7-4F35-9991-0DDAA7B018E2}"/>
    <hyperlink ref="Y555" r:id="rId73" xr:uid="{D00F70AB-24D9-4B88-85D6-087483F3968C}"/>
    <hyperlink ref="Y243" r:id="rId74" xr:uid="{6DEC4552-DB94-4B72-8A9E-65440461ACC9}"/>
    <hyperlink ref="Y246" r:id="rId75" xr:uid="{3DB1EEAF-D8E9-437E-9223-50362DBD202A}"/>
    <hyperlink ref="Y257" r:id="rId76" xr:uid="{AC154195-C148-4398-8A4D-3FFCB93F5846}"/>
    <hyperlink ref="Y267" r:id="rId77" xr:uid="{5BA86643-4083-47E8-97C9-76C75F8AE2D2}"/>
    <hyperlink ref="Y345" r:id="rId78" xr:uid="{25E766C0-37C6-448F-8E99-9E29D23A6BD0}"/>
    <hyperlink ref="Y348" r:id="rId79" xr:uid="{C4CCA13D-367A-4599-8097-040544331B23}"/>
    <hyperlink ref="Y327" r:id="rId80" xr:uid="{14C5DA61-A692-4908-B22A-EF60F0EEF6AB}"/>
    <hyperlink ref="Y378" r:id="rId81" xr:uid="{1CEFB2A4-3B5B-454C-9269-8E81002059A1}"/>
    <hyperlink ref="Y406" r:id="rId82" xr:uid="{D63A4738-5C69-460E-87E8-9A01BACF34EC}"/>
    <hyperlink ref="Y445" r:id="rId83" xr:uid="{75D03AFD-8EFC-445E-95FF-190D5548CEA8}"/>
    <hyperlink ref="Y488" r:id="rId84" xr:uid="{1052B061-F529-415D-9DA9-73D680443EC1}"/>
    <hyperlink ref="Y486" r:id="rId85" xr:uid="{F0B43D90-87CF-4BF6-B7C2-92E82E60527C}"/>
    <hyperlink ref="Y517" r:id="rId86" xr:uid="{8F08279E-2972-4042-B0F4-ED85D8EE2540}"/>
    <hyperlink ref="Y502" r:id="rId87" xr:uid="{EE143708-20AC-46C2-AFF9-0C7F94FCD8AE}"/>
    <hyperlink ref="Y516" r:id="rId88" xr:uid="{81F4954F-7922-463B-A630-A3A5DBA09470}"/>
    <hyperlink ref="Y530" r:id="rId89" xr:uid="{BE8242E9-5176-4BBB-AF07-52B262107FDF}"/>
    <hyperlink ref="Y539" r:id="rId90" xr:uid="{21FC8309-93A3-4FCD-BB47-4104ABE44D44}"/>
    <hyperlink ref="Y553" r:id="rId91" xr:uid="{97F022D1-8F0D-4279-89CC-B51158B971D9}"/>
    <hyperlink ref="Y431" r:id="rId92" xr:uid="{F3B3F968-6984-4465-9E4C-6BD8D6D81C5D}"/>
    <hyperlink ref="Y228" r:id="rId93" xr:uid="{84E38D94-E614-49EC-A2B2-24F4573D0918}"/>
    <hyperlink ref="Y339" r:id="rId94" xr:uid="{53409BF0-09A4-4A19-8959-9EAB620FC8DB}"/>
    <hyperlink ref="Y26" r:id="rId95" xr:uid="{E84E9E32-1150-4FF6-B8A5-6013A5E34400}"/>
    <hyperlink ref="Y497" r:id="rId96" xr:uid="{E9D5CABB-9108-4A9A-8E3A-F5FB1CCFF5D0}"/>
    <hyperlink ref="Y115" r:id="rId97" xr:uid="{637038F7-A07C-472E-B51C-97EA18212541}"/>
    <hyperlink ref="Y529" r:id="rId98" xr:uid="{A536B4B9-67DC-496E-A3C6-6827C29E8820}"/>
    <hyperlink ref="Y314" r:id="rId99" xr:uid="{FEA2FFDC-AEC9-4843-9043-A101903E5E26}"/>
    <hyperlink ref="Y484" r:id="rId100" xr:uid="{95272B8E-ACBD-4740-BE79-11EB71592140}"/>
    <hyperlink ref="Y335" r:id="rId101" xr:uid="{F9387897-337D-43AA-9929-922466FE1908}"/>
    <hyperlink ref="Y185" r:id="rId102" xr:uid="{1DAFDF1B-EC50-4412-B48C-A3D2A7B590C9}"/>
    <hyperlink ref="Y192" r:id="rId103" xr:uid="{CCF18354-625F-4260-AE52-F35A2AA5387D}"/>
    <hyperlink ref="Y172" r:id="rId104" xr:uid="{CE0DC5A7-B5E2-4783-8EDD-E55FA1CAD80B}"/>
    <hyperlink ref="Y270" r:id="rId105" xr:uid="{43BD1607-6B57-4B24-8832-60C9CCE20716}"/>
    <hyperlink ref="Y85" r:id="rId106" xr:uid="{885C89F8-2CA5-4298-A7A8-04422C15DD17}"/>
    <hyperlink ref="Y61" r:id="rId107" xr:uid="{CCB0587B-C362-44C3-9E10-4AAE8634B2FD}"/>
    <hyperlink ref="Y22" r:id="rId108" xr:uid="{6B9BB725-73F2-4272-A4EE-13C0DCAF516A}"/>
    <hyperlink ref="Y295" r:id="rId109" xr:uid="{CABF67A2-92F6-4F85-B439-A3BFB39B5611}"/>
    <hyperlink ref="Y165" r:id="rId110" xr:uid="{5EC92DE0-0785-4F5F-AD8F-58ABDD20A2F4}"/>
    <hyperlink ref="Y307" r:id="rId111" xr:uid="{B97C3CF8-A45B-451B-9C76-DAD8DE2439AA}"/>
    <hyperlink ref="Y230" r:id="rId112" xr:uid="{688E7520-1594-466B-A60A-A28A1FB59C21}"/>
    <hyperlink ref="Y110" r:id="rId113" xr:uid="{176A44F9-5D8E-40D9-98C5-353BB6C6056B}"/>
    <hyperlink ref="Y467" r:id="rId114" xr:uid="{C8392892-3630-4242-AF0B-DBDAA27291E6}"/>
    <hyperlink ref="Y434" r:id="rId115" xr:uid="{EDA8964D-34A1-4BCC-9EF1-AEA76DCC0450}"/>
    <hyperlink ref="Y271" r:id="rId116" xr:uid="{B2CB7EB6-A498-4C7C-9C94-9210DF88749E}"/>
    <hyperlink ref="Y464" r:id="rId117" xr:uid="{96A608C1-5C4F-4C87-8301-6075195A06E4}"/>
    <hyperlink ref="Y261" r:id="rId118" xr:uid="{9ED5FE6A-6919-488F-A498-752660BB3FEA}"/>
    <hyperlink ref="Y425" r:id="rId119" xr:uid="{8D4E9D18-2CD2-416D-BF35-3290C9A9F01A}"/>
    <hyperlink ref="Y371" r:id="rId120" xr:uid="{4D875BD5-1747-4E0E-B39A-ABA62A08B0C0}"/>
    <hyperlink ref="Y275" r:id="rId121" xr:uid="{5BD9D42F-E445-48AC-A832-05B76D26AF91}"/>
    <hyperlink ref="Y146" r:id="rId122" xr:uid="{6C359549-05E2-4BA2-A9DF-321E6FC0C0E9}"/>
    <hyperlink ref="Y490" r:id="rId123" xr:uid="{C9E1531B-BDA3-4DD1-962D-310D696480F3}"/>
    <hyperlink ref="Y101" r:id="rId124" xr:uid="{4DB22BF6-9C6B-435F-91F7-8B51A36E02D5}"/>
    <hyperlink ref="Y235" r:id="rId125" xr:uid="{4400C5A1-ADBA-4B12-A763-5699953060B7}"/>
    <hyperlink ref="Y507" r:id="rId126" xr:uid="{2256B3F7-90D4-433A-9C2D-DA4722CBE3C7}"/>
    <hyperlink ref="Y350" r:id="rId127" xr:uid="{78F58CFC-EF5B-40D3-932A-2B1B9995C5CB}"/>
    <hyperlink ref="Y381" r:id="rId128" xr:uid="{6CE8A039-8072-4414-965E-26A337DFBB14}"/>
    <hyperlink ref="Y328" r:id="rId129" xr:uid="{BDC02F34-9027-4847-AC45-999492A99341}"/>
    <hyperlink ref="Y157" r:id="rId130" xr:uid="{09755F1C-3666-40B9-9247-401CF5C05B96}"/>
    <hyperlink ref="Y344" r:id="rId131" xr:uid="{5FA0357B-F929-4F47-984B-70050230C449}"/>
    <hyperlink ref="Y88" r:id="rId132" xr:uid="{3B730B16-B188-454C-8511-43A600530938}"/>
    <hyperlink ref="Y524" r:id="rId133" xr:uid="{A1857AA0-C7CA-472F-B945-256C279543C8}"/>
    <hyperlink ref="Y251" r:id="rId134" xr:uid="{81D8C375-B532-4E01-93BC-1223E34936D0}"/>
    <hyperlink ref="Y436" r:id="rId135" xr:uid="{77C8505C-6889-46EB-9831-3C79EE54AD49}"/>
    <hyperlink ref="Y252" r:id="rId136" xr:uid="{2F0573F0-42B0-48E4-8346-CB7E9E749CA5}"/>
    <hyperlink ref="Y259" r:id="rId137" xr:uid="{730ABF54-4EEF-460F-8835-81D1CF7440F7}"/>
    <hyperlink ref="Y239" r:id="rId138" xr:uid="{03FCCEB6-4BC0-4FBB-8D88-D411D33ED69B}"/>
    <hyperlink ref="Y53" r:id="rId139" xr:uid="{0AA8D75D-7F2A-47B5-B096-2B87D7401BD0}"/>
    <hyperlink ref="Y130" r:id="rId140" xr:uid="{5DE6AFED-12FB-405E-8D4C-8C413A8AB45E}"/>
    <hyperlink ref="Y422" r:id="rId141" xr:uid="{A2037C67-8C27-4E70-BDD6-9B08EE7BC76C}"/>
    <hyperlink ref="Y140" r:id="rId142" xr:uid="{513695BA-6D7E-4DA8-B456-D0D190986330}"/>
    <hyperlink ref="Y250" r:id="rId143" xr:uid="{3588BFDC-5963-4E46-8E3F-1906260C9C85}"/>
    <hyperlink ref="Y248" r:id="rId144" xr:uid="{65D516C1-3DEC-47E2-899D-DAF48B5E9918}"/>
    <hyperlink ref="Y221" r:id="rId145" xr:uid="{149998AA-069E-4E2E-9EB0-E960A378C050}"/>
    <hyperlink ref="Y465" r:id="rId146" xr:uid="{7B4C6BBA-EDCB-4A8F-9F86-BC1C91C1AE36}"/>
    <hyperlink ref="Y229" r:id="rId147" xr:uid="{3E61AC18-F822-4236-A66C-124441534870}"/>
    <hyperlink ref="Y408" r:id="rId148" xr:uid="{67842CCE-B9AA-4921-B168-052F65828EAD}"/>
    <hyperlink ref="Y197" r:id="rId149" xr:uid="{F8D3636C-0236-4CD5-B0F0-F95F515BC7DD}"/>
    <hyperlink ref="Y205" r:id="rId150" xr:uid="{39C99032-75AC-4208-BA4A-79628CFC39D1}"/>
    <hyperlink ref="Y440" r:id="rId151" xr:uid="{AFEF79B4-A343-43D5-BAF5-1F490377FF00}"/>
    <hyperlink ref="Y361" r:id="rId152" xr:uid="{34D71D3C-C70F-48D9-BF30-B6D45A27AB14}"/>
    <hyperlink ref="Y474" r:id="rId153" xr:uid="{7B69CB7E-C2AA-4483-8E4E-134E38994633}"/>
    <hyperlink ref="Y346" r:id="rId154" xr:uid="{1133F9E4-3CA4-49F7-B4E1-52CFB8A08940}"/>
    <hyperlink ref="Y62" r:id="rId155" xr:uid="{542A6860-DE72-4785-A09C-17C747BD215E}"/>
    <hyperlink ref="Y96" r:id="rId156" xr:uid="{8A6AB9FC-D306-4901-933F-4A6EC0881DFF}"/>
    <hyperlink ref="Y105" r:id="rId157" xr:uid="{066C7D50-5F23-4084-8A88-86D417C911DC}"/>
    <hyperlink ref="Y124" r:id="rId158" xr:uid="{97CBF5F4-77C1-4879-87A2-335A023075DF}"/>
    <hyperlink ref="Y319" r:id="rId159" xr:uid="{75CBF2CD-C491-434F-909B-4FAA6F1988AC}"/>
    <hyperlink ref="Y121" r:id="rId160" xr:uid="{936529E4-9F87-4BC9-A24D-2F1BC7426369}"/>
    <hyperlink ref="Y340" r:id="rId161" xr:uid="{6646F538-A2A0-4B19-86A8-C6217607AA89}"/>
    <hyperlink ref="Y338" r:id="rId162" xr:uid="{B2264C4D-FC70-4DFF-959A-F7DE8CFE8043}"/>
    <hyperlink ref="Y296" r:id="rId163" xr:uid="{6721ADF5-9E99-44E7-B5FF-4B7B423F239D}"/>
    <hyperlink ref="Y18" r:id="rId164" xr:uid="{6B03980C-6484-41CD-BB92-D240E9C988E8}"/>
    <hyperlink ref="Y194" r:id="rId165" xr:uid="{3335791F-10F1-4469-9011-29E15AA60588}"/>
    <hyperlink ref="Y450" r:id="rId166" xr:uid="{090715B5-6105-45EC-9D5D-38377DF5F327}"/>
    <hyperlink ref="Y258" r:id="rId167" xr:uid="{DCCA05E5-AE90-460A-A8CD-9D7A00700968}"/>
    <hyperlink ref="Y523" r:id="rId168" xr:uid="{B1AD3F1D-14F5-42D5-8C5B-7E311A153F96}"/>
    <hyperlink ref="Y36" r:id="rId169" xr:uid="{511D5C8E-8ADC-4E12-BDAD-82B978A79B4A}"/>
    <hyperlink ref="Y337" r:id="rId170" xr:uid="{7B9A73C1-45FA-435C-9B02-936264A0B3AC}"/>
    <hyperlink ref="Y368" r:id="rId171" xr:uid="{5A69F24C-1029-47B7-9FC2-C14EB0FE884A}"/>
    <hyperlink ref="Y551" r:id="rId172" xr:uid="{8BDD582D-47C9-44CB-A024-FF67FB79DC30}"/>
    <hyperlink ref="Y93" r:id="rId173" xr:uid="{6CE1DB03-DB51-47ED-B3C4-BAB6AEF4E503}"/>
    <hyperlink ref="Y476" r:id="rId174" xr:uid="{4D19A538-31D6-4892-BDF4-9A2328B86A0B}"/>
    <hyperlink ref="Y387" r:id="rId175" xr:uid="{EF14F6F2-91EE-4966-896F-00DB08F08494}"/>
    <hyperlink ref="Y25" r:id="rId176" xr:uid="{A2A3A9C4-52CA-4171-A94F-8322C2425AA1}"/>
    <hyperlink ref="Y103" r:id="rId177" xr:uid="{6A778186-073F-4F9F-A133-D1EADC5FA170}"/>
    <hyperlink ref="Y102" r:id="rId178" xr:uid="{B10FE0C3-A08D-49F2-A759-B31CED5A4715}"/>
    <hyperlink ref="Y470" r:id="rId179" xr:uid="{14C26AD1-9A08-41CD-BD39-39C197053C76}"/>
    <hyperlink ref="Y183" r:id="rId180" xr:uid="{E73FA7A3-B0D2-4C71-ACD2-7462847CE916}"/>
    <hyperlink ref="Y287" r:id="rId181" xr:uid="{C14E5AFD-605F-4781-AAF7-D89697083812}"/>
    <hyperlink ref="Y527" r:id="rId182" xr:uid="{705F8BE7-7AC0-4474-8945-8636E33959F6}"/>
    <hyperlink ref="Y324" r:id="rId183" xr:uid="{A208D18E-D2D9-4591-8D46-2B6904BDD401}"/>
    <hyperlink ref="Y211" r:id="rId184" xr:uid="{AF33416B-FB92-4F6C-BD39-4C460981BEA5}"/>
    <hyperlink ref="Y255" r:id="rId185" xr:uid="{DE437AB9-39A6-4FA0-9886-E8645DED2254}"/>
    <hyperlink ref="Y206" r:id="rId186" xr:uid="{1C761E44-6E97-46B3-8930-E098198ECEFF}"/>
    <hyperlink ref="Y391" r:id="rId187" xr:uid="{9048D8A0-0A8F-4D52-A748-9C95F89822C8}"/>
    <hyperlink ref="Y180" r:id="rId188" xr:uid="{EFCC98BC-4141-4DDA-94FD-F4F8616253A9}"/>
    <hyperlink ref="Y82" r:id="rId189" xr:uid="{E18ABF09-C4E7-4ED4-B2C9-8903EF52CFF8}"/>
    <hyperlink ref="Y237" r:id="rId190" xr:uid="{F4C99A43-DA86-4870-A5D6-836046DA372B}"/>
    <hyperlink ref="Y91" r:id="rId191" xr:uid="{B0A7FD20-95D6-4361-8713-D28A88B32DBA}"/>
    <hyperlink ref="Y487" r:id="rId192" xr:uid="{D72A0A9E-6D79-4B8A-ADFF-399C1579E065}"/>
    <hyperlink ref="Y198" r:id="rId193" xr:uid="{B89E60DC-3C79-4209-9ED0-88ABC4ACC5CD}"/>
    <hyperlink ref="Y292" r:id="rId194" xr:uid="{A334DC00-24E0-44EF-B5D8-CEE9B1BB7AAB}"/>
    <hyperlink ref="Y190" r:id="rId195" xr:uid="{A0028CCB-8CDC-4D7B-9D5C-32228323DF31}"/>
    <hyperlink ref="Y317" r:id="rId196" xr:uid="{4102E020-6ED9-46C7-9531-CF5679D7F505}"/>
    <hyperlink ref="Y249" r:id="rId197" xr:uid="{3C6D039D-E7D2-4C03-8F80-0B50D1917A0A}"/>
    <hyperlink ref="Y120" r:id="rId198" xr:uid="{20A2CC66-1135-4644-9E29-444BD4DFDE47}"/>
    <hyperlink ref="Y415" r:id="rId199" xr:uid="{D739E7D7-E96D-4938-A56F-BC6022B2DFA1}"/>
    <hyperlink ref="Y410" r:id="rId200" xr:uid="{19413829-B19D-4E08-AA6E-28F68F46F689}"/>
    <hyperlink ref="Y400" r:id="rId201" xr:uid="{6D23DC59-722D-4E67-AF90-5E3C30026367}"/>
    <hyperlink ref="Y383" r:id="rId202" xr:uid="{E2C0E9DB-7176-4815-8EAF-4C0621325875}"/>
    <hyperlink ref="Y526" r:id="rId203" xr:uid="{ECDF0C16-3458-4ED7-B5A4-CC1D2AECF9C6}"/>
    <hyperlink ref="Y234" r:id="rId204" xr:uid="{0F75F092-9E4B-4828-961A-F4C4A11A921A}"/>
    <hyperlink ref="Y274" r:id="rId205" xr:uid="{03866C20-CEE5-4568-8ECE-72DB293376B8}"/>
    <hyperlink ref="Y276" r:id="rId206" xr:uid="{C14B8769-42B0-40C5-87B3-96D9A015628A}"/>
    <hyperlink ref="Y302" r:id="rId207" xr:uid="{7259D623-0B97-47E6-9F78-65F6FC2300EB}"/>
    <hyperlink ref="Y41" r:id="rId208" xr:uid="{28926E58-F8D8-4FC7-9C0C-48A6303BD6EE}"/>
    <hyperlink ref="Y76" r:id="rId209" xr:uid="{45E9DE0C-201E-42BE-B75D-B7FC369192DD}"/>
    <hyperlink ref="Y52" r:id="rId210" xr:uid="{091393B9-4FBA-4FF1-9F2E-B42A1ED23C16}"/>
    <hyperlink ref="Y10" r:id="rId211" xr:uid="{9B762ED8-14C5-4E67-8966-B099E1697F55}"/>
    <hyperlink ref="Y8" r:id="rId212" xr:uid="{764782B9-9D58-4FCA-B829-AF2260DA4214}"/>
    <hyperlink ref="Y365" r:id="rId213" xr:uid="{E0F691A2-2044-4278-920E-01608125C839}"/>
    <hyperlink ref="Y60" r:id="rId214" xr:uid="{7035B7D7-853D-4B1E-8B56-85036D13BA1C}"/>
    <hyperlink ref="Y315" r:id="rId215" xr:uid="{69584FD4-DD36-40BE-9A3B-72425D192200}"/>
    <hyperlink ref="Y162" r:id="rId216" xr:uid="{417F1B69-543A-482F-89B2-BC4B1E09C267}"/>
    <hyperlink ref="Y58" r:id="rId217" xr:uid="{D0945358-3176-4289-A58A-FE9A28A0FD27}"/>
    <hyperlink ref="Y89" r:id="rId218" xr:uid="{D2832524-D1F9-420F-A4AA-E017F168EEDE}"/>
    <hyperlink ref="Y540" r:id="rId219" xr:uid="{EB89CD1B-0788-488D-8F8B-F6BD77CDACAC}"/>
    <hyperlink ref="Y193" r:id="rId220" xr:uid="{125027C7-F081-4708-8DB4-B1A32F438404}"/>
    <hyperlink ref="Y174" r:id="rId221" xr:uid="{90406F2D-7587-4C4C-A5E4-ADAC25F7D4E0}"/>
    <hyperlink ref="Y475" r:id="rId222" xr:uid="{019DAFF0-18FB-4EA3-B93E-3002D6C41BB7}"/>
    <hyperlink ref="Y471" r:id="rId223" xr:uid="{AD90FD51-4026-4276-9800-73029EDEF949}"/>
    <hyperlink ref="Y419" r:id="rId224" xr:uid="{8F7DC31F-8D91-4FDF-A648-9F20AEF75562}"/>
    <hyperlink ref="Y546" r:id="rId225" xr:uid="{9CCF52F4-588D-411B-AFD1-9B10D66025EE}"/>
    <hyperlink ref="Y461" r:id="rId226" xr:uid="{57865D93-2BA4-4D5D-B083-D60BD3D4C154}"/>
    <hyperlink ref="Y238" r:id="rId227" xr:uid="{7234E008-C9AB-4FD1-89E1-8E7FCBB07CD6}"/>
    <hyperlink ref="Y545" r:id="rId228" xr:uid="{BB7203A7-AD9E-4730-84EF-49F675A36541}"/>
    <hyperlink ref="Y149" r:id="rId229" xr:uid="{89ACDA8A-BD1B-4E35-BF83-F2BB458A3A2E}"/>
    <hyperlink ref="Y79" r:id="rId230" xr:uid="{A4CE655F-15B4-4487-A80F-70EBA465B1B6}"/>
    <hyperlink ref="Y416" r:id="rId231" xr:uid="{8C6495CB-AA50-436E-BCF8-D22BE85936E6}"/>
    <hyperlink ref="Y306" r:id="rId232" xr:uid="{3FDF0613-F193-4A1D-B61C-617BD9BA603A}"/>
    <hyperlink ref="Y432" r:id="rId233" xr:uid="{9928F276-B572-4D47-8902-44E677D3C869}"/>
    <hyperlink ref="Y30" r:id="rId234" xr:uid="{8BAB801C-21FD-48C7-82DC-537BB4FCB0C0}"/>
    <hyperlink ref="Y313" r:id="rId235" xr:uid="{65197983-FBBC-4A08-B80E-DEF28DC089AC}"/>
    <hyperlink ref="Y386" r:id="rId236" xr:uid="{0A707BC6-B7A2-433F-B87D-61C37566F482}"/>
    <hyperlink ref="Y150" r:id="rId237" xr:uid="{D88D36E0-3F13-4890-8932-E05E4EE429AE}"/>
    <hyperlink ref="Y208" r:id="rId238" xr:uid="{F67FA093-928C-441E-AFC4-32B19E9151ED}"/>
    <hyperlink ref="Y329" r:id="rId239" xr:uid="{5AD80678-F20B-4EB5-9F89-5F17B202BFCB}"/>
    <hyperlink ref="Y311" r:id="rId240" xr:uid="{AFDBC2D4-C11D-4296-9535-DC8F10F5EAF2}"/>
    <hyperlink ref="Y154" r:id="rId241" xr:uid="{79164ED6-567E-427A-8E42-1D81500506EA}"/>
    <hyperlink ref="Y438" r:id="rId242" xr:uid="{3FF04D82-3EB8-4EC5-8746-97A47F0977C8}"/>
    <hyperlink ref="Y347" r:id="rId243" xr:uid="{3D679AC0-580B-4D65-A087-97C5D832B966}"/>
    <hyperlink ref="Y543" r:id="rId244" xr:uid="{40BA5B4A-20BE-4A74-A6D1-BF4FD1E74AAB}"/>
    <hyperlink ref="Y201" r:id="rId245" xr:uid="{68B51689-A88E-4610-A21F-E67C9B618B7E}"/>
    <hyperlink ref="Y218" r:id="rId246" xr:uid="{D5407FA8-FABB-4554-B52C-B3C8281C47B0}"/>
    <hyperlink ref="Y241" r:id="rId247" xr:uid="{6903A108-209B-43AB-AE55-B6590A666C92}"/>
    <hyperlink ref="Y15" r:id="rId248" xr:uid="{588A1F90-2671-4A3B-B930-33D216EC6E93}"/>
    <hyperlink ref="Y370" r:id="rId249" xr:uid="{28509F11-E38C-4B6C-B7F5-4BD29FF8F67E}"/>
    <hyperlink ref="Y231" r:id="rId250" xr:uid="{E2941F1C-62A5-4419-A201-B706E220B840}"/>
    <hyperlink ref="Y447" r:id="rId251" xr:uid="{CEC22311-19E8-418D-8F78-990759ABA0BD}"/>
    <hyperlink ref="Y384" r:id="rId252" xr:uid="{D6BBA056-99A9-4A4A-A660-142CDA71EF13}"/>
    <hyperlink ref="Y288" r:id="rId253" xr:uid="{EF0F21B4-8F9C-4E52-80B4-1FC3D781F46B}"/>
    <hyperlink ref="Y284" r:id="rId254" xr:uid="{02C43C13-D3B3-4BE7-902F-B488ED52FD5F}"/>
    <hyperlink ref="Y510" r:id="rId255" xr:uid="{CF8C57C8-4C2F-401D-A586-FC7B9AD65DA2}"/>
    <hyperlink ref="Y412" r:id="rId256" xr:uid="{E71154E7-97DD-4294-A0BC-F873EB2C0D9E}"/>
    <hyperlink ref="Y11" r:id="rId257" xr:uid="{02AA6C64-63F1-42F7-A3F1-96C2C0DF1D2C}"/>
    <hyperlink ref="Y37" r:id="rId258" xr:uid="{DDBD824C-AC22-4D2E-9120-40307D65E8DE}"/>
    <hyperlink ref="Y31" r:id="rId259" xr:uid="{2E598E38-00C0-4FA1-AA07-FD2E55E16126}"/>
  </hyperlinks>
  <pageMargins left="0.7" right="0.7" top="0.75" bottom="0.75" header="0.3" footer="0.3"/>
  <drawing r:id="rId2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5969-53A7-4D34-84C3-E5EEC0B49BE5}">
  <dimension ref="A1:BG612"/>
  <sheetViews>
    <sheetView view="pageBreakPreview" topLeftCell="A4" zoomScaleNormal="85" zoomScaleSheetLayoutView="100" workbookViewId="0">
      <selection activeCell="A3" sqref="A1:XFD1048576"/>
    </sheetView>
  </sheetViews>
  <sheetFormatPr baseColWidth="10" defaultColWidth="8.83203125" defaultRowHeight="15" outlineLevelCol="1" x14ac:dyDescent="0.2"/>
  <cols>
    <col min="1" max="1" width="5.83203125" customWidth="1"/>
    <col min="2" max="2" width="16.83203125" customWidth="1"/>
    <col min="3" max="3" width="51.1640625" customWidth="1"/>
    <col min="4" max="4" width="46.5" bestFit="1" customWidth="1"/>
    <col min="5" max="5" width="13.5" bestFit="1" customWidth="1"/>
    <col min="6" max="6" width="66.1640625" bestFit="1" customWidth="1"/>
    <col min="7" max="7" width="17.6640625" bestFit="1" customWidth="1"/>
    <col min="8" max="8" width="18.33203125" bestFit="1" customWidth="1"/>
    <col min="9" max="9" width="18" bestFit="1" customWidth="1" outlineLevel="1"/>
    <col min="10" max="10" width="16.6640625" bestFit="1" customWidth="1" outlineLevel="1"/>
    <col min="11" max="11" width="4.6640625" bestFit="1" customWidth="1" outlineLevel="1"/>
    <col min="12" max="12" width="13.5" bestFit="1" customWidth="1" outlineLevel="1"/>
    <col min="13" max="13" width="23.6640625" bestFit="1" customWidth="1" outlineLevel="1"/>
    <col min="14" max="14" width="13.83203125" bestFit="1" customWidth="1" outlineLevel="1"/>
    <col min="15" max="15" width="10.5" bestFit="1" customWidth="1" outlineLevel="1"/>
    <col min="16" max="16" width="11.33203125" bestFit="1" customWidth="1" outlineLevel="1"/>
    <col min="17" max="17" width="12.5" bestFit="1" customWidth="1" outlineLevel="1"/>
    <col min="18" max="18" width="11.83203125" bestFit="1" customWidth="1" outlineLevel="1"/>
    <col min="19" max="19" width="7.33203125" bestFit="1" customWidth="1" outlineLevel="1"/>
    <col min="20" max="20" width="12.5" bestFit="1" customWidth="1" outlineLevel="1"/>
    <col min="21" max="23" width="7.33203125" bestFit="1" customWidth="1" outlineLevel="1"/>
    <col min="24" max="24" width="19" bestFit="1" customWidth="1"/>
    <col min="25" max="25" width="37" bestFit="1" customWidth="1"/>
    <col min="26" max="26" width="31.33203125" bestFit="1" customWidth="1"/>
    <col min="27" max="27" width="13.33203125" bestFit="1" customWidth="1"/>
    <col min="28" max="28" width="11.83203125" bestFit="1" customWidth="1"/>
    <col min="29" max="29" width="10.5" bestFit="1" customWidth="1"/>
    <col min="30" max="37" width="5.83203125" bestFit="1" customWidth="1"/>
    <col min="38" max="38" width="8.6640625" bestFit="1" customWidth="1"/>
    <col min="39" max="39" width="26.6640625" bestFit="1" customWidth="1"/>
    <col min="42" max="42" width="10.5" bestFit="1" customWidth="1"/>
    <col min="43" max="43" width="15.6640625" customWidth="1"/>
    <col min="51" max="51" width="11.5" bestFit="1" customWidth="1"/>
  </cols>
  <sheetData>
    <row r="1" spans="1:51" ht="23" x14ac:dyDescent="0.25">
      <c r="A1" s="354" t="s">
        <v>4574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</row>
    <row r="2" spans="1:51" ht="16" thickBot="1" x14ac:dyDescent="0.25">
      <c r="A2" s="355" t="s">
        <v>4633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AJ2" s="355"/>
      <c r="AK2" s="355"/>
      <c r="AL2" s="355"/>
      <c r="AM2" s="355"/>
    </row>
    <row r="3" spans="1:51" ht="48" customHeight="1" thickTop="1" thickBot="1" x14ac:dyDescent="0.25">
      <c r="A3" s="356" t="s">
        <v>0</v>
      </c>
      <c r="B3" s="356" t="s">
        <v>1</v>
      </c>
      <c r="C3" s="358" t="s">
        <v>2</v>
      </c>
      <c r="D3" s="360" t="s">
        <v>3</v>
      </c>
      <c r="E3" s="1" t="s">
        <v>4</v>
      </c>
      <c r="F3" s="362" t="s">
        <v>5</v>
      </c>
      <c r="G3" s="363" t="s">
        <v>6</v>
      </c>
      <c r="H3" s="363" t="s">
        <v>7</v>
      </c>
      <c r="I3" s="365" t="s">
        <v>8</v>
      </c>
      <c r="J3" s="377" t="s">
        <v>9</v>
      </c>
      <c r="K3" s="379" t="s">
        <v>10</v>
      </c>
      <c r="L3" s="348" t="s">
        <v>11</v>
      </c>
      <c r="M3" s="350" t="s">
        <v>12</v>
      </c>
      <c r="N3" s="351"/>
      <c r="O3" s="352" t="s">
        <v>13</v>
      </c>
      <c r="P3" s="348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4624</v>
      </c>
      <c r="X3" s="3" t="s">
        <v>21</v>
      </c>
      <c r="Y3" s="4" t="s">
        <v>22</v>
      </c>
      <c r="Z3" s="4" t="s">
        <v>23</v>
      </c>
      <c r="AA3" s="5" t="s">
        <v>24</v>
      </c>
      <c r="AB3" s="6" t="s">
        <v>25</v>
      </c>
      <c r="AC3" s="7" t="s">
        <v>26</v>
      </c>
      <c r="AD3" s="8" t="s">
        <v>27</v>
      </c>
      <c r="AE3" s="375">
        <v>2020</v>
      </c>
      <c r="AF3" s="375">
        <v>2021</v>
      </c>
      <c r="AG3" s="375">
        <v>2022</v>
      </c>
      <c r="AH3" s="375">
        <v>2023</v>
      </c>
      <c r="AI3" s="375">
        <v>2024</v>
      </c>
      <c r="AJ3" s="372">
        <v>2025</v>
      </c>
      <c r="AK3" s="372">
        <v>2026</v>
      </c>
      <c r="AL3" s="9" t="s">
        <v>28</v>
      </c>
      <c r="AM3" s="3" t="s">
        <v>29</v>
      </c>
      <c r="AO3" s="10"/>
      <c r="AP3" s="11"/>
      <c r="AQ3" s="11"/>
      <c r="AR3" s="11"/>
      <c r="AS3" s="11"/>
      <c r="AT3" s="11"/>
      <c r="AU3" s="11"/>
      <c r="AV3" s="11"/>
      <c r="AW3" s="11"/>
      <c r="AX3" s="11"/>
    </row>
    <row r="4" spans="1:51" ht="16" thickTop="1" x14ac:dyDescent="0.2">
      <c r="A4" s="357"/>
      <c r="B4" s="357"/>
      <c r="C4" s="359"/>
      <c r="D4" s="361"/>
      <c r="E4" s="12"/>
      <c r="F4" s="361"/>
      <c r="G4" s="364"/>
      <c r="H4" s="364"/>
      <c r="I4" s="366"/>
      <c r="J4" s="378"/>
      <c r="K4" s="380"/>
      <c r="L4" s="349"/>
      <c r="M4" s="13" t="s">
        <v>30</v>
      </c>
      <c r="N4" s="14" t="s">
        <v>31</v>
      </c>
      <c r="O4" s="353"/>
      <c r="P4" s="349"/>
      <c r="Q4" s="15"/>
      <c r="R4" s="15"/>
      <c r="S4" s="15"/>
      <c r="T4" s="15"/>
      <c r="U4" s="15"/>
      <c r="V4" s="15"/>
      <c r="W4" s="15"/>
      <c r="X4" s="16"/>
      <c r="Y4" s="17"/>
      <c r="Z4" s="17"/>
      <c r="AA4" s="18"/>
      <c r="AB4" s="19"/>
      <c r="AC4" s="20"/>
      <c r="AD4" s="21"/>
      <c r="AE4" s="376"/>
      <c r="AF4" s="376"/>
      <c r="AG4" s="376"/>
      <c r="AH4" s="376"/>
      <c r="AI4" s="376"/>
      <c r="AJ4" s="373"/>
      <c r="AK4" s="373"/>
      <c r="AL4" s="22"/>
      <c r="AM4" s="22"/>
      <c r="AO4" s="10"/>
      <c r="AP4" s="11"/>
      <c r="AQ4" s="11"/>
      <c r="AR4" s="11"/>
      <c r="AS4" s="11"/>
      <c r="AT4" s="11"/>
      <c r="AU4" s="11"/>
      <c r="AV4" s="11"/>
      <c r="AW4" s="11"/>
      <c r="AX4" s="11"/>
    </row>
    <row r="5" spans="1:51" x14ac:dyDescent="0.2">
      <c r="A5" s="23" t="s">
        <v>32</v>
      </c>
      <c r="B5" s="23">
        <v>1</v>
      </c>
      <c r="C5" s="24">
        <v>2</v>
      </c>
      <c r="D5" s="25">
        <v>3</v>
      </c>
      <c r="E5" s="25">
        <v>4</v>
      </c>
      <c r="F5" s="25">
        <v>5</v>
      </c>
      <c r="G5" s="26">
        <v>6</v>
      </c>
      <c r="H5" s="26">
        <v>7</v>
      </c>
      <c r="I5" s="27">
        <v>8</v>
      </c>
      <c r="J5" s="28">
        <v>9</v>
      </c>
      <c r="K5" s="29">
        <v>10</v>
      </c>
      <c r="L5" s="30">
        <f>+K5+1</f>
        <v>11</v>
      </c>
      <c r="M5" s="30">
        <f t="shared" ref="M5:AM5" si="0">+L5+1</f>
        <v>12</v>
      </c>
      <c r="N5" s="30">
        <f t="shared" si="0"/>
        <v>13</v>
      </c>
      <c r="O5" s="30"/>
      <c r="P5" s="30"/>
      <c r="Q5" s="30">
        <f>+N5+1</f>
        <v>14</v>
      </c>
      <c r="R5" s="30">
        <f t="shared" si="0"/>
        <v>15</v>
      </c>
      <c r="S5" s="30">
        <f t="shared" si="0"/>
        <v>16</v>
      </c>
      <c r="T5" s="30">
        <f t="shared" si="0"/>
        <v>17</v>
      </c>
      <c r="U5" s="30">
        <f t="shared" si="0"/>
        <v>18</v>
      </c>
      <c r="V5" s="30">
        <f t="shared" si="0"/>
        <v>19</v>
      </c>
      <c r="W5" s="30"/>
      <c r="X5" s="30">
        <f>+V5+1</f>
        <v>20</v>
      </c>
      <c r="Y5" s="30">
        <f t="shared" si="0"/>
        <v>21</v>
      </c>
      <c r="Z5" s="30">
        <f t="shared" si="0"/>
        <v>22</v>
      </c>
      <c r="AA5" s="30">
        <f t="shared" si="0"/>
        <v>23</v>
      </c>
      <c r="AB5" s="30">
        <f t="shared" si="0"/>
        <v>24</v>
      </c>
      <c r="AC5" s="30">
        <f t="shared" si="0"/>
        <v>25</v>
      </c>
      <c r="AD5" s="30">
        <f t="shared" si="0"/>
        <v>26</v>
      </c>
      <c r="AE5" s="30">
        <f t="shared" si="0"/>
        <v>27</v>
      </c>
      <c r="AF5" s="30">
        <f t="shared" si="0"/>
        <v>28</v>
      </c>
      <c r="AG5" s="30">
        <f t="shared" si="0"/>
        <v>29</v>
      </c>
      <c r="AH5" s="30">
        <f t="shared" si="0"/>
        <v>30</v>
      </c>
      <c r="AI5" s="30">
        <f t="shared" si="0"/>
        <v>31</v>
      </c>
      <c r="AJ5" s="30">
        <f t="shared" si="0"/>
        <v>32</v>
      </c>
      <c r="AK5" s="30">
        <f t="shared" si="0"/>
        <v>33</v>
      </c>
      <c r="AL5" s="30">
        <f t="shared" si="0"/>
        <v>34</v>
      </c>
      <c r="AM5" s="30">
        <f t="shared" si="0"/>
        <v>35</v>
      </c>
      <c r="AN5" s="31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1"/>
    </row>
    <row r="6" spans="1:51" x14ac:dyDescent="0.2">
      <c r="A6" s="33">
        <v>1</v>
      </c>
      <c r="B6" s="34" t="s">
        <v>33</v>
      </c>
      <c r="C6" s="35" t="s">
        <v>34</v>
      </c>
      <c r="D6" s="36" t="s">
        <v>35</v>
      </c>
      <c r="E6" s="36" t="s">
        <v>36</v>
      </c>
      <c r="F6" s="34" t="s">
        <v>37</v>
      </c>
      <c r="G6" s="37" t="s">
        <v>38</v>
      </c>
      <c r="H6" s="37" t="s">
        <v>39</v>
      </c>
      <c r="I6" s="38" t="s">
        <v>40</v>
      </c>
      <c r="J6" s="34" t="s">
        <v>41</v>
      </c>
      <c r="K6" s="39" t="s">
        <v>42</v>
      </c>
      <c r="L6" s="40" t="s">
        <v>43</v>
      </c>
      <c r="M6" s="41"/>
      <c r="N6" s="41"/>
      <c r="O6" s="41"/>
      <c r="P6" s="41"/>
      <c r="Q6" s="41"/>
      <c r="R6" s="41" t="s">
        <v>44</v>
      </c>
      <c r="S6" s="41"/>
      <c r="T6" s="41"/>
      <c r="U6" s="41"/>
      <c r="V6" s="41"/>
      <c r="W6" s="41"/>
      <c r="X6" s="42" t="s">
        <v>45</v>
      </c>
      <c r="Y6" s="43" t="s">
        <v>46</v>
      </c>
      <c r="Z6" s="44"/>
      <c r="AA6" s="45" t="s">
        <v>47</v>
      </c>
      <c r="AB6" s="46" t="s">
        <v>48</v>
      </c>
      <c r="AC6" s="36" t="s">
        <v>26</v>
      </c>
      <c r="AD6" s="47" t="s">
        <v>49</v>
      </c>
      <c r="AE6" s="48" t="s">
        <v>49</v>
      </c>
      <c r="AF6" s="48" t="s">
        <v>49</v>
      </c>
      <c r="AG6" s="48" t="s">
        <v>41</v>
      </c>
      <c r="AH6" s="48" t="s">
        <v>41</v>
      </c>
      <c r="AI6" s="48" t="s">
        <v>41</v>
      </c>
      <c r="AJ6" s="49" t="s">
        <v>41</v>
      </c>
      <c r="AK6" s="48" t="s">
        <v>41</v>
      </c>
      <c r="AL6" s="50">
        <v>5</v>
      </c>
      <c r="AM6" s="51" t="s">
        <v>50</v>
      </c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1"/>
    </row>
    <row r="7" spans="1:51" x14ac:dyDescent="0.2">
      <c r="A7" s="33">
        <f>+A6+1</f>
        <v>2</v>
      </c>
      <c r="B7" s="34" t="s">
        <v>51</v>
      </c>
      <c r="C7" s="35" t="s">
        <v>52</v>
      </c>
      <c r="D7" s="36" t="s">
        <v>53</v>
      </c>
      <c r="E7" s="36" t="s">
        <v>54</v>
      </c>
      <c r="F7" s="34" t="s">
        <v>55</v>
      </c>
      <c r="G7" s="37" t="s">
        <v>56</v>
      </c>
      <c r="H7" s="37" t="s">
        <v>57</v>
      </c>
      <c r="I7" s="38" t="s">
        <v>58</v>
      </c>
      <c r="J7" s="34" t="s">
        <v>41</v>
      </c>
      <c r="K7" s="39" t="s">
        <v>42</v>
      </c>
      <c r="L7" s="40" t="s">
        <v>59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2" t="s">
        <v>45</v>
      </c>
      <c r="Y7" s="52" t="s">
        <v>60</v>
      </c>
      <c r="Z7" s="44" t="s">
        <v>61</v>
      </c>
      <c r="AA7" s="45">
        <v>39286</v>
      </c>
      <c r="AB7" s="46" t="s">
        <v>30</v>
      </c>
      <c r="AC7" s="36" t="s">
        <v>26</v>
      </c>
      <c r="AD7" s="47" t="s">
        <v>49</v>
      </c>
      <c r="AE7" s="48" t="s">
        <v>49</v>
      </c>
      <c r="AF7" s="48" t="s">
        <v>49</v>
      </c>
      <c r="AG7" s="48" t="s">
        <v>49</v>
      </c>
      <c r="AH7" s="48" t="s">
        <v>49</v>
      </c>
      <c r="AI7" s="48" t="s">
        <v>49</v>
      </c>
      <c r="AJ7" s="49" t="s">
        <v>41</v>
      </c>
      <c r="AK7" s="48" t="s">
        <v>41</v>
      </c>
      <c r="AL7" s="50">
        <v>2</v>
      </c>
      <c r="AM7" s="51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1"/>
    </row>
    <row r="8" spans="1:51" x14ac:dyDescent="0.2">
      <c r="A8" s="33">
        <f t="shared" ref="A8:A72" si="1">+A7+1</f>
        <v>3</v>
      </c>
      <c r="B8" s="34" t="s">
        <v>62</v>
      </c>
      <c r="C8" s="35" t="s">
        <v>63</v>
      </c>
      <c r="D8" s="36" t="s">
        <v>64</v>
      </c>
      <c r="E8" s="36" t="s">
        <v>54</v>
      </c>
      <c r="F8" s="34" t="s">
        <v>65</v>
      </c>
      <c r="G8" s="37" t="s">
        <v>56</v>
      </c>
      <c r="H8" s="37" t="s">
        <v>57</v>
      </c>
      <c r="I8" s="38" t="s">
        <v>66</v>
      </c>
      <c r="J8" s="34" t="s">
        <v>41</v>
      </c>
      <c r="K8" s="39" t="s">
        <v>42</v>
      </c>
      <c r="L8" s="53">
        <v>45250</v>
      </c>
      <c r="M8" s="41"/>
      <c r="N8" s="41"/>
      <c r="O8" s="41"/>
      <c r="P8" s="41"/>
      <c r="Q8" s="41"/>
      <c r="R8" s="41"/>
      <c r="S8" s="41"/>
      <c r="T8" s="41" t="s">
        <v>44</v>
      </c>
      <c r="U8" s="41"/>
      <c r="V8" s="41"/>
      <c r="W8" s="41"/>
      <c r="X8" s="54" t="s">
        <v>67</v>
      </c>
      <c r="Y8" s="55" t="s">
        <v>68</v>
      </c>
      <c r="Z8" s="44"/>
      <c r="AA8" s="45">
        <v>45642</v>
      </c>
      <c r="AB8" s="46"/>
      <c r="AC8" s="36"/>
      <c r="AD8" s="47" t="s">
        <v>49</v>
      </c>
      <c r="AE8" s="48" t="s">
        <v>41</v>
      </c>
      <c r="AF8" s="48" t="s">
        <v>41</v>
      </c>
      <c r="AG8" s="48" t="s">
        <v>41</v>
      </c>
      <c r="AH8" s="48" t="s">
        <v>49</v>
      </c>
      <c r="AI8" s="48" t="s">
        <v>49</v>
      </c>
      <c r="AJ8" s="49" t="s">
        <v>49</v>
      </c>
      <c r="AK8" s="48" t="s">
        <v>49</v>
      </c>
      <c r="AL8" s="50">
        <v>0</v>
      </c>
      <c r="AM8" s="51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1"/>
    </row>
    <row r="9" spans="1:51" x14ac:dyDescent="0.2">
      <c r="A9" s="33">
        <f t="shared" si="1"/>
        <v>4</v>
      </c>
      <c r="B9" s="34" t="s">
        <v>69</v>
      </c>
      <c r="C9" s="35" t="s">
        <v>70</v>
      </c>
      <c r="D9" s="36" t="s">
        <v>71</v>
      </c>
      <c r="E9" s="36" t="s">
        <v>54</v>
      </c>
      <c r="F9" s="34" t="s">
        <v>72</v>
      </c>
      <c r="G9" s="37" t="s">
        <v>73</v>
      </c>
      <c r="H9" s="37" t="s">
        <v>73</v>
      </c>
      <c r="I9" s="34" t="s">
        <v>74</v>
      </c>
      <c r="J9" s="38" t="s">
        <v>75</v>
      </c>
      <c r="K9" s="39" t="s">
        <v>42</v>
      </c>
      <c r="L9" s="40" t="s">
        <v>59</v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7" t="s">
        <v>76</v>
      </c>
      <c r="Y9" s="58" t="s">
        <v>77</v>
      </c>
      <c r="Z9" s="44" t="s">
        <v>78</v>
      </c>
      <c r="AA9" s="45">
        <v>42325</v>
      </c>
      <c r="AB9" s="46" t="s">
        <v>30</v>
      </c>
      <c r="AC9" s="36" t="s">
        <v>26</v>
      </c>
      <c r="AD9" s="47" t="s">
        <v>49</v>
      </c>
      <c r="AE9" s="48" t="s">
        <v>49</v>
      </c>
      <c r="AF9" s="48" t="s">
        <v>49</v>
      </c>
      <c r="AG9" s="48" t="s">
        <v>49</v>
      </c>
      <c r="AH9" s="48" t="s">
        <v>49</v>
      </c>
      <c r="AI9" s="48" t="s">
        <v>49</v>
      </c>
      <c r="AJ9" s="49" t="s">
        <v>41</v>
      </c>
      <c r="AK9" s="48" t="s">
        <v>41</v>
      </c>
      <c r="AL9" s="50">
        <v>2</v>
      </c>
      <c r="AM9" s="51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1"/>
    </row>
    <row r="10" spans="1:51" x14ac:dyDescent="0.2">
      <c r="A10" s="33">
        <f t="shared" si="1"/>
        <v>5</v>
      </c>
      <c r="B10" s="34" t="s">
        <v>79</v>
      </c>
      <c r="C10" s="35" t="s">
        <v>80</v>
      </c>
      <c r="D10" s="36" t="s">
        <v>81</v>
      </c>
      <c r="E10" s="36" t="s">
        <v>54</v>
      </c>
      <c r="F10" s="34" t="s">
        <v>82</v>
      </c>
      <c r="G10" s="37" t="s">
        <v>73</v>
      </c>
      <c r="H10" s="37" t="s">
        <v>73</v>
      </c>
      <c r="I10" s="38" t="s">
        <v>83</v>
      </c>
      <c r="J10" s="34" t="s">
        <v>41</v>
      </c>
      <c r="K10" s="39" t="s">
        <v>42</v>
      </c>
      <c r="L10" s="53">
        <v>45244</v>
      </c>
      <c r="M10" s="41"/>
      <c r="N10" s="41"/>
      <c r="O10" s="41"/>
      <c r="P10" s="41"/>
      <c r="Q10" s="41"/>
      <c r="R10" s="41"/>
      <c r="S10" s="41"/>
      <c r="T10" s="41" t="s">
        <v>44</v>
      </c>
      <c r="U10" s="41"/>
      <c r="V10" s="41"/>
      <c r="W10" s="41"/>
      <c r="X10" s="42" t="s">
        <v>84</v>
      </c>
      <c r="Y10" s="55" t="s">
        <v>85</v>
      </c>
      <c r="Z10" s="44"/>
      <c r="AA10" s="45">
        <v>45642</v>
      </c>
      <c r="AB10" s="46"/>
      <c r="AC10" s="36"/>
      <c r="AD10" s="47" t="s">
        <v>49</v>
      </c>
      <c r="AE10" s="48" t="s">
        <v>41</v>
      </c>
      <c r="AF10" s="48" t="s">
        <v>41</v>
      </c>
      <c r="AG10" s="48" t="s">
        <v>41</v>
      </c>
      <c r="AH10" s="48" t="s">
        <v>49</v>
      </c>
      <c r="AI10" s="48" t="s">
        <v>49</v>
      </c>
      <c r="AJ10" s="49" t="s">
        <v>49</v>
      </c>
      <c r="AK10" s="48" t="s">
        <v>49</v>
      </c>
      <c r="AL10" s="50">
        <v>0</v>
      </c>
      <c r="AM10" s="51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1"/>
    </row>
    <row r="11" spans="1:51" x14ac:dyDescent="0.2">
      <c r="A11" s="33">
        <f t="shared" si="1"/>
        <v>6</v>
      </c>
      <c r="B11" s="34" t="s">
        <v>4579</v>
      </c>
      <c r="C11" s="35" t="s">
        <v>4578</v>
      </c>
      <c r="D11" s="36" t="s">
        <v>4494</v>
      </c>
      <c r="E11" s="36" t="s">
        <v>4581</v>
      </c>
      <c r="F11" s="34" t="s">
        <v>4582</v>
      </c>
      <c r="G11" s="37" t="s">
        <v>39</v>
      </c>
      <c r="H11" s="37" t="s">
        <v>39</v>
      </c>
      <c r="I11" s="38" t="s">
        <v>4583</v>
      </c>
      <c r="J11" s="34" t="s">
        <v>41</v>
      </c>
      <c r="K11" s="39" t="s">
        <v>4584</v>
      </c>
      <c r="L11" s="53">
        <v>46031</v>
      </c>
      <c r="M11" s="41" t="s">
        <v>179</v>
      </c>
      <c r="N11" s="41"/>
      <c r="O11" s="41"/>
      <c r="P11" s="41"/>
      <c r="Q11" s="41"/>
      <c r="R11" s="41"/>
      <c r="S11" s="41"/>
      <c r="T11" s="41"/>
      <c r="U11" s="41"/>
      <c r="V11" s="41"/>
      <c r="W11" s="41" t="s">
        <v>44</v>
      </c>
      <c r="X11" s="38" t="s">
        <v>4585</v>
      </c>
      <c r="Y11" s="307" t="s">
        <v>4586</v>
      </c>
      <c r="Z11" s="44"/>
      <c r="AA11" s="45"/>
      <c r="AB11" s="46"/>
      <c r="AC11" s="36"/>
      <c r="AD11" s="47" t="s">
        <v>49</v>
      </c>
      <c r="AE11" s="48"/>
      <c r="AF11" s="48"/>
      <c r="AG11" s="48"/>
      <c r="AH11" s="48"/>
      <c r="AI11" s="48"/>
      <c r="AJ11" s="49"/>
      <c r="AK11" s="48" t="s">
        <v>49</v>
      </c>
      <c r="AL11" s="50">
        <v>0</v>
      </c>
      <c r="AM11" s="51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1"/>
    </row>
    <row r="12" spans="1:51" x14ac:dyDescent="0.2">
      <c r="A12" s="33">
        <f t="shared" si="1"/>
        <v>7</v>
      </c>
      <c r="B12" s="34" t="s">
        <v>86</v>
      </c>
      <c r="C12" s="35" t="s">
        <v>87</v>
      </c>
      <c r="D12" s="36" t="s">
        <v>88</v>
      </c>
      <c r="E12" s="36" t="s">
        <v>54</v>
      </c>
      <c r="F12" s="34" t="s">
        <v>89</v>
      </c>
      <c r="G12" s="37" t="s">
        <v>56</v>
      </c>
      <c r="H12" s="37" t="s">
        <v>57</v>
      </c>
      <c r="I12" s="38" t="s">
        <v>90</v>
      </c>
      <c r="J12" s="34" t="s">
        <v>41</v>
      </c>
      <c r="K12" s="39" t="s">
        <v>42</v>
      </c>
      <c r="L12" s="53" t="s">
        <v>91</v>
      </c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42" t="s">
        <v>92</v>
      </c>
      <c r="Y12" s="58" t="s">
        <v>93</v>
      </c>
      <c r="Z12" s="44" t="s">
        <v>61</v>
      </c>
      <c r="AA12" s="45">
        <v>43200</v>
      </c>
      <c r="AB12" s="46" t="s">
        <v>94</v>
      </c>
      <c r="AC12" s="36" t="s">
        <v>26</v>
      </c>
      <c r="AD12" s="47" t="s">
        <v>49</v>
      </c>
      <c r="AE12" s="48" t="s">
        <v>49</v>
      </c>
      <c r="AF12" s="48" t="s">
        <v>49</v>
      </c>
      <c r="AG12" s="48" t="s">
        <v>49</v>
      </c>
      <c r="AH12" s="48" t="s">
        <v>49</v>
      </c>
      <c r="AI12" s="48" t="s">
        <v>49</v>
      </c>
      <c r="AJ12" s="49" t="s">
        <v>49</v>
      </c>
      <c r="AK12" s="48" t="s">
        <v>49</v>
      </c>
      <c r="AL12" s="50">
        <v>0</v>
      </c>
      <c r="AM12" s="59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1"/>
    </row>
    <row r="13" spans="1:51" x14ac:dyDescent="0.2">
      <c r="A13" s="33">
        <f t="shared" si="1"/>
        <v>8</v>
      </c>
      <c r="B13" s="34" t="s">
        <v>95</v>
      </c>
      <c r="C13" s="35" t="s">
        <v>96</v>
      </c>
      <c r="D13" s="36" t="s">
        <v>97</v>
      </c>
      <c r="E13" s="36" t="s">
        <v>54</v>
      </c>
      <c r="F13" s="34" t="s">
        <v>98</v>
      </c>
      <c r="G13" s="37" t="s">
        <v>56</v>
      </c>
      <c r="H13" s="37" t="s">
        <v>57</v>
      </c>
      <c r="I13" s="34">
        <v>81328792103</v>
      </c>
      <c r="J13" s="34" t="s">
        <v>41</v>
      </c>
      <c r="K13" s="39" t="s">
        <v>42</v>
      </c>
      <c r="L13" s="53">
        <v>39256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2" t="s">
        <v>99</v>
      </c>
      <c r="Y13" s="60" t="s">
        <v>100</v>
      </c>
      <c r="Z13" s="44" t="s">
        <v>61</v>
      </c>
      <c r="AA13" s="45" t="s">
        <v>101</v>
      </c>
      <c r="AB13" s="46" t="s">
        <v>30</v>
      </c>
      <c r="AC13" s="36" t="s">
        <v>26</v>
      </c>
      <c r="AD13" s="47" t="s">
        <v>49</v>
      </c>
      <c r="AE13" s="48" t="s">
        <v>49</v>
      </c>
      <c r="AF13" s="48" t="s">
        <v>49</v>
      </c>
      <c r="AG13" s="48" t="s">
        <v>49</v>
      </c>
      <c r="AH13" s="48" t="s">
        <v>49</v>
      </c>
      <c r="AI13" s="48" t="s">
        <v>49</v>
      </c>
      <c r="AJ13" s="49" t="s">
        <v>49</v>
      </c>
      <c r="AK13" s="48" t="s">
        <v>49</v>
      </c>
      <c r="AL13" s="50">
        <v>0</v>
      </c>
      <c r="AM13" s="59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1"/>
    </row>
    <row r="14" spans="1:51" x14ac:dyDescent="0.2">
      <c r="A14" s="33">
        <f t="shared" si="1"/>
        <v>9</v>
      </c>
      <c r="B14" s="34" t="s">
        <v>102</v>
      </c>
      <c r="C14" s="35" t="s">
        <v>103</v>
      </c>
      <c r="D14" s="36" t="s">
        <v>104</v>
      </c>
      <c r="E14" s="36" t="s">
        <v>54</v>
      </c>
      <c r="F14" s="34" t="s">
        <v>105</v>
      </c>
      <c r="G14" s="37" t="s">
        <v>73</v>
      </c>
      <c r="H14" s="37" t="s">
        <v>73</v>
      </c>
      <c r="I14" s="38" t="s">
        <v>106</v>
      </c>
      <c r="J14" s="34" t="s">
        <v>41</v>
      </c>
      <c r="K14" s="39" t="s">
        <v>42</v>
      </c>
      <c r="L14" s="40" t="s">
        <v>107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2" t="s">
        <v>108</v>
      </c>
      <c r="Y14" s="58" t="s">
        <v>109</v>
      </c>
      <c r="Z14" s="58"/>
      <c r="AA14" s="45" t="s">
        <v>47</v>
      </c>
      <c r="AB14" s="46"/>
      <c r="AC14" s="36" t="s">
        <v>26</v>
      </c>
      <c r="AD14" s="61" t="s">
        <v>49</v>
      </c>
      <c r="AE14" s="48" t="s">
        <v>49</v>
      </c>
      <c r="AF14" s="48" t="s">
        <v>41</v>
      </c>
      <c r="AG14" s="48" t="s">
        <v>41</v>
      </c>
      <c r="AH14" s="48" t="s">
        <v>41</v>
      </c>
      <c r="AI14" s="48" t="s">
        <v>41</v>
      </c>
      <c r="AJ14" s="49" t="s">
        <v>41</v>
      </c>
      <c r="AK14" s="48" t="s">
        <v>41</v>
      </c>
      <c r="AL14" s="62" t="s">
        <v>4587</v>
      </c>
      <c r="AM14" s="63" t="s">
        <v>50</v>
      </c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1"/>
    </row>
    <row r="15" spans="1:51" x14ac:dyDescent="0.2">
      <c r="A15" s="33">
        <f t="shared" si="1"/>
        <v>10</v>
      </c>
      <c r="B15" s="34" t="s">
        <v>111</v>
      </c>
      <c r="C15" s="35" t="s">
        <v>112</v>
      </c>
      <c r="D15" s="36" t="s">
        <v>113</v>
      </c>
      <c r="E15" s="36" t="s">
        <v>54</v>
      </c>
      <c r="F15" s="34" t="s">
        <v>114</v>
      </c>
      <c r="G15" s="37" t="s">
        <v>73</v>
      </c>
      <c r="H15" s="37" t="s">
        <v>73</v>
      </c>
      <c r="I15" s="34" t="s">
        <v>115</v>
      </c>
      <c r="J15" s="34" t="s">
        <v>116</v>
      </c>
      <c r="K15" s="39" t="s">
        <v>42</v>
      </c>
      <c r="L15" s="40" t="s">
        <v>117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2" t="s">
        <v>118</v>
      </c>
      <c r="Y15" s="58" t="s">
        <v>119</v>
      </c>
      <c r="Z15" s="44" t="s">
        <v>78</v>
      </c>
      <c r="AA15" s="45">
        <v>40815</v>
      </c>
      <c r="AB15" s="46" t="s">
        <v>30</v>
      </c>
      <c r="AC15" s="36" t="s">
        <v>26</v>
      </c>
      <c r="AD15" s="64" t="s">
        <v>120</v>
      </c>
      <c r="AE15" s="48" t="s">
        <v>120</v>
      </c>
      <c r="AF15" s="48" t="s">
        <v>120</v>
      </c>
      <c r="AG15" s="48" t="s">
        <v>120</v>
      </c>
      <c r="AH15" s="48" t="s">
        <v>120</v>
      </c>
      <c r="AI15" s="48" t="s">
        <v>120</v>
      </c>
      <c r="AJ15" s="49" t="s">
        <v>120</v>
      </c>
      <c r="AK15" s="48" t="s">
        <v>120</v>
      </c>
      <c r="AL15" s="65" t="s">
        <v>32</v>
      </c>
      <c r="AM15" s="59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1"/>
    </row>
    <row r="16" spans="1:51" x14ac:dyDescent="0.2">
      <c r="A16" s="33">
        <f t="shared" si="1"/>
        <v>11</v>
      </c>
      <c r="B16" s="34" t="s">
        <v>121</v>
      </c>
      <c r="C16" s="35" t="s">
        <v>122</v>
      </c>
      <c r="D16" s="36" t="s">
        <v>123</v>
      </c>
      <c r="E16" s="36" t="s">
        <v>54</v>
      </c>
      <c r="F16" s="34" t="s">
        <v>124</v>
      </c>
      <c r="G16" s="37" t="s">
        <v>73</v>
      </c>
      <c r="H16" s="37" t="s">
        <v>73</v>
      </c>
      <c r="I16" s="34" t="s">
        <v>125</v>
      </c>
      <c r="J16" s="34" t="s">
        <v>126</v>
      </c>
      <c r="K16" s="39" t="s">
        <v>42</v>
      </c>
      <c r="L16" s="53">
        <v>30353</v>
      </c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42" t="s">
        <v>127</v>
      </c>
      <c r="Y16" s="58" t="s">
        <v>128</v>
      </c>
      <c r="Z16" s="44" t="s">
        <v>61</v>
      </c>
      <c r="AA16" s="45">
        <v>34597</v>
      </c>
      <c r="AB16" s="46" t="s">
        <v>129</v>
      </c>
      <c r="AC16" s="36" t="s">
        <v>26</v>
      </c>
      <c r="AD16" s="66" t="s">
        <v>130</v>
      </c>
      <c r="AE16" s="48" t="s">
        <v>130</v>
      </c>
      <c r="AF16" s="48" t="s">
        <v>130</v>
      </c>
      <c r="AG16" s="48" t="s">
        <v>130</v>
      </c>
      <c r="AH16" s="48" t="s">
        <v>130</v>
      </c>
      <c r="AI16" s="48" t="s">
        <v>130</v>
      </c>
      <c r="AJ16" s="49" t="s">
        <v>130</v>
      </c>
      <c r="AK16" s="48" t="s">
        <v>130</v>
      </c>
      <c r="AL16" s="65" t="s">
        <v>32</v>
      </c>
      <c r="AM16" s="67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1"/>
    </row>
    <row r="17" spans="1:51" x14ac:dyDescent="0.2">
      <c r="A17" s="33">
        <f t="shared" si="1"/>
        <v>12</v>
      </c>
      <c r="B17" s="34" t="s">
        <v>131</v>
      </c>
      <c r="C17" s="35" t="s">
        <v>132</v>
      </c>
      <c r="D17" s="36" t="s">
        <v>133</v>
      </c>
      <c r="E17" s="36" t="s">
        <v>54</v>
      </c>
      <c r="F17" s="34" t="s">
        <v>134</v>
      </c>
      <c r="G17" s="37" t="s">
        <v>73</v>
      </c>
      <c r="H17" s="37" t="s">
        <v>73</v>
      </c>
      <c r="I17" s="38" t="s">
        <v>135</v>
      </c>
      <c r="J17" s="34" t="s">
        <v>41</v>
      </c>
      <c r="K17" s="39" t="s">
        <v>42</v>
      </c>
      <c r="L17" s="53">
        <v>43746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2" t="s">
        <v>136</v>
      </c>
      <c r="Y17" s="58" t="s">
        <v>137</v>
      </c>
      <c r="Z17" s="44" t="s">
        <v>138</v>
      </c>
      <c r="AA17" s="45">
        <v>44944</v>
      </c>
      <c r="AB17" s="46" t="s">
        <v>30</v>
      </c>
      <c r="AC17" s="36" t="s">
        <v>26</v>
      </c>
      <c r="AD17" s="61" t="s">
        <v>49</v>
      </c>
      <c r="AE17" s="48" t="s">
        <v>49</v>
      </c>
      <c r="AF17" s="48" t="s">
        <v>49</v>
      </c>
      <c r="AG17" s="48" t="s">
        <v>41</v>
      </c>
      <c r="AH17" s="48" t="s">
        <v>41</v>
      </c>
      <c r="AI17" s="48" t="s">
        <v>41</v>
      </c>
      <c r="AJ17" s="49" t="s">
        <v>41</v>
      </c>
      <c r="AK17" s="48" t="s">
        <v>41</v>
      </c>
      <c r="AL17" s="62" t="s">
        <v>110</v>
      </c>
      <c r="AM17" s="51" t="s">
        <v>50</v>
      </c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1"/>
    </row>
    <row r="18" spans="1:51" x14ac:dyDescent="0.2">
      <c r="A18" s="33">
        <f t="shared" si="1"/>
        <v>13</v>
      </c>
      <c r="B18" s="34" t="s">
        <v>140</v>
      </c>
      <c r="C18" s="35" t="s">
        <v>141</v>
      </c>
      <c r="D18" s="36" t="s">
        <v>142</v>
      </c>
      <c r="E18" s="36" t="s">
        <v>54</v>
      </c>
      <c r="F18" s="34" t="s">
        <v>143</v>
      </c>
      <c r="G18" s="37" t="s">
        <v>73</v>
      </c>
      <c r="H18" s="37" t="s">
        <v>73</v>
      </c>
      <c r="I18" s="38" t="s">
        <v>144</v>
      </c>
      <c r="J18" s="34" t="s">
        <v>41</v>
      </c>
      <c r="K18" s="39" t="s">
        <v>42</v>
      </c>
      <c r="L18" s="53">
        <v>44690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2" t="s">
        <v>145</v>
      </c>
      <c r="Y18" s="58" t="s">
        <v>146</v>
      </c>
      <c r="Z18" s="44" t="s">
        <v>147</v>
      </c>
      <c r="AA18" s="45">
        <v>44944</v>
      </c>
      <c r="AB18" s="46" t="s">
        <v>30</v>
      </c>
      <c r="AC18" s="36"/>
      <c r="AD18" s="61" t="s">
        <v>49</v>
      </c>
      <c r="AE18" s="48" t="s">
        <v>41</v>
      </c>
      <c r="AF18" s="48" t="s">
        <v>41</v>
      </c>
      <c r="AG18" s="48" t="s">
        <v>49</v>
      </c>
      <c r="AH18" s="48" t="s">
        <v>49</v>
      </c>
      <c r="AI18" s="48" t="s">
        <v>49</v>
      </c>
      <c r="AJ18" s="49" t="s">
        <v>49</v>
      </c>
      <c r="AK18" s="48" t="s">
        <v>49</v>
      </c>
      <c r="AL18" s="62" t="s">
        <v>32</v>
      </c>
      <c r="AM18" s="59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1"/>
    </row>
    <row r="19" spans="1:51" x14ac:dyDescent="0.2">
      <c r="A19" s="33">
        <f t="shared" si="1"/>
        <v>14</v>
      </c>
      <c r="B19" s="34" t="s">
        <v>149</v>
      </c>
      <c r="C19" s="35" t="s">
        <v>150</v>
      </c>
      <c r="D19" s="36" t="s">
        <v>151</v>
      </c>
      <c r="E19" s="36" t="s">
        <v>54</v>
      </c>
      <c r="F19" s="34" t="s">
        <v>152</v>
      </c>
      <c r="G19" s="37" t="s">
        <v>73</v>
      </c>
      <c r="H19" s="37" t="s">
        <v>73</v>
      </c>
      <c r="I19" s="34" t="s">
        <v>153</v>
      </c>
      <c r="J19" s="34" t="s">
        <v>154</v>
      </c>
      <c r="K19" s="39" t="s">
        <v>42</v>
      </c>
      <c r="L19" s="40" t="s">
        <v>155</v>
      </c>
      <c r="M19" s="56"/>
      <c r="N19" s="56"/>
      <c r="O19" s="56"/>
      <c r="P19" s="56"/>
      <c r="Q19" s="56"/>
      <c r="R19" s="68"/>
      <c r="S19" s="68"/>
      <c r="T19" s="68"/>
      <c r="U19" s="68"/>
      <c r="V19" s="68"/>
      <c r="W19" s="68"/>
      <c r="X19" s="57" t="s">
        <v>156</v>
      </c>
      <c r="Y19" s="69" t="s">
        <v>157</v>
      </c>
      <c r="Z19" s="44" t="s">
        <v>61</v>
      </c>
      <c r="AA19" s="45">
        <v>40280</v>
      </c>
      <c r="AB19" s="46" t="s">
        <v>30</v>
      </c>
      <c r="AC19" s="36" t="s">
        <v>26</v>
      </c>
      <c r="AD19" s="47" t="s">
        <v>49</v>
      </c>
      <c r="AE19" s="48" t="s">
        <v>49</v>
      </c>
      <c r="AF19" s="48" t="s">
        <v>49</v>
      </c>
      <c r="AG19" s="48" t="s">
        <v>41</v>
      </c>
      <c r="AH19" s="48" t="s">
        <v>41</v>
      </c>
      <c r="AI19" s="48" t="s">
        <v>41</v>
      </c>
      <c r="AJ19" s="49" t="s">
        <v>41</v>
      </c>
      <c r="AK19" s="48" t="s">
        <v>41</v>
      </c>
      <c r="AL19" s="62" t="s">
        <v>110</v>
      </c>
      <c r="AM19" s="59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1"/>
    </row>
    <row r="20" spans="1:51" x14ac:dyDescent="0.2">
      <c r="A20" s="33">
        <f t="shared" si="1"/>
        <v>15</v>
      </c>
      <c r="B20" s="34" t="s">
        <v>158</v>
      </c>
      <c r="C20" s="35" t="s">
        <v>159</v>
      </c>
      <c r="D20" s="36" t="s">
        <v>160</v>
      </c>
      <c r="E20" s="36" t="s">
        <v>36</v>
      </c>
      <c r="F20" s="34" t="s">
        <v>161</v>
      </c>
      <c r="G20" s="37" t="s">
        <v>73</v>
      </c>
      <c r="H20" s="37" t="s">
        <v>73</v>
      </c>
      <c r="I20" s="34" t="s">
        <v>153</v>
      </c>
      <c r="J20" s="34" t="s">
        <v>154</v>
      </c>
      <c r="K20" s="39" t="s">
        <v>42</v>
      </c>
      <c r="L20" s="53">
        <v>32576</v>
      </c>
      <c r="M20" s="41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42" t="s">
        <v>162</v>
      </c>
      <c r="Y20" s="52" t="s">
        <v>163</v>
      </c>
      <c r="Z20" s="44" t="s">
        <v>61</v>
      </c>
      <c r="AA20" s="45">
        <v>34597</v>
      </c>
      <c r="AB20" s="46" t="s">
        <v>30</v>
      </c>
      <c r="AC20" s="36" t="s">
        <v>26</v>
      </c>
      <c r="AD20" s="64" t="s">
        <v>120</v>
      </c>
      <c r="AE20" s="48" t="s">
        <v>120</v>
      </c>
      <c r="AF20" s="48" t="s">
        <v>120</v>
      </c>
      <c r="AG20" s="48" t="s">
        <v>120</v>
      </c>
      <c r="AH20" s="48" t="s">
        <v>120</v>
      </c>
      <c r="AI20" s="48" t="s">
        <v>120</v>
      </c>
      <c r="AJ20" s="49" t="s">
        <v>41</v>
      </c>
      <c r="AK20" s="48" t="s">
        <v>41</v>
      </c>
      <c r="AL20" s="62" t="s">
        <v>276</v>
      </c>
      <c r="AM20" s="59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1"/>
    </row>
    <row r="21" spans="1:51" x14ac:dyDescent="0.2">
      <c r="A21" s="33">
        <f t="shared" si="1"/>
        <v>16</v>
      </c>
      <c r="B21" s="34" t="s">
        <v>164</v>
      </c>
      <c r="C21" s="35" t="s">
        <v>165</v>
      </c>
      <c r="D21" s="36" t="s">
        <v>166</v>
      </c>
      <c r="E21" s="36" t="s">
        <v>54</v>
      </c>
      <c r="F21" s="34" t="s">
        <v>167</v>
      </c>
      <c r="G21" s="37" t="s">
        <v>73</v>
      </c>
      <c r="H21" s="37" t="s">
        <v>73</v>
      </c>
      <c r="I21" s="34" t="s">
        <v>168</v>
      </c>
      <c r="J21" s="34" t="s">
        <v>41</v>
      </c>
      <c r="K21" s="39" t="s">
        <v>42</v>
      </c>
      <c r="L21" s="40" t="s">
        <v>169</v>
      </c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2" t="s">
        <v>170</v>
      </c>
      <c r="Y21" s="71" t="s">
        <v>171</v>
      </c>
      <c r="Z21" s="44" t="s">
        <v>61</v>
      </c>
      <c r="AA21" s="45">
        <v>37208</v>
      </c>
      <c r="AB21" s="46" t="s">
        <v>30</v>
      </c>
      <c r="AC21" s="36" t="s">
        <v>26</v>
      </c>
      <c r="AD21" s="47" t="s">
        <v>49</v>
      </c>
      <c r="AE21" s="48" t="s">
        <v>49</v>
      </c>
      <c r="AF21" s="48" t="s">
        <v>49</v>
      </c>
      <c r="AG21" s="48" t="s">
        <v>41</v>
      </c>
      <c r="AH21" s="48" t="s">
        <v>41</v>
      </c>
      <c r="AI21" s="48" t="s">
        <v>41</v>
      </c>
      <c r="AJ21" s="49" t="s">
        <v>41</v>
      </c>
      <c r="AK21" s="48" t="s">
        <v>41</v>
      </c>
      <c r="AL21" s="62" t="s">
        <v>110</v>
      </c>
      <c r="AM21" s="59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1"/>
    </row>
    <row r="22" spans="1:51" x14ac:dyDescent="0.2">
      <c r="A22" s="33">
        <f t="shared" si="1"/>
        <v>17</v>
      </c>
      <c r="B22" s="72" t="s">
        <v>172</v>
      </c>
      <c r="C22" s="35" t="s">
        <v>173</v>
      </c>
      <c r="D22" s="73" t="s">
        <v>174</v>
      </c>
      <c r="E22" s="36" t="s">
        <v>54</v>
      </c>
      <c r="F22" s="74" t="s">
        <v>175</v>
      </c>
      <c r="G22" s="75" t="s">
        <v>176</v>
      </c>
      <c r="H22" s="75" t="s">
        <v>39</v>
      </c>
      <c r="I22" s="76" t="s">
        <v>177</v>
      </c>
      <c r="J22" s="72" t="s">
        <v>41</v>
      </c>
      <c r="K22" s="77" t="s">
        <v>42</v>
      </c>
      <c r="L22" s="78" t="s">
        <v>178</v>
      </c>
      <c r="M22" s="79"/>
      <c r="N22" s="79"/>
      <c r="O22" s="79"/>
      <c r="P22" s="79"/>
      <c r="Q22" s="79"/>
      <c r="R22" s="79" t="s">
        <v>44</v>
      </c>
      <c r="S22" s="79"/>
      <c r="T22" s="79"/>
      <c r="U22" s="79"/>
      <c r="V22" s="79"/>
      <c r="W22" s="79"/>
      <c r="X22" s="42" t="s">
        <v>180</v>
      </c>
      <c r="Y22" s="58" t="s">
        <v>181</v>
      </c>
      <c r="Z22" s="44"/>
      <c r="AA22" s="45" t="s">
        <v>47</v>
      </c>
      <c r="AB22" s="80"/>
      <c r="AC22" s="73"/>
      <c r="AD22" s="81" t="s">
        <v>49</v>
      </c>
      <c r="AE22" s="48" t="s">
        <v>41</v>
      </c>
      <c r="AF22" s="48" t="s">
        <v>49</v>
      </c>
      <c r="AG22" s="48" t="s">
        <v>49</v>
      </c>
      <c r="AH22" s="48" t="s">
        <v>49</v>
      </c>
      <c r="AI22" s="48" t="s">
        <v>49</v>
      </c>
      <c r="AJ22" s="49" t="s">
        <v>49</v>
      </c>
      <c r="AK22" s="48" t="s">
        <v>41</v>
      </c>
      <c r="AL22" s="62" t="s">
        <v>148</v>
      </c>
      <c r="AM22" s="59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1"/>
    </row>
    <row r="23" spans="1:51" x14ac:dyDescent="0.2">
      <c r="A23" s="33">
        <f t="shared" si="1"/>
        <v>18</v>
      </c>
      <c r="B23" s="72" t="s">
        <v>182</v>
      </c>
      <c r="C23" s="35" t="s">
        <v>183</v>
      </c>
      <c r="D23" s="73" t="s">
        <v>184</v>
      </c>
      <c r="E23" s="36" t="s">
        <v>54</v>
      </c>
      <c r="F23" s="74" t="s">
        <v>185</v>
      </c>
      <c r="G23" s="75" t="s">
        <v>186</v>
      </c>
      <c r="H23" s="75" t="s">
        <v>187</v>
      </c>
      <c r="I23" s="72" t="s">
        <v>188</v>
      </c>
      <c r="J23" s="72" t="s">
        <v>41</v>
      </c>
      <c r="K23" s="77" t="s">
        <v>42</v>
      </c>
      <c r="L23" s="78" t="s">
        <v>189</v>
      </c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42" t="s">
        <v>190</v>
      </c>
      <c r="Y23" s="58" t="s">
        <v>191</v>
      </c>
      <c r="Z23" s="44" t="s">
        <v>61</v>
      </c>
      <c r="AA23" s="45">
        <v>34597</v>
      </c>
      <c r="AB23" s="80" t="s">
        <v>30</v>
      </c>
      <c r="AC23" s="73">
        <v>1</v>
      </c>
      <c r="AD23" s="81" t="s">
        <v>49</v>
      </c>
      <c r="AE23" s="48" t="s">
        <v>41</v>
      </c>
      <c r="AF23" s="48" t="s">
        <v>41</v>
      </c>
      <c r="AG23" s="48" t="s">
        <v>41</v>
      </c>
      <c r="AH23" s="48" t="s">
        <v>41</v>
      </c>
      <c r="AI23" s="48" t="s">
        <v>41</v>
      </c>
      <c r="AJ23" s="49" t="s">
        <v>41</v>
      </c>
      <c r="AK23" s="48" t="s">
        <v>41</v>
      </c>
      <c r="AL23" s="82" t="s">
        <v>4588</v>
      </c>
      <c r="AM23" s="59" t="s">
        <v>192</v>
      </c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1"/>
    </row>
    <row r="24" spans="1:51" x14ac:dyDescent="0.2">
      <c r="A24" s="33">
        <f t="shared" si="1"/>
        <v>19</v>
      </c>
      <c r="B24" s="34" t="s">
        <v>193</v>
      </c>
      <c r="C24" s="35" t="s">
        <v>194</v>
      </c>
      <c r="D24" s="36" t="s">
        <v>195</v>
      </c>
      <c r="E24" s="36" t="s">
        <v>54</v>
      </c>
      <c r="F24" s="34" t="s">
        <v>196</v>
      </c>
      <c r="G24" s="37" t="s">
        <v>73</v>
      </c>
      <c r="H24" s="37" t="s">
        <v>73</v>
      </c>
      <c r="I24" s="38" t="s">
        <v>197</v>
      </c>
      <c r="J24" s="34" t="s">
        <v>41</v>
      </c>
      <c r="K24" s="39" t="s">
        <v>42</v>
      </c>
      <c r="L24" s="40" t="s">
        <v>198</v>
      </c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42" t="s">
        <v>199</v>
      </c>
      <c r="Y24" s="58" t="s">
        <v>200</v>
      </c>
      <c r="Z24" s="44" t="s">
        <v>61</v>
      </c>
      <c r="AA24" s="45">
        <v>34597</v>
      </c>
      <c r="AB24" s="46" t="s">
        <v>30</v>
      </c>
      <c r="AC24" s="36" t="s">
        <v>26</v>
      </c>
      <c r="AD24" s="47" t="s">
        <v>49</v>
      </c>
      <c r="AE24" s="48" t="s">
        <v>49</v>
      </c>
      <c r="AF24" s="48" t="s">
        <v>49</v>
      </c>
      <c r="AG24" s="48" t="s">
        <v>49</v>
      </c>
      <c r="AH24" s="48" t="s">
        <v>49</v>
      </c>
      <c r="AI24" s="48" t="s">
        <v>49</v>
      </c>
      <c r="AJ24" s="49" t="s">
        <v>49</v>
      </c>
      <c r="AK24" s="48" t="s">
        <v>49</v>
      </c>
      <c r="AL24" s="62" t="s">
        <v>32</v>
      </c>
      <c r="AM24" s="59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1"/>
    </row>
    <row r="25" spans="1:51" x14ac:dyDescent="0.2">
      <c r="A25" s="33">
        <f t="shared" si="1"/>
        <v>20</v>
      </c>
      <c r="B25" s="34" t="s">
        <v>201</v>
      </c>
      <c r="C25" s="35" t="s">
        <v>202</v>
      </c>
      <c r="D25" s="36" t="s">
        <v>203</v>
      </c>
      <c r="E25" s="36" t="s">
        <v>36</v>
      </c>
      <c r="F25" s="34" t="s">
        <v>204</v>
      </c>
      <c r="G25" s="37" t="s">
        <v>205</v>
      </c>
      <c r="H25" s="37" t="s">
        <v>205</v>
      </c>
      <c r="I25" s="38" t="s">
        <v>206</v>
      </c>
      <c r="J25" s="34" t="s">
        <v>41</v>
      </c>
      <c r="K25" s="39" t="s">
        <v>42</v>
      </c>
      <c r="L25" s="53" t="s">
        <v>207</v>
      </c>
      <c r="M25" s="41"/>
      <c r="N25" s="41"/>
      <c r="O25" s="41"/>
      <c r="P25" s="41"/>
      <c r="Q25" s="41"/>
      <c r="R25" s="41"/>
      <c r="S25" s="41"/>
      <c r="T25" s="41" t="s">
        <v>44</v>
      </c>
      <c r="U25" s="41"/>
      <c r="V25" s="41"/>
      <c r="W25" s="41"/>
      <c r="X25" s="54" t="s">
        <v>208</v>
      </c>
      <c r="Y25" s="83" t="s">
        <v>209</v>
      </c>
      <c r="Z25" s="83"/>
      <c r="AA25" s="45">
        <v>45642</v>
      </c>
      <c r="AB25" s="46"/>
      <c r="AC25" s="36"/>
      <c r="AD25" s="61" t="s">
        <v>49</v>
      </c>
      <c r="AE25" s="48" t="s">
        <v>41</v>
      </c>
      <c r="AF25" s="48" t="s">
        <v>41</v>
      </c>
      <c r="AG25" s="48" t="s">
        <v>41</v>
      </c>
      <c r="AH25" s="48" t="s">
        <v>49</v>
      </c>
      <c r="AI25" s="48" t="s">
        <v>49</v>
      </c>
      <c r="AJ25" s="49" t="s">
        <v>49</v>
      </c>
      <c r="AK25" s="48" t="s">
        <v>49</v>
      </c>
      <c r="AL25" s="65" t="s">
        <v>32</v>
      </c>
      <c r="AM25" s="59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1"/>
    </row>
    <row r="26" spans="1:51" x14ac:dyDescent="0.2">
      <c r="A26" s="33">
        <f t="shared" si="1"/>
        <v>21</v>
      </c>
      <c r="B26" s="34" t="s">
        <v>210</v>
      </c>
      <c r="C26" s="35" t="s">
        <v>211</v>
      </c>
      <c r="D26" s="36" t="s">
        <v>212</v>
      </c>
      <c r="E26" s="36" t="s">
        <v>54</v>
      </c>
      <c r="F26" s="34" t="s">
        <v>213</v>
      </c>
      <c r="G26" s="37" t="s">
        <v>214</v>
      </c>
      <c r="H26" s="37" t="s">
        <v>205</v>
      </c>
      <c r="I26" s="38" t="s">
        <v>215</v>
      </c>
      <c r="J26" s="34" t="s">
        <v>41</v>
      </c>
      <c r="K26" s="39" t="s">
        <v>42</v>
      </c>
      <c r="L26" s="40" t="s">
        <v>216</v>
      </c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42" t="s">
        <v>217</v>
      </c>
      <c r="Y26" s="58" t="s">
        <v>218</v>
      </c>
      <c r="Z26" s="84" t="s">
        <v>219</v>
      </c>
      <c r="AA26" s="45">
        <v>44650</v>
      </c>
      <c r="AB26" s="46" t="s">
        <v>30</v>
      </c>
      <c r="AC26" s="36" t="s">
        <v>220</v>
      </c>
      <c r="AD26" s="47" t="s">
        <v>49</v>
      </c>
      <c r="AE26" s="48" t="s">
        <v>49</v>
      </c>
      <c r="AF26" s="48" t="s">
        <v>49</v>
      </c>
      <c r="AG26" s="48" t="s">
        <v>49</v>
      </c>
      <c r="AH26" s="48" t="s">
        <v>49</v>
      </c>
      <c r="AI26" s="48" t="s">
        <v>49</v>
      </c>
      <c r="AJ26" s="49" t="s">
        <v>41</v>
      </c>
      <c r="AK26" s="48" t="s">
        <v>41</v>
      </c>
      <c r="AL26" s="62" t="s">
        <v>276</v>
      </c>
      <c r="AM26" s="59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1"/>
    </row>
    <row r="27" spans="1:51" x14ac:dyDescent="0.2">
      <c r="A27" s="33">
        <f t="shared" si="1"/>
        <v>22</v>
      </c>
      <c r="B27" s="34" t="s">
        <v>221</v>
      </c>
      <c r="C27" s="35" t="s">
        <v>222</v>
      </c>
      <c r="D27" s="36" t="s">
        <v>223</v>
      </c>
      <c r="E27" s="36" t="s">
        <v>54</v>
      </c>
      <c r="F27" s="34" t="s">
        <v>224</v>
      </c>
      <c r="G27" s="37" t="s">
        <v>73</v>
      </c>
      <c r="H27" s="37" t="s">
        <v>73</v>
      </c>
      <c r="I27" s="34" t="s">
        <v>225</v>
      </c>
      <c r="J27" s="34" t="s">
        <v>226</v>
      </c>
      <c r="K27" s="39" t="s">
        <v>42</v>
      </c>
      <c r="L27" s="53">
        <v>35886</v>
      </c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42" t="s">
        <v>227</v>
      </c>
      <c r="Y27" s="85" t="s">
        <v>228</v>
      </c>
      <c r="Z27" s="44" t="s">
        <v>229</v>
      </c>
      <c r="AA27" s="45">
        <v>42325</v>
      </c>
      <c r="AB27" s="46" t="s">
        <v>30</v>
      </c>
      <c r="AC27" s="36" t="s">
        <v>26</v>
      </c>
      <c r="AD27" s="64" t="s">
        <v>120</v>
      </c>
      <c r="AE27" s="48" t="s">
        <v>120</v>
      </c>
      <c r="AF27" s="48" t="s">
        <v>120</v>
      </c>
      <c r="AG27" s="48" t="s">
        <v>120</v>
      </c>
      <c r="AH27" s="48" t="s">
        <v>120</v>
      </c>
      <c r="AI27" s="48" t="s">
        <v>120</v>
      </c>
      <c r="AJ27" s="49" t="s">
        <v>41</v>
      </c>
      <c r="AK27" s="48" t="s">
        <v>41</v>
      </c>
      <c r="AL27" s="62" t="s">
        <v>276</v>
      </c>
      <c r="AM27" s="59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1"/>
    </row>
    <row r="28" spans="1:51" x14ac:dyDescent="0.2">
      <c r="A28" s="33">
        <f t="shared" si="1"/>
        <v>23</v>
      </c>
      <c r="B28" s="34" t="s">
        <v>230</v>
      </c>
      <c r="C28" s="35" t="s">
        <v>231</v>
      </c>
      <c r="D28" s="36" t="s">
        <v>232</v>
      </c>
      <c r="E28" s="36" t="s">
        <v>54</v>
      </c>
      <c r="F28" s="34" t="s">
        <v>233</v>
      </c>
      <c r="G28" s="37" t="s">
        <v>73</v>
      </c>
      <c r="H28" s="37" t="s">
        <v>73</v>
      </c>
      <c r="I28" s="34" t="s">
        <v>234</v>
      </c>
      <c r="J28" s="34" t="s">
        <v>41</v>
      </c>
      <c r="K28" s="39" t="s">
        <v>42</v>
      </c>
      <c r="L28" s="40" t="s">
        <v>235</v>
      </c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2" t="s">
        <v>236</v>
      </c>
      <c r="Y28" s="52" t="s">
        <v>237</v>
      </c>
      <c r="Z28" s="44" t="s">
        <v>61</v>
      </c>
      <c r="AA28" s="86">
        <v>40815</v>
      </c>
      <c r="AB28" s="46" t="s">
        <v>30</v>
      </c>
      <c r="AC28" s="36" t="s">
        <v>26</v>
      </c>
      <c r="AD28" s="47" t="s">
        <v>49</v>
      </c>
      <c r="AE28" s="48" t="s">
        <v>49</v>
      </c>
      <c r="AF28" s="48" t="s">
        <v>49</v>
      </c>
      <c r="AG28" s="48" t="s">
        <v>49</v>
      </c>
      <c r="AH28" s="48" t="s">
        <v>49</v>
      </c>
      <c r="AI28" s="48" t="s">
        <v>49</v>
      </c>
      <c r="AJ28" s="49" t="s">
        <v>41</v>
      </c>
      <c r="AK28" s="48" t="s">
        <v>41</v>
      </c>
      <c r="AL28" s="62" t="s">
        <v>276</v>
      </c>
      <c r="AM28" s="59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1"/>
    </row>
    <row r="29" spans="1:51" x14ac:dyDescent="0.2">
      <c r="A29" s="313">
        <f t="shared" si="1"/>
        <v>24</v>
      </c>
      <c r="B29" s="87" t="s">
        <v>238</v>
      </c>
      <c r="C29" s="88" t="s">
        <v>239</v>
      </c>
      <c r="D29" s="89" t="s">
        <v>240</v>
      </c>
      <c r="E29" s="89" t="s">
        <v>241</v>
      </c>
      <c r="F29" s="87" t="s">
        <v>242</v>
      </c>
      <c r="G29" s="90" t="s">
        <v>243</v>
      </c>
      <c r="H29" s="90" t="s">
        <v>205</v>
      </c>
      <c r="I29" s="91" t="s">
        <v>244</v>
      </c>
      <c r="J29" s="91" t="s">
        <v>245</v>
      </c>
      <c r="K29" s="92" t="s">
        <v>42</v>
      </c>
      <c r="L29" s="93">
        <v>36413</v>
      </c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190" t="s">
        <v>246</v>
      </c>
      <c r="Y29" s="95" t="s">
        <v>247</v>
      </c>
      <c r="Z29" s="314" t="s">
        <v>61</v>
      </c>
      <c r="AA29" s="250">
        <v>39286</v>
      </c>
      <c r="AB29" s="96" t="s">
        <v>30</v>
      </c>
      <c r="AC29" s="170" t="s">
        <v>26</v>
      </c>
      <c r="AD29" s="97" t="s">
        <v>49</v>
      </c>
      <c r="AE29" s="315" t="s">
        <v>49</v>
      </c>
      <c r="AF29" s="315" t="s">
        <v>49</v>
      </c>
      <c r="AG29" s="315" t="s">
        <v>41</v>
      </c>
      <c r="AH29" s="315" t="s">
        <v>41</v>
      </c>
      <c r="AI29" s="315" t="s">
        <v>41</v>
      </c>
      <c r="AJ29" s="316" t="s">
        <v>41</v>
      </c>
      <c r="AK29" s="48" t="s">
        <v>41</v>
      </c>
      <c r="AL29" s="62">
        <v>5</v>
      </c>
      <c r="AM29" s="59" t="s">
        <v>192</v>
      </c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1"/>
    </row>
    <row r="30" spans="1:51" x14ac:dyDescent="0.2">
      <c r="A30" s="313">
        <f t="shared" si="1"/>
        <v>25</v>
      </c>
      <c r="B30" s="34"/>
      <c r="C30" s="35" t="s">
        <v>4650</v>
      </c>
      <c r="D30" s="109" t="s">
        <v>4651</v>
      </c>
      <c r="E30" s="36" t="s">
        <v>36</v>
      </c>
      <c r="F30" s="34" t="s">
        <v>4652</v>
      </c>
      <c r="G30" s="37" t="s">
        <v>73</v>
      </c>
      <c r="H30" s="37" t="s">
        <v>73</v>
      </c>
      <c r="I30" s="318" t="s">
        <v>4653</v>
      </c>
      <c r="J30" s="38"/>
      <c r="K30" s="39" t="s">
        <v>42</v>
      </c>
      <c r="L30" s="120">
        <v>46073</v>
      </c>
      <c r="M30" s="112" t="s">
        <v>179</v>
      </c>
      <c r="N30" s="112"/>
      <c r="O30" s="112"/>
      <c r="P30" s="112"/>
      <c r="Q30" s="112"/>
      <c r="R30" s="112"/>
      <c r="S30" s="112"/>
      <c r="T30" s="112"/>
      <c r="U30" s="112"/>
      <c r="V30" s="112"/>
      <c r="W30" s="112" t="s">
        <v>44</v>
      </c>
      <c r="X30" s="318" t="s">
        <v>4654</v>
      </c>
      <c r="Y30" s="319" t="s">
        <v>4655</v>
      </c>
      <c r="Z30" s="44"/>
      <c r="AA30" s="45"/>
      <c r="AB30" s="101"/>
      <c r="AC30" s="36"/>
      <c r="AD30" s="317" t="s">
        <v>49</v>
      </c>
      <c r="AE30" s="315" t="s">
        <v>41</v>
      </c>
      <c r="AF30" s="315" t="s">
        <v>41</v>
      </c>
      <c r="AG30" s="315" t="s">
        <v>41</v>
      </c>
      <c r="AH30" s="315" t="s">
        <v>41</v>
      </c>
      <c r="AI30" s="315" t="s">
        <v>41</v>
      </c>
      <c r="AJ30" s="316" t="s">
        <v>41</v>
      </c>
      <c r="AK30" s="48" t="s">
        <v>49</v>
      </c>
      <c r="AL30" s="62" t="s">
        <v>32</v>
      </c>
      <c r="AM30" s="59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1"/>
    </row>
    <row r="31" spans="1:51" x14ac:dyDescent="0.2">
      <c r="A31" s="313">
        <f t="shared" si="1"/>
        <v>26</v>
      </c>
      <c r="B31" s="34" t="s">
        <v>248</v>
      </c>
      <c r="C31" s="35" t="s">
        <v>249</v>
      </c>
      <c r="D31" s="73" t="s">
        <v>250</v>
      </c>
      <c r="E31" s="36" t="s">
        <v>54</v>
      </c>
      <c r="F31" s="98" t="s">
        <v>251</v>
      </c>
      <c r="G31" s="37" t="s">
        <v>252</v>
      </c>
      <c r="H31" s="37" t="s">
        <v>57</v>
      </c>
      <c r="I31" s="34" t="s">
        <v>253</v>
      </c>
      <c r="J31" s="34" t="s">
        <v>254</v>
      </c>
      <c r="K31" s="39" t="s">
        <v>42</v>
      </c>
      <c r="L31" s="99" t="s">
        <v>255</v>
      </c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42" t="s">
        <v>256</v>
      </c>
      <c r="Y31" s="100" t="s">
        <v>257</v>
      </c>
      <c r="Z31" s="44" t="s">
        <v>258</v>
      </c>
      <c r="AA31" s="45">
        <v>42935</v>
      </c>
      <c r="AB31" s="101" t="s">
        <v>30</v>
      </c>
      <c r="AC31" s="73" t="s">
        <v>26</v>
      </c>
      <c r="AD31" s="47" t="s">
        <v>49</v>
      </c>
      <c r="AE31" s="48" t="s">
        <v>49</v>
      </c>
      <c r="AF31" s="48" t="s">
        <v>49</v>
      </c>
      <c r="AG31" s="48" t="s">
        <v>49</v>
      </c>
      <c r="AH31" s="48" t="s">
        <v>49</v>
      </c>
      <c r="AI31" s="48" t="s">
        <v>49</v>
      </c>
      <c r="AJ31" s="49" t="s">
        <v>49</v>
      </c>
      <c r="AK31" s="48" t="s">
        <v>49</v>
      </c>
      <c r="AL31" s="62" t="s">
        <v>32</v>
      </c>
      <c r="AM31" s="59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1"/>
    </row>
    <row r="32" spans="1:51" x14ac:dyDescent="0.2">
      <c r="A32" s="33">
        <f>+A31+1</f>
        <v>27</v>
      </c>
      <c r="B32" s="34" t="s">
        <v>4626</v>
      </c>
      <c r="C32" s="35" t="s">
        <v>4641</v>
      </c>
      <c r="D32" s="73" t="s">
        <v>4628</v>
      </c>
      <c r="E32" s="36" t="s">
        <v>54</v>
      </c>
      <c r="F32" s="98" t="s">
        <v>4629</v>
      </c>
      <c r="G32" s="37" t="s">
        <v>176</v>
      </c>
      <c r="H32" s="37" t="s">
        <v>39</v>
      </c>
      <c r="I32" s="38" t="s">
        <v>4630</v>
      </c>
      <c r="J32" s="34" t="s">
        <v>41</v>
      </c>
      <c r="K32" s="39" t="s">
        <v>42</v>
      </c>
      <c r="L32" s="53">
        <v>46083</v>
      </c>
      <c r="M32" s="56" t="s">
        <v>179</v>
      </c>
      <c r="N32" s="56"/>
      <c r="O32" s="56"/>
      <c r="P32" s="56"/>
      <c r="Q32" s="56" t="s">
        <v>179</v>
      </c>
      <c r="R32" s="56"/>
      <c r="S32" s="56"/>
      <c r="T32" s="56"/>
      <c r="U32" s="56"/>
      <c r="V32" s="56"/>
      <c r="W32" s="56" t="s">
        <v>44</v>
      </c>
      <c r="X32" s="42" t="s">
        <v>4631</v>
      </c>
      <c r="Y32" s="311" t="s">
        <v>4632</v>
      </c>
      <c r="Z32" s="44"/>
      <c r="AA32" s="45"/>
      <c r="AB32" s="46"/>
      <c r="AC32" s="73"/>
      <c r="AD32" s="47" t="s">
        <v>49</v>
      </c>
      <c r="AE32" s="48"/>
      <c r="AF32" s="48"/>
      <c r="AG32" s="48"/>
      <c r="AH32" s="48"/>
      <c r="AI32" s="48"/>
      <c r="AJ32" s="49"/>
      <c r="AK32" s="48" t="s">
        <v>49</v>
      </c>
      <c r="AL32" s="62" t="s">
        <v>32</v>
      </c>
      <c r="AM32" s="59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1"/>
    </row>
    <row r="33" spans="1:51" x14ac:dyDescent="0.2">
      <c r="A33" s="33">
        <f>+A32+1</f>
        <v>28</v>
      </c>
      <c r="B33" s="34" t="s">
        <v>259</v>
      </c>
      <c r="C33" s="35" t="s">
        <v>260</v>
      </c>
      <c r="D33" s="36" t="s">
        <v>261</v>
      </c>
      <c r="E33" s="36" t="s">
        <v>54</v>
      </c>
      <c r="F33" s="34" t="s">
        <v>262</v>
      </c>
      <c r="G33" s="37" t="s">
        <v>176</v>
      </c>
      <c r="H33" s="37" t="s">
        <v>39</v>
      </c>
      <c r="I33" s="34" t="s">
        <v>263</v>
      </c>
      <c r="J33" s="34" t="s">
        <v>264</v>
      </c>
      <c r="K33" s="39" t="s">
        <v>42</v>
      </c>
      <c r="L33" s="40" t="s">
        <v>265</v>
      </c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42" t="s">
        <v>266</v>
      </c>
      <c r="Y33" s="60" t="s">
        <v>267</v>
      </c>
      <c r="Z33" s="44" t="s">
        <v>61</v>
      </c>
      <c r="AA33" s="45">
        <v>40815</v>
      </c>
      <c r="AB33" s="46" t="s">
        <v>30</v>
      </c>
      <c r="AC33" s="36" t="s">
        <v>26</v>
      </c>
      <c r="AD33" s="47" t="s">
        <v>49</v>
      </c>
      <c r="AE33" s="48" t="s">
        <v>49</v>
      </c>
      <c r="AF33" s="48" t="s">
        <v>41</v>
      </c>
      <c r="AG33" s="48" t="s">
        <v>41</v>
      </c>
      <c r="AH33" s="48" t="s">
        <v>41</v>
      </c>
      <c r="AI33" s="48" t="s">
        <v>41</v>
      </c>
      <c r="AJ33" s="49" t="s">
        <v>41</v>
      </c>
      <c r="AK33" s="48" t="s">
        <v>41</v>
      </c>
      <c r="AL33" s="62" t="s">
        <v>4587</v>
      </c>
      <c r="AM33" s="59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1"/>
    </row>
    <row r="34" spans="1:51" x14ac:dyDescent="0.2">
      <c r="A34" s="33">
        <f t="shared" si="1"/>
        <v>29</v>
      </c>
      <c r="B34" s="34" t="s">
        <v>268</v>
      </c>
      <c r="C34" s="35" t="s">
        <v>269</v>
      </c>
      <c r="D34" s="36" t="s">
        <v>270</v>
      </c>
      <c r="E34" s="36" t="s">
        <v>54</v>
      </c>
      <c r="F34" s="34" t="s">
        <v>271</v>
      </c>
      <c r="G34" s="37" t="s">
        <v>56</v>
      </c>
      <c r="H34" s="37" t="s">
        <v>57</v>
      </c>
      <c r="I34" s="38" t="s">
        <v>272</v>
      </c>
      <c r="J34" s="34" t="s">
        <v>41</v>
      </c>
      <c r="K34" s="39" t="s">
        <v>42</v>
      </c>
      <c r="L34" s="40" t="s">
        <v>273</v>
      </c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2" t="s">
        <v>274</v>
      </c>
      <c r="Y34" s="52" t="s">
        <v>275</v>
      </c>
      <c r="Z34" s="44" t="s">
        <v>61</v>
      </c>
      <c r="AA34" s="45">
        <v>40280</v>
      </c>
      <c r="AB34" s="46" t="s">
        <v>30</v>
      </c>
      <c r="AC34" s="36" t="s">
        <v>26</v>
      </c>
      <c r="AD34" s="47" t="s">
        <v>49</v>
      </c>
      <c r="AE34" s="48" t="s">
        <v>49</v>
      </c>
      <c r="AF34" s="48" t="s">
        <v>49</v>
      </c>
      <c r="AG34" s="48" t="s">
        <v>49</v>
      </c>
      <c r="AH34" s="48" t="s">
        <v>49</v>
      </c>
      <c r="AI34" s="48" t="s">
        <v>41</v>
      </c>
      <c r="AJ34" s="49" t="s">
        <v>41</v>
      </c>
      <c r="AK34" s="48" t="s">
        <v>41</v>
      </c>
      <c r="AL34" s="62" t="s">
        <v>4589</v>
      </c>
      <c r="AM34" s="59"/>
      <c r="AN34" s="10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1"/>
    </row>
    <row r="35" spans="1:51" x14ac:dyDescent="0.2">
      <c r="A35" s="33">
        <f t="shared" si="1"/>
        <v>30</v>
      </c>
      <c r="B35" s="34" t="s">
        <v>277</v>
      </c>
      <c r="C35" s="35" t="s">
        <v>278</v>
      </c>
      <c r="D35" s="36" t="s">
        <v>279</v>
      </c>
      <c r="E35" s="36" t="s">
        <v>36</v>
      </c>
      <c r="F35" s="34" t="s">
        <v>280</v>
      </c>
      <c r="G35" s="37" t="s">
        <v>73</v>
      </c>
      <c r="H35" s="37" t="s">
        <v>73</v>
      </c>
      <c r="I35" s="38" t="s">
        <v>281</v>
      </c>
      <c r="J35" s="34" t="s">
        <v>41</v>
      </c>
      <c r="K35" s="39" t="s">
        <v>42</v>
      </c>
      <c r="L35" s="53" t="s">
        <v>282</v>
      </c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2" t="s">
        <v>283</v>
      </c>
      <c r="Y35" s="58" t="s">
        <v>284</v>
      </c>
      <c r="Z35" s="44" t="s">
        <v>285</v>
      </c>
      <c r="AA35" s="45">
        <v>41793</v>
      </c>
      <c r="AB35" s="46" t="s">
        <v>30</v>
      </c>
      <c r="AC35" s="36" t="s">
        <v>26</v>
      </c>
      <c r="AD35" s="47" t="s">
        <v>49</v>
      </c>
      <c r="AE35" s="48" t="s">
        <v>49</v>
      </c>
      <c r="AF35" s="48" t="s">
        <v>49</v>
      </c>
      <c r="AG35" s="48" t="s">
        <v>49</v>
      </c>
      <c r="AH35" s="48" t="s">
        <v>49</v>
      </c>
      <c r="AI35" s="48" t="s">
        <v>49</v>
      </c>
      <c r="AJ35" s="49" t="s">
        <v>49</v>
      </c>
      <c r="AK35" s="48" t="s">
        <v>49</v>
      </c>
      <c r="AL35" s="62" t="s">
        <v>32</v>
      </c>
      <c r="AM35" s="103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1"/>
    </row>
    <row r="36" spans="1:51" x14ac:dyDescent="0.2">
      <c r="A36" s="33">
        <f t="shared" si="1"/>
        <v>31</v>
      </c>
      <c r="B36" s="34" t="s">
        <v>286</v>
      </c>
      <c r="C36" s="35" t="s">
        <v>287</v>
      </c>
      <c r="D36" s="36" t="s">
        <v>288</v>
      </c>
      <c r="E36" s="36" t="s">
        <v>54</v>
      </c>
      <c r="F36" s="34" t="s">
        <v>289</v>
      </c>
      <c r="G36" s="37" t="s">
        <v>73</v>
      </c>
      <c r="H36" s="37" t="s">
        <v>73</v>
      </c>
      <c r="I36" s="38" t="s">
        <v>290</v>
      </c>
      <c r="J36" s="34" t="s">
        <v>41</v>
      </c>
      <c r="K36" s="39" t="s">
        <v>42</v>
      </c>
      <c r="L36" s="53">
        <v>40672</v>
      </c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2" t="s">
        <v>291</v>
      </c>
      <c r="Y36" s="69" t="s">
        <v>292</v>
      </c>
      <c r="Z36" s="44" t="s">
        <v>293</v>
      </c>
      <c r="AA36" s="45">
        <v>43200</v>
      </c>
      <c r="AB36" s="46" t="s">
        <v>30</v>
      </c>
      <c r="AC36" s="36" t="s">
        <v>26</v>
      </c>
      <c r="AD36" s="47" t="s">
        <v>49</v>
      </c>
      <c r="AE36" s="48" t="s">
        <v>49</v>
      </c>
      <c r="AF36" s="48" t="s">
        <v>49</v>
      </c>
      <c r="AG36" s="48" t="s">
        <v>49</v>
      </c>
      <c r="AH36" s="48" t="s">
        <v>41</v>
      </c>
      <c r="AI36" s="48" t="s">
        <v>41</v>
      </c>
      <c r="AJ36" s="49" t="s">
        <v>41</v>
      </c>
      <c r="AK36" s="48" t="s">
        <v>41</v>
      </c>
      <c r="AL36" s="62" t="s">
        <v>139</v>
      </c>
      <c r="AM36" s="59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1"/>
    </row>
    <row r="37" spans="1:51" x14ac:dyDescent="0.2">
      <c r="A37" s="33">
        <f t="shared" si="1"/>
        <v>32</v>
      </c>
      <c r="B37" s="34" t="s">
        <v>294</v>
      </c>
      <c r="C37" s="35" t="s">
        <v>295</v>
      </c>
      <c r="D37" s="36" t="s">
        <v>296</v>
      </c>
      <c r="E37" s="36" t="s">
        <v>54</v>
      </c>
      <c r="F37" s="34" t="s">
        <v>297</v>
      </c>
      <c r="G37" s="37" t="s">
        <v>252</v>
      </c>
      <c r="H37" s="37" t="s">
        <v>57</v>
      </c>
      <c r="I37" s="38" t="s">
        <v>298</v>
      </c>
      <c r="J37" s="34" t="s">
        <v>41</v>
      </c>
      <c r="K37" s="39" t="s">
        <v>42</v>
      </c>
      <c r="L37" s="53">
        <v>44845</v>
      </c>
      <c r="M37" s="41"/>
      <c r="N37" s="41"/>
      <c r="O37" s="41"/>
      <c r="P37" s="41"/>
      <c r="Q37" s="41"/>
      <c r="R37" s="41"/>
      <c r="S37" s="41" t="s">
        <v>44</v>
      </c>
      <c r="T37" s="41"/>
      <c r="U37" s="41"/>
      <c r="V37" s="41"/>
      <c r="W37" s="41"/>
      <c r="X37" s="42" t="s">
        <v>299</v>
      </c>
      <c r="Y37" s="58" t="s">
        <v>300</v>
      </c>
      <c r="Z37" s="44"/>
      <c r="AA37" s="45">
        <v>45642</v>
      </c>
      <c r="AB37" s="46"/>
      <c r="AC37" s="36"/>
      <c r="AD37" s="47" t="s">
        <v>49</v>
      </c>
      <c r="AE37" s="48" t="s">
        <v>41</v>
      </c>
      <c r="AF37" s="48" t="s">
        <v>41</v>
      </c>
      <c r="AG37" s="48" t="s">
        <v>49</v>
      </c>
      <c r="AH37" s="48" t="s">
        <v>49</v>
      </c>
      <c r="AI37" s="48" t="s">
        <v>49</v>
      </c>
      <c r="AJ37" s="49" t="s">
        <v>49</v>
      </c>
      <c r="AK37" s="48" t="s">
        <v>49</v>
      </c>
      <c r="AL37" s="62" t="s">
        <v>32</v>
      </c>
      <c r="AM37" s="59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1"/>
    </row>
    <row r="38" spans="1:51" x14ac:dyDescent="0.2">
      <c r="A38" s="33">
        <f t="shared" si="1"/>
        <v>33</v>
      </c>
      <c r="B38" s="34" t="s">
        <v>301</v>
      </c>
      <c r="C38" s="35" t="s">
        <v>302</v>
      </c>
      <c r="D38" s="36" t="s">
        <v>303</v>
      </c>
      <c r="E38" s="36" t="s">
        <v>54</v>
      </c>
      <c r="F38" s="34" t="s">
        <v>4619</v>
      </c>
      <c r="G38" s="37" t="s">
        <v>73</v>
      </c>
      <c r="H38" s="37" t="s">
        <v>73</v>
      </c>
      <c r="I38" s="38" t="s">
        <v>305</v>
      </c>
      <c r="J38" s="38" t="s">
        <v>306</v>
      </c>
      <c r="K38" s="39" t="s">
        <v>42</v>
      </c>
      <c r="L38" s="40" t="s">
        <v>307</v>
      </c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2" t="s">
        <v>308</v>
      </c>
      <c r="Y38" s="310" t="s">
        <v>4620</v>
      </c>
      <c r="Z38" s="44" t="s">
        <v>61</v>
      </c>
      <c r="AA38" s="45">
        <v>40280</v>
      </c>
      <c r="AB38" s="46" t="s">
        <v>30</v>
      </c>
      <c r="AC38" s="36" t="s">
        <v>26</v>
      </c>
      <c r="AD38" s="64" t="s">
        <v>120</v>
      </c>
      <c r="AE38" s="48" t="s">
        <v>120</v>
      </c>
      <c r="AF38" s="48" t="s">
        <v>120</v>
      </c>
      <c r="AG38" s="48" t="s">
        <v>120</v>
      </c>
      <c r="AH38" s="48" t="s">
        <v>120</v>
      </c>
      <c r="AI38" s="48" t="s">
        <v>120</v>
      </c>
      <c r="AJ38" s="49" t="s">
        <v>120</v>
      </c>
      <c r="AK38" s="48" t="s">
        <v>120</v>
      </c>
      <c r="AL38" s="62" t="s">
        <v>32</v>
      </c>
      <c r="AM38" s="59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1"/>
    </row>
    <row r="39" spans="1:51" x14ac:dyDescent="0.2">
      <c r="A39" s="33">
        <f t="shared" si="1"/>
        <v>34</v>
      </c>
      <c r="B39" s="34" t="s">
        <v>310</v>
      </c>
      <c r="C39" s="35" t="s">
        <v>311</v>
      </c>
      <c r="D39" s="104" t="s">
        <v>312</v>
      </c>
      <c r="E39" s="36" t="s">
        <v>54</v>
      </c>
      <c r="F39" s="34" t="s">
        <v>313</v>
      </c>
      <c r="G39" s="37" t="s">
        <v>214</v>
      </c>
      <c r="H39" s="37" t="s">
        <v>205</v>
      </c>
      <c r="I39" s="57" t="s">
        <v>314</v>
      </c>
      <c r="J39" s="34" t="s">
        <v>315</v>
      </c>
      <c r="K39" s="39" t="s">
        <v>42</v>
      </c>
      <c r="L39" s="40" t="s">
        <v>316</v>
      </c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2" t="s">
        <v>317</v>
      </c>
      <c r="Y39" s="58" t="s">
        <v>318</v>
      </c>
      <c r="Z39" s="44" t="s">
        <v>61</v>
      </c>
      <c r="AA39" s="45">
        <v>40815</v>
      </c>
      <c r="AB39" s="46" t="s">
        <v>30</v>
      </c>
      <c r="AC39" s="36" t="s">
        <v>26</v>
      </c>
      <c r="AD39" s="47" t="s">
        <v>49</v>
      </c>
      <c r="AE39" s="48" t="s">
        <v>49</v>
      </c>
      <c r="AF39" s="48" t="s">
        <v>49</v>
      </c>
      <c r="AG39" s="48" t="s">
        <v>49</v>
      </c>
      <c r="AH39" s="48" t="s">
        <v>49</v>
      </c>
      <c r="AI39" s="48" t="s">
        <v>49</v>
      </c>
      <c r="AJ39" s="49" t="s">
        <v>49</v>
      </c>
      <c r="AK39" s="48" t="s">
        <v>41</v>
      </c>
      <c r="AL39" s="62" t="s">
        <v>148</v>
      </c>
      <c r="AM39" s="59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1"/>
    </row>
    <row r="40" spans="1:51" x14ac:dyDescent="0.2">
      <c r="A40" s="33">
        <f t="shared" si="1"/>
        <v>35</v>
      </c>
      <c r="B40" s="34" t="s">
        <v>319</v>
      </c>
      <c r="C40" s="35" t="s">
        <v>320</v>
      </c>
      <c r="D40" s="36" t="s">
        <v>321</v>
      </c>
      <c r="E40" s="36" t="s">
        <v>54</v>
      </c>
      <c r="F40" s="34" t="s">
        <v>322</v>
      </c>
      <c r="G40" s="37" t="s">
        <v>323</v>
      </c>
      <c r="H40" s="37" t="s">
        <v>39</v>
      </c>
      <c r="I40" s="54" t="s">
        <v>324</v>
      </c>
      <c r="J40" s="34" t="s">
        <v>41</v>
      </c>
      <c r="K40" s="39" t="s">
        <v>42</v>
      </c>
      <c r="L40" s="53" t="s">
        <v>325</v>
      </c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42" t="s">
        <v>326</v>
      </c>
      <c r="Y40" s="58" t="s">
        <v>327</v>
      </c>
      <c r="Z40" s="44" t="s">
        <v>328</v>
      </c>
      <c r="AA40" s="45">
        <v>43200</v>
      </c>
      <c r="AB40" s="46" t="s">
        <v>30</v>
      </c>
      <c r="AC40" s="36" t="s">
        <v>26</v>
      </c>
      <c r="AD40" s="47" t="s">
        <v>49</v>
      </c>
      <c r="AE40" s="48" t="s">
        <v>49</v>
      </c>
      <c r="AF40" s="48" t="s">
        <v>49</v>
      </c>
      <c r="AG40" s="48" t="s">
        <v>49</v>
      </c>
      <c r="AH40" s="48" t="s">
        <v>49</v>
      </c>
      <c r="AI40" s="48" t="s">
        <v>49</v>
      </c>
      <c r="AJ40" s="49" t="s">
        <v>49</v>
      </c>
      <c r="AK40" s="48" t="s">
        <v>49</v>
      </c>
      <c r="AL40" s="65" t="s">
        <v>32</v>
      </c>
      <c r="AM40" s="59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1"/>
    </row>
    <row r="41" spans="1:51" x14ac:dyDescent="0.2">
      <c r="A41" s="33">
        <f t="shared" si="1"/>
        <v>36</v>
      </c>
      <c r="B41" s="34" t="s">
        <v>329</v>
      </c>
      <c r="C41" s="35" t="s">
        <v>330</v>
      </c>
      <c r="D41" s="105" t="s">
        <v>331</v>
      </c>
      <c r="E41" s="36" t="s">
        <v>54</v>
      </c>
      <c r="F41" s="34" t="s">
        <v>332</v>
      </c>
      <c r="G41" s="37" t="s">
        <v>38</v>
      </c>
      <c r="H41" s="37" t="s">
        <v>39</v>
      </c>
      <c r="I41" s="34" t="s">
        <v>333</v>
      </c>
      <c r="J41" s="34" t="s">
        <v>41</v>
      </c>
      <c r="K41" s="39" t="s">
        <v>42</v>
      </c>
      <c r="L41" s="53">
        <v>37202</v>
      </c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57" t="s">
        <v>334</v>
      </c>
      <c r="Y41" s="58" t="s">
        <v>335</v>
      </c>
      <c r="Z41" s="44"/>
      <c r="AA41" s="45"/>
      <c r="AB41" s="46"/>
      <c r="AC41" s="36" t="s">
        <v>26</v>
      </c>
      <c r="AD41" s="47" t="s">
        <v>49</v>
      </c>
      <c r="AE41" s="48" t="s">
        <v>49</v>
      </c>
      <c r="AF41" s="48" t="s">
        <v>49</v>
      </c>
      <c r="AG41" s="48" t="s">
        <v>49</v>
      </c>
      <c r="AH41" s="48" t="s">
        <v>49</v>
      </c>
      <c r="AI41" s="48" t="s">
        <v>49</v>
      </c>
      <c r="AJ41" s="49" t="s">
        <v>49</v>
      </c>
      <c r="AK41" s="48" t="s">
        <v>41</v>
      </c>
      <c r="AL41" s="62" t="s">
        <v>148</v>
      </c>
      <c r="AM41" s="59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1"/>
    </row>
    <row r="42" spans="1:51" x14ac:dyDescent="0.2">
      <c r="A42" s="33">
        <f t="shared" si="1"/>
        <v>37</v>
      </c>
      <c r="B42" s="34" t="s">
        <v>336</v>
      </c>
      <c r="C42" s="35" t="s">
        <v>337</v>
      </c>
      <c r="D42" s="36" t="s">
        <v>338</v>
      </c>
      <c r="E42" s="36" t="s">
        <v>54</v>
      </c>
      <c r="F42" s="34" t="s">
        <v>339</v>
      </c>
      <c r="G42" s="37" t="s">
        <v>73</v>
      </c>
      <c r="H42" s="37" t="s">
        <v>73</v>
      </c>
      <c r="I42" s="38" t="s">
        <v>340</v>
      </c>
      <c r="J42" s="34" t="s">
        <v>41</v>
      </c>
      <c r="K42" s="39" t="s">
        <v>42</v>
      </c>
      <c r="L42" s="53">
        <v>45237</v>
      </c>
      <c r="M42" s="41"/>
      <c r="N42" s="70"/>
      <c r="O42" s="70"/>
      <c r="P42" s="70"/>
      <c r="Q42" s="70"/>
      <c r="R42" s="70"/>
      <c r="S42" s="70"/>
      <c r="T42" s="70" t="s">
        <v>44</v>
      </c>
      <c r="U42" s="70"/>
      <c r="V42" s="70"/>
      <c r="W42" s="70"/>
      <c r="X42" s="54" t="s">
        <v>343</v>
      </c>
      <c r="Y42" s="58" t="s">
        <v>344</v>
      </c>
      <c r="Z42" s="58"/>
      <c r="AA42" s="45">
        <v>45642</v>
      </c>
      <c r="AB42" s="46"/>
      <c r="AC42" s="36"/>
      <c r="AD42" s="47" t="s">
        <v>49</v>
      </c>
      <c r="AE42" s="48" t="s">
        <v>41</v>
      </c>
      <c r="AF42" s="48" t="s">
        <v>41</v>
      </c>
      <c r="AG42" s="48" t="s">
        <v>41</v>
      </c>
      <c r="AH42" s="48" t="s">
        <v>49</v>
      </c>
      <c r="AI42" s="48" t="s">
        <v>49</v>
      </c>
      <c r="AJ42" s="49" t="s">
        <v>49</v>
      </c>
      <c r="AK42" s="48" t="s">
        <v>41</v>
      </c>
      <c r="AL42" s="62" t="s">
        <v>148</v>
      </c>
      <c r="AM42" s="59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1"/>
    </row>
    <row r="43" spans="1:51" x14ac:dyDescent="0.2">
      <c r="A43" s="33">
        <f t="shared" si="1"/>
        <v>38</v>
      </c>
      <c r="B43" s="34" t="s">
        <v>345</v>
      </c>
      <c r="C43" s="35" t="s">
        <v>346</v>
      </c>
      <c r="D43" s="36" t="s">
        <v>347</v>
      </c>
      <c r="E43" s="36" t="s">
        <v>54</v>
      </c>
      <c r="F43" s="106" t="s">
        <v>348</v>
      </c>
      <c r="G43" s="37" t="s">
        <v>349</v>
      </c>
      <c r="H43" s="37" t="s">
        <v>350</v>
      </c>
      <c r="I43" s="38" t="s">
        <v>351</v>
      </c>
      <c r="J43" s="34" t="s">
        <v>41</v>
      </c>
      <c r="K43" s="39" t="s">
        <v>42</v>
      </c>
      <c r="L43" s="53" t="s">
        <v>352</v>
      </c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42" t="s">
        <v>353</v>
      </c>
      <c r="Y43" s="85" t="s">
        <v>354</v>
      </c>
      <c r="Z43" s="44" t="s">
        <v>355</v>
      </c>
      <c r="AA43" s="45">
        <v>42935</v>
      </c>
      <c r="AB43" s="46" t="s">
        <v>129</v>
      </c>
      <c r="AC43" s="36" t="s">
        <v>26</v>
      </c>
      <c r="AD43" s="47" t="s">
        <v>49</v>
      </c>
      <c r="AE43" s="48" t="s">
        <v>49</v>
      </c>
      <c r="AF43" s="48" t="s">
        <v>49</v>
      </c>
      <c r="AG43" s="48" t="s">
        <v>49</v>
      </c>
      <c r="AH43" s="48" t="s">
        <v>49</v>
      </c>
      <c r="AI43" s="48" t="s">
        <v>49</v>
      </c>
      <c r="AJ43" s="49" t="s">
        <v>49</v>
      </c>
      <c r="AK43" s="48" t="s">
        <v>49</v>
      </c>
      <c r="AL43" s="62" t="s">
        <v>32</v>
      </c>
      <c r="AM43" s="59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1"/>
    </row>
    <row r="44" spans="1:51" x14ac:dyDescent="0.2">
      <c r="A44" s="33">
        <f t="shared" si="1"/>
        <v>39</v>
      </c>
      <c r="B44" s="34" t="s">
        <v>356</v>
      </c>
      <c r="C44" s="35" t="s">
        <v>357</v>
      </c>
      <c r="D44" s="36" t="s">
        <v>358</v>
      </c>
      <c r="E44" s="36" t="s">
        <v>54</v>
      </c>
      <c r="F44" s="87" t="s">
        <v>359</v>
      </c>
      <c r="G44" s="37" t="s">
        <v>360</v>
      </c>
      <c r="H44" s="37" t="s">
        <v>350</v>
      </c>
      <c r="I44" s="34" t="s">
        <v>361</v>
      </c>
      <c r="J44" s="34" t="s">
        <v>41</v>
      </c>
      <c r="K44" s="39" t="s">
        <v>42</v>
      </c>
      <c r="L44" s="53">
        <v>37718</v>
      </c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42" t="s">
        <v>362</v>
      </c>
      <c r="Y44" s="52" t="s">
        <v>363</v>
      </c>
      <c r="Z44" s="44" t="s">
        <v>61</v>
      </c>
      <c r="AA44" s="45">
        <v>37877</v>
      </c>
      <c r="AB44" s="46" t="s">
        <v>30</v>
      </c>
      <c r="AC44" s="36" t="s">
        <v>26</v>
      </c>
      <c r="AD44" s="47" t="s">
        <v>49</v>
      </c>
      <c r="AE44" s="48" t="s">
        <v>49</v>
      </c>
      <c r="AF44" s="48" t="s">
        <v>49</v>
      </c>
      <c r="AG44" s="48" t="s">
        <v>49</v>
      </c>
      <c r="AH44" s="48" t="s">
        <v>49</v>
      </c>
      <c r="AI44" s="48" t="s">
        <v>49</v>
      </c>
      <c r="AJ44" s="49" t="s">
        <v>49</v>
      </c>
      <c r="AK44" s="48" t="s">
        <v>41</v>
      </c>
      <c r="AL44" s="62" t="s">
        <v>148</v>
      </c>
      <c r="AM44" s="59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1"/>
    </row>
    <row r="45" spans="1:51" x14ac:dyDescent="0.2">
      <c r="A45" s="33">
        <f t="shared" si="1"/>
        <v>40</v>
      </c>
      <c r="B45" s="107" t="s">
        <v>364</v>
      </c>
      <c r="C45" s="35" t="s">
        <v>365</v>
      </c>
      <c r="D45" s="36" t="s">
        <v>366</v>
      </c>
      <c r="E45" s="36" t="s">
        <v>54</v>
      </c>
      <c r="F45" s="34" t="s">
        <v>367</v>
      </c>
      <c r="G45" s="37" t="s">
        <v>243</v>
      </c>
      <c r="H45" s="37" t="s">
        <v>205</v>
      </c>
      <c r="I45" s="34" t="s">
        <v>368</v>
      </c>
      <c r="J45" s="34" t="s">
        <v>41</v>
      </c>
      <c r="K45" s="39" t="s">
        <v>42</v>
      </c>
      <c r="L45" s="40" t="s">
        <v>369</v>
      </c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2" t="s">
        <v>370</v>
      </c>
      <c r="Y45" s="100" t="s">
        <v>371</v>
      </c>
      <c r="Z45" s="44" t="s">
        <v>372</v>
      </c>
      <c r="AA45" s="45">
        <v>42966</v>
      </c>
      <c r="AB45" s="46" t="s">
        <v>30</v>
      </c>
      <c r="AC45" s="36" t="s">
        <v>26</v>
      </c>
      <c r="AD45" s="47" t="s">
        <v>49</v>
      </c>
      <c r="AE45" s="48" t="s">
        <v>49</v>
      </c>
      <c r="AF45" s="48" t="s">
        <v>49</v>
      </c>
      <c r="AG45" s="48" t="s">
        <v>41</v>
      </c>
      <c r="AH45" s="48" t="s">
        <v>41</v>
      </c>
      <c r="AI45" s="48" t="s">
        <v>41</v>
      </c>
      <c r="AJ45" s="49" t="s">
        <v>41</v>
      </c>
      <c r="AK45" s="48" t="s">
        <v>41</v>
      </c>
      <c r="AL45" s="62" t="s">
        <v>110</v>
      </c>
      <c r="AM45" s="59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1"/>
    </row>
    <row r="46" spans="1:51" x14ac:dyDescent="0.2">
      <c r="A46" s="33">
        <f t="shared" si="1"/>
        <v>41</v>
      </c>
      <c r="B46" s="34" t="s">
        <v>373</v>
      </c>
      <c r="C46" s="35" t="s">
        <v>374</v>
      </c>
      <c r="D46" s="36" t="s">
        <v>375</v>
      </c>
      <c r="E46" s="36" t="s">
        <v>54</v>
      </c>
      <c r="F46" s="34" t="s">
        <v>376</v>
      </c>
      <c r="G46" s="37" t="s">
        <v>377</v>
      </c>
      <c r="H46" s="37" t="s">
        <v>378</v>
      </c>
      <c r="I46" s="38" t="s">
        <v>379</v>
      </c>
      <c r="J46" s="34" t="s">
        <v>380</v>
      </c>
      <c r="K46" s="39" t="s">
        <v>42</v>
      </c>
      <c r="L46" s="53" t="s">
        <v>381</v>
      </c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42" t="s">
        <v>4642</v>
      </c>
      <c r="Y46" s="43" t="s">
        <v>383</v>
      </c>
      <c r="Z46" s="44" t="s">
        <v>384</v>
      </c>
      <c r="AA46" s="45">
        <v>42935</v>
      </c>
      <c r="AB46" s="46" t="s">
        <v>30</v>
      </c>
      <c r="AC46" s="36" t="s">
        <v>26</v>
      </c>
      <c r="AD46" s="47" t="s">
        <v>49</v>
      </c>
      <c r="AE46" s="48" t="s">
        <v>49</v>
      </c>
      <c r="AF46" s="48" t="s">
        <v>49</v>
      </c>
      <c r="AG46" s="48" t="s">
        <v>49</v>
      </c>
      <c r="AH46" s="48" t="s">
        <v>49</v>
      </c>
      <c r="AI46" s="48" t="s">
        <v>49</v>
      </c>
      <c r="AJ46" s="49" t="s">
        <v>49</v>
      </c>
      <c r="AK46" s="48" t="s">
        <v>49</v>
      </c>
      <c r="AL46" s="62" t="s">
        <v>32</v>
      </c>
      <c r="AM46" s="59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1"/>
    </row>
    <row r="47" spans="1:51" x14ac:dyDescent="0.2">
      <c r="A47" s="33">
        <f t="shared" si="1"/>
        <v>42</v>
      </c>
      <c r="B47" s="34" t="s">
        <v>385</v>
      </c>
      <c r="C47" s="35" t="s">
        <v>386</v>
      </c>
      <c r="D47" s="36" t="s">
        <v>387</v>
      </c>
      <c r="E47" s="36" t="s">
        <v>54</v>
      </c>
      <c r="F47" s="34" t="s">
        <v>388</v>
      </c>
      <c r="G47" s="37" t="s">
        <v>73</v>
      </c>
      <c r="H47" s="37" t="s">
        <v>73</v>
      </c>
      <c r="I47" s="34" t="s">
        <v>389</v>
      </c>
      <c r="J47" s="34" t="s">
        <v>380</v>
      </c>
      <c r="K47" s="39" t="s">
        <v>42</v>
      </c>
      <c r="L47" s="40" t="s">
        <v>390</v>
      </c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42" t="s">
        <v>391</v>
      </c>
      <c r="Y47" s="52" t="s">
        <v>392</v>
      </c>
      <c r="Z47" s="44" t="s">
        <v>393</v>
      </c>
      <c r="AA47" s="45">
        <v>43200</v>
      </c>
      <c r="AB47" s="46" t="s">
        <v>30</v>
      </c>
      <c r="AC47" s="36" t="s">
        <v>26</v>
      </c>
      <c r="AD47" s="47" t="s">
        <v>49</v>
      </c>
      <c r="AE47" s="48" t="s">
        <v>49</v>
      </c>
      <c r="AF47" s="48" t="s">
        <v>49</v>
      </c>
      <c r="AG47" s="48" t="s">
        <v>49</v>
      </c>
      <c r="AH47" s="48" t="s">
        <v>49</v>
      </c>
      <c r="AI47" s="48" t="s">
        <v>49</v>
      </c>
      <c r="AJ47" s="49" t="s">
        <v>49</v>
      </c>
      <c r="AK47" s="48" t="s">
        <v>49</v>
      </c>
      <c r="AL47" s="62" t="s">
        <v>32</v>
      </c>
      <c r="AM47" s="59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1"/>
    </row>
    <row r="48" spans="1:51" x14ac:dyDescent="0.2">
      <c r="A48" s="33">
        <f t="shared" si="1"/>
        <v>43</v>
      </c>
      <c r="B48" s="108" t="s">
        <v>394</v>
      </c>
      <c r="C48" s="35" t="s">
        <v>395</v>
      </c>
      <c r="D48" s="109" t="s">
        <v>396</v>
      </c>
      <c r="E48" s="36" t="s">
        <v>36</v>
      </c>
      <c r="F48" s="108" t="s">
        <v>397</v>
      </c>
      <c r="G48" s="37" t="s">
        <v>398</v>
      </c>
      <c r="H48" s="37" t="s">
        <v>205</v>
      </c>
      <c r="I48" s="108" t="s">
        <v>399</v>
      </c>
      <c r="J48" s="34" t="s">
        <v>41</v>
      </c>
      <c r="K48" s="39" t="s">
        <v>42</v>
      </c>
      <c r="L48" s="53">
        <v>40399</v>
      </c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2" t="s">
        <v>400</v>
      </c>
      <c r="Y48" s="69" t="s">
        <v>401</v>
      </c>
      <c r="Z48" s="44" t="s">
        <v>61</v>
      </c>
      <c r="AA48" s="45">
        <v>40815</v>
      </c>
      <c r="AB48" s="46" t="s">
        <v>30</v>
      </c>
      <c r="AC48" s="109" t="s">
        <v>26</v>
      </c>
      <c r="AD48" s="47" t="s">
        <v>49</v>
      </c>
      <c r="AE48" s="48" t="s">
        <v>49</v>
      </c>
      <c r="AF48" s="48" t="s">
        <v>49</v>
      </c>
      <c r="AG48" s="48" t="s">
        <v>49</v>
      </c>
      <c r="AH48" s="48" t="s">
        <v>49</v>
      </c>
      <c r="AI48" s="48" t="s">
        <v>49</v>
      </c>
      <c r="AJ48" s="49" t="s">
        <v>49</v>
      </c>
      <c r="AK48" s="48" t="s">
        <v>49</v>
      </c>
      <c r="AL48" s="62" t="s">
        <v>32</v>
      </c>
      <c r="AM48" s="59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1"/>
    </row>
    <row r="49" spans="1:51" x14ac:dyDescent="0.2">
      <c r="A49" s="33">
        <f t="shared" si="1"/>
        <v>44</v>
      </c>
      <c r="B49" s="107" t="s">
        <v>402</v>
      </c>
      <c r="C49" s="35" t="s">
        <v>403</v>
      </c>
      <c r="D49" s="36" t="s">
        <v>404</v>
      </c>
      <c r="E49" s="36" t="s">
        <v>54</v>
      </c>
      <c r="F49" s="87" t="s">
        <v>405</v>
      </c>
      <c r="G49" s="37" t="s">
        <v>73</v>
      </c>
      <c r="H49" s="37" t="s">
        <v>73</v>
      </c>
      <c r="I49" s="38" t="s">
        <v>406</v>
      </c>
      <c r="J49" s="34" t="s">
        <v>41</v>
      </c>
      <c r="K49" s="39" t="s">
        <v>42</v>
      </c>
      <c r="L49" s="53">
        <v>36895</v>
      </c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2" t="s">
        <v>407</v>
      </c>
      <c r="Y49" s="58" t="s">
        <v>408</v>
      </c>
      <c r="Z49" s="44" t="s">
        <v>61</v>
      </c>
      <c r="AA49" s="45">
        <v>40280</v>
      </c>
      <c r="AB49" s="46" t="s">
        <v>30</v>
      </c>
      <c r="AC49" s="36"/>
      <c r="AD49" s="47" t="s">
        <v>49</v>
      </c>
      <c r="AE49" s="48" t="s">
        <v>41</v>
      </c>
      <c r="AF49" s="48" t="s">
        <v>41</v>
      </c>
      <c r="AG49" s="48" t="s">
        <v>41</v>
      </c>
      <c r="AH49" s="48" t="s">
        <v>41</v>
      </c>
      <c r="AI49" s="48" t="s">
        <v>41</v>
      </c>
      <c r="AJ49" s="49" t="s">
        <v>41</v>
      </c>
      <c r="AK49" s="48" t="s">
        <v>41</v>
      </c>
      <c r="AL49" s="65" t="s">
        <v>4590</v>
      </c>
      <c r="AM49" s="59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1"/>
    </row>
    <row r="50" spans="1:51" x14ac:dyDescent="0.2">
      <c r="A50" s="33">
        <f t="shared" si="1"/>
        <v>45</v>
      </c>
      <c r="B50" s="108" t="s">
        <v>409</v>
      </c>
      <c r="C50" s="35" t="s">
        <v>410</v>
      </c>
      <c r="D50" s="36" t="s">
        <v>411</v>
      </c>
      <c r="E50" s="36" t="s">
        <v>36</v>
      </c>
      <c r="F50" s="34" t="s">
        <v>412</v>
      </c>
      <c r="G50" s="37" t="s">
        <v>413</v>
      </c>
      <c r="H50" s="37" t="s">
        <v>378</v>
      </c>
      <c r="I50" s="38" t="s">
        <v>414</v>
      </c>
      <c r="J50" s="38" t="s">
        <v>415</v>
      </c>
      <c r="K50" s="39" t="s">
        <v>42</v>
      </c>
      <c r="L50" s="53" t="s">
        <v>416</v>
      </c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42" t="s">
        <v>417</v>
      </c>
      <c r="Y50" s="58" t="s">
        <v>418</v>
      </c>
      <c r="Z50" s="44" t="s">
        <v>419</v>
      </c>
      <c r="AA50" s="45">
        <v>42935</v>
      </c>
      <c r="AB50" s="46" t="s">
        <v>129</v>
      </c>
      <c r="AC50" s="36">
        <v>1</v>
      </c>
      <c r="AD50" s="47" t="s">
        <v>49</v>
      </c>
      <c r="AE50" s="48" t="s">
        <v>41</v>
      </c>
      <c r="AF50" s="48" t="s">
        <v>41</v>
      </c>
      <c r="AG50" s="48" t="s">
        <v>41</v>
      </c>
      <c r="AH50" s="48" t="s">
        <v>41</v>
      </c>
      <c r="AI50" s="48" t="s">
        <v>41</v>
      </c>
      <c r="AJ50" s="49" t="s">
        <v>41</v>
      </c>
      <c r="AK50" s="48" t="s">
        <v>41</v>
      </c>
      <c r="AL50" s="110" t="s">
        <v>4591</v>
      </c>
      <c r="AM50" s="59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1"/>
    </row>
    <row r="51" spans="1:51" x14ac:dyDescent="0.2">
      <c r="A51" s="33">
        <f t="shared" si="1"/>
        <v>46</v>
      </c>
      <c r="B51" s="34" t="s">
        <v>420</v>
      </c>
      <c r="C51" s="35" t="s">
        <v>421</v>
      </c>
      <c r="D51" s="36" t="s">
        <v>422</v>
      </c>
      <c r="E51" s="36" t="s">
        <v>54</v>
      </c>
      <c r="F51" s="34" t="s">
        <v>423</v>
      </c>
      <c r="G51" s="37" t="s">
        <v>73</v>
      </c>
      <c r="H51" s="37" t="s">
        <v>73</v>
      </c>
      <c r="I51" s="107" t="s">
        <v>424</v>
      </c>
      <c r="J51" s="34" t="s">
        <v>425</v>
      </c>
      <c r="K51" s="39" t="s">
        <v>42</v>
      </c>
      <c r="L51" s="53">
        <v>40360</v>
      </c>
      <c r="M51" s="41"/>
      <c r="N51" s="111"/>
      <c r="O51" s="112"/>
      <c r="P51" s="111"/>
      <c r="Q51" s="112"/>
      <c r="R51" s="112"/>
      <c r="S51" s="112"/>
      <c r="T51" s="41"/>
      <c r="U51" s="41"/>
      <c r="V51" s="41"/>
      <c r="W51" s="41"/>
      <c r="X51" s="42" t="s">
        <v>426</v>
      </c>
      <c r="Y51" s="43" t="s">
        <v>427</v>
      </c>
      <c r="Z51" s="44" t="s">
        <v>61</v>
      </c>
      <c r="AA51" s="45">
        <v>40815</v>
      </c>
      <c r="AB51" s="46" t="s">
        <v>30</v>
      </c>
      <c r="AC51" s="36" t="s">
        <v>26</v>
      </c>
      <c r="AD51" s="64" t="s">
        <v>120</v>
      </c>
      <c r="AE51" s="48" t="s">
        <v>120</v>
      </c>
      <c r="AF51" s="48" t="s">
        <v>120</v>
      </c>
      <c r="AG51" s="48" t="s">
        <v>120</v>
      </c>
      <c r="AH51" s="48" t="s">
        <v>120</v>
      </c>
      <c r="AI51" s="48" t="s">
        <v>120</v>
      </c>
      <c r="AJ51" s="49" t="s">
        <v>120</v>
      </c>
      <c r="AK51" s="48" t="s">
        <v>120</v>
      </c>
      <c r="AL51" s="65" t="s">
        <v>32</v>
      </c>
      <c r="AM51" s="59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1"/>
    </row>
    <row r="52" spans="1:51" x14ac:dyDescent="0.2">
      <c r="A52" s="33">
        <f t="shared" si="1"/>
        <v>47</v>
      </c>
      <c r="B52" s="34" t="s">
        <v>428</v>
      </c>
      <c r="C52" s="35" t="s">
        <v>429</v>
      </c>
      <c r="D52" s="36" t="s">
        <v>430</v>
      </c>
      <c r="E52" s="36" t="s">
        <v>54</v>
      </c>
      <c r="F52" s="34" t="s">
        <v>431</v>
      </c>
      <c r="G52" s="37" t="s">
        <v>38</v>
      </c>
      <c r="H52" s="37" t="s">
        <v>39</v>
      </c>
      <c r="I52" s="113" t="s">
        <v>432</v>
      </c>
      <c r="J52" s="34" t="s">
        <v>41</v>
      </c>
      <c r="K52" s="39" t="s">
        <v>42</v>
      </c>
      <c r="L52" s="40" t="s">
        <v>433</v>
      </c>
      <c r="M52" s="56"/>
      <c r="N52" s="114"/>
      <c r="O52" s="115"/>
      <c r="P52" s="56"/>
      <c r="Q52" s="115"/>
      <c r="R52" s="115"/>
      <c r="S52" s="115"/>
      <c r="T52" s="56"/>
      <c r="U52" s="56"/>
      <c r="V52" s="56"/>
      <c r="W52" s="56"/>
      <c r="X52" s="42" t="s">
        <v>434</v>
      </c>
      <c r="Y52" s="69" t="s">
        <v>435</v>
      </c>
      <c r="Z52" s="44" t="s">
        <v>61</v>
      </c>
      <c r="AA52" s="45">
        <v>39286</v>
      </c>
      <c r="AB52" s="46" t="s">
        <v>30</v>
      </c>
      <c r="AC52" s="36" t="s">
        <v>26</v>
      </c>
      <c r="AD52" s="47" t="s">
        <v>49</v>
      </c>
      <c r="AE52" s="48" t="s">
        <v>49</v>
      </c>
      <c r="AF52" s="48" t="s">
        <v>49</v>
      </c>
      <c r="AG52" s="48" t="s">
        <v>49</v>
      </c>
      <c r="AH52" s="48" t="s">
        <v>49</v>
      </c>
      <c r="AI52" s="48" t="s">
        <v>49</v>
      </c>
      <c r="AJ52" s="49" t="s">
        <v>49</v>
      </c>
      <c r="AK52" s="48" t="s">
        <v>49</v>
      </c>
      <c r="AL52" s="62" t="s">
        <v>32</v>
      </c>
      <c r="AM52" s="59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1"/>
    </row>
    <row r="53" spans="1:51" x14ac:dyDescent="0.2">
      <c r="A53" s="33">
        <f t="shared" si="1"/>
        <v>48</v>
      </c>
      <c r="B53" s="34" t="s">
        <v>436</v>
      </c>
      <c r="C53" s="35" t="s">
        <v>437</v>
      </c>
      <c r="D53" s="36" t="s">
        <v>438</v>
      </c>
      <c r="E53" s="36" t="s">
        <v>54</v>
      </c>
      <c r="F53" s="34" t="s">
        <v>439</v>
      </c>
      <c r="G53" s="37" t="s">
        <v>377</v>
      </c>
      <c r="H53" s="37" t="s">
        <v>378</v>
      </c>
      <c r="I53" s="113" t="s">
        <v>440</v>
      </c>
      <c r="J53" s="34" t="s">
        <v>41</v>
      </c>
      <c r="K53" s="39" t="s">
        <v>42</v>
      </c>
      <c r="L53" s="53">
        <v>45244</v>
      </c>
      <c r="M53" s="56"/>
      <c r="N53" s="114"/>
      <c r="O53" s="115"/>
      <c r="P53" s="114"/>
      <c r="Q53" s="115"/>
      <c r="R53" s="115"/>
      <c r="S53" s="115"/>
      <c r="T53" s="56" t="s">
        <v>44</v>
      </c>
      <c r="U53" s="56"/>
      <c r="V53" s="56"/>
      <c r="W53" s="56"/>
      <c r="X53" s="42" t="s">
        <v>441</v>
      </c>
      <c r="Y53" s="83" t="s">
        <v>442</v>
      </c>
      <c r="Z53" s="44"/>
      <c r="AA53" s="45">
        <v>45642</v>
      </c>
      <c r="AB53" s="46"/>
      <c r="AC53" s="36"/>
      <c r="AD53" s="47" t="s">
        <v>49</v>
      </c>
      <c r="AE53" s="48" t="s">
        <v>41</v>
      </c>
      <c r="AF53" s="48" t="s">
        <v>41</v>
      </c>
      <c r="AG53" s="48" t="s">
        <v>41</v>
      </c>
      <c r="AH53" s="48" t="s">
        <v>49</v>
      </c>
      <c r="AI53" s="48" t="s">
        <v>49</v>
      </c>
      <c r="AJ53" s="49" t="s">
        <v>41</v>
      </c>
      <c r="AK53" s="48" t="s">
        <v>41</v>
      </c>
      <c r="AL53" s="62">
        <v>1</v>
      </c>
      <c r="AM53" s="59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1"/>
    </row>
    <row r="54" spans="1:51" x14ac:dyDescent="0.2">
      <c r="A54" s="33">
        <f t="shared" si="1"/>
        <v>49</v>
      </c>
      <c r="B54" s="34" t="s">
        <v>443</v>
      </c>
      <c r="C54" s="35" t="s">
        <v>444</v>
      </c>
      <c r="D54" s="36" t="s">
        <v>445</v>
      </c>
      <c r="E54" s="36" t="s">
        <v>36</v>
      </c>
      <c r="F54" s="34" t="s">
        <v>446</v>
      </c>
      <c r="G54" s="37" t="s">
        <v>360</v>
      </c>
      <c r="H54" s="37" t="s">
        <v>350</v>
      </c>
      <c r="I54" s="38" t="s">
        <v>447</v>
      </c>
      <c r="J54" s="34" t="s">
        <v>41</v>
      </c>
      <c r="K54" s="39" t="s">
        <v>42</v>
      </c>
      <c r="L54" s="53">
        <v>40670</v>
      </c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42" t="s">
        <v>448</v>
      </c>
      <c r="Y54" s="58" t="s">
        <v>449</v>
      </c>
      <c r="Z54" s="44" t="s">
        <v>450</v>
      </c>
      <c r="AA54" s="45">
        <v>42325</v>
      </c>
      <c r="AB54" s="46" t="s">
        <v>30</v>
      </c>
      <c r="AC54" s="36">
        <v>1</v>
      </c>
      <c r="AD54" s="47" t="s">
        <v>49</v>
      </c>
      <c r="AE54" s="48" t="s">
        <v>41</v>
      </c>
      <c r="AF54" s="48" t="s">
        <v>41</v>
      </c>
      <c r="AG54" s="48" t="s">
        <v>41</v>
      </c>
      <c r="AH54" s="48" t="s">
        <v>41</v>
      </c>
      <c r="AI54" s="48" t="s">
        <v>41</v>
      </c>
      <c r="AJ54" s="49" t="s">
        <v>41</v>
      </c>
      <c r="AK54" s="48" t="s">
        <v>41</v>
      </c>
      <c r="AL54" s="65">
        <v>9</v>
      </c>
      <c r="AM54" s="59" t="s">
        <v>451</v>
      </c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1"/>
    </row>
    <row r="55" spans="1:51" x14ac:dyDescent="0.2">
      <c r="A55" s="33">
        <f t="shared" si="1"/>
        <v>50</v>
      </c>
      <c r="B55" s="34" t="s">
        <v>452</v>
      </c>
      <c r="C55" s="35" t="s">
        <v>453</v>
      </c>
      <c r="D55" s="36" t="s">
        <v>454</v>
      </c>
      <c r="E55" s="36" t="s">
        <v>54</v>
      </c>
      <c r="F55" s="34" t="s">
        <v>455</v>
      </c>
      <c r="G55" s="37" t="s">
        <v>456</v>
      </c>
      <c r="H55" s="37" t="s">
        <v>187</v>
      </c>
      <c r="I55" s="34"/>
      <c r="J55" s="34" t="s">
        <v>41</v>
      </c>
      <c r="K55" s="39" t="s">
        <v>42</v>
      </c>
      <c r="L55" s="53">
        <v>36745</v>
      </c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42" t="s">
        <v>457</v>
      </c>
      <c r="Y55" s="69" t="s">
        <v>458</v>
      </c>
      <c r="Z55" s="44" t="s">
        <v>459</v>
      </c>
      <c r="AA55" s="45">
        <v>42325</v>
      </c>
      <c r="AB55" s="46" t="s">
        <v>30</v>
      </c>
      <c r="AC55" s="36">
        <v>1</v>
      </c>
      <c r="AD55" s="47" t="s">
        <v>49</v>
      </c>
      <c r="AE55" s="48" t="s">
        <v>41</v>
      </c>
      <c r="AF55" s="48" t="s">
        <v>41</v>
      </c>
      <c r="AG55" s="48" t="s">
        <v>41</v>
      </c>
      <c r="AH55" s="48" t="s">
        <v>41</v>
      </c>
      <c r="AI55" s="48" t="s">
        <v>41</v>
      </c>
      <c r="AJ55" s="49" t="s">
        <v>41</v>
      </c>
      <c r="AK55" s="48" t="s">
        <v>41</v>
      </c>
      <c r="AL55" s="65">
        <v>6</v>
      </c>
      <c r="AM55" s="59" t="s">
        <v>460</v>
      </c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1"/>
    </row>
    <row r="56" spans="1:51" x14ac:dyDescent="0.2">
      <c r="A56" s="33">
        <f t="shared" si="1"/>
        <v>51</v>
      </c>
      <c r="B56" s="34" t="s">
        <v>461</v>
      </c>
      <c r="C56" s="35" t="s">
        <v>462</v>
      </c>
      <c r="D56" s="36" t="s">
        <v>463</v>
      </c>
      <c r="E56" s="36" t="s">
        <v>36</v>
      </c>
      <c r="F56" s="34" t="s">
        <v>464</v>
      </c>
      <c r="G56" s="37" t="s">
        <v>73</v>
      </c>
      <c r="H56" s="37" t="s">
        <v>73</v>
      </c>
      <c r="I56" s="34" t="s">
        <v>465</v>
      </c>
      <c r="J56" s="34" t="s">
        <v>466</v>
      </c>
      <c r="K56" s="39" t="s">
        <v>42</v>
      </c>
      <c r="L56" s="40" t="s">
        <v>467</v>
      </c>
      <c r="M56" s="41"/>
      <c r="N56" s="41"/>
      <c r="O56" s="41"/>
      <c r="P56" s="41"/>
      <c r="Q56" s="41"/>
      <c r="R56" s="41"/>
      <c r="S56" s="41"/>
      <c r="T56" s="41" t="s">
        <v>468</v>
      </c>
      <c r="U56" s="41"/>
      <c r="V56" s="41"/>
      <c r="W56" s="41"/>
      <c r="X56" s="42" t="s">
        <v>469</v>
      </c>
      <c r="Y56" s="52" t="s">
        <v>470</v>
      </c>
      <c r="Z56" s="52"/>
      <c r="AA56" s="45">
        <v>45642</v>
      </c>
      <c r="AB56" s="46"/>
      <c r="AC56" s="36" t="s">
        <v>26</v>
      </c>
      <c r="AD56" s="47" t="s">
        <v>49</v>
      </c>
      <c r="AE56" s="48" t="s">
        <v>49</v>
      </c>
      <c r="AF56" s="48" t="s">
        <v>49</v>
      </c>
      <c r="AG56" s="48" t="s">
        <v>49</v>
      </c>
      <c r="AH56" s="48" t="s">
        <v>49</v>
      </c>
      <c r="AI56" s="48" t="s">
        <v>49</v>
      </c>
      <c r="AJ56" s="49" t="s">
        <v>49</v>
      </c>
      <c r="AK56" s="48" t="s">
        <v>49</v>
      </c>
      <c r="AL56" s="62" t="s">
        <v>32</v>
      </c>
      <c r="AM56" s="59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1"/>
    </row>
    <row r="57" spans="1:51" x14ac:dyDescent="0.2">
      <c r="A57" s="33">
        <f t="shared" si="1"/>
        <v>52</v>
      </c>
      <c r="B57" s="34" t="s">
        <v>471</v>
      </c>
      <c r="C57" s="35" t="s">
        <v>472</v>
      </c>
      <c r="D57" s="36" t="s">
        <v>473</v>
      </c>
      <c r="E57" s="36" t="s">
        <v>54</v>
      </c>
      <c r="F57" s="34" t="s">
        <v>4593</v>
      </c>
      <c r="G57" s="37" t="s">
        <v>73</v>
      </c>
      <c r="H57" s="37" t="s">
        <v>73</v>
      </c>
      <c r="I57" s="34" t="s">
        <v>474</v>
      </c>
      <c r="J57" s="34" t="s">
        <v>475</v>
      </c>
      <c r="K57" s="39" t="s">
        <v>42</v>
      </c>
      <c r="L57" s="53">
        <v>31057</v>
      </c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7" t="s">
        <v>476</v>
      </c>
      <c r="Y57" s="52" t="s">
        <v>477</v>
      </c>
      <c r="Z57" s="44" t="s">
        <v>478</v>
      </c>
      <c r="AA57" s="45">
        <v>44041</v>
      </c>
      <c r="AB57" s="46" t="s">
        <v>30</v>
      </c>
      <c r="AC57" s="36" t="s">
        <v>26</v>
      </c>
      <c r="AD57" s="61" t="s">
        <v>49</v>
      </c>
      <c r="AE57" s="48" t="s">
        <v>49</v>
      </c>
      <c r="AF57" s="48" t="s">
        <v>49</v>
      </c>
      <c r="AG57" s="48" t="s">
        <v>49</v>
      </c>
      <c r="AH57" s="48" t="s">
        <v>49</v>
      </c>
      <c r="AI57" s="48" t="s">
        <v>49</v>
      </c>
      <c r="AJ57" s="49" t="s">
        <v>49</v>
      </c>
      <c r="AK57" s="48" t="s">
        <v>41</v>
      </c>
      <c r="AL57" s="65" t="s">
        <v>148</v>
      </c>
      <c r="AM57" s="59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1"/>
    </row>
    <row r="58" spans="1:51" x14ac:dyDescent="0.2">
      <c r="A58" s="33">
        <f t="shared" si="1"/>
        <v>53</v>
      </c>
      <c r="B58" s="34" t="s">
        <v>479</v>
      </c>
      <c r="C58" s="35" t="s">
        <v>480</v>
      </c>
      <c r="D58" s="36" t="s">
        <v>481</v>
      </c>
      <c r="E58" s="36" t="s">
        <v>54</v>
      </c>
      <c r="F58" s="34" t="s">
        <v>482</v>
      </c>
      <c r="G58" s="37" t="s">
        <v>73</v>
      </c>
      <c r="H58" s="37" t="s">
        <v>73</v>
      </c>
      <c r="I58" s="34" t="s">
        <v>483</v>
      </c>
      <c r="J58" s="34" t="s">
        <v>41</v>
      </c>
      <c r="K58" s="39" t="s">
        <v>42</v>
      </c>
      <c r="L58" s="53">
        <v>34345</v>
      </c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42" t="s">
        <v>484</v>
      </c>
      <c r="Y58" s="52" t="s">
        <v>485</v>
      </c>
      <c r="Z58" s="44" t="s">
        <v>486</v>
      </c>
      <c r="AA58" s="45">
        <v>43200</v>
      </c>
      <c r="AB58" s="46" t="s">
        <v>30</v>
      </c>
      <c r="AC58" s="36" t="s">
        <v>26</v>
      </c>
      <c r="AD58" s="61" t="s">
        <v>49</v>
      </c>
      <c r="AE58" s="48" t="s">
        <v>49</v>
      </c>
      <c r="AF58" s="48" t="s">
        <v>49</v>
      </c>
      <c r="AG58" s="48" t="s">
        <v>49</v>
      </c>
      <c r="AH58" s="48" t="s">
        <v>49</v>
      </c>
      <c r="AI58" s="48" t="s">
        <v>49</v>
      </c>
      <c r="AJ58" s="49" t="s">
        <v>49</v>
      </c>
      <c r="AK58" s="48" t="s">
        <v>41</v>
      </c>
      <c r="AL58" s="62" t="s">
        <v>148</v>
      </c>
      <c r="AM58" s="59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1"/>
    </row>
    <row r="59" spans="1:51" x14ac:dyDescent="0.2">
      <c r="A59" s="33">
        <f t="shared" si="1"/>
        <v>54</v>
      </c>
      <c r="B59" s="34" t="s">
        <v>487</v>
      </c>
      <c r="C59" s="35" t="s">
        <v>488</v>
      </c>
      <c r="D59" s="36" t="s">
        <v>489</v>
      </c>
      <c r="E59" s="36" t="s">
        <v>54</v>
      </c>
      <c r="F59" s="34" t="s">
        <v>490</v>
      </c>
      <c r="G59" s="37" t="s">
        <v>73</v>
      </c>
      <c r="H59" s="37" t="s">
        <v>73</v>
      </c>
      <c r="I59" s="38" t="s">
        <v>491</v>
      </c>
      <c r="J59" s="34" t="s">
        <v>41</v>
      </c>
      <c r="K59" s="39" t="s">
        <v>42</v>
      </c>
      <c r="L59" s="53">
        <v>45310</v>
      </c>
      <c r="M59" s="56"/>
      <c r="N59" s="56"/>
      <c r="O59" s="56"/>
      <c r="P59" s="56"/>
      <c r="Q59" s="56"/>
      <c r="R59" s="56"/>
      <c r="S59" s="56"/>
      <c r="T59" s="56"/>
      <c r="U59" s="56" t="s">
        <v>44</v>
      </c>
      <c r="V59" s="56"/>
      <c r="W59" s="56"/>
      <c r="X59" s="42" t="s">
        <v>492</v>
      </c>
      <c r="Y59" s="43" t="s">
        <v>493</v>
      </c>
      <c r="Z59" s="44"/>
      <c r="AA59" s="45"/>
      <c r="AB59" s="46"/>
      <c r="AC59" s="36"/>
      <c r="AD59" s="61" t="s">
        <v>49</v>
      </c>
      <c r="AE59" s="48" t="s">
        <v>41</v>
      </c>
      <c r="AF59" s="48" t="s">
        <v>41</v>
      </c>
      <c r="AG59" s="48" t="s">
        <v>41</v>
      </c>
      <c r="AH59" s="48" t="s">
        <v>41</v>
      </c>
      <c r="AI59" s="48" t="s">
        <v>49</v>
      </c>
      <c r="AJ59" s="49" t="s">
        <v>41</v>
      </c>
      <c r="AK59" s="48" t="s">
        <v>41</v>
      </c>
      <c r="AL59" s="62" t="s">
        <v>276</v>
      </c>
      <c r="AM59" s="59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1"/>
    </row>
    <row r="60" spans="1:51" x14ac:dyDescent="0.2">
      <c r="A60" s="33">
        <f t="shared" si="1"/>
        <v>55</v>
      </c>
      <c r="B60" s="34" t="s">
        <v>494</v>
      </c>
      <c r="C60" s="35" t="s">
        <v>495</v>
      </c>
      <c r="D60" s="36" t="s">
        <v>496</v>
      </c>
      <c r="E60" s="36" t="s">
        <v>54</v>
      </c>
      <c r="F60" s="34" t="s">
        <v>497</v>
      </c>
      <c r="G60" s="37" t="s">
        <v>398</v>
      </c>
      <c r="H60" s="37" t="s">
        <v>205</v>
      </c>
      <c r="I60" s="34" t="s">
        <v>498</v>
      </c>
      <c r="J60" s="34" t="s">
        <v>41</v>
      </c>
      <c r="K60" s="39" t="s">
        <v>42</v>
      </c>
      <c r="L60" s="53">
        <v>36745</v>
      </c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2" t="s">
        <v>499</v>
      </c>
      <c r="Y60" s="116" t="s">
        <v>500</v>
      </c>
      <c r="Z60" s="44" t="s">
        <v>61</v>
      </c>
      <c r="AA60" s="45">
        <v>36803</v>
      </c>
      <c r="AB60" s="46" t="s">
        <v>129</v>
      </c>
      <c r="AC60" s="36" t="s">
        <v>26</v>
      </c>
      <c r="AD60" s="47" t="s">
        <v>49</v>
      </c>
      <c r="AE60" s="48" t="s">
        <v>49</v>
      </c>
      <c r="AF60" s="48" t="s">
        <v>49</v>
      </c>
      <c r="AG60" s="48" t="s">
        <v>49</v>
      </c>
      <c r="AH60" s="48" t="s">
        <v>49</v>
      </c>
      <c r="AI60" s="48" t="s">
        <v>41</v>
      </c>
      <c r="AJ60" s="49" t="s">
        <v>41</v>
      </c>
      <c r="AK60" s="48" t="s">
        <v>41</v>
      </c>
      <c r="AL60" s="62" t="s">
        <v>4589</v>
      </c>
      <c r="AM60" s="59"/>
      <c r="AN60" s="10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1"/>
    </row>
    <row r="61" spans="1:51" x14ac:dyDescent="0.2">
      <c r="A61" s="33">
        <f t="shared" si="1"/>
        <v>56</v>
      </c>
      <c r="B61" s="34" t="s">
        <v>501</v>
      </c>
      <c r="C61" s="35" t="s">
        <v>502</v>
      </c>
      <c r="D61" s="36" t="s">
        <v>503</v>
      </c>
      <c r="E61" s="36" t="s">
        <v>54</v>
      </c>
      <c r="F61" s="34" t="s">
        <v>504</v>
      </c>
      <c r="G61" s="37" t="s">
        <v>73</v>
      </c>
      <c r="H61" s="37" t="s">
        <v>73</v>
      </c>
      <c r="I61" s="38" t="s">
        <v>505</v>
      </c>
      <c r="J61" s="34" t="s">
        <v>41</v>
      </c>
      <c r="K61" s="39" t="s">
        <v>42</v>
      </c>
      <c r="L61" s="53">
        <v>45299</v>
      </c>
      <c r="M61" s="41"/>
      <c r="N61" s="41"/>
      <c r="O61" s="41"/>
      <c r="P61" s="41"/>
      <c r="Q61" s="41"/>
      <c r="R61" s="41"/>
      <c r="S61" s="41"/>
      <c r="T61" s="41"/>
      <c r="U61" s="41" t="s">
        <v>44</v>
      </c>
      <c r="V61" s="41"/>
      <c r="W61" s="41"/>
      <c r="X61" s="54" t="s">
        <v>506</v>
      </c>
      <c r="Y61" s="43" t="s">
        <v>507</v>
      </c>
      <c r="Z61" s="52"/>
      <c r="AA61" s="52"/>
      <c r="AB61" s="46"/>
      <c r="AC61" s="36"/>
      <c r="AD61" s="47" t="s">
        <v>49</v>
      </c>
      <c r="AE61" s="48" t="s">
        <v>41</v>
      </c>
      <c r="AF61" s="48" t="s">
        <v>41</v>
      </c>
      <c r="AG61" s="48" t="s">
        <v>41</v>
      </c>
      <c r="AH61" s="48" t="s">
        <v>41</v>
      </c>
      <c r="AI61" s="48" t="s">
        <v>49</v>
      </c>
      <c r="AJ61" s="49" t="s">
        <v>49</v>
      </c>
      <c r="AK61" s="48" t="s">
        <v>41</v>
      </c>
      <c r="AL61" s="65" t="s">
        <v>148</v>
      </c>
      <c r="AM61" s="59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1"/>
    </row>
    <row r="62" spans="1:51" x14ac:dyDescent="0.2">
      <c r="A62" s="33">
        <f t="shared" si="1"/>
        <v>57</v>
      </c>
      <c r="B62" s="34" t="s">
        <v>508</v>
      </c>
      <c r="C62" s="35" t="s">
        <v>509</v>
      </c>
      <c r="D62" s="36" t="s">
        <v>510</v>
      </c>
      <c r="E62" s="36" t="s">
        <v>54</v>
      </c>
      <c r="F62" s="34" t="s">
        <v>511</v>
      </c>
      <c r="G62" s="37" t="s">
        <v>176</v>
      </c>
      <c r="H62" s="37" t="s">
        <v>39</v>
      </c>
      <c r="I62" s="38" t="s">
        <v>512</v>
      </c>
      <c r="J62" s="34"/>
      <c r="K62" s="39" t="s">
        <v>42</v>
      </c>
      <c r="L62" s="40" t="s">
        <v>513</v>
      </c>
      <c r="M62" s="41" t="s">
        <v>179</v>
      </c>
      <c r="N62" s="41" t="s">
        <v>341</v>
      </c>
      <c r="O62" s="41" t="s">
        <v>514</v>
      </c>
      <c r="P62" s="41">
        <v>3</v>
      </c>
      <c r="Q62" s="41"/>
      <c r="R62" s="41" t="s">
        <v>44</v>
      </c>
      <c r="S62" s="41"/>
      <c r="T62" s="41"/>
      <c r="U62" s="41"/>
      <c r="V62" s="41"/>
      <c r="W62" s="41"/>
      <c r="X62" s="42" t="s">
        <v>515</v>
      </c>
      <c r="Y62" s="43" t="s">
        <v>516</v>
      </c>
      <c r="Z62" s="43"/>
      <c r="AA62" s="45">
        <v>45642</v>
      </c>
      <c r="AB62" s="46"/>
      <c r="AC62" s="36"/>
      <c r="AD62" s="47" t="s">
        <v>49</v>
      </c>
      <c r="AE62" s="48" t="s">
        <v>41</v>
      </c>
      <c r="AF62" s="48" t="s">
        <v>49</v>
      </c>
      <c r="AG62" s="48" t="s">
        <v>49</v>
      </c>
      <c r="AH62" s="48" t="s">
        <v>49</v>
      </c>
      <c r="AI62" s="48" t="s">
        <v>49</v>
      </c>
      <c r="AJ62" s="49" t="s">
        <v>49</v>
      </c>
      <c r="AK62" s="48" t="s">
        <v>49</v>
      </c>
      <c r="AL62" s="65" t="s">
        <v>32</v>
      </c>
      <c r="AM62" s="59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1"/>
    </row>
    <row r="63" spans="1:51" x14ac:dyDescent="0.2">
      <c r="A63" s="33">
        <f t="shared" si="1"/>
        <v>58</v>
      </c>
      <c r="B63" s="34" t="s">
        <v>517</v>
      </c>
      <c r="C63" s="35" t="s">
        <v>518</v>
      </c>
      <c r="D63" s="36" t="s">
        <v>519</v>
      </c>
      <c r="E63" s="36" t="s">
        <v>54</v>
      </c>
      <c r="F63" s="34" t="s">
        <v>520</v>
      </c>
      <c r="G63" s="37" t="s">
        <v>73</v>
      </c>
      <c r="H63" s="37" t="s">
        <v>73</v>
      </c>
      <c r="I63" s="34" t="s">
        <v>521</v>
      </c>
      <c r="J63" s="34"/>
      <c r="K63" s="39" t="s">
        <v>42</v>
      </c>
      <c r="L63" s="53">
        <v>37176</v>
      </c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2" t="s">
        <v>522</v>
      </c>
      <c r="Y63" s="55" t="s">
        <v>523</v>
      </c>
      <c r="Z63" s="44" t="s">
        <v>61</v>
      </c>
      <c r="AA63" s="45">
        <v>40280</v>
      </c>
      <c r="AB63" s="46" t="s">
        <v>30</v>
      </c>
      <c r="AC63" s="36" t="s">
        <v>26</v>
      </c>
      <c r="AD63" s="47" t="s">
        <v>49</v>
      </c>
      <c r="AE63" s="48" t="s">
        <v>49</v>
      </c>
      <c r="AF63" s="48" t="s">
        <v>49</v>
      </c>
      <c r="AG63" s="48" t="s">
        <v>49</v>
      </c>
      <c r="AH63" s="48" t="s">
        <v>49</v>
      </c>
      <c r="AI63" s="48" t="s">
        <v>49</v>
      </c>
      <c r="AJ63" s="49" t="s">
        <v>49</v>
      </c>
      <c r="AK63" s="48" t="s">
        <v>49</v>
      </c>
      <c r="AL63" s="65" t="s">
        <v>32</v>
      </c>
      <c r="AM63" s="59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1"/>
    </row>
    <row r="64" spans="1:51" x14ac:dyDescent="0.2">
      <c r="A64" s="33">
        <f t="shared" si="1"/>
        <v>59</v>
      </c>
      <c r="B64" s="34" t="s">
        <v>524</v>
      </c>
      <c r="C64" s="35" t="s">
        <v>525</v>
      </c>
      <c r="D64" s="36" t="s">
        <v>526</v>
      </c>
      <c r="E64" s="36" t="s">
        <v>54</v>
      </c>
      <c r="F64" s="34" t="s">
        <v>527</v>
      </c>
      <c r="G64" s="37" t="s">
        <v>528</v>
      </c>
      <c r="H64" s="37" t="s">
        <v>57</v>
      </c>
      <c r="I64" s="38" t="s">
        <v>529</v>
      </c>
      <c r="J64" s="34"/>
      <c r="K64" s="39" t="s">
        <v>42</v>
      </c>
      <c r="L64" s="53" t="s">
        <v>530</v>
      </c>
      <c r="M64" s="41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42" t="s">
        <v>531</v>
      </c>
      <c r="Y64" s="43" t="s">
        <v>532</v>
      </c>
      <c r="Z64" s="44" t="s">
        <v>533</v>
      </c>
      <c r="AA64" s="45">
        <v>44944</v>
      </c>
      <c r="AB64" s="46" t="s">
        <v>30</v>
      </c>
      <c r="AC64" s="36"/>
      <c r="AD64" s="47" t="s">
        <v>49</v>
      </c>
      <c r="AE64" s="48" t="s">
        <v>41</v>
      </c>
      <c r="AF64" s="48" t="s">
        <v>49</v>
      </c>
      <c r="AG64" s="48" t="s">
        <v>49</v>
      </c>
      <c r="AH64" s="48" t="s">
        <v>41</v>
      </c>
      <c r="AI64" s="48" t="s">
        <v>41</v>
      </c>
      <c r="AJ64" s="49" t="s">
        <v>41</v>
      </c>
      <c r="AK64" s="48" t="s">
        <v>41</v>
      </c>
      <c r="AL64" s="62" t="s">
        <v>139</v>
      </c>
      <c r="AM64" s="59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1"/>
    </row>
    <row r="65" spans="1:51" x14ac:dyDescent="0.2">
      <c r="A65" s="33">
        <f t="shared" si="1"/>
        <v>60</v>
      </c>
      <c r="B65" s="34" t="s">
        <v>534</v>
      </c>
      <c r="C65" s="35" t="s">
        <v>535</v>
      </c>
      <c r="D65" s="36" t="s">
        <v>536</v>
      </c>
      <c r="E65" s="36" t="s">
        <v>54</v>
      </c>
      <c r="F65" s="34" t="s">
        <v>537</v>
      </c>
      <c r="G65" s="37" t="s">
        <v>360</v>
      </c>
      <c r="H65" s="37" t="s">
        <v>350</v>
      </c>
      <c r="I65" s="34" t="s">
        <v>538</v>
      </c>
      <c r="J65" s="34" t="s">
        <v>41</v>
      </c>
      <c r="K65" s="39" t="s">
        <v>42</v>
      </c>
      <c r="L65" s="53">
        <v>37718</v>
      </c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2" t="s">
        <v>539</v>
      </c>
      <c r="Y65" s="58" t="s">
        <v>540</v>
      </c>
      <c r="Z65" s="44" t="s">
        <v>541</v>
      </c>
      <c r="AA65" s="45">
        <v>42935</v>
      </c>
      <c r="AB65" s="46" t="s">
        <v>30</v>
      </c>
      <c r="AC65" s="36" t="s">
        <v>26</v>
      </c>
      <c r="AD65" s="47" t="s">
        <v>49</v>
      </c>
      <c r="AE65" s="48" t="s">
        <v>49</v>
      </c>
      <c r="AF65" s="48" t="s">
        <v>49</v>
      </c>
      <c r="AG65" s="48" t="s">
        <v>49</v>
      </c>
      <c r="AH65" s="48" t="s">
        <v>49</v>
      </c>
      <c r="AI65" s="48" t="s">
        <v>49</v>
      </c>
      <c r="AJ65" s="49" t="s">
        <v>49</v>
      </c>
      <c r="AK65" s="48" t="s">
        <v>41</v>
      </c>
      <c r="AL65" s="65" t="s">
        <v>148</v>
      </c>
      <c r="AM65" s="59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1"/>
    </row>
    <row r="66" spans="1:51" x14ac:dyDescent="0.2">
      <c r="A66" s="33">
        <f t="shared" si="1"/>
        <v>61</v>
      </c>
      <c r="B66" s="34" t="s">
        <v>542</v>
      </c>
      <c r="C66" s="35" t="s">
        <v>543</v>
      </c>
      <c r="D66" s="36" t="s">
        <v>544</v>
      </c>
      <c r="E66" s="36" t="s">
        <v>54</v>
      </c>
      <c r="F66" s="34" t="s">
        <v>545</v>
      </c>
      <c r="G66" s="37" t="s">
        <v>350</v>
      </c>
      <c r="H66" s="37" t="s">
        <v>350</v>
      </c>
      <c r="I66" s="34">
        <v>85100503765</v>
      </c>
      <c r="J66" s="34" t="s">
        <v>546</v>
      </c>
      <c r="K66" s="39" t="s">
        <v>42</v>
      </c>
      <c r="L66" s="40" t="s">
        <v>547</v>
      </c>
      <c r="M66" s="41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42" t="s">
        <v>548</v>
      </c>
      <c r="Y66" s="100" t="s">
        <v>549</v>
      </c>
      <c r="Z66" s="44" t="s">
        <v>61</v>
      </c>
      <c r="AA66" s="45">
        <v>40815</v>
      </c>
      <c r="AB66" s="46" t="s">
        <v>30</v>
      </c>
      <c r="AC66" s="36" t="s">
        <v>26</v>
      </c>
      <c r="AD66" s="47" t="s">
        <v>49</v>
      </c>
      <c r="AE66" s="48" t="s">
        <v>49</v>
      </c>
      <c r="AF66" s="48" t="s">
        <v>49</v>
      </c>
      <c r="AG66" s="48" t="s">
        <v>49</v>
      </c>
      <c r="AH66" s="48" t="s">
        <v>49</v>
      </c>
      <c r="AI66" s="48" t="s">
        <v>49</v>
      </c>
      <c r="AJ66" s="49" t="s">
        <v>49</v>
      </c>
      <c r="AK66" s="48" t="s">
        <v>49</v>
      </c>
      <c r="AL66" s="62" t="s">
        <v>32</v>
      </c>
      <c r="AM66" s="59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1"/>
    </row>
    <row r="67" spans="1:51" x14ac:dyDescent="0.2">
      <c r="A67" s="33">
        <f t="shared" si="1"/>
        <v>62</v>
      </c>
      <c r="B67" s="34" t="s">
        <v>550</v>
      </c>
      <c r="C67" s="35" t="s">
        <v>551</v>
      </c>
      <c r="D67" s="36" t="s">
        <v>552</v>
      </c>
      <c r="E67" s="36" t="s">
        <v>54</v>
      </c>
      <c r="F67" s="34" t="s">
        <v>553</v>
      </c>
      <c r="G67" s="37" t="s">
        <v>73</v>
      </c>
      <c r="H67" s="37" t="s">
        <v>73</v>
      </c>
      <c r="I67" s="34" t="s">
        <v>554</v>
      </c>
      <c r="J67" s="34" t="s">
        <v>555</v>
      </c>
      <c r="K67" s="39" t="s">
        <v>42</v>
      </c>
      <c r="L67" s="40" t="s">
        <v>556</v>
      </c>
      <c r="M67" s="41"/>
      <c r="N67" s="41"/>
      <c r="O67" s="41"/>
      <c r="P67" s="41"/>
      <c r="Q67" s="112"/>
      <c r="R67" s="112"/>
      <c r="S67" s="112"/>
      <c r="T67" s="112"/>
      <c r="U67" s="41"/>
      <c r="V67" s="41"/>
      <c r="W67" s="41"/>
      <c r="X67" s="42" t="s">
        <v>557</v>
      </c>
      <c r="Y67" s="69" t="s">
        <v>558</v>
      </c>
      <c r="Z67" s="44" t="s">
        <v>61</v>
      </c>
      <c r="AA67" s="45">
        <v>36803</v>
      </c>
      <c r="AB67" s="46" t="s">
        <v>30</v>
      </c>
      <c r="AC67" s="36" t="s">
        <v>26</v>
      </c>
      <c r="AD67" s="47" t="s">
        <v>49</v>
      </c>
      <c r="AE67" s="48" t="s">
        <v>49</v>
      </c>
      <c r="AF67" s="48" t="s">
        <v>41</v>
      </c>
      <c r="AG67" s="48" t="s">
        <v>41</v>
      </c>
      <c r="AH67" s="48" t="s">
        <v>41</v>
      </c>
      <c r="AI67" s="48" t="s">
        <v>41</v>
      </c>
      <c r="AJ67" s="49" t="s">
        <v>41</v>
      </c>
      <c r="AK67" s="48" t="s">
        <v>41</v>
      </c>
      <c r="AL67" s="62" t="s">
        <v>4587</v>
      </c>
      <c r="AM67" s="59"/>
      <c r="AN67" s="10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1"/>
    </row>
    <row r="68" spans="1:51" x14ac:dyDescent="0.2">
      <c r="A68" s="33">
        <f t="shared" si="1"/>
        <v>63</v>
      </c>
      <c r="B68" s="34" t="s">
        <v>559</v>
      </c>
      <c r="C68" s="35" t="s">
        <v>560</v>
      </c>
      <c r="D68" s="36" t="s">
        <v>561</v>
      </c>
      <c r="E68" s="36" t="s">
        <v>54</v>
      </c>
      <c r="F68" s="34" t="s">
        <v>562</v>
      </c>
      <c r="G68" s="37" t="s">
        <v>39</v>
      </c>
      <c r="H68" s="37" t="s">
        <v>39</v>
      </c>
      <c r="I68" s="38" t="s">
        <v>563</v>
      </c>
      <c r="J68" s="72" t="s">
        <v>41</v>
      </c>
      <c r="K68" s="39" t="s">
        <v>42</v>
      </c>
      <c r="L68" s="53">
        <v>42071</v>
      </c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42" t="s">
        <v>564</v>
      </c>
      <c r="Y68" s="58" t="s">
        <v>565</v>
      </c>
      <c r="Z68" s="44" t="s">
        <v>566</v>
      </c>
      <c r="AA68" s="45">
        <v>42325</v>
      </c>
      <c r="AB68" s="46" t="s">
        <v>30</v>
      </c>
      <c r="AC68" s="36" t="s">
        <v>26</v>
      </c>
      <c r="AD68" s="47" t="s">
        <v>49</v>
      </c>
      <c r="AE68" s="48" t="s">
        <v>49</v>
      </c>
      <c r="AF68" s="48" t="s">
        <v>49</v>
      </c>
      <c r="AG68" s="48" t="s">
        <v>49</v>
      </c>
      <c r="AH68" s="48" t="s">
        <v>49</v>
      </c>
      <c r="AI68" s="48" t="s">
        <v>49</v>
      </c>
      <c r="AJ68" s="49" t="s">
        <v>49</v>
      </c>
      <c r="AK68" s="48" t="s">
        <v>41</v>
      </c>
      <c r="AL68" s="65" t="s">
        <v>148</v>
      </c>
      <c r="AM68" s="59"/>
      <c r="AN68" s="10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1"/>
    </row>
    <row r="69" spans="1:51" x14ac:dyDescent="0.2">
      <c r="A69" s="33">
        <f t="shared" si="1"/>
        <v>64</v>
      </c>
      <c r="B69" s="34" t="s">
        <v>567</v>
      </c>
      <c r="C69" s="35" t="s">
        <v>568</v>
      </c>
      <c r="D69" s="36" t="s">
        <v>569</v>
      </c>
      <c r="E69" s="36" t="s">
        <v>54</v>
      </c>
      <c r="F69" s="34" t="s">
        <v>570</v>
      </c>
      <c r="G69" s="37" t="s">
        <v>73</v>
      </c>
      <c r="H69" s="37" t="s">
        <v>73</v>
      </c>
      <c r="I69" s="38" t="s">
        <v>571</v>
      </c>
      <c r="J69" s="34" t="s">
        <v>41</v>
      </c>
      <c r="K69" s="39" t="s">
        <v>42</v>
      </c>
      <c r="L69" s="40" t="s">
        <v>572</v>
      </c>
      <c r="M69" s="41"/>
      <c r="N69" s="94"/>
      <c r="O69" s="94"/>
      <c r="P69" s="94"/>
      <c r="Q69" s="94"/>
      <c r="R69" s="94"/>
      <c r="S69" s="94"/>
      <c r="T69" s="94" t="s">
        <v>44</v>
      </c>
      <c r="U69" s="94"/>
      <c r="V69" s="94"/>
      <c r="W69" s="94"/>
      <c r="X69" s="42" t="s">
        <v>573</v>
      </c>
      <c r="Y69" s="58" t="s">
        <v>574</v>
      </c>
      <c r="Z69" s="58"/>
      <c r="AA69" s="45">
        <v>45642</v>
      </c>
      <c r="AB69" s="46"/>
      <c r="AC69" s="36"/>
      <c r="AD69" s="47" t="s">
        <v>49</v>
      </c>
      <c r="AE69" s="48" t="s">
        <v>41</v>
      </c>
      <c r="AF69" s="48" t="s">
        <v>41</v>
      </c>
      <c r="AG69" s="48" t="s">
        <v>41</v>
      </c>
      <c r="AH69" s="48" t="s">
        <v>49</v>
      </c>
      <c r="AI69" s="48" t="s">
        <v>49</v>
      </c>
      <c r="AJ69" s="49" t="s">
        <v>41</v>
      </c>
      <c r="AK69" s="48" t="s">
        <v>41</v>
      </c>
      <c r="AL69" s="62" t="s">
        <v>276</v>
      </c>
      <c r="AM69" s="59"/>
      <c r="AN69" s="117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1"/>
    </row>
    <row r="70" spans="1:51" x14ac:dyDescent="0.2">
      <c r="A70" s="33">
        <f t="shared" si="1"/>
        <v>65</v>
      </c>
      <c r="B70" s="34" t="s">
        <v>575</v>
      </c>
      <c r="C70" s="35" t="s">
        <v>576</v>
      </c>
      <c r="D70" s="36" t="s">
        <v>577</v>
      </c>
      <c r="E70" s="36" t="s">
        <v>54</v>
      </c>
      <c r="F70" s="34" t="s">
        <v>578</v>
      </c>
      <c r="G70" s="37" t="s">
        <v>205</v>
      </c>
      <c r="H70" s="37" t="s">
        <v>205</v>
      </c>
      <c r="I70" s="34" t="s">
        <v>579</v>
      </c>
      <c r="J70" s="34"/>
      <c r="K70" s="39" t="s">
        <v>42</v>
      </c>
      <c r="L70" s="53">
        <v>40217</v>
      </c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2" t="s">
        <v>580</v>
      </c>
      <c r="Y70" s="52" t="s">
        <v>581</v>
      </c>
      <c r="Z70" s="44" t="s">
        <v>61</v>
      </c>
      <c r="AA70" s="45">
        <v>40815</v>
      </c>
      <c r="AB70" s="46" t="s">
        <v>30</v>
      </c>
      <c r="AC70" s="36" t="s">
        <v>26</v>
      </c>
      <c r="AD70" s="47" t="s">
        <v>49</v>
      </c>
      <c r="AE70" s="48" t="s">
        <v>49</v>
      </c>
      <c r="AF70" s="48" t="s">
        <v>49</v>
      </c>
      <c r="AG70" s="48" t="s">
        <v>49</v>
      </c>
      <c r="AH70" s="48" t="s">
        <v>49</v>
      </c>
      <c r="AI70" s="48" t="s">
        <v>49</v>
      </c>
      <c r="AJ70" s="49" t="s">
        <v>49</v>
      </c>
      <c r="AK70" s="48" t="s">
        <v>49</v>
      </c>
      <c r="AL70" s="62" t="s">
        <v>32</v>
      </c>
      <c r="AM70" s="59"/>
      <c r="AN70" s="117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1"/>
    </row>
    <row r="71" spans="1:51" x14ac:dyDescent="0.2">
      <c r="A71" s="33">
        <f t="shared" si="1"/>
        <v>66</v>
      </c>
      <c r="B71" s="34" t="s">
        <v>582</v>
      </c>
      <c r="C71" s="35" t="s">
        <v>583</v>
      </c>
      <c r="D71" s="36" t="s">
        <v>584</v>
      </c>
      <c r="E71" s="36" t="s">
        <v>54</v>
      </c>
      <c r="F71" s="34" t="s">
        <v>585</v>
      </c>
      <c r="G71" s="37" t="s">
        <v>205</v>
      </c>
      <c r="H71" s="37" t="s">
        <v>205</v>
      </c>
      <c r="I71" s="34" t="s">
        <v>586</v>
      </c>
      <c r="J71" s="34" t="s">
        <v>587</v>
      </c>
      <c r="K71" s="39" t="s">
        <v>42</v>
      </c>
      <c r="L71" s="53">
        <v>31054</v>
      </c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2" t="s">
        <v>588</v>
      </c>
      <c r="Y71" s="52" t="s">
        <v>589</v>
      </c>
      <c r="Z71" s="44" t="s">
        <v>61</v>
      </c>
      <c r="AA71" s="45">
        <v>39286</v>
      </c>
      <c r="AB71" s="46" t="s">
        <v>30</v>
      </c>
      <c r="AC71" s="36" t="s">
        <v>26</v>
      </c>
      <c r="AD71" s="47" t="s">
        <v>49</v>
      </c>
      <c r="AE71" s="48" t="s">
        <v>49</v>
      </c>
      <c r="AF71" s="48" t="s">
        <v>49</v>
      </c>
      <c r="AG71" s="48" t="s">
        <v>49</v>
      </c>
      <c r="AH71" s="48" t="s">
        <v>49</v>
      </c>
      <c r="AI71" s="48" t="s">
        <v>49</v>
      </c>
      <c r="AJ71" s="49" t="s">
        <v>41</v>
      </c>
      <c r="AK71" s="48" t="s">
        <v>41</v>
      </c>
      <c r="AL71" s="62" t="s">
        <v>276</v>
      </c>
      <c r="AM71" s="59"/>
      <c r="AN71" s="117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1"/>
    </row>
    <row r="72" spans="1:51" x14ac:dyDescent="0.2">
      <c r="A72" s="33">
        <f t="shared" si="1"/>
        <v>67</v>
      </c>
      <c r="B72" s="34" t="s">
        <v>590</v>
      </c>
      <c r="C72" s="35" t="s">
        <v>591</v>
      </c>
      <c r="D72" s="36" t="s">
        <v>592</v>
      </c>
      <c r="E72" s="36" t="s">
        <v>54</v>
      </c>
      <c r="F72" s="34" t="s">
        <v>593</v>
      </c>
      <c r="G72" s="37" t="s">
        <v>323</v>
      </c>
      <c r="H72" s="37" t="s">
        <v>39</v>
      </c>
      <c r="I72" s="34" t="s">
        <v>594</v>
      </c>
      <c r="J72" s="72" t="s">
        <v>41</v>
      </c>
      <c r="K72" s="39" t="s">
        <v>42</v>
      </c>
      <c r="L72" s="53" t="s">
        <v>595</v>
      </c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2" t="s">
        <v>596</v>
      </c>
      <c r="Y72" s="52" t="s">
        <v>597</v>
      </c>
      <c r="Z72" s="52"/>
      <c r="AA72" s="45">
        <v>45642</v>
      </c>
      <c r="AB72" s="46"/>
      <c r="AC72" s="36" t="s">
        <v>26</v>
      </c>
      <c r="AD72" s="47" t="s">
        <v>49</v>
      </c>
      <c r="AE72" s="48" t="s">
        <v>49</v>
      </c>
      <c r="AF72" s="48" t="s">
        <v>49</v>
      </c>
      <c r="AG72" s="48" t="s">
        <v>49</v>
      </c>
      <c r="AH72" s="48" t="s">
        <v>49</v>
      </c>
      <c r="AI72" s="48" t="s">
        <v>49</v>
      </c>
      <c r="AJ72" s="49" t="s">
        <v>49</v>
      </c>
      <c r="AK72" s="48" t="s">
        <v>49</v>
      </c>
      <c r="AL72" s="65" t="s">
        <v>32</v>
      </c>
      <c r="AM72" s="59"/>
      <c r="AN72" s="117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1"/>
    </row>
    <row r="73" spans="1:51" x14ac:dyDescent="0.2">
      <c r="A73" s="33">
        <f t="shared" ref="A73:A136" si="2">+A72+1</f>
        <v>68</v>
      </c>
      <c r="B73" s="34" t="s">
        <v>598</v>
      </c>
      <c r="C73" s="35" t="s">
        <v>599</v>
      </c>
      <c r="D73" s="36" t="s">
        <v>600</v>
      </c>
      <c r="E73" s="36" t="s">
        <v>54</v>
      </c>
      <c r="F73" s="34" t="s">
        <v>601</v>
      </c>
      <c r="G73" s="37" t="s">
        <v>38</v>
      </c>
      <c r="H73" s="37" t="s">
        <v>39</v>
      </c>
      <c r="I73" s="38" t="s">
        <v>602</v>
      </c>
      <c r="J73" s="72" t="s">
        <v>41</v>
      </c>
      <c r="K73" s="39" t="s">
        <v>42</v>
      </c>
      <c r="L73" s="53" t="s">
        <v>603</v>
      </c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42" t="s">
        <v>604</v>
      </c>
      <c r="Y73" s="58" t="s">
        <v>605</v>
      </c>
      <c r="Z73" s="44" t="s">
        <v>606</v>
      </c>
      <c r="AA73" s="45">
        <v>42935</v>
      </c>
      <c r="AB73" s="46" t="s">
        <v>30</v>
      </c>
      <c r="AC73" s="36" t="s">
        <v>26</v>
      </c>
      <c r="AD73" s="47" t="s">
        <v>49</v>
      </c>
      <c r="AE73" s="48" t="s">
        <v>49</v>
      </c>
      <c r="AF73" s="48" t="s">
        <v>49</v>
      </c>
      <c r="AG73" s="48" t="s">
        <v>49</v>
      </c>
      <c r="AH73" s="48" t="s">
        <v>49</v>
      </c>
      <c r="AI73" s="48" t="s">
        <v>49</v>
      </c>
      <c r="AJ73" s="49" t="s">
        <v>49</v>
      </c>
      <c r="AK73" s="48" t="s">
        <v>41</v>
      </c>
      <c r="AL73" s="62" t="s">
        <v>148</v>
      </c>
      <c r="AM73" s="59"/>
      <c r="AN73" s="10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1"/>
    </row>
    <row r="74" spans="1:51" x14ac:dyDescent="0.2">
      <c r="A74" s="33">
        <f t="shared" si="2"/>
        <v>69</v>
      </c>
      <c r="B74" s="34" t="s">
        <v>607</v>
      </c>
      <c r="C74" s="35" t="s">
        <v>608</v>
      </c>
      <c r="D74" s="36" t="s">
        <v>609</v>
      </c>
      <c r="E74" s="36" t="s">
        <v>54</v>
      </c>
      <c r="F74" s="34" t="s">
        <v>610</v>
      </c>
      <c r="G74" s="37" t="s">
        <v>73</v>
      </c>
      <c r="H74" s="37" t="s">
        <v>73</v>
      </c>
      <c r="I74" s="38" t="s">
        <v>611</v>
      </c>
      <c r="J74" s="72" t="s">
        <v>41</v>
      </c>
      <c r="K74" s="39" t="s">
        <v>42</v>
      </c>
      <c r="L74" s="53" t="s">
        <v>352</v>
      </c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42" t="s">
        <v>612</v>
      </c>
      <c r="Y74" s="58" t="s">
        <v>613</v>
      </c>
      <c r="Z74" s="44" t="s">
        <v>614</v>
      </c>
      <c r="AA74" s="45">
        <v>42325</v>
      </c>
      <c r="AB74" s="46" t="s">
        <v>30</v>
      </c>
      <c r="AC74" s="36" t="s">
        <v>26</v>
      </c>
      <c r="AD74" s="47" t="s">
        <v>49</v>
      </c>
      <c r="AE74" s="48" t="s">
        <v>49</v>
      </c>
      <c r="AF74" s="48" t="s">
        <v>49</v>
      </c>
      <c r="AG74" s="48" t="s">
        <v>49</v>
      </c>
      <c r="AH74" s="48" t="s">
        <v>49</v>
      </c>
      <c r="AI74" s="48" t="s">
        <v>49</v>
      </c>
      <c r="AJ74" s="49" t="s">
        <v>41</v>
      </c>
      <c r="AK74" s="48" t="s">
        <v>41</v>
      </c>
      <c r="AL74" s="62" t="s">
        <v>276</v>
      </c>
      <c r="AM74" s="59"/>
      <c r="AN74" s="118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1"/>
    </row>
    <row r="75" spans="1:51" x14ac:dyDescent="0.2">
      <c r="A75" s="33">
        <f t="shared" si="2"/>
        <v>70</v>
      </c>
      <c r="B75" s="34" t="s">
        <v>615</v>
      </c>
      <c r="C75" s="35" t="s">
        <v>616</v>
      </c>
      <c r="D75" s="36" t="s">
        <v>617</v>
      </c>
      <c r="E75" s="36" t="s">
        <v>54</v>
      </c>
      <c r="F75" s="34" t="s">
        <v>618</v>
      </c>
      <c r="G75" s="37" t="s">
        <v>73</v>
      </c>
      <c r="H75" s="37" t="s">
        <v>73</v>
      </c>
      <c r="I75" s="38" t="s">
        <v>619</v>
      </c>
      <c r="J75" s="72" t="s">
        <v>41</v>
      </c>
      <c r="K75" s="39" t="s">
        <v>42</v>
      </c>
      <c r="L75" s="53">
        <v>42134</v>
      </c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42" t="s">
        <v>620</v>
      </c>
      <c r="Y75" s="58" t="s">
        <v>621</v>
      </c>
      <c r="Z75" s="119" t="s">
        <v>622</v>
      </c>
      <c r="AA75" s="45">
        <v>42325</v>
      </c>
      <c r="AB75" s="46" t="s">
        <v>30</v>
      </c>
      <c r="AC75" s="36" t="s">
        <v>26</v>
      </c>
      <c r="AD75" s="47" t="s">
        <v>49</v>
      </c>
      <c r="AE75" s="48" t="s">
        <v>49</v>
      </c>
      <c r="AF75" s="48" t="s">
        <v>49</v>
      </c>
      <c r="AG75" s="48" t="s">
        <v>49</v>
      </c>
      <c r="AH75" s="48" t="s">
        <v>49</v>
      </c>
      <c r="AI75" s="48" t="s">
        <v>41</v>
      </c>
      <c r="AJ75" s="49" t="s">
        <v>41</v>
      </c>
      <c r="AK75" s="48" t="s">
        <v>41</v>
      </c>
      <c r="AL75" s="62" t="s">
        <v>4589</v>
      </c>
      <c r="AM75" s="59"/>
      <c r="AN75" s="118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1"/>
    </row>
    <row r="76" spans="1:51" x14ac:dyDescent="0.2">
      <c r="A76" s="33">
        <f t="shared" si="2"/>
        <v>71</v>
      </c>
      <c r="B76" s="34" t="s">
        <v>623</v>
      </c>
      <c r="C76" s="35" t="s">
        <v>624</v>
      </c>
      <c r="D76" s="36" t="s">
        <v>625</v>
      </c>
      <c r="E76" s="36" t="s">
        <v>54</v>
      </c>
      <c r="F76" s="34" t="s">
        <v>626</v>
      </c>
      <c r="G76" s="37" t="s">
        <v>176</v>
      </c>
      <c r="H76" s="37" t="s">
        <v>39</v>
      </c>
      <c r="I76" s="38" t="s">
        <v>627</v>
      </c>
      <c r="J76" s="72" t="s">
        <v>41</v>
      </c>
      <c r="K76" s="39" t="s">
        <v>42</v>
      </c>
      <c r="L76" s="53" t="s">
        <v>628</v>
      </c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42" t="s">
        <v>629</v>
      </c>
      <c r="Y76" s="58" t="s">
        <v>630</v>
      </c>
      <c r="Z76" s="84" t="s">
        <v>631</v>
      </c>
      <c r="AA76" s="45">
        <v>44650</v>
      </c>
      <c r="AB76" s="46" t="s">
        <v>30</v>
      </c>
      <c r="AC76" s="36" t="s">
        <v>26</v>
      </c>
      <c r="AD76" s="47" t="s">
        <v>49</v>
      </c>
      <c r="AE76" s="48" t="s">
        <v>49</v>
      </c>
      <c r="AF76" s="48" t="s">
        <v>49</v>
      </c>
      <c r="AG76" s="48" t="s">
        <v>49</v>
      </c>
      <c r="AH76" s="48" t="s">
        <v>49</v>
      </c>
      <c r="AI76" s="48" t="s">
        <v>41</v>
      </c>
      <c r="AJ76" s="49" t="s">
        <v>41</v>
      </c>
      <c r="AK76" s="48" t="s">
        <v>41</v>
      </c>
      <c r="AL76" s="62" t="s">
        <v>4589</v>
      </c>
      <c r="AM76" s="59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1"/>
    </row>
    <row r="77" spans="1:51" x14ac:dyDescent="0.2">
      <c r="A77" s="33">
        <f t="shared" si="2"/>
        <v>72</v>
      </c>
      <c r="B77" s="34" t="s">
        <v>632</v>
      </c>
      <c r="C77" s="35" t="s">
        <v>633</v>
      </c>
      <c r="D77" s="36" t="s">
        <v>634</v>
      </c>
      <c r="E77" s="36" t="s">
        <v>54</v>
      </c>
      <c r="F77" s="34" t="s">
        <v>635</v>
      </c>
      <c r="G77" s="37" t="s">
        <v>73</v>
      </c>
      <c r="H77" s="37" t="s">
        <v>73</v>
      </c>
      <c r="I77" s="38" t="s">
        <v>636</v>
      </c>
      <c r="J77" s="72" t="s">
        <v>41</v>
      </c>
      <c r="K77" s="39" t="s">
        <v>42</v>
      </c>
      <c r="L77" s="120">
        <v>45245</v>
      </c>
      <c r="M77" s="115"/>
      <c r="N77" s="115"/>
      <c r="O77" s="115"/>
      <c r="P77" s="115"/>
      <c r="Q77" s="115"/>
      <c r="R77" s="115"/>
      <c r="S77" s="115"/>
      <c r="T77" s="56" t="s">
        <v>44</v>
      </c>
      <c r="U77" s="56"/>
      <c r="V77" s="56"/>
      <c r="W77" s="56"/>
      <c r="X77" s="42" t="s">
        <v>637</v>
      </c>
      <c r="Y77" s="83" t="s">
        <v>638</v>
      </c>
      <c r="Z77" s="121"/>
      <c r="AA77" s="45">
        <v>45642</v>
      </c>
      <c r="AB77" s="101"/>
      <c r="AC77" s="36"/>
      <c r="AD77" s="47" t="s">
        <v>49</v>
      </c>
      <c r="AE77" s="48" t="s">
        <v>41</v>
      </c>
      <c r="AF77" s="48" t="s">
        <v>41</v>
      </c>
      <c r="AG77" s="48" t="s">
        <v>41</v>
      </c>
      <c r="AH77" s="48" t="s">
        <v>49</v>
      </c>
      <c r="AI77" s="48" t="s">
        <v>49</v>
      </c>
      <c r="AJ77" s="49" t="s">
        <v>49</v>
      </c>
      <c r="AK77" s="48" t="s">
        <v>49</v>
      </c>
      <c r="AL77" s="62" t="s">
        <v>32</v>
      </c>
      <c r="AM77" s="59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1"/>
    </row>
    <row r="78" spans="1:51" x14ac:dyDescent="0.2">
      <c r="A78" s="33">
        <f t="shared" si="2"/>
        <v>73</v>
      </c>
      <c r="B78" s="122" t="s">
        <v>639</v>
      </c>
      <c r="C78" s="123" t="s">
        <v>640</v>
      </c>
      <c r="D78" s="124" t="s">
        <v>641</v>
      </c>
      <c r="E78" s="36" t="s">
        <v>54</v>
      </c>
      <c r="F78" s="125" t="s">
        <v>642</v>
      </c>
      <c r="G78" s="126" t="s">
        <v>456</v>
      </c>
      <c r="H78" s="126" t="s">
        <v>187</v>
      </c>
      <c r="I78" s="127" t="s">
        <v>643</v>
      </c>
      <c r="J78" s="122" t="s">
        <v>41</v>
      </c>
      <c r="K78" s="128" t="s">
        <v>42</v>
      </c>
      <c r="L78" s="129" t="s">
        <v>644</v>
      </c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42" t="s">
        <v>645</v>
      </c>
      <c r="Y78" s="58" t="s">
        <v>646</v>
      </c>
      <c r="Z78" s="44" t="s">
        <v>647</v>
      </c>
      <c r="AA78" s="131">
        <v>43200</v>
      </c>
      <c r="AB78" s="132" t="s">
        <v>30</v>
      </c>
      <c r="AC78" s="73" t="s">
        <v>26</v>
      </c>
      <c r="AD78" s="133" t="s">
        <v>49</v>
      </c>
      <c r="AE78" s="48" t="s">
        <v>49</v>
      </c>
      <c r="AF78" s="48" t="s">
        <v>49</v>
      </c>
      <c r="AG78" s="48" t="s">
        <v>49</v>
      </c>
      <c r="AH78" s="48" t="s">
        <v>49</v>
      </c>
      <c r="AI78" s="48" t="s">
        <v>49</v>
      </c>
      <c r="AJ78" s="49" t="s">
        <v>49</v>
      </c>
      <c r="AK78" s="48" t="s">
        <v>49</v>
      </c>
      <c r="AL78" s="62" t="s">
        <v>32</v>
      </c>
      <c r="AM78" s="134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1"/>
    </row>
    <row r="79" spans="1:51" x14ac:dyDescent="0.2">
      <c r="A79" s="33">
        <f t="shared" si="2"/>
        <v>74</v>
      </c>
      <c r="B79" s="122" t="s">
        <v>648</v>
      </c>
      <c r="C79" s="123" t="s">
        <v>649</v>
      </c>
      <c r="D79" s="124" t="s">
        <v>650</v>
      </c>
      <c r="E79" s="36" t="s">
        <v>241</v>
      </c>
      <c r="F79" s="125" t="s">
        <v>651</v>
      </c>
      <c r="G79" s="126" t="s">
        <v>205</v>
      </c>
      <c r="H79" s="126" t="s">
        <v>205</v>
      </c>
      <c r="I79" s="122" t="s">
        <v>652</v>
      </c>
      <c r="J79" s="122" t="s">
        <v>41</v>
      </c>
      <c r="K79" s="128" t="s">
        <v>42</v>
      </c>
      <c r="L79" s="129">
        <v>30353</v>
      </c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5" t="s">
        <v>653</v>
      </c>
      <c r="Y79" s="69" t="s">
        <v>654</v>
      </c>
      <c r="Z79" s="44" t="s">
        <v>61</v>
      </c>
      <c r="AA79" s="131">
        <v>37208</v>
      </c>
      <c r="AB79" s="132" t="s">
        <v>30</v>
      </c>
      <c r="AC79" s="73" t="s">
        <v>26</v>
      </c>
      <c r="AD79" s="133" t="s">
        <v>49</v>
      </c>
      <c r="AE79" s="48" t="s">
        <v>49</v>
      </c>
      <c r="AF79" s="48" t="s">
        <v>41</v>
      </c>
      <c r="AG79" s="48" t="s">
        <v>41</v>
      </c>
      <c r="AH79" s="48" t="s">
        <v>41</v>
      </c>
      <c r="AI79" s="48" t="s">
        <v>41</v>
      </c>
      <c r="AJ79" s="49" t="s">
        <v>41</v>
      </c>
      <c r="AK79" s="48" t="s">
        <v>41</v>
      </c>
      <c r="AL79" s="62" t="s">
        <v>4587</v>
      </c>
      <c r="AM79" s="134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1"/>
    </row>
    <row r="80" spans="1:51" x14ac:dyDescent="0.2">
      <c r="A80" s="33">
        <f t="shared" si="2"/>
        <v>75</v>
      </c>
      <c r="B80" s="34" t="s">
        <v>655</v>
      </c>
      <c r="C80" s="35" t="s">
        <v>656</v>
      </c>
      <c r="D80" s="73" t="s">
        <v>657</v>
      </c>
      <c r="E80" s="36" t="s">
        <v>54</v>
      </c>
      <c r="F80" s="98" t="s">
        <v>658</v>
      </c>
      <c r="G80" s="37" t="s">
        <v>252</v>
      </c>
      <c r="H80" s="37" t="s">
        <v>57</v>
      </c>
      <c r="I80" s="38" t="s">
        <v>659</v>
      </c>
      <c r="J80" s="34"/>
      <c r="K80" s="39" t="s">
        <v>42</v>
      </c>
      <c r="L80" s="53">
        <v>45398</v>
      </c>
      <c r="M80" s="56"/>
      <c r="N80" s="56"/>
      <c r="O80" s="56"/>
      <c r="P80" s="56"/>
      <c r="Q80" s="56"/>
      <c r="R80" s="56"/>
      <c r="S80" s="56"/>
      <c r="T80" s="56"/>
      <c r="U80" s="56" t="s">
        <v>44</v>
      </c>
      <c r="V80" s="56"/>
      <c r="W80" s="56"/>
      <c r="X80" s="54" t="s">
        <v>660</v>
      </c>
      <c r="Y80" s="58" t="s">
        <v>661</v>
      </c>
      <c r="Z80" s="44"/>
      <c r="AA80" s="45"/>
      <c r="AB80" s="46"/>
      <c r="AC80" s="73"/>
      <c r="AD80" s="47" t="s">
        <v>49</v>
      </c>
      <c r="AE80" s="48" t="s">
        <v>41</v>
      </c>
      <c r="AF80" s="48" t="s">
        <v>41</v>
      </c>
      <c r="AG80" s="48" t="s">
        <v>41</v>
      </c>
      <c r="AH80" s="48" t="s">
        <v>41</v>
      </c>
      <c r="AI80" s="48" t="s">
        <v>49</v>
      </c>
      <c r="AJ80" s="49" t="s">
        <v>41</v>
      </c>
      <c r="AK80" s="48" t="s">
        <v>41</v>
      </c>
      <c r="AL80" s="62" t="s">
        <v>276</v>
      </c>
      <c r="AM80" s="59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1"/>
    </row>
    <row r="81" spans="1:51" x14ac:dyDescent="0.2">
      <c r="A81" s="33">
        <f t="shared" si="2"/>
        <v>76</v>
      </c>
      <c r="B81" s="34" t="s">
        <v>662</v>
      </c>
      <c r="C81" s="35" t="s">
        <v>663</v>
      </c>
      <c r="D81" s="73" t="s">
        <v>664</v>
      </c>
      <c r="E81" s="36" t="s">
        <v>36</v>
      </c>
      <c r="F81" s="34" t="s">
        <v>665</v>
      </c>
      <c r="G81" s="37" t="s">
        <v>360</v>
      </c>
      <c r="H81" s="37" t="s">
        <v>350</v>
      </c>
      <c r="I81" s="38" t="s">
        <v>666</v>
      </c>
      <c r="J81" s="34" t="s">
        <v>41</v>
      </c>
      <c r="K81" s="39" t="s">
        <v>42</v>
      </c>
      <c r="L81" s="40" t="s">
        <v>667</v>
      </c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42" t="s">
        <v>668</v>
      </c>
      <c r="Y81" s="58" t="s">
        <v>669</v>
      </c>
      <c r="Z81" s="44" t="s">
        <v>61</v>
      </c>
      <c r="AA81" s="45">
        <v>36803</v>
      </c>
      <c r="AB81" s="46" t="s">
        <v>30</v>
      </c>
      <c r="AC81" s="73"/>
      <c r="AD81" s="47" t="s">
        <v>49</v>
      </c>
      <c r="AE81" s="48" t="s">
        <v>41</v>
      </c>
      <c r="AF81" s="48" t="s">
        <v>41</v>
      </c>
      <c r="AG81" s="48" t="s">
        <v>41</v>
      </c>
      <c r="AH81" s="48" t="s">
        <v>41</v>
      </c>
      <c r="AI81" s="48" t="s">
        <v>41</v>
      </c>
      <c r="AJ81" s="49" t="s">
        <v>41</v>
      </c>
      <c r="AK81" s="48" t="s">
        <v>41</v>
      </c>
      <c r="AL81" s="82" t="s">
        <v>4591</v>
      </c>
      <c r="AM81" s="59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1"/>
    </row>
    <row r="82" spans="1:51" x14ac:dyDescent="0.2">
      <c r="A82" s="33">
        <f t="shared" si="2"/>
        <v>77</v>
      </c>
      <c r="B82" s="34" t="s">
        <v>670</v>
      </c>
      <c r="C82" s="35" t="s">
        <v>671</v>
      </c>
      <c r="D82" s="73" t="s">
        <v>672</v>
      </c>
      <c r="E82" s="36" t="s">
        <v>54</v>
      </c>
      <c r="F82" s="34" t="s">
        <v>673</v>
      </c>
      <c r="G82" s="37" t="s">
        <v>323</v>
      </c>
      <c r="H82" s="37" t="s">
        <v>39</v>
      </c>
      <c r="I82" s="38" t="s">
        <v>674</v>
      </c>
      <c r="J82" s="34" t="s">
        <v>41</v>
      </c>
      <c r="K82" s="39" t="s">
        <v>42</v>
      </c>
      <c r="L82" s="53">
        <v>44318</v>
      </c>
      <c r="M82" s="56"/>
      <c r="N82" s="56"/>
      <c r="O82" s="56"/>
      <c r="P82" s="56"/>
      <c r="Q82" s="56"/>
      <c r="R82" s="56" t="s">
        <v>44</v>
      </c>
      <c r="S82" s="56"/>
      <c r="T82" s="56"/>
      <c r="U82" s="56"/>
      <c r="V82" s="56"/>
      <c r="W82" s="56"/>
      <c r="X82" s="57" t="s">
        <v>675</v>
      </c>
      <c r="Y82" s="58" t="s">
        <v>676</v>
      </c>
      <c r="Z82" s="44"/>
      <c r="AA82" s="45" t="s">
        <v>47</v>
      </c>
      <c r="AB82" s="46"/>
      <c r="AC82" s="73"/>
      <c r="AD82" s="47" t="s">
        <v>49</v>
      </c>
      <c r="AE82" s="48" t="s">
        <v>41</v>
      </c>
      <c r="AF82" s="48" t="s">
        <v>49</v>
      </c>
      <c r="AG82" s="48" t="s">
        <v>49</v>
      </c>
      <c r="AH82" s="48" t="s">
        <v>49</v>
      </c>
      <c r="AI82" s="48" t="s">
        <v>49</v>
      </c>
      <c r="AJ82" s="49" t="s">
        <v>41</v>
      </c>
      <c r="AK82" s="48" t="s">
        <v>41</v>
      </c>
      <c r="AL82" s="62" t="s">
        <v>276</v>
      </c>
      <c r="AM82" s="59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1"/>
    </row>
    <row r="83" spans="1:51" x14ac:dyDescent="0.2">
      <c r="A83" s="33">
        <f t="shared" si="2"/>
        <v>78</v>
      </c>
      <c r="B83" s="34" t="s">
        <v>677</v>
      </c>
      <c r="C83" s="35" t="s">
        <v>678</v>
      </c>
      <c r="D83" s="73" t="s">
        <v>679</v>
      </c>
      <c r="E83" s="36" t="s">
        <v>54</v>
      </c>
      <c r="F83" s="87" t="s">
        <v>680</v>
      </c>
      <c r="G83" s="37" t="s">
        <v>681</v>
      </c>
      <c r="H83" s="37" t="s">
        <v>378</v>
      </c>
      <c r="I83" s="38" t="s">
        <v>682</v>
      </c>
      <c r="J83" s="34" t="s">
        <v>41</v>
      </c>
      <c r="K83" s="39" t="s">
        <v>42</v>
      </c>
      <c r="L83" s="53">
        <v>45264</v>
      </c>
      <c r="M83" s="56"/>
      <c r="N83" s="56"/>
      <c r="O83" s="56"/>
      <c r="P83" s="56"/>
      <c r="Q83" s="56"/>
      <c r="R83" s="56"/>
      <c r="S83" s="56"/>
      <c r="T83" s="56" t="s">
        <v>44</v>
      </c>
      <c r="U83" s="56"/>
      <c r="V83" s="56"/>
      <c r="W83" s="56"/>
      <c r="X83" s="54" t="s">
        <v>683</v>
      </c>
      <c r="Y83" s="58" t="s">
        <v>684</v>
      </c>
      <c r="Z83" s="44"/>
      <c r="AA83" s="45">
        <v>45642</v>
      </c>
      <c r="AB83" s="46"/>
      <c r="AC83" s="73"/>
      <c r="AD83" s="47" t="s">
        <v>49</v>
      </c>
      <c r="AE83" s="48" t="s">
        <v>41</v>
      </c>
      <c r="AF83" s="48" t="s">
        <v>41</v>
      </c>
      <c r="AG83" s="48" t="s">
        <v>41</v>
      </c>
      <c r="AH83" s="48" t="s">
        <v>49</v>
      </c>
      <c r="AI83" s="48" t="s">
        <v>49</v>
      </c>
      <c r="AJ83" s="49" t="s">
        <v>49</v>
      </c>
      <c r="AK83" s="48" t="s">
        <v>49</v>
      </c>
      <c r="AL83" s="62" t="s">
        <v>32</v>
      </c>
      <c r="AM83" s="59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1"/>
    </row>
    <row r="84" spans="1:51" x14ac:dyDescent="0.2">
      <c r="A84" s="33">
        <f t="shared" si="2"/>
        <v>79</v>
      </c>
      <c r="B84" s="34" t="s">
        <v>685</v>
      </c>
      <c r="C84" s="35" t="s">
        <v>686</v>
      </c>
      <c r="D84" s="36" t="s">
        <v>687</v>
      </c>
      <c r="E84" s="36" t="s">
        <v>54</v>
      </c>
      <c r="F84" s="108" t="s">
        <v>688</v>
      </c>
      <c r="G84" s="37" t="s">
        <v>252</v>
      </c>
      <c r="H84" s="37" t="s">
        <v>57</v>
      </c>
      <c r="I84" s="136" t="s">
        <v>689</v>
      </c>
      <c r="J84" s="34" t="s">
        <v>41</v>
      </c>
      <c r="K84" s="39" t="s">
        <v>42</v>
      </c>
      <c r="L84" s="53">
        <v>36895</v>
      </c>
      <c r="M84" s="56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42" t="s">
        <v>690</v>
      </c>
      <c r="Y84" s="43" t="s">
        <v>691</v>
      </c>
      <c r="Z84" s="44" t="s">
        <v>692</v>
      </c>
      <c r="AA84" s="45">
        <v>44041</v>
      </c>
      <c r="AB84" s="46" t="s">
        <v>30</v>
      </c>
      <c r="AC84" s="36" t="s">
        <v>26</v>
      </c>
      <c r="AD84" s="47" t="s">
        <v>49</v>
      </c>
      <c r="AE84" s="48" t="s">
        <v>49</v>
      </c>
      <c r="AF84" s="48" t="s">
        <v>49</v>
      </c>
      <c r="AG84" s="48" t="s">
        <v>49</v>
      </c>
      <c r="AH84" s="48" t="s">
        <v>49</v>
      </c>
      <c r="AI84" s="48" t="s">
        <v>49</v>
      </c>
      <c r="AJ84" s="49" t="s">
        <v>49</v>
      </c>
      <c r="AK84" s="48" t="s">
        <v>49</v>
      </c>
      <c r="AL84" s="65" t="s">
        <v>32</v>
      </c>
      <c r="AM84" s="138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1"/>
    </row>
    <row r="85" spans="1:51" x14ac:dyDescent="0.2">
      <c r="A85" s="33">
        <f t="shared" si="2"/>
        <v>80</v>
      </c>
      <c r="B85" s="139" t="s">
        <v>693</v>
      </c>
      <c r="C85" s="35" t="s">
        <v>694</v>
      </c>
      <c r="D85" s="36" t="s">
        <v>695</v>
      </c>
      <c r="E85" s="36" t="s">
        <v>36</v>
      </c>
      <c r="F85" s="34" t="s">
        <v>696</v>
      </c>
      <c r="G85" s="37" t="s">
        <v>528</v>
      </c>
      <c r="H85" s="37" t="s">
        <v>57</v>
      </c>
      <c r="I85" s="140" t="s">
        <v>697</v>
      </c>
      <c r="J85" s="34" t="s">
        <v>41</v>
      </c>
      <c r="K85" s="39" t="s">
        <v>42</v>
      </c>
      <c r="L85" s="53">
        <v>40497</v>
      </c>
      <c r="M85" s="41"/>
      <c r="N85" s="41"/>
      <c r="O85" s="41"/>
      <c r="P85" s="41"/>
      <c r="Q85" s="112"/>
      <c r="R85" s="112"/>
      <c r="S85" s="112"/>
      <c r="T85" s="41"/>
      <c r="U85" s="41"/>
      <c r="V85" s="41"/>
      <c r="W85" s="41"/>
      <c r="X85" s="42" t="s">
        <v>698</v>
      </c>
      <c r="Y85" s="58" t="s">
        <v>699</v>
      </c>
      <c r="Z85" s="44" t="s">
        <v>700</v>
      </c>
      <c r="AA85" s="45">
        <v>42325</v>
      </c>
      <c r="AB85" s="46" t="s">
        <v>30</v>
      </c>
      <c r="AC85" s="36" t="s">
        <v>26</v>
      </c>
      <c r="AD85" s="47" t="s">
        <v>49</v>
      </c>
      <c r="AE85" s="48" t="s">
        <v>49</v>
      </c>
      <c r="AF85" s="48" t="s">
        <v>49</v>
      </c>
      <c r="AG85" s="48" t="s">
        <v>49</v>
      </c>
      <c r="AH85" s="48" t="s">
        <v>49</v>
      </c>
      <c r="AI85" s="48" t="s">
        <v>49</v>
      </c>
      <c r="AJ85" s="49" t="s">
        <v>49</v>
      </c>
      <c r="AK85" s="48" t="s">
        <v>49</v>
      </c>
      <c r="AL85" s="62" t="s">
        <v>32</v>
      </c>
      <c r="AM85" s="103" t="s">
        <v>41</v>
      </c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1"/>
    </row>
    <row r="86" spans="1:51" x14ac:dyDescent="0.2">
      <c r="A86" s="33">
        <f t="shared" si="2"/>
        <v>81</v>
      </c>
      <c r="B86" s="108" t="s">
        <v>701</v>
      </c>
      <c r="C86" s="35" t="s">
        <v>702</v>
      </c>
      <c r="D86" s="36" t="s">
        <v>703</v>
      </c>
      <c r="E86" s="36" t="s">
        <v>54</v>
      </c>
      <c r="F86" s="34" t="s">
        <v>704</v>
      </c>
      <c r="G86" s="37" t="s">
        <v>73</v>
      </c>
      <c r="H86" s="37" t="s">
        <v>73</v>
      </c>
      <c r="I86" s="140" t="s">
        <v>705</v>
      </c>
      <c r="J86" s="34" t="s">
        <v>41</v>
      </c>
      <c r="K86" s="39" t="s">
        <v>42</v>
      </c>
      <c r="L86" s="53">
        <v>44323</v>
      </c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2" t="s">
        <v>706</v>
      </c>
      <c r="Y86" s="58" t="s">
        <v>707</v>
      </c>
      <c r="Z86" s="44" t="s">
        <v>708</v>
      </c>
      <c r="AA86" s="45">
        <v>44944</v>
      </c>
      <c r="AB86" s="46" t="s">
        <v>30</v>
      </c>
      <c r="AC86" s="36"/>
      <c r="AD86" s="47" t="s">
        <v>49</v>
      </c>
      <c r="AE86" s="48" t="s">
        <v>41</v>
      </c>
      <c r="AF86" s="48" t="s">
        <v>49</v>
      </c>
      <c r="AG86" s="48" t="s">
        <v>49</v>
      </c>
      <c r="AH86" s="48" t="s">
        <v>49</v>
      </c>
      <c r="AI86" s="48" t="s">
        <v>49</v>
      </c>
      <c r="AJ86" s="49" t="s">
        <v>41</v>
      </c>
      <c r="AK86" s="48" t="s">
        <v>41</v>
      </c>
      <c r="AL86" s="62" t="s">
        <v>276</v>
      </c>
      <c r="AM86" s="138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1"/>
    </row>
    <row r="87" spans="1:51" x14ac:dyDescent="0.2">
      <c r="A87" s="33">
        <f t="shared" si="2"/>
        <v>82</v>
      </c>
      <c r="B87" s="139" t="s">
        <v>709</v>
      </c>
      <c r="C87" s="35" t="s">
        <v>710</v>
      </c>
      <c r="D87" s="36" t="s">
        <v>711</v>
      </c>
      <c r="E87" s="36" t="s">
        <v>54</v>
      </c>
      <c r="F87" s="34" t="s">
        <v>712</v>
      </c>
      <c r="G87" s="37" t="s">
        <v>360</v>
      </c>
      <c r="H87" s="37" t="s">
        <v>350</v>
      </c>
      <c r="I87" s="141" t="s">
        <v>713</v>
      </c>
      <c r="J87" s="34" t="s">
        <v>41</v>
      </c>
      <c r="K87" s="39" t="s">
        <v>42</v>
      </c>
      <c r="L87" s="142" t="s">
        <v>714</v>
      </c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42" t="s">
        <v>715</v>
      </c>
      <c r="Y87" s="58" t="s">
        <v>716</v>
      </c>
      <c r="Z87" s="44" t="s">
        <v>717</v>
      </c>
      <c r="AA87" s="45">
        <v>42935</v>
      </c>
      <c r="AB87" s="46" t="s">
        <v>30</v>
      </c>
      <c r="AC87" s="36" t="s">
        <v>26</v>
      </c>
      <c r="AD87" s="47" t="s">
        <v>49</v>
      </c>
      <c r="AE87" s="48" t="s">
        <v>49</v>
      </c>
      <c r="AF87" s="48" t="s">
        <v>49</v>
      </c>
      <c r="AG87" s="48" t="s">
        <v>49</v>
      </c>
      <c r="AH87" s="48" t="s">
        <v>49</v>
      </c>
      <c r="AI87" s="48" t="s">
        <v>49</v>
      </c>
      <c r="AJ87" s="49" t="s">
        <v>41</v>
      </c>
      <c r="AK87" s="48" t="s">
        <v>41</v>
      </c>
      <c r="AL87" s="62" t="s">
        <v>276</v>
      </c>
      <c r="AM87" s="138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1"/>
    </row>
    <row r="88" spans="1:51" x14ac:dyDescent="0.2">
      <c r="A88" s="33">
        <f t="shared" si="2"/>
        <v>83</v>
      </c>
      <c r="B88" s="108" t="s">
        <v>718</v>
      </c>
      <c r="C88" s="35" t="s">
        <v>719</v>
      </c>
      <c r="D88" s="36" t="s">
        <v>720</v>
      </c>
      <c r="E88" s="36" t="s">
        <v>54</v>
      </c>
      <c r="F88" s="34" t="s">
        <v>721</v>
      </c>
      <c r="G88" s="37" t="s">
        <v>360</v>
      </c>
      <c r="H88" s="37" t="s">
        <v>350</v>
      </c>
      <c r="I88" s="143" t="s">
        <v>722</v>
      </c>
      <c r="J88" s="34" t="s">
        <v>41</v>
      </c>
      <c r="K88" s="39" t="s">
        <v>42</v>
      </c>
      <c r="L88" s="142" t="s">
        <v>91</v>
      </c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42" t="s">
        <v>723</v>
      </c>
      <c r="Y88" s="58" t="s">
        <v>724</v>
      </c>
      <c r="Z88" s="119" t="s">
        <v>725</v>
      </c>
      <c r="AA88" s="45">
        <v>43200</v>
      </c>
      <c r="AB88" s="46" t="s">
        <v>30</v>
      </c>
      <c r="AC88" s="36" t="s">
        <v>26</v>
      </c>
      <c r="AD88" s="47" t="s">
        <v>49</v>
      </c>
      <c r="AE88" s="48" t="s">
        <v>49</v>
      </c>
      <c r="AF88" s="48" t="s">
        <v>49</v>
      </c>
      <c r="AG88" s="48" t="s">
        <v>49</v>
      </c>
      <c r="AH88" s="48" t="s">
        <v>49</v>
      </c>
      <c r="AI88" s="48" t="s">
        <v>49</v>
      </c>
      <c r="AJ88" s="49" t="s">
        <v>49</v>
      </c>
      <c r="AK88" s="48" t="s">
        <v>49</v>
      </c>
      <c r="AL88" s="62" t="s">
        <v>32</v>
      </c>
      <c r="AM88" s="59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1"/>
    </row>
    <row r="89" spans="1:51" x14ac:dyDescent="0.2">
      <c r="A89" s="33">
        <f t="shared" si="2"/>
        <v>84</v>
      </c>
      <c r="B89" s="108" t="s">
        <v>726</v>
      </c>
      <c r="C89" s="35" t="s">
        <v>727</v>
      </c>
      <c r="D89" s="36" t="s">
        <v>728</v>
      </c>
      <c r="E89" s="36" t="s">
        <v>54</v>
      </c>
      <c r="F89" s="34" t="s">
        <v>729</v>
      </c>
      <c r="G89" s="37" t="s">
        <v>205</v>
      </c>
      <c r="H89" s="37" t="s">
        <v>205</v>
      </c>
      <c r="I89" s="140" t="s">
        <v>730</v>
      </c>
      <c r="J89" s="34" t="s">
        <v>41</v>
      </c>
      <c r="K89" s="39" t="s">
        <v>42</v>
      </c>
      <c r="L89" s="142" t="s">
        <v>731</v>
      </c>
      <c r="M89" s="56" t="s">
        <v>179</v>
      </c>
      <c r="N89" s="56" t="s">
        <v>179</v>
      </c>
      <c r="O89" s="56"/>
      <c r="P89" s="56">
        <v>2</v>
      </c>
      <c r="Q89" s="56"/>
      <c r="R89" s="56"/>
      <c r="S89" s="56" t="s">
        <v>44</v>
      </c>
      <c r="T89" s="56"/>
      <c r="U89" s="56"/>
      <c r="V89" s="56" t="s">
        <v>732</v>
      </c>
      <c r="W89" s="56"/>
      <c r="X89" s="57" t="s">
        <v>733</v>
      </c>
      <c r="Y89" s="58" t="s">
        <v>734</v>
      </c>
      <c r="Z89" s="144" t="s">
        <v>735</v>
      </c>
      <c r="AA89" s="45">
        <v>44650</v>
      </c>
      <c r="AB89" s="46" t="s">
        <v>129</v>
      </c>
      <c r="AC89" s="36"/>
      <c r="AD89" s="47" t="s">
        <v>49</v>
      </c>
      <c r="AE89" s="48" t="s">
        <v>41</v>
      </c>
      <c r="AF89" s="48" t="s">
        <v>41</v>
      </c>
      <c r="AG89" s="48" t="s">
        <v>49</v>
      </c>
      <c r="AH89" s="48" t="s">
        <v>49</v>
      </c>
      <c r="AI89" s="48" t="s">
        <v>49</v>
      </c>
      <c r="AJ89" s="49" t="s">
        <v>49</v>
      </c>
      <c r="AK89" s="48" t="s">
        <v>41</v>
      </c>
      <c r="AL89" s="62" t="s">
        <v>148</v>
      </c>
      <c r="AM89" s="59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1"/>
    </row>
    <row r="90" spans="1:51" x14ac:dyDescent="0.2">
      <c r="A90" s="33">
        <f t="shared" si="2"/>
        <v>85</v>
      </c>
      <c r="B90" s="108" t="s">
        <v>736</v>
      </c>
      <c r="C90" s="35" t="s">
        <v>737</v>
      </c>
      <c r="D90" s="36" t="s">
        <v>738</v>
      </c>
      <c r="E90" s="36" t="s">
        <v>36</v>
      </c>
      <c r="F90" s="34" t="s">
        <v>739</v>
      </c>
      <c r="G90" s="37" t="s">
        <v>73</v>
      </c>
      <c r="H90" s="37" t="s">
        <v>73</v>
      </c>
      <c r="I90" s="140" t="s">
        <v>740</v>
      </c>
      <c r="J90" s="34" t="s">
        <v>41</v>
      </c>
      <c r="K90" s="39" t="s">
        <v>42</v>
      </c>
      <c r="L90" s="142">
        <v>45310</v>
      </c>
      <c r="M90" s="56" t="s">
        <v>179</v>
      </c>
      <c r="N90" s="56" t="s">
        <v>179</v>
      </c>
      <c r="O90" s="56"/>
      <c r="P90" s="56">
        <v>1</v>
      </c>
      <c r="Q90" s="56" t="s">
        <v>179</v>
      </c>
      <c r="R90" s="56"/>
      <c r="S90" s="56"/>
      <c r="T90" s="56"/>
      <c r="U90" s="56" t="s">
        <v>44</v>
      </c>
      <c r="V90" s="56"/>
      <c r="W90" s="56"/>
      <c r="X90" s="145" t="s">
        <v>741</v>
      </c>
      <c r="Y90" s="58" t="s">
        <v>742</v>
      </c>
      <c r="Z90" s="121"/>
      <c r="AA90" s="45"/>
      <c r="AB90" s="46"/>
      <c r="AC90" s="36"/>
      <c r="AD90" s="47" t="s">
        <v>49</v>
      </c>
      <c r="AE90" s="48" t="s">
        <v>41</v>
      </c>
      <c r="AF90" s="48" t="s">
        <v>41</v>
      </c>
      <c r="AG90" s="48" t="s">
        <v>41</v>
      </c>
      <c r="AH90" s="48" t="s">
        <v>41</v>
      </c>
      <c r="AI90" s="48" t="s">
        <v>49</v>
      </c>
      <c r="AJ90" s="49" t="s">
        <v>41</v>
      </c>
      <c r="AK90" s="48" t="s">
        <v>41</v>
      </c>
      <c r="AL90" s="62" t="s">
        <v>276</v>
      </c>
      <c r="AM90" s="59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1"/>
    </row>
    <row r="91" spans="1:51" x14ac:dyDescent="0.2">
      <c r="A91" s="33">
        <f t="shared" si="2"/>
        <v>86</v>
      </c>
      <c r="B91" s="108" t="s">
        <v>743</v>
      </c>
      <c r="C91" s="35" t="s">
        <v>744</v>
      </c>
      <c r="D91" s="36" t="s">
        <v>745</v>
      </c>
      <c r="E91" s="36" t="s">
        <v>54</v>
      </c>
      <c r="F91" s="34" t="s">
        <v>746</v>
      </c>
      <c r="G91" s="37" t="s">
        <v>747</v>
      </c>
      <c r="H91" s="37" t="s">
        <v>378</v>
      </c>
      <c r="I91" s="140" t="s">
        <v>748</v>
      </c>
      <c r="J91" s="34" t="s">
        <v>41</v>
      </c>
      <c r="K91" s="39" t="s">
        <v>42</v>
      </c>
      <c r="L91" s="142" t="s">
        <v>749</v>
      </c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42" t="s">
        <v>750</v>
      </c>
      <c r="Y91" s="58" t="s">
        <v>751</v>
      </c>
      <c r="Z91" s="44" t="s">
        <v>752</v>
      </c>
      <c r="AA91" s="45">
        <v>44041</v>
      </c>
      <c r="AB91" s="46" t="s">
        <v>30</v>
      </c>
      <c r="AC91" s="36" t="s">
        <v>26</v>
      </c>
      <c r="AD91" s="47" t="s">
        <v>49</v>
      </c>
      <c r="AE91" s="48" t="s">
        <v>49</v>
      </c>
      <c r="AF91" s="48" t="s">
        <v>49</v>
      </c>
      <c r="AG91" s="48" t="s">
        <v>49</v>
      </c>
      <c r="AH91" s="48" t="s">
        <v>49</v>
      </c>
      <c r="AI91" s="48" t="s">
        <v>49</v>
      </c>
      <c r="AJ91" s="49" t="s">
        <v>49</v>
      </c>
      <c r="AK91" s="48" t="s">
        <v>49</v>
      </c>
      <c r="AL91" s="65" t="s">
        <v>32</v>
      </c>
      <c r="AM91" s="59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1"/>
    </row>
    <row r="92" spans="1:51" x14ac:dyDescent="0.2">
      <c r="A92" s="33">
        <f t="shared" si="2"/>
        <v>87</v>
      </c>
      <c r="B92" s="108" t="s">
        <v>753</v>
      </c>
      <c r="C92" s="35" t="s">
        <v>754</v>
      </c>
      <c r="D92" s="36" t="s">
        <v>755</v>
      </c>
      <c r="E92" s="36" t="s">
        <v>54</v>
      </c>
      <c r="F92" s="34" t="s">
        <v>756</v>
      </c>
      <c r="G92" s="37" t="s">
        <v>398</v>
      </c>
      <c r="H92" s="37" t="s">
        <v>205</v>
      </c>
      <c r="I92" s="140" t="s">
        <v>757</v>
      </c>
      <c r="J92" s="34" t="s">
        <v>41</v>
      </c>
      <c r="K92" s="39" t="s">
        <v>42</v>
      </c>
      <c r="L92" s="142" t="s">
        <v>758</v>
      </c>
      <c r="M92" s="56"/>
      <c r="N92" s="56"/>
      <c r="O92" s="56"/>
      <c r="P92" s="56"/>
      <c r="Q92" s="56"/>
      <c r="R92" s="56"/>
      <c r="S92" s="56"/>
      <c r="T92" s="56" t="s">
        <v>44</v>
      </c>
      <c r="U92" s="56"/>
      <c r="V92" s="56"/>
      <c r="W92" s="56"/>
      <c r="X92" s="42" t="s">
        <v>759</v>
      </c>
      <c r="Y92" s="58" t="s">
        <v>760</v>
      </c>
      <c r="Z92" s="44"/>
      <c r="AA92" s="45">
        <v>45642</v>
      </c>
      <c r="AB92" s="46"/>
      <c r="AC92" s="36"/>
      <c r="AD92" s="47" t="s">
        <v>49</v>
      </c>
      <c r="AE92" s="48" t="s">
        <v>41</v>
      </c>
      <c r="AF92" s="48" t="s">
        <v>41</v>
      </c>
      <c r="AG92" s="48" t="s">
        <v>41</v>
      </c>
      <c r="AH92" s="48" t="s">
        <v>49</v>
      </c>
      <c r="AI92" s="48" t="s">
        <v>49</v>
      </c>
      <c r="AJ92" s="49" t="s">
        <v>41</v>
      </c>
      <c r="AK92" s="48" t="s">
        <v>41</v>
      </c>
      <c r="AL92" s="65" t="s">
        <v>276</v>
      </c>
      <c r="AM92" s="59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1"/>
    </row>
    <row r="93" spans="1:51" x14ac:dyDescent="0.2">
      <c r="A93" s="33">
        <f t="shared" si="2"/>
        <v>88</v>
      </c>
      <c r="B93" s="34" t="s">
        <v>761</v>
      </c>
      <c r="C93" s="35" t="s">
        <v>762</v>
      </c>
      <c r="D93" s="36" t="s">
        <v>763</v>
      </c>
      <c r="E93" s="36" t="s">
        <v>54</v>
      </c>
      <c r="F93" s="34" t="s">
        <v>764</v>
      </c>
      <c r="G93" s="37" t="s">
        <v>176</v>
      </c>
      <c r="H93" s="37" t="s">
        <v>39</v>
      </c>
      <c r="I93" s="38" t="s">
        <v>765</v>
      </c>
      <c r="J93" s="34" t="s">
        <v>41</v>
      </c>
      <c r="K93" s="39" t="s">
        <v>42</v>
      </c>
      <c r="L93" s="40" t="s">
        <v>766</v>
      </c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42" t="s">
        <v>767</v>
      </c>
      <c r="Y93" s="58" t="s">
        <v>768</v>
      </c>
      <c r="Z93" s="44" t="s">
        <v>769</v>
      </c>
      <c r="AA93" s="45">
        <v>44944</v>
      </c>
      <c r="AB93" s="46" t="s">
        <v>30</v>
      </c>
      <c r="AC93" s="36" t="s">
        <v>26</v>
      </c>
      <c r="AD93" s="47" t="s">
        <v>49</v>
      </c>
      <c r="AE93" s="48" t="s">
        <v>49</v>
      </c>
      <c r="AF93" s="48" t="s">
        <v>49</v>
      </c>
      <c r="AG93" s="48" t="s">
        <v>49</v>
      </c>
      <c r="AH93" s="48" t="s">
        <v>49</v>
      </c>
      <c r="AI93" s="48" t="s">
        <v>49</v>
      </c>
      <c r="AJ93" s="49" t="s">
        <v>49</v>
      </c>
      <c r="AK93" s="48" t="s">
        <v>49</v>
      </c>
      <c r="AL93" s="62" t="s">
        <v>32</v>
      </c>
      <c r="AM93" s="59"/>
      <c r="AN93" s="32"/>
      <c r="AO93" s="32"/>
      <c r="AP93" s="32"/>
      <c r="AQ93" s="32">
        <f>2026-2062</f>
        <v>-36</v>
      </c>
      <c r="AR93" s="32"/>
      <c r="AS93" s="32"/>
      <c r="AT93" s="32"/>
      <c r="AU93" s="32"/>
      <c r="AV93" s="32"/>
      <c r="AW93" s="32"/>
      <c r="AX93" s="32"/>
      <c r="AY93" s="31"/>
    </row>
    <row r="94" spans="1:51" x14ac:dyDescent="0.2">
      <c r="A94" s="33">
        <f t="shared" si="2"/>
        <v>89</v>
      </c>
      <c r="B94" s="34" t="s">
        <v>770</v>
      </c>
      <c r="C94" s="35" t="s">
        <v>771</v>
      </c>
      <c r="D94" s="36" t="s">
        <v>772</v>
      </c>
      <c r="E94" s="36" t="s">
        <v>54</v>
      </c>
      <c r="F94" s="34" t="s">
        <v>773</v>
      </c>
      <c r="G94" s="37" t="s">
        <v>252</v>
      </c>
      <c r="H94" s="37" t="s">
        <v>57</v>
      </c>
      <c r="I94" s="38" t="s">
        <v>774</v>
      </c>
      <c r="J94" s="34" t="s">
        <v>41</v>
      </c>
      <c r="K94" s="39" t="s">
        <v>42</v>
      </c>
      <c r="L94" s="53">
        <v>44938</v>
      </c>
      <c r="M94" s="56"/>
      <c r="N94" s="56"/>
      <c r="O94" s="56"/>
      <c r="P94" s="56"/>
      <c r="Q94" s="56"/>
      <c r="R94" s="56"/>
      <c r="S94" s="56"/>
      <c r="T94" s="56" t="s">
        <v>44</v>
      </c>
      <c r="U94" s="56"/>
      <c r="V94" s="56"/>
      <c r="W94" s="56"/>
      <c r="X94" s="38" t="s">
        <v>775</v>
      </c>
      <c r="Y94" s="58" t="s">
        <v>776</v>
      </c>
      <c r="Z94" s="44" t="s">
        <v>777</v>
      </c>
      <c r="AA94" s="45">
        <v>42325</v>
      </c>
      <c r="AB94" s="46" t="s">
        <v>30</v>
      </c>
      <c r="AC94" s="36"/>
      <c r="AD94" s="47" t="s">
        <v>49</v>
      </c>
      <c r="AE94" s="48" t="s">
        <v>41</v>
      </c>
      <c r="AF94" s="48" t="s">
        <v>41</v>
      </c>
      <c r="AG94" s="48" t="s">
        <v>41</v>
      </c>
      <c r="AH94" s="48" t="s">
        <v>49</v>
      </c>
      <c r="AI94" s="48" t="s">
        <v>49</v>
      </c>
      <c r="AJ94" s="49" t="s">
        <v>49</v>
      </c>
      <c r="AK94" s="48" t="s">
        <v>49</v>
      </c>
      <c r="AL94" s="62" t="s">
        <v>32</v>
      </c>
      <c r="AM94" s="59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1"/>
    </row>
    <row r="95" spans="1:51" x14ac:dyDescent="0.2">
      <c r="A95" s="33">
        <f t="shared" si="2"/>
        <v>90</v>
      </c>
      <c r="B95" s="34" t="s">
        <v>778</v>
      </c>
      <c r="C95" s="35" t="s">
        <v>779</v>
      </c>
      <c r="D95" s="36" t="s">
        <v>780</v>
      </c>
      <c r="E95" s="36" t="s">
        <v>54</v>
      </c>
      <c r="F95" s="34" t="s">
        <v>781</v>
      </c>
      <c r="G95" s="37" t="s">
        <v>176</v>
      </c>
      <c r="H95" s="37" t="s">
        <v>39</v>
      </c>
      <c r="I95" s="38" t="s">
        <v>782</v>
      </c>
      <c r="J95" s="34" t="s">
        <v>41</v>
      </c>
      <c r="K95" s="39" t="s">
        <v>42</v>
      </c>
      <c r="L95" s="40" t="s">
        <v>783</v>
      </c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42" t="s">
        <v>784</v>
      </c>
      <c r="Y95" s="58" t="s">
        <v>785</v>
      </c>
      <c r="Z95" s="44" t="s">
        <v>786</v>
      </c>
      <c r="AA95" s="45">
        <v>44944</v>
      </c>
      <c r="AB95" s="46" t="s">
        <v>30</v>
      </c>
      <c r="AC95" s="36" t="s">
        <v>26</v>
      </c>
      <c r="AD95" s="47" t="s">
        <v>49</v>
      </c>
      <c r="AE95" s="48" t="s">
        <v>49</v>
      </c>
      <c r="AF95" s="48" t="s">
        <v>41</v>
      </c>
      <c r="AG95" s="48" t="s">
        <v>41</v>
      </c>
      <c r="AH95" s="48" t="s">
        <v>41</v>
      </c>
      <c r="AI95" s="48" t="s">
        <v>41</v>
      </c>
      <c r="AJ95" s="49" t="s">
        <v>41</v>
      </c>
      <c r="AK95" s="48" t="s">
        <v>41</v>
      </c>
      <c r="AL95" s="62" t="s">
        <v>4587</v>
      </c>
      <c r="AM95" s="59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1"/>
    </row>
    <row r="96" spans="1:51" x14ac:dyDescent="0.2">
      <c r="A96" s="33">
        <f t="shared" si="2"/>
        <v>91</v>
      </c>
      <c r="B96" s="34" t="s">
        <v>787</v>
      </c>
      <c r="C96" s="35" t="s">
        <v>788</v>
      </c>
      <c r="D96" s="36" t="s">
        <v>789</v>
      </c>
      <c r="E96" s="36" t="s">
        <v>54</v>
      </c>
      <c r="F96" s="34" t="s">
        <v>790</v>
      </c>
      <c r="G96" s="37" t="s">
        <v>38</v>
      </c>
      <c r="H96" s="37" t="s">
        <v>39</v>
      </c>
      <c r="I96" s="34" t="s">
        <v>791</v>
      </c>
      <c r="J96" s="34" t="s">
        <v>41</v>
      </c>
      <c r="K96" s="39" t="s">
        <v>42</v>
      </c>
      <c r="L96" s="40" t="s">
        <v>792</v>
      </c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42" t="s">
        <v>793</v>
      </c>
      <c r="Y96" s="52" t="s">
        <v>794</v>
      </c>
      <c r="Z96" s="44" t="s">
        <v>795</v>
      </c>
      <c r="AA96" s="45">
        <v>44041</v>
      </c>
      <c r="AB96" s="46" t="s">
        <v>30</v>
      </c>
      <c r="AC96" s="36" t="s">
        <v>26</v>
      </c>
      <c r="AD96" s="47" t="s">
        <v>49</v>
      </c>
      <c r="AE96" s="48" t="s">
        <v>49</v>
      </c>
      <c r="AF96" s="48" t="s">
        <v>49</v>
      </c>
      <c r="AG96" s="48" t="s">
        <v>49</v>
      </c>
      <c r="AH96" s="48" t="s">
        <v>49</v>
      </c>
      <c r="AI96" s="48" t="s">
        <v>49</v>
      </c>
      <c r="AJ96" s="49" t="s">
        <v>49</v>
      </c>
      <c r="AK96" s="48" t="s">
        <v>49</v>
      </c>
      <c r="AL96" s="65" t="s">
        <v>32</v>
      </c>
      <c r="AM96" s="59"/>
      <c r="AN96" s="10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1"/>
    </row>
    <row r="97" spans="1:51" x14ac:dyDescent="0.2">
      <c r="A97" s="33">
        <f t="shared" si="2"/>
        <v>92</v>
      </c>
      <c r="B97" s="34" t="s">
        <v>796</v>
      </c>
      <c r="C97" s="35" t="s">
        <v>797</v>
      </c>
      <c r="D97" s="36" t="s">
        <v>4606</v>
      </c>
      <c r="E97" s="36" t="s">
        <v>36</v>
      </c>
      <c r="F97" s="34" t="s">
        <v>798</v>
      </c>
      <c r="G97" s="37" t="s">
        <v>39</v>
      </c>
      <c r="H97" s="37" t="s">
        <v>39</v>
      </c>
      <c r="I97" s="38" t="s">
        <v>799</v>
      </c>
      <c r="J97" s="34" t="s">
        <v>41</v>
      </c>
      <c r="K97" s="39" t="s">
        <v>42</v>
      </c>
      <c r="L97" s="40" t="s">
        <v>800</v>
      </c>
      <c r="M97" s="56" t="s">
        <v>179</v>
      </c>
      <c r="N97" s="56"/>
      <c r="O97" s="56"/>
      <c r="P97" s="56"/>
      <c r="Q97" s="56"/>
      <c r="R97" s="56"/>
      <c r="S97" s="56"/>
      <c r="T97" s="56"/>
      <c r="U97" s="56"/>
      <c r="V97" s="56"/>
      <c r="W97" s="56" t="s">
        <v>732</v>
      </c>
      <c r="X97" s="42" t="s">
        <v>801</v>
      </c>
      <c r="Y97" s="55" t="s">
        <v>802</v>
      </c>
      <c r="Z97" s="44" t="s">
        <v>61</v>
      </c>
      <c r="AA97" s="45">
        <v>43200</v>
      </c>
      <c r="AB97" s="46" t="s">
        <v>30</v>
      </c>
      <c r="AC97" s="36" t="s">
        <v>26</v>
      </c>
      <c r="AD97" s="47" t="s">
        <v>49</v>
      </c>
      <c r="AE97" s="48" t="s">
        <v>49</v>
      </c>
      <c r="AF97" s="48" t="s">
        <v>49</v>
      </c>
      <c r="AG97" s="48" t="s">
        <v>49</v>
      </c>
      <c r="AH97" s="48" t="s">
        <v>49</v>
      </c>
      <c r="AI97" s="48" t="s">
        <v>49</v>
      </c>
      <c r="AJ97" s="49" t="s">
        <v>49</v>
      </c>
      <c r="AK97" s="48" t="s">
        <v>49</v>
      </c>
      <c r="AL97" s="62" t="s">
        <v>32</v>
      </c>
      <c r="AM97" s="59"/>
      <c r="AN97" s="10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1"/>
    </row>
    <row r="98" spans="1:51" x14ac:dyDescent="0.2">
      <c r="A98" s="33">
        <f t="shared" si="2"/>
        <v>93</v>
      </c>
      <c r="B98" s="34" t="s">
        <v>803</v>
      </c>
      <c r="C98" s="35" t="s">
        <v>804</v>
      </c>
      <c r="D98" s="36" t="s">
        <v>805</v>
      </c>
      <c r="E98" s="36" t="s">
        <v>54</v>
      </c>
      <c r="F98" s="34" t="s">
        <v>806</v>
      </c>
      <c r="G98" s="37" t="s">
        <v>73</v>
      </c>
      <c r="H98" s="37" t="s">
        <v>73</v>
      </c>
      <c r="I98" s="34" t="s">
        <v>807</v>
      </c>
      <c r="J98" s="34" t="s">
        <v>41</v>
      </c>
      <c r="K98" s="39" t="s">
        <v>42</v>
      </c>
      <c r="L98" s="40" t="s">
        <v>808</v>
      </c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2" t="s">
        <v>809</v>
      </c>
      <c r="Y98" s="52" t="s">
        <v>810</v>
      </c>
      <c r="Z98" s="44" t="s">
        <v>61</v>
      </c>
      <c r="AA98" s="45">
        <v>40815</v>
      </c>
      <c r="AB98" s="46" t="s">
        <v>30</v>
      </c>
      <c r="AC98" s="36" t="s">
        <v>26</v>
      </c>
      <c r="AD98" s="47" t="s">
        <v>49</v>
      </c>
      <c r="AE98" s="48" t="s">
        <v>49</v>
      </c>
      <c r="AF98" s="48" t="s">
        <v>49</v>
      </c>
      <c r="AG98" s="48" t="s">
        <v>49</v>
      </c>
      <c r="AH98" s="48" t="s">
        <v>49</v>
      </c>
      <c r="AI98" s="48" t="s">
        <v>49</v>
      </c>
      <c r="AJ98" s="49" t="s">
        <v>49</v>
      </c>
      <c r="AK98" s="48" t="s">
        <v>49</v>
      </c>
      <c r="AL98" s="62" t="s">
        <v>32</v>
      </c>
      <c r="AM98" s="59"/>
      <c r="AN98" s="10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1"/>
    </row>
    <row r="99" spans="1:51" x14ac:dyDescent="0.2">
      <c r="A99" s="33">
        <f t="shared" si="2"/>
        <v>94</v>
      </c>
      <c r="B99" s="34" t="s">
        <v>811</v>
      </c>
      <c r="C99" s="35" t="s">
        <v>812</v>
      </c>
      <c r="D99" s="73" t="s">
        <v>813</v>
      </c>
      <c r="E99" s="36" t="s">
        <v>54</v>
      </c>
      <c r="F99" s="98" t="s">
        <v>814</v>
      </c>
      <c r="G99" s="37" t="s">
        <v>360</v>
      </c>
      <c r="H99" s="37" t="s">
        <v>350</v>
      </c>
      <c r="I99" s="34" t="s">
        <v>815</v>
      </c>
      <c r="J99" s="34" t="s">
        <v>41</v>
      </c>
      <c r="K99" s="39" t="s">
        <v>42</v>
      </c>
      <c r="L99" s="53" t="s">
        <v>816</v>
      </c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42" t="s">
        <v>817</v>
      </c>
      <c r="Y99" s="69" t="s">
        <v>818</v>
      </c>
      <c r="Z99" s="44" t="s">
        <v>819</v>
      </c>
      <c r="AA99" s="45">
        <v>43200</v>
      </c>
      <c r="AB99" s="46" t="s">
        <v>30</v>
      </c>
      <c r="AC99" s="73" t="s">
        <v>26</v>
      </c>
      <c r="AD99" s="47" t="s">
        <v>49</v>
      </c>
      <c r="AE99" s="48" t="s">
        <v>49</v>
      </c>
      <c r="AF99" s="48" t="s">
        <v>49</v>
      </c>
      <c r="AG99" s="48" t="s">
        <v>49</v>
      </c>
      <c r="AH99" s="48" t="s">
        <v>49</v>
      </c>
      <c r="AI99" s="49" t="s">
        <v>41</v>
      </c>
      <c r="AJ99" s="49" t="s">
        <v>41</v>
      </c>
      <c r="AK99" s="48" t="s">
        <v>41</v>
      </c>
      <c r="AL99" s="62" t="s">
        <v>4589</v>
      </c>
      <c r="AM99" s="59"/>
      <c r="AN99" s="10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1"/>
    </row>
    <row r="100" spans="1:51" x14ac:dyDescent="0.2">
      <c r="A100" s="33">
        <f t="shared" si="2"/>
        <v>95</v>
      </c>
      <c r="B100" s="34" t="s">
        <v>820</v>
      </c>
      <c r="C100" s="35" t="s">
        <v>821</v>
      </c>
      <c r="D100" s="36" t="s">
        <v>822</v>
      </c>
      <c r="E100" s="36" t="s">
        <v>54</v>
      </c>
      <c r="F100" s="34" t="s">
        <v>823</v>
      </c>
      <c r="G100" s="37" t="s">
        <v>528</v>
      </c>
      <c r="H100" s="37" t="s">
        <v>57</v>
      </c>
      <c r="I100" s="38" t="s">
        <v>824</v>
      </c>
      <c r="J100" s="34" t="s">
        <v>41</v>
      </c>
      <c r="K100" s="39" t="s">
        <v>42</v>
      </c>
      <c r="L100" s="40" t="s">
        <v>825</v>
      </c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2" t="s">
        <v>826</v>
      </c>
      <c r="Y100" s="52" t="s">
        <v>827</v>
      </c>
      <c r="Z100" s="44" t="s">
        <v>828</v>
      </c>
      <c r="AA100" s="45">
        <v>44041</v>
      </c>
      <c r="AB100" s="46" t="s">
        <v>30</v>
      </c>
      <c r="AC100" s="36" t="s">
        <v>26</v>
      </c>
      <c r="AD100" s="47" t="s">
        <v>49</v>
      </c>
      <c r="AE100" s="48" t="s">
        <v>49</v>
      </c>
      <c r="AF100" s="48" t="s">
        <v>49</v>
      </c>
      <c r="AG100" s="48" t="s">
        <v>49</v>
      </c>
      <c r="AH100" s="48" t="s">
        <v>49</v>
      </c>
      <c r="AI100" s="48" t="s">
        <v>49</v>
      </c>
      <c r="AJ100" s="49" t="s">
        <v>49</v>
      </c>
      <c r="AK100" s="48" t="s">
        <v>41</v>
      </c>
      <c r="AL100" s="62" t="s">
        <v>148</v>
      </c>
      <c r="AM100" s="59"/>
      <c r="AN100" s="10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1"/>
    </row>
    <row r="101" spans="1:51" x14ac:dyDescent="0.2">
      <c r="A101" s="33">
        <f t="shared" si="2"/>
        <v>96</v>
      </c>
      <c r="B101" s="34" t="s">
        <v>829</v>
      </c>
      <c r="C101" s="35" t="s">
        <v>4618</v>
      </c>
      <c r="D101" s="36" t="s">
        <v>830</v>
      </c>
      <c r="E101" s="36" t="s">
        <v>54</v>
      </c>
      <c r="F101" s="34" t="s">
        <v>831</v>
      </c>
      <c r="G101" s="37" t="s">
        <v>747</v>
      </c>
      <c r="H101" s="37" t="s">
        <v>378</v>
      </c>
      <c r="I101" s="38" t="s">
        <v>832</v>
      </c>
      <c r="J101" s="34" t="s">
        <v>41</v>
      </c>
      <c r="K101" s="39" t="s">
        <v>42</v>
      </c>
      <c r="L101" s="40" t="s">
        <v>833</v>
      </c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42" t="s">
        <v>834</v>
      </c>
      <c r="Y101" s="58" t="s">
        <v>835</v>
      </c>
      <c r="Z101" s="44" t="s">
        <v>836</v>
      </c>
      <c r="AA101" s="45">
        <v>41793</v>
      </c>
      <c r="AB101" s="46" t="s">
        <v>30</v>
      </c>
      <c r="AC101" s="36" t="s">
        <v>26</v>
      </c>
      <c r="AD101" s="47" t="s">
        <v>49</v>
      </c>
      <c r="AE101" s="48" t="s">
        <v>49</v>
      </c>
      <c r="AF101" s="48" t="s">
        <v>49</v>
      </c>
      <c r="AG101" s="48" t="s">
        <v>49</v>
      </c>
      <c r="AH101" s="48" t="s">
        <v>49</v>
      </c>
      <c r="AI101" s="48" t="s">
        <v>49</v>
      </c>
      <c r="AJ101" s="49" t="s">
        <v>49</v>
      </c>
      <c r="AK101" s="48" t="s">
        <v>49</v>
      </c>
      <c r="AL101" s="62" t="s">
        <v>32</v>
      </c>
      <c r="AM101" s="59"/>
      <c r="AN101" s="10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1"/>
    </row>
    <row r="102" spans="1:51" x14ac:dyDescent="0.2">
      <c r="A102" s="33">
        <f t="shared" si="2"/>
        <v>97</v>
      </c>
      <c r="B102" s="34" t="s">
        <v>837</v>
      </c>
      <c r="C102" s="35" t="s">
        <v>838</v>
      </c>
      <c r="D102" s="36" t="s">
        <v>839</v>
      </c>
      <c r="E102" s="36" t="s">
        <v>54</v>
      </c>
      <c r="F102" s="34" t="s">
        <v>840</v>
      </c>
      <c r="G102" s="37" t="s">
        <v>38</v>
      </c>
      <c r="H102" s="37" t="s">
        <v>39</v>
      </c>
      <c r="I102" s="34" t="s">
        <v>841</v>
      </c>
      <c r="J102" s="38" t="s">
        <v>842</v>
      </c>
      <c r="K102" s="39" t="s">
        <v>42</v>
      </c>
      <c r="L102" s="40" t="s">
        <v>843</v>
      </c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2" t="s">
        <v>844</v>
      </c>
      <c r="Y102" s="100" t="s">
        <v>845</v>
      </c>
      <c r="Z102" s="44" t="s">
        <v>61</v>
      </c>
      <c r="AA102" s="45">
        <v>40280</v>
      </c>
      <c r="AB102" s="46" t="s">
        <v>30</v>
      </c>
      <c r="AC102" s="36" t="s">
        <v>26</v>
      </c>
      <c r="AD102" s="47" t="s">
        <v>49</v>
      </c>
      <c r="AE102" s="48" t="s">
        <v>49</v>
      </c>
      <c r="AF102" s="48" t="s">
        <v>49</v>
      </c>
      <c r="AG102" s="48" t="s">
        <v>49</v>
      </c>
      <c r="AH102" s="48" t="s">
        <v>49</v>
      </c>
      <c r="AI102" s="48" t="s">
        <v>49</v>
      </c>
      <c r="AJ102" s="49" t="s">
        <v>41</v>
      </c>
      <c r="AK102" s="48" t="s">
        <v>41</v>
      </c>
      <c r="AL102" s="62" t="s">
        <v>276</v>
      </c>
      <c r="AM102" s="59"/>
      <c r="AN102" s="10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1"/>
    </row>
    <row r="103" spans="1:51" x14ac:dyDescent="0.2">
      <c r="A103" s="33">
        <f t="shared" si="2"/>
        <v>98</v>
      </c>
      <c r="B103" s="34" t="s">
        <v>846</v>
      </c>
      <c r="C103" s="35" t="s">
        <v>847</v>
      </c>
      <c r="D103" s="36" t="s">
        <v>848</v>
      </c>
      <c r="E103" s="36" t="s">
        <v>54</v>
      </c>
      <c r="F103" s="34" t="s">
        <v>849</v>
      </c>
      <c r="G103" s="37" t="s">
        <v>73</v>
      </c>
      <c r="H103" s="37" t="s">
        <v>73</v>
      </c>
      <c r="I103" s="38" t="s">
        <v>850</v>
      </c>
      <c r="J103" s="38" t="s">
        <v>41</v>
      </c>
      <c r="K103" s="39" t="s">
        <v>42</v>
      </c>
      <c r="L103" s="40" t="s">
        <v>851</v>
      </c>
      <c r="M103" s="41"/>
      <c r="N103" s="41"/>
      <c r="O103" s="41"/>
      <c r="P103" s="41"/>
      <c r="Q103" s="41"/>
      <c r="R103" s="41"/>
      <c r="S103" s="41"/>
      <c r="T103" s="41" t="s">
        <v>44</v>
      </c>
      <c r="U103" s="41"/>
      <c r="V103" s="41"/>
      <c r="W103" s="41"/>
      <c r="X103" s="42" t="s">
        <v>852</v>
      </c>
      <c r="Y103" s="146" t="s">
        <v>853</v>
      </c>
      <c r="Z103" s="44"/>
      <c r="AA103" s="45">
        <v>45642</v>
      </c>
      <c r="AB103" s="46"/>
      <c r="AC103" s="36"/>
      <c r="AD103" s="47" t="s">
        <v>49</v>
      </c>
      <c r="AE103" s="48" t="s">
        <v>41</v>
      </c>
      <c r="AF103" s="48" t="s">
        <v>41</v>
      </c>
      <c r="AG103" s="48" t="s">
        <v>41</v>
      </c>
      <c r="AH103" s="48" t="s">
        <v>49</v>
      </c>
      <c r="AI103" s="48" t="s">
        <v>49</v>
      </c>
      <c r="AJ103" s="49" t="s">
        <v>49</v>
      </c>
      <c r="AK103" s="48" t="s">
        <v>49</v>
      </c>
      <c r="AL103" s="62" t="s">
        <v>32</v>
      </c>
      <c r="AM103" s="59"/>
      <c r="AN103" s="102" t="s">
        <v>2569</v>
      </c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1"/>
    </row>
    <row r="104" spans="1:51" x14ac:dyDescent="0.2">
      <c r="A104" s="33">
        <f t="shared" si="2"/>
        <v>99</v>
      </c>
      <c r="B104" s="34" t="s">
        <v>854</v>
      </c>
      <c r="C104" s="35" t="s">
        <v>855</v>
      </c>
      <c r="D104" s="104" t="s">
        <v>856</v>
      </c>
      <c r="E104" s="36" t="s">
        <v>36</v>
      </c>
      <c r="F104" s="34" t="s">
        <v>857</v>
      </c>
      <c r="G104" s="37" t="s">
        <v>858</v>
      </c>
      <c r="H104" s="37" t="s">
        <v>57</v>
      </c>
      <c r="I104" s="38" t="s">
        <v>859</v>
      </c>
      <c r="J104" s="38" t="s">
        <v>41</v>
      </c>
      <c r="K104" s="39" t="s">
        <v>42</v>
      </c>
      <c r="L104" s="53">
        <v>45078</v>
      </c>
      <c r="M104" s="41"/>
      <c r="N104" s="41"/>
      <c r="O104" s="41"/>
      <c r="P104" s="41"/>
      <c r="Q104" s="41"/>
      <c r="R104" s="41"/>
      <c r="S104" s="41"/>
      <c r="T104" s="41" t="s">
        <v>44</v>
      </c>
      <c r="U104" s="41"/>
      <c r="V104" s="41"/>
      <c r="W104" s="41"/>
      <c r="X104" s="42" t="s">
        <v>860</v>
      </c>
      <c r="Y104" s="100" t="s">
        <v>861</v>
      </c>
      <c r="Z104" s="44" t="s">
        <v>862</v>
      </c>
      <c r="AA104" s="45">
        <v>44944</v>
      </c>
      <c r="AB104" s="101" t="s">
        <v>30</v>
      </c>
      <c r="AC104" s="36"/>
      <c r="AD104" s="47" t="s">
        <v>49</v>
      </c>
      <c r="AE104" s="48" t="s">
        <v>41</v>
      </c>
      <c r="AF104" s="48" t="s">
        <v>41</v>
      </c>
      <c r="AG104" s="48" t="s">
        <v>41</v>
      </c>
      <c r="AH104" s="48" t="s">
        <v>49</v>
      </c>
      <c r="AI104" s="48" t="s">
        <v>41</v>
      </c>
      <c r="AJ104" s="49" t="s">
        <v>41</v>
      </c>
      <c r="AK104" s="48" t="s">
        <v>41</v>
      </c>
      <c r="AL104" s="62" t="s">
        <v>4589</v>
      </c>
      <c r="AM104" s="59"/>
      <c r="AN104" s="10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1"/>
    </row>
    <row r="105" spans="1:51" x14ac:dyDescent="0.2">
      <c r="A105" s="33">
        <f t="shared" si="2"/>
        <v>100</v>
      </c>
      <c r="B105" s="34" t="s">
        <v>863</v>
      </c>
      <c r="C105" s="35" t="s">
        <v>864</v>
      </c>
      <c r="D105" s="109" t="s">
        <v>865</v>
      </c>
      <c r="E105" s="36" t="s">
        <v>54</v>
      </c>
      <c r="F105" s="108" t="s">
        <v>866</v>
      </c>
      <c r="G105" s="37" t="s">
        <v>73</v>
      </c>
      <c r="H105" s="37" t="s">
        <v>73</v>
      </c>
      <c r="I105" s="108" t="s">
        <v>867</v>
      </c>
      <c r="J105" s="108" t="s">
        <v>868</v>
      </c>
      <c r="K105" s="39" t="s">
        <v>42</v>
      </c>
      <c r="L105" s="40" t="s">
        <v>869</v>
      </c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42" t="s">
        <v>870</v>
      </c>
      <c r="Y105" s="58" t="s">
        <v>871</v>
      </c>
      <c r="Z105" s="44" t="s">
        <v>872</v>
      </c>
      <c r="AA105" s="45">
        <v>44041</v>
      </c>
      <c r="AB105" s="46" t="s">
        <v>30</v>
      </c>
      <c r="AC105" s="109" t="s">
        <v>26</v>
      </c>
      <c r="AD105" s="47" t="s">
        <v>49</v>
      </c>
      <c r="AE105" s="48" t="s">
        <v>49</v>
      </c>
      <c r="AF105" s="48" t="s">
        <v>49</v>
      </c>
      <c r="AG105" s="48" t="s">
        <v>49</v>
      </c>
      <c r="AH105" s="48" t="s">
        <v>49</v>
      </c>
      <c r="AI105" s="48" t="s">
        <v>49</v>
      </c>
      <c r="AJ105" s="49" t="s">
        <v>41</v>
      </c>
      <c r="AK105" s="48" t="s">
        <v>41</v>
      </c>
      <c r="AL105" s="62" t="s">
        <v>276</v>
      </c>
      <c r="AM105" s="59"/>
      <c r="AN105" s="10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1"/>
    </row>
    <row r="106" spans="1:51" x14ac:dyDescent="0.2">
      <c r="A106" s="33">
        <f t="shared" si="2"/>
        <v>101</v>
      </c>
      <c r="B106" s="34" t="s">
        <v>873</v>
      </c>
      <c r="C106" s="35" t="s">
        <v>874</v>
      </c>
      <c r="D106" s="73" t="s">
        <v>875</v>
      </c>
      <c r="E106" s="36" t="s">
        <v>54</v>
      </c>
      <c r="F106" s="98" t="s">
        <v>876</v>
      </c>
      <c r="G106" s="37" t="s">
        <v>398</v>
      </c>
      <c r="H106" s="37" t="s">
        <v>205</v>
      </c>
      <c r="I106" s="34" t="s">
        <v>877</v>
      </c>
      <c r="J106" s="34" t="s">
        <v>41</v>
      </c>
      <c r="K106" s="39" t="s">
        <v>42</v>
      </c>
      <c r="L106" s="40" t="s">
        <v>878</v>
      </c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42" t="s">
        <v>879</v>
      </c>
      <c r="Y106" s="55" t="s">
        <v>880</v>
      </c>
      <c r="Z106" s="44" t="s">
        <v>881</v>
      </c>
      <c r="AA106" s="45">
        <v>42935</v>
      </c>
      <c r="AB106" s="46" t="s">
        <v>30</v>
      </c>
      <c r="AC106" s="73" t="s">
        <v>26</v>
      </c>
      <c r="AD106" s="47" t="s">
        <v>49</v>
      </c>
      <c r="AE106" s="48" t="s">
        <v>49</v>
      </c>
      <c r="AF106" s="48" t="s">
        <v>49</v>
      </c>
      <c r="AG106" s="48" t="s">
        <v>49</v>
      </c>
      <c r="AH106" s="48" t="s">
        <v>49</v>
      </c>
      <c r="AI106" s="48" t="s">
        <v>49</v>
      </c>
      <c r="AJ106" s="49" t="s">
        <v>49</v>
      </c>
      <c r="AK106" s="48" t="s">
        <v>49</v>
      </c>
      <c r="AL106" s="65" t="s">
        <v>32</v>
      </c>
      <c r="AM106" s="59"/>
      <c r="AN106" s="10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1"/>
    </row>
    <row r="107" spans="1:51" x14ac:dyDescent="0.2">
      <c r="A107" s="33">
        <f t="shared" si="2"/>
        <v>102</v>
      </c>
      <c r="B107" s="34" t="s">
        <v>882</v>
      </c>
      <c r="C107" s="35" t="s">
        <v>883</v>
      </c>
      <c r="D107" s="36" t="s">
        <v>884</v>
      </c>
      <c r="E107" s="36" t="s">
        <v>54</v>
      </c>
      <c r="F107" s="34" t="s">
        <v>885</v>
      </c>
      <c r="G107" s="37" t="s">
        <v>176</v>
      </c>
      <c r="H107" s="37" t="s">
        <v>39</v>
      </c>
      <c r="I107" s="34" t="s">
        <v>886</v>
      </c>
      <c r="J107" s="34" t="s">
        <v>41</v>
      </c>
      <c r="K107" s="39" t="s">
        <v>42</v>
      </c>
      <c r="L107" s="40" t="s">
        <v>887</v>
      </c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2" t="s">
        <v>888</v>
      </c>
      <c r="Y107" s="58" t="s">
        <v>889</v>
      </c>
      <c r="Z107" s="44" t="s">
        <v>61</v>
      </c>
      <c r="AA107" s="45">
        <v>38593</v>
      </c>
      <c r="AB107" s="46" t="s">
        <v>30</v>
      </c>
      <c r="AC107" s="36"/>
      <c r="AD107" s="47" t="s">
        <v>49</v>
      </c>
      <c r="AE107" s="48" t="s">
        <v>41</v>
      </c>
      <c r="AF107" s="48" t="s">
        <v>41</v>
      </c>
      <c r="AG107" s="48" t="s">
        <v>41</v>
      </c>
      <c r="AH107" s="48" t="s">
        <v>41</v>
      </c>
      <c r="AI107" s="48" t="s">
        <v>41</v>
      </c>
      <c r="AJ107" s="49" t="s">
        <v>41</v>
      </c>
      <c r="AK107" s="48" t="s">
        <v>41</v>
      </c>
      <c r="AL107" s="82" t="s">
        <v>4592</v>
      </c>
      <c r="AM107" s="59" t="s">
        <v>890</v>
      </c>
      <c r="AN107" s="10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1"/>
    </row>
    <row r="108" spans="1:51" x14ac:dyDescent="0.2">
      <c r="A108" s="33">
        <f t="shared" si="2"/>
        <v>103</v>
      </c>
      <c r="B108" s="34" t="s">
        <v>891</v>
      </c>
      <c r="C108" s="35" t="s">
        <v>892</v>
      </c>
      <c r="D108" s="36" t="s">
        <v>893</v>
      </c>
      <c r="E108" s="36" t="s">
        <v>36</v>
      </c>
      <c r="F108" s="87" t="s">
        <v>894</v>
      </c>
      <c r="G108" s="37" t="s">
        <v>176</v>
      </c>
      <c r="H108" s="37" t="s">
        <v>39</v>
      </c>
      <c r="I108" s="34" t="s">
        <v>895</v>
      </c>
      <c r="J108" s="34" t="s">
        <v>41</v>
      </c>
      <c r="K108" s="39" t="s">
        <v>42</v>
      </c>
      <c r="L108" s="40" t="s">
        <v>896</v>
      </c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42" t="s">
        <v>897</v>
      </c>
      <c r="Y108" s="58" t="s">
        <v>898</v>
      </c>
      <c r="Z108" s="44" t="s">
        <v>899</v>
      </c>
      <c r="AA108" s="45">
        <v>42325</v>
      </c>
      <c r="AB108" s="46" t="s">
        <v>30</v>
      </c>
      <c r="AC108" s="36"/>
      <c r="AD108" s="47" t="s">
        <v>49</v>
      </c>
      <c r="AE108" s="48" t="s">
        <v>41</v>
      </c>
      <c r="AF108" s="48" t="s">
        <v>41</v>
      </c>
      <c r="AG108" s="48" t="s">
        <v>41</v>
      </c>
      <c r="AH108" s="48" t="s">
        <v>41</v>
      </c>
      <c r="AI108" s="48" t="s">
        <v>41</v>
      </c>
      <c r="AJ108" s="49" t="s">
        <v>41</v>
      </c>
      <c r="AK108" s="48" t="s">
        <v>41</v>
      </c>
      <c r="AL108" s="65" t="s">
        <v>4588</v>
      </c>
      <c r="AM108" s="59"/>
      <c r="AN108" s="117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1"/>
    </row>
    <row r="109" spans="1:51" x14ac:dyDescent="0.2">
      <c r="A109" s="33">
        <f t="shared" si="2"/>
        <v>104</v>
      </c>
      <c r="B109" s="34" t="s">
        <v>900</v>
      </c>
      <c r="C109" s="35" t="s">
        <v>901</v>
      </c>
      <c r="D109" s="36" t="s">
        <v>902</v>
      </c>
      <c r="E109" s="36" t="s">
        <v>54</v>
      </c>
      <c r="F109" s="34" t="s">
        <v>903</v>
      </c>
      <c r="G109" s="37" t="s">
        <v>73</v>
      </c>
      <c r="H109" s="37" t="s">
        <v>73</v>
      </c>
      <c r="I109" s="34" t="s">
        <v>904</v>
      </c>
      <c r="J109" s="34" t="s">
        <v>905</v>
      </c>
      <c r="K109" s="39" t="s">
        <v>42</v>
      </c>
      <c r="L109" s="53">
        <v>37051</v>
      </c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2" t="s">
        <v>906</v>
      </c>
      <c r="Y109" s="52" t="s">
        <v>907</v>
      </c>
      <c r="Z109" s="44" t="s">
        <v>908</v>
      </c>
      <c r="AA109" s="45">
        <v>42325</v>
      </c>
      <c r="AB109" s="46" t="s">
        <v>30</v>
      </c>
      <c r="AC109" s="36" t="s">
        <v>26</v>
      </c>
      <c r="AD109" s="47" t="s">
        <v>49</v>
      </c>
      <c r="AE109" s="48" t="s">
        <v>49</v>
      </c>
      <c r="AF109" s="48" t="s">
        <v>49</v>
      </c>
      <c r="AG109" s="48" t="s">
        <v>49</v>
      </c>
      <c r="AH109" s="48" t="s">
        <v>49</v>
      </c>
      <c r="AI109" s="48" t="s">
        <v>41</v>
      </c>
      <c r="AJ109" s="49" t="s">
        <v>41</v>
      </c>
      <c r="AK109" s="48" t="s">
        <v>41</v>
      </c>
      <c r="AL109" s="62" t="s">
        <v>4589</v>
      </c>
      <c r="AM109" s="59"/>
      <c r="AN109" s="10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1"/>
    </row>
    <row r="110" spans="1:51" x14ac:dyDescent="0.2">
      <c r="A110" s="33">
        <f t="shared" si="2"/>
        <v>105</v>
      </c>
      <c r="B110" s="34" t="s">
        <v>909</v>
      </c>
      <c r="C110" s="35" t="s">
        <v>910</v>
      </c>
      <c r="D110" s="36" t="s">
        <v>911</v>
      </c>
      <c r="E110" s="36" t="s">
        <v>54</v>
      </c>
      <c r="F110" s="108" t="s">
        <v>912</v>
      </c>
      <c r="G110" s="37" t="s">
        <v>73</v>
      </c>
      <c r="H110" s="37" t="s">
        <v>73</v>
      </c>
      <c r="I110" s="34" t="s">
        <v>913</v>
      </c>
      <c r="J110" s="34" t="s">
        <v>914</v>
      </c>
      <c r="K110" s="39" t="s">
        <v>42</v>
      </c>
      <c r="L110" s="40" t="s">
        <v>915</v>
      </c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42" t="s">
        <v>916</v>
      </c>
      <c r="Y110" s="58" t="s">
        <v>917</v>
      </c>
      <c r="Z110" s="44"/>
      <c r="AA110" s="45" t="s">
        <v>47</v>
      </c>
      <c r="AB110" s="46"/>
      <c r="AC110" s="36">
        <v>1</v>
      </c>
      <c r="AD110" s="47" t="s">
        <v>49</v>
      </c>
      <c r="AE110" s="48" t="s">
        <v>41</v>
      </c>
      <c r="AF110" s="48" t="s">
        <v>41</v>
      </c>
      <c r="AG110" s="48" t="s">
        <v>41</v>
      </c>
      <c r="AH110" s="48" t="s">
        <v>41</v>
      </c>
      <c r="AI110" s="48" t="s">
        <v>41</v>
      </c>
      <c r="AJ110" s="49" t="s">
        <v>41</v>
      </c>
      <c r="AK110" s="48" t="s">
        <v>41</v>
      </c>
      <c r="AL110" s="65" t="s">
        <v>4591</v>
      </c>
      <c r="AM110" s="59"/>
      <c r="AN110" s="10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1"/>
    </row>
    <row r="111" spans="1:51" x14ac:dyDescent="0.2">
      <c r="A111" s="33">
        <f t="shared" si="2"/>
        <v>106</v>
      </c>
      <c r="B111" s="34" t="s">
        <v>918</v>
      </c>
      <c r="C111" s="35" t="s">
        <v>919</v>
      </c>
      <c r="D111" s="36" t="s">
        <v>920</v>
      </c>
      <c r="E111" s="36" t="s">
        <v>54</v>
      </c>
      <c r="F111" s="34" t="s">
        <v>921</v>
      </c>
      <c r="G111" s="37" t="s">
        <v>73</v>
      </c>
      <c r="H111" s="37" t="s">
        <v>73</v>
      </c>
      <c r="I111" s="38" t="s">
        <v>922</v>
      </c>
      <c r="J111" s="34" t="s">
        <v>41</v>
      </c>
      <c r="K111" s="39" t="s">
        <v>42</v>
      </c>
      <c r="L111" s="120">
        <v>44478</v>
      </c>
      <c r="M111" s="112"/>
      <c r="N111" s="112"/>
      <c r="O111" s="112"/>
      <c r="P111" s="112"/>
      <c r="Q111" s="112"/>
      <c r="R111" s="112"/>
      <c r="S111" s="112"/>
      <c r="T111" s="41"/>
      <c r="U111" s="41"/>
      <c r="V111" s="41"/>
      <c r="W111" s="41"/>
      <c r="X111" s="42" t="s">
        <v>923</v>
      </c>
      <c r="Y111" s="43" t="s">
        <v>924</v>
      </c>
      <c r="Z111" s="44" t="s">
        <v>925</v>
      </c>
      <c r="AA111" s="45">
        <v>44944</v>
      </c>
      <c r="AB111" s="101" t="s">
        <v>30</v>
      </c>
      <c r="AC111" s="36"/>
      <c r="AD111" s="47" t="s">
        <v>49</v>
      </c>
      <c r="AE111" s="48" t="s">
        <v>41</v>
      </c>
      <c r="AF111" s="48" t="s">
        <v>49</v>
      </c>
      <c r="AG111" s="48" t="s">
        <v>49</v>
      </c>
      <c r="AH111" s="48" t="s">
        <v>49</v>
      </c>
      <c r="AI111" s="48" t="s">
        <v>49</v>
      </c>
      <c r="AJ111" s="49" t="s">
        <v>49</v>
      </c>
      <c r="AK111" s="48" t="s">
        <v>49</v>
      </c>
      <c r="AL111" s="62" t="s">
        <v>32</v>
      </c>
      <c r="AM111" s="59"/>
      <c r="AN111" s="10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1"/>
    </row>
    <row r="112" spans="1:51" x14ac:dyDescent="0.2">
      <c r="A112" s="33">
        <f t="shared" si="2"/>
        <v>107</v>
      </c>
      <c r="B112" s="107" t="s">
        <v>926</v>
      </c>
      <c r="C112" s="35" t="s">
        <v>927</v>
      </c>
      <c r="D112" s="36" t="s">
        <v>928</v>
      </c>
      <c r="E112" s="36" t="s">
        <v>54</v>
      </c>
      <c r="F112" s="34" t="s">
        <v>929</v>
      </c>
      <c r="G112" s="37" t="s">
        <v>73</v>
      </c>
      <c r="H112" s="37" t="s">
        <v>73</v>
      </c>
      <c r="I112" s="107" t="s">
        <v>930</v>
      </c>
      <c r="J112" s="34" t="s">
        <v>931</v>
      </c>
      <c r="K112" s="39" t="s">
        <v>42</v>
      </c>
      <c r="L112" s="99" t="s">
        <v>932</v>
      </c>
      <c r="M112" s="115"/>
      <c r="N112" s="147"/>
      <c r="O112" s="147"/>
      <c r="P112" s="147"/>
      <c r="Q112" s="147"/>
      <c r="R112" s="147"/>
      <c r="S112" s="147"/>
      <c r="T112" s="115"/>
      <c r="U112" s="56"/>
      <c r="V112" s="56"/>
      <c r="W112" s="56"/>
      <c r="X112" s="42" t="s">
        <v>933</v>
      </c>
      <c r="Y112" s="58" t="s">
        <v>934</v>
      </c>
      <c r="Z112" s="44" t="s">
        <v>61</v>
      </c>
      <c r="AA112" s="45">
        <v>40815</v>
      </c>
      <c r="AB112" s="148" t="s">
        <v>30</v>
      </c>
      <c r="AC112" s="36" t="s">
        <v>26</v>
      </c>
      <c r="AD112" s="47" t="s">
        <v>49</v>
      </c>
      <c r="AE112" s="48" t="s">
        <v>49</v>
      </c>
      <c r="AF112" s="48" t="s">
        <v>49</v>
      </c>
      <c r="AG112" s="48" t="s">
        <v>49</v>
      </c>
      <c r="AH112" s="48" t="s">
        <v>49</v>
      </c>
      <c r="AI112" s="48" t="s">
        <v>49</v>
      </c>
      <c r="AJ112" s="49" t="s">
        <v>49</v>
      </c>
      <c r="AK112" s="48" t="s">
        <v>41</v>
      </c>
      <c r="AL112" s="62" t="s">
        <v>148</v>
      </c>
      <c r="AM112" s="59"/>
      <c r="AN112" s="10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1"/>
    </row>
    <row r="113" spans="1:51" x14ac:dyDescent="0.2">
      <c r="A113" s="33">
        <f t="shared" si="2"/>
        <v>108</v>
      </c>
      <c r="B113" s="149" t="s">
        <v>935</v>
      </c>
      <c r="C113" s="150" t="s">
        <v>936</v>
      </c>
      <c r="D113" s="73" t="s">
        <v>937</v>
      </c>
      <c r="E113" s="36" t="s">
        <v>54</v>
      </c>
      <c r="F113" s="52" t="s">
        <v>938</v>
      </c>
      <c r="G113" s="151" t="s">
        <v>939</v>
      </c>
      <c r="H113" s="151" t="s">
        <v>205</v>
      </c>
      <c r="I113" s="113" t="s">
        <v>940</v>
      </c>
      <c r="J113" s="34"/>
      <c r="K113" s="39" t="s">
        <v>42</v>
      </c>
      <c r="L113" s="152" t="s">
        <v>941</v>
      </c>
      <c r="M113" s="115" t="s">
        <v>179</v>
      </c>
      <c r="N113" s="147" t="s">
        <v>179</v>
      </c>
      <c r="O113" s="147"/>
      <c r="P113" s="147">
        <v>6</v>
      </c>
      <c r="Q113" s="147" t="s">
        <v>942</v>
      </c>
      <c r="R113" s="147"/>
      <c r="S113" s="147"/>
      <c r="T113" s="115"/>
      <c r="U113" s="56"/>
      <c r="V113" s="56"/>
      <c r="W113" s="56"/>
      <c r="X113" s="42" t="s">
        <v>943</v>
      </c>
      <c r="Y113" s="58" t="s">
        <v>944</v>
      </c>
      <c r="Z113" s="44" t="s">
        <v>945</v>
      </c>
      <c r="AA113" s="153">
        <v>43200</v>
      </c>
      <c r="AB113" s="101" t="s">
        <v>30</v>
      </c>
      <c r="AC113" s="73">
        <v>1</v>
      </c>
      <c r="AD113" s="47" t="s">
        <v>49</v>
      </c>
      <c r="AE113" s="48" t="s">
        <v>41</v>
      </c>
      <c r="AF113" s="48" t="s">
        <v>41</v>
      </c>
      <c r="AG113" s="48" t="s">
        <v>41</v>
      </c>
      <c r="AH113" s="48" t="s">
        <v>41</v>
      </c>
      <c r="AI113" s="48" t="s">
        <v>41</v>
      </c>
      <c r="AJ113" s="49" t="s">
        <v>41</v>
      </c>
      <c r="AK113" s="48" t="s">
        <v>41</v>
      </c>
      <c r="AL113" s="82" t="s">
        <v>4592</v>
      </c>
      <c r="AM113" s="59"/>
      <c r="AN113" s="10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1"/>
    </row>
    <row r="114" spans="1:51" x14ac:dyDescent="0.2">
      <c r="A114" s="33">
        <f t="shared" si="2"/>
        <v>109</v>
      </c>
      <c r="B114" s="34" t="s">
        <v>946</v>
      </c>
      <c r="C114" s="35" t="s">
        <v>947</v>
      </c>
      <c r="D114" s="36" t="s">
        <v>948</v>
      </c>
      <c r="E114" s="36" t="s">
        <v>54</v>
      </c>
      <c r="F114" s="34" t="s">
        <v>949</v>
      </c>
      <c r="G114" s="37" t="s">
        <v>73</v>
      </c>
      <c r="H114" s="37" t="s">
        <v>73</v>
      </c>
      <c r="I114" s="34" t="s">
        <v>950</v>
      </c>
      <c r="J114" s="34" t="s">
        <v>951</v>
      </c>
      <c r="K114" s="39" t="s">
        <v>42</v>
      </c>
      <c r="L114" s="120">
        <v>35919</v>
      </c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42" t="s">
        <v>952</v>
      </c>
      <c r="Y114" s="58" t="s">
        <v>953</v>
      </c>
      <c r="Z114" s="44" t="s">
        <v>61</v>
      </c>
      <c r="AA114" s="45">
        <v>36641</v>
      </c>
      <c r="AB114" s="101" t="s">
        <v>30</v>
      </c>
      <c r="AC114" s="36" t="s">
        <v>26</v>
      </c>
      <c r="AD114" s="47" t="s">
        <v>49</v>
      </c>
      <c r="AE114" s="48" t="s">
        <v>49</v>
      </c>
      <c r="AF114" s="48" t="s">
        <v>49</v>
      </c>
      <c r="AG114" s="48" t="s">
        <v>49</v>
      </c>
      <c r="AH114" s="48" t="s">
        <v>49</v>
      </c>
      <c r="AI114" s="48" t="s">
        <v>49</v>
      </c>
      <c r="AJ114" s="49" t="s">
        <v>41</v>
      </c>
      <c r="AK114" s="48" t="s">
        <v>41</v>
      </c>
      <c r="AL114" s="62" t="s">
        <v>276</v>
      </c>
      <c r="AM114" s="59"/>
      <c r="AN114" s="117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1"/>
    </row>
    <row r="115" spans="1:51" x14ac:dyDescent="0.2">
      <c r="A115" s="33">
        <f t="shared" si="2"/>
        <v>110</v>
      </c>
      <c r="B115" s="108" t="s">
        <v>954</v>
      </c>
      <c r="C115" s="35" t="s">
        <v>955</v>
      </c>
      <c r="D115" s="36" t="s">
        <v>956</v>
      </c>
      <c r="E115" s="36" t="s">
        <v>54</v>
      </c>
      <c r="F115" s="34" t="s">
        <v>957</v>
      </c>
      <c r="G115" s="37" t="s">
        <v>958</v>
      </c>
      <c r="H115" s="37" t="s">
        <v>187</v>
      </c>
      <c r="I115" s="38" t="s">
        <v>959</v>
      </c>
      <c r="J115" s="34" t="s">
        <v>41</v>
      </c>
      <c r="K115" s="39" t="s">
        <v>42</v>
      </c>
      <c r="L115" s="120">
        <v>41947</v>
      </c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2" t="s">
        <v>960</v>
      </c>
      <c r="Y115" s="69" t="s">
        <v>961</v>
      </c>
      <c r="Z115" s="119" t="s">
        <v>61</v>
      </c>
      <c r="AA115" s="45">
        <v>36641</v>
      </c>
      <c r="AB115" s="101" t="s">
        <v>30</v>
      </c>
      <c r="AC115" s="36" t="s">
        <v>26</v>
      </c>
      <c r="AD115" s="47" t="s">
        <v>49</v>
      </c>
      <c r="AE115" s="48" t="s">
        <v>49</v>
      </c>
      <c r="AF115" s="48" t="s">
        <v>49</v>
      </c>
      <c r="AG115" s="48" t="s">
        <v>49</v>
      </c>
      <c r="AH115" s="48" t="s">
        <v>49</v>
      </c>
      <c r="AI115" s="48" t="s">
        <v>49</v>
      </c>
      <c r="AJ115" s="49" t="s">
        <v>49</v>
      </c>
      <c r="AK115" s="48" t="s">
        <v>49</v>
      </c>
      <c r="AL115" s="65" t="s">
        <v>32</v>
      </c>
      <c r="AM115" s="59"/>
      <c r="AN115" s="117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1"/>
    </row>
    <row r="116" spans="1:51" x14ac:dyDescent="0.2">
      <c r="A116" s="33">
        <f t="shared" si="2"/>
        <v>111</v>
      </c>
      <c r="B116" s="52" t="s">
        <v>962</v>
      </c>
      <c r="C116" s="150" t="s">
        <v>963</v>
      </c>
      <c r="D116" s="73" t="s">
        <v>964</v>
      </c>
      <c r="E116" s="36" t="s">
        <v>36</v>
      </c>
      <c r="F116" s="52" t="s">
        <v>965</v>
      </c>
      <c r="G116" s="151" t="s">
        <v>243</v>
      </c>
      <c r="H116" s="151" t="s">
        <v>205</v>
      </c>
      <c r="I116" s="113" t="s">
        <v>966</v>
      </c>
      <c r="J116" s="34"/>
      <c r="K116" s="39" t="s">
        <v>42</v>
      </c>
      <c r="L116" s="152" t="s">
        <v>216</v>
      </c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42" t="s">
        <v>967</v>
      </c>
      <c r="Y116" s="58" t="s">
        <v>968</v>
      </c>
      <c r="Z116" s="44" t="s">
        <v>969</v>
      </c>
      <c r="AA116" s="45">
        <v>44041</v>
      </c>
      <c r="AB116" s="101" t="s">
        <v>30</v>
      </c>
      <c r="AC116" s="73"/>
      <c r="AD116" s="47" t="s">
        <v>49</v>
      </c>
      <c r="AE116" s="48" t="s">
        <v>41</v>
      </c>
      <c r="AF116" s="48" t="s">
        <v>49</v>
      </c>
      <c r="AG116" s="48" t="s">
        <v>49</v>
      </c>
      <c r="AH116" s="48" t="s">
        <v>49</v>
      </c>
      <c r="AI116" s="48" t="s">
        <v>49</v>
      </c>
      <c r="AJ116" s="49" t="s">
        <v>49</v>
      </c>
      <c r="AK116" s="48" t="s">
        <v>49</v>
      </c>
      <c r="AL116" s="65" t="s">
        <v>32</v>
      </c>
      <c r="AM116" s="59"/>
      <c r="AN116" s="10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1"/>
    </row>
    <row r="117" spans="1:51" x14ac:dyDescent="0.2">
      <c r="A117" s="33">
        <f t="shared" si="2"/>
        <v>112</v>
      </c>
      <c r="B117" s="107" t="s">
        <v>970</v>
      </c>
      <c r="C117" s="35" t="s">
        <v>971</v>
      </c>
      <c r="D117" s="36" t="s">
        <v>972</v>
      </c>
      <c r="E117" s="36" t="s">
        <v>241</v>
      </c>
      <c r="F117" s="34" t="s">
        <v>973</v>
      </c>
      <c r="G117" s="37" t="s">
        <v>205</v>
      </c>
      <c r="H117" s="37" t="s">
        <v>205</v>
      </c>
      <c r="I117" s="34" t="s">
        <v>974</v>
      </c>
      <c r="J117" s="34" t="s">
        <v>975</v>
      </c>
      <c r="K117" s="39" t="s">
        <v>42</v>
      </c>
      <c r="L117" s="120" t="s">
        <v>976</v>
      </c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2" t="s">
        <v>977</v>
      </c>
      <c r="Y117" s="58" t="s">
        <v>978</v>
      </c>
      <c r="Z117" s="121" t="s">
        <v>979</v>
      </c>
      <c r="AA117" s="153">
        <v>44650</v>
      </c>
      <c r="AB117" s="101" t="s">
        <v>30</v>
      </c>
      <c r="AC117" s="36" t="s">
        <v>26</v>
      </c>
      <c r="AD117" s="47" t="s">
        <v>49</v>
      </c>
      <c r="AE117" s="48" t="s">
        <v>49</v>
      </c>
      <c r="AF117" s="48" t="s">
        <v>49</v>
      </c>
      <c r="AG117" s="48" t="s">
        <v>49</v>
      </c>
      <c r="AH117" s="48" t="s">
        <v>49</v>
      </c>
      <c r="AI117" s="48" t="s">
        <v>49</v>
      </c>
      <c r="AJ117" s="49" t="s">
        <v>49</v>
      </c>
      <c r="AK117" s="48" t="s">
        <v>49</v>
      </c>
      <c r="AL117" s="62" t="s">
        <v>32</v>
      </c>
      <c r="AM117" s="59"/>
      <c r="AN117" s="117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1"/>
    </row>
    <row r="118" spans="1:51" x14ac:dyDescent="0.2">
      <c r="A118" s="33">
        <f t="shared" si="2"/>
        <v>113</v>
      </c>
      <c r="B118" s="72" t="s">
        <v>980</v>
      </c>
      <c r="C118" s="35" t="s">
        <v>981</v>
      </c>
      <c r="D118" s="154" t="s">
        <v>982</v>
      </c>
      <c r="E118" s="36" t="s">
        <v>54</v>
      </c>
      <c r="F118" s="69" t="s">
        <v>983</v>
      </c>
      <c r="G118" s="75" t="s">
        <v>205</v>
      </c>
      <c r="H118" s="75" t="s">
        <v>205</v>
      </c>
      <c r="I118" s="72" t="s">
        <v>984</v>
      </c>
      <c r="J118" s="72" t="s">
        <v>985</v>
      </c>
      <c r="K118" s="77" t="s">
        <v>986</v>
      </c>
      <c r="L118" s="155">
        <v>32911</v>
      </c>
      <c r="M118" s="156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42" t="s">
        <v>987</v>
      </c>
      <c r="Y118" s="58" t="s">
        <v>988</v>
      </c>
      <c r="Z118" s="119" t="s">
        <v>989</v>
      </c>
      <c r="AA118" s="45">
        <v>41793</v>
      </c>
      <c r="AB118" s="101" t="s">
        <v>30</v>
      </c>
      <c r="AC118" s="154"/>
      <c r="AD118" s="81" t="s">
        <v>49</v>
      </c>
      <c r="AE118" s="48" t="s">
        <v>41</v>
      </c>
      <c r="AF118" s="48" t="s">
        <v>41</v>
      </c>
      <c r="AG118" s="48" t="s">
        <v>41</v>
      </c>
      <c r="AH118" s="48" t="s">
        <v>41</v>
      </c>
      <c r="AI118" s="48" t="s">
        <v>41</v>
      </c>
      <c r="AJ118" s="49" t="s">
        <v>41</v>
      </c>
      <c r="AK118" s="48" t="s">
        <v>41</v>
      </c>
      <c r="AL118" s="65" t="s">
        <v>4592</v>
      </c>
      <c r="AM118" s="59" t="s">
        <v>990</v>
      </c>
      <c r="AN118" s="10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1"/>
    </row>
    <row r="119" spans="1:51" x14ac:dyDescent="0.2">
      <c r="A119" s="33">
        <f t="shared" si="2"/>
        <v>114</v>
      </c>
      <c r="B119" s="108" t="s">
        <v>991</v>
      </c>
      <c r="C119" s="35" t="s">
        <v>992</v>
      </c>
      <c r="D119" s="36" t="s">
        <v>993</v>
      </c>
      <c r="E119" s="36" t="s">
        <v>54</v>
      </c>
      <c r="F119" s="34" t="s">
        <v>994</v>
      </c>
      <c r="G119" s="37" t="s">
        <v>73</v>
      </c>
      <c r="H119" s="37" t="s">
        <v>73</v>
      </c>
      <c r="I119" s="38" t="s">
        <v>995</v>
      </c>
      <c r="J119" s="34" t="s">
        <v>41</v>
      </c>
      <c r="K119" s="39" t="s">
        <v>42</v>
      </c>
      <c r="L119" s="120" t="s">
        <v>996</v>
      </c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2" t="s">
        <v>997</v>
      </c>
      <c r="Y119" s="58" t="s">
        <v>998</v>
      </c>
      <c r="Z119" s="121" t="s">
        <v>999</v>
      </c>
      <c r="AA119" s="153">
        <v>44650</v>
      </c>
      <c r="AB119" s="101" t="s">
        <v>30</v>
      </c>
      <c r="AC119" s="36" t="s">
        <v>26</v>
      </c>
      <c r="AD119" s="47" t="s">
        <v>49</v>
      </c>
      <c r="AE119" s="48" t="s">
        <v>49</v>
      </c>
      <c r="AF119" s="48" t="s">
        <v>49</v>
      </c>
      <c r="AG119" s="48" t="s">
        <v>49</v>
      </c>
      <c r="AH119" s="48" t="s">
        <v>49</v>
      </c>
      <c r="AI119" s="48" t="s">
        <v>49</v>
      </c>
      <c r="AJ119" s="49" t="s">
        <v>41</v>
      </c>
      <c r="AK119" s="48" t="s">
        <v>41</v>
      </c>
      <c r="AL119" s="62" t="s">
        <v>276</v>
      </c>
      <c r="AM119" s="59"/>
      <c r="AN119" s="117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1"/>
    </row>
    <row r="120" spans="1:51" x14ac:dyDescent="0.2">
      <c r="A120" s="33">
        <f t="shared" si="2"/>
        <v>115</v>
      </c>
      <c r="B120" s="34" t="s">
        <v>1000</v>
      </c>
      <c r="C120" s="35" t="s">
        <v>1001</v>
      </c>
      <c r="D120" s="36" t="s">
        <v>1002</v>
      </c>
      <c r="E120" s="36" t="s">
        <v>54</v>
      </c>
      <c r="F120" s="34" t="s">
        <v>1003</v>
      </c>
      <c r="G120" s="37" t="s">
        <v>73</v>
      </c>
      <c r="H120" s="37" t="s">
        <v>73</v>
      </c>
      <c r="I120" s="38" t="s">
        <v>1004</v>
      </c>
      <c r="J120" s="38" t="s">
        <v>1005</v>
      </c>
      <c r="K120" s="39" t="s">
        <v>42</v>
      </c>
      <c r="L120" s="99" t="s">
        <v>1006</v>
      </c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2" t="s">
        <v>1007</v>
      </c>
      <c r="Y120" s="52" t="s">
        <v>1008</v>
      </c>
      <c r="Z120" s="44" t="s">
        <v>61</v>
      </c>
      <c r="AA120" s="45">
        <v>37877</v>
      </c>
      <c r="AB120" s="101" t="s">
        <v>30</v>
      </c>
      <c r="AC120" s="36" t="s">
        <v>26</v>
      </c>
      <c r="AD120" s="47" t="s">
        <v>49</v>
      </c>
      <c r="AE120" s="48" t="s">
        <v>49</v>
      </c>
      <c r="AF120" s="48" t="s">
        <v>49</v>
      </c>
      <c r="AG120" s="48" t="s">
        <v>49</v>
      </c>
      <c r="AH120" s="48" t="s">
        <v>49</v>
      </c>
      <c r="AI120" s="48" t="s">
        <v>49</v>
      </c>
      <c r="AJ120" s="49" t="s">
        <v>49</v>
      </c>
      <c r="AK120" s="48" t="s">
        <v>49</v>
      </c>
      <c r="AL120" s="62" t="s">
        <v>32</v>
      </c>
      <c r="AM120" s="59"/>
      <c r="AN120" s="10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1"/>
    </row>
    <row r="121" spans="1:51" x14ac:dyDescent="0.2">
      <c r="A121" s="33">
        <f t="shared" si="2"/>
        <v>116</v>
      </c>
      <c r="B121" s="34" t="s">
        <v>1009</v>
      </c>
      <c r="C121" s="35" t="s">
        <v>1010</v>
      </c>
      <c r="D121" s="36" t="s">
        <v>1011</v>
      </c>
      <c r="E121" s="36" t="s">
        <v>54</v>
      </c>
      <c r="F121" s="34" t="s">
        <v>1012</v>
      </c>
      <c r="G121" s="37" t="s">
        <v>73</v>
      </c>
      <c r="H121" s="37" t="s">
        <v>73</v>
      </c>
      <c r="I121" s="38" t="s">
        <v>1013</v>
      </c>
      <c r="J121" s="38"/>
      <c r="K121" s="39" t="s">
        <v>42</v>
      </c>
      <c r="L121" s="99" t="s">
        <v>1014</v>
      </c>
      <c r="M121" s="41"/>
      <c r="N121" s="41"/>
      <c r="O121" s="41"/>
      <c r="P121" s="41"/>
      <c r="Q121" s="41"/>
      <c r="R121" s="41"/>
      <c r="S121" s="41"/>
      <c r="T121" s="41" t="s">
        <v>44</v>
      </c>
      <c r="U121" s="41"/>
      <c r="V121" s="41"/>
      <c r="W121" s="41"/>
      <c r="X121" s="42" t="s">
        <v>1015</v>
      </c>
      <c r="Y121" s="43" t="s">
        <v>1016</v>
      </c>
      <c r="Z121" s="44"/>
      <c r="AA121" s="45">
        <v>45642</v>
      </c>
      <c r="AB121" s="101"/>
      <c r="AC121" s="36"/>
      <c r="AD121" s="47" t="s">
        <v>49</v>
      </c>
      <c r="AE121" s="48" t="s">
        <v>41</v>
      </c>
      <c r="AF121" s="48" t="s">
        <v>41</v>
      </c>
      <c r="AG121" s="48" t="s">
        <v>41</v>
      </c>
      <c r="AH121" s="48" t="s">
        <v>49</v>
      </c>
      <c r="AI121" s="48" t="s">
        <v>49</v>
      </c>
      <c r="AJ121" s="49" t="s">
        <v>49</v>
      </c>
      <c r="AK121" s="48" t="s">
        <v>49</v>
      </c>
      <c r="AL121" s="65" t="s">
        <v>32</v>
      </c>
      <c r="AM121" s="103" t="s">
        <v>41</v>
      </c>
      <c r="AN121" s="10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1"/>
    </row>
    <row r="122" spans="1:51" x14ac:dyDescent="0.2">
      <c r="A122" s="33">
        <f t="shared" si="2"/>
        <v>117</v>
      </c>
      <c r="B122" s="34" t="s">
        <v>1017</v>
      </c>
      <c r="C122" s="35" t="s">
        <v>1018</v>
      </c>
      <c r="D122" s="36" t="s">
        <v>1019</v>
      </c>
      <c r="E122" s="36" t="s">
        <v>54</v>
      </c>
      <c r="F122" s="34" t="s">
        <v>1020</v>
      </c>
      <c r="G122" s="37" t="s">
        <v>73</v>
      </c>
      <c r="H122" s="37" t="s">
        <v>73</v>
      </c>
      <c r="I122" s="38" t="s">
        <v>1021</v>
      </c>
      <c r="J122" s="38" t="s">
        <v>41</v>
      </c>
      <c r="K122" s="39" t="s">
        <v>42</v>
      </c>
      <c r="L122" s="99" t="s">
        <v>1022</v>
      </c>
      <c r="M122" s="41"/>
      <c r="N122" s="41"/>
      <c r="O122" s="41"/>
      <c r="P122" s="41"/>
      <c r="Q122" s="41"/>
      <c r="R122" s="41"/>
      <c r="S122" s="41" t="s">
        <v>44</v>
      </c>
      <c r="T122" s="41"/>
      <c r="U122" s="41"/>
      <c r="V122" s="41"/>
      <c r="W122" s="41"/>
      <c r="X122" s="42" t="s">
        <v>1023</v>
      </c>
      <c r="Y122" s="55" t="s">
        <v>1024</v>
      </c>
      <c r="Z122" s="44" t="s">
        <v>1025</v>
      </c>
      <c r="AA122" s="45">
        <v>44944</v>
      </c>
      <c r="AB122" s="101" t="s">
        <v>30</v>
      </c>
      <c r="AC122" s="36"/>
      <c r="AD122" s="47" t="s">
        <v>49</v>
      </c>
      <c r="AE122" s="48" t="s">
        <v>41</v>
      </c>
      <c r="AF122" s="48" t="s">
        <v>41</v>
      </c>
      <c r="AG122" s="48" t="s">
        <v>49</v>
      </c>
      <c r="AH122" s="48" t="s">
        <v>49</v>
      </c>
      <c r="AI122" s="48" t="s">
        <v>49</v>
      </c>
      <c r="AJ122" s="49" t="s">
        <v>49</v>
      </c>
      <c r="AK122" s="48" t="s">
        <v>49</v>
      </c>
      <c r="AL122" s="62" t="s">
        <v>32</v>
      </c>
      <c r="AM122" s="59"/>
      <c r="AN122" s="10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1"/>
    </row>
    <row r="123" spans="1:51" x14ac:dyDescent="0.2">
      <c r="A123" s="33">
        <f t="shared" si="2"/>
        <v>118</v>
      </c>
      <c r="B123" s="34" t="s">
        <v>1026</v>
      </c>
      <c r="C123" s="35" t="s">
        <v>1027</v>
      </c>
      <c r="D123" s="36" t="s">
        <v>1028</v>
      </c>
      <c r="E123" s="36" t="s">
        <v>54</v>
      </c>
      <c r="F123" s="34" t="s">
        <v>1029</v>
      </c>
      <c r="G123" s="37" t="s">
        <v>858</v>
      </c>
      <c r="H123" s="37" t="s">
        <v>57</v>
      </c>
      <c r="I123" s="38" t="s">
        <v>1030</v>
      </c>
      <c r="J123" s="34"/>
      <c r="K123" s="39" t="s">
        <v>42</v>
      </c>
      <c r="L123" s="120">
        <v>43416</v>
      </c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42" t="s">
        <v>1031</v>
      </c>
      <c r="Y123" s="58" t="s">
        <v>1032</v>
      </c>
      <c r="Z123" s="44" t="s">
        <v>1033</v>
      </c>
      <c r="AA123" s="45">
        <v>44041</v>
      </c>
      <c r="AB123" s="101" t="s">
        <v>30</v>
      </c>
      <c r="AC123" s="36" t="s">
        <v>26</v>
      </c>
      <c r="AD123" s="47" t="s">
        <v>49</v>
      </c>
      <c r="AE123" s="48" t="s">
        <v>49</v>
      </c>
      <c r="AF123" s="48" t="s">
        <v>49</v>
      </c>
      <c r="AG123" s="48" t="s">
        <v>41</v>
      </c>
      <c r="AH123" s="48" t="s">
        <v>41</v>
      </c>
      <c r="AI123" s="48" t="s">
        <v>41</v>
      </c>
      <c r="AJ123" s="49" t="s">
        <v>41</v>
      </c>
      <c r="AK123" s="48" t="s">
        <v>41</v>
      </c>
      <c r="AL123" s="62" t="s">
        <v>110</v>
      </c>
      <c r="AM123" s="59"/>
      <c r="AN123" s="10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1"/>
    </row>
    <row r="124" spans="1:51" x14ac:dyDescent="0.2">
      <c r="A124" s="33">
        <f t="shared" si="2"/>
        <v>119</v>
      </c>
      <c r="B124" s="34" t="s">
        <v>1034</v>
      </c>
      <c r="C124" s="35" t="s">
        <v>1035</v>
      </c>
      <c r="D124" s="36" t="s">
        <v>1036</v>
      </c>
      <c r="E124" s="36" t="s">
        <v>54</v>
      </c>
      <c r="F124" s="34" t="s">
        <v>1037</v>
      </c>
      <c r="G124" s="37" t="s">
        <v>73</v>
      </c>
      <c r="H124" s="37" t="s">
        <v>73</v>
      </c>
      <c r="I124" s="107" t="s">
        <v>1038</v>
      </c>
      <c r="J124" s="34" t="s">
        <v>1039</v>
      </c>
      <c r="K124" s="39" t="s">
        <v>42</v>
      </c>
      <c r="L124" s="99" t="s">
        <v>1040</v>
      </c>
      <c r="M124" s="56" t="s">
        <v>179</v>
      </c>
      <c r="N124" s="137" t="s">
        <v>179</v>
      </c>
      <c r="O124" s="137"/>
      <c r="P124" s="137">
        <v>4</v>
      </c>
      <c r="Q124" s="137" t="s">
        <v>1041</v>
      </c>
      <c r="R124" s="137"/>
      <c r="S124" s="137"/>
      <c r="T124" s="137"/>
      <c r="U124" s="137"/>
      <c r="V124" s="137"/>
      <c r="W124" s="137"/>
      <c r="X124" s="42" t="s">
        <v>1042</v>
      </c>
      <c r="Y124" s="58" t="s">
        <v>1043</v>
      </c>
      <c r="Z124" s="44"/>
      <c r="AA124" s="45" t="s">
        <v>47</v>
      </c>
      <c r="AB124" s="101"/>
      <c r="AC124" s="36" t="s">
        <v>26</v>
      </c>
      <c r="AD124" s="47" t="s">
        <v>49</v>
      </c>
      <c r="AE124" s="48" t="s">
        <v>49</v>
      </c>
      <c r="AF124" s="48" t="s">
        <v>41</v>
      </c>
      <c r="AG124" s="48" t="s">
        <v>41</v>
      </c>
      <c r="AH124" s="48" t="s">
        <v>41</v>
      </c>
      <c r="AI124" s="48" t="s">
        <v>41</v>
      </c>
      <c r="AJ124" s="49" t="s">
        <v>41</v>
      </c>
      <c r="AK124" s="48" t="s">
        <v>41</v>
      </c>
      <c r="AL124" s="62" t="s">
        <v>4587</v>
      </c>
      <c r="AM124" s="59"/>
      <c r="AN124" s="10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1"/>
    </row>
    <row r="125" spans="1:51" x14ac:dyDescent="0.2">
      <c r="A125" s="33">
        <f t="shared" si="2"/>
        <v>120</v>
      </c>
      <c r="B125" s="34" t="s">
        <v>1044</v>
      </c>
      <c r="C125" s="35" t="s">
        <v>1045</v>
      </c>
      <c r="D125" s="36" t="s">
        <v>1046</v>
      </c>
      <c r="E125" s="36" t="s">
        <v>54</v>
      </c>
      <c r="F125" s="34" t="s">
        <v>1047</v>
      </c>
      <c r="G125" s="37" t="s">
        <v>73</v>
      </c>
      <c r="H125" s="37" t="s">
        <v>73</v>
      </c>
      <c r="I125" s="57" t="s">
        <v>1048</v>
      </c>
      <c r="J125" s="157" t="s">
        <v>1049</v>
      </c>
      <c r="K125" s="39" t="s">
        <v>42</v>
      </c>
      <c r="L125" s="120">
        <v>40287</v>
      </c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2" t="s">
        <v>1050</v>
      </c>
      <c r="Y125" s="55" t="s">
        <v>1051</v>
      </c>
      <c r="Z125" s="55"/>
      <c r="AA125" s="45" t="s">
        <v>47</v>
      </c>
      <c r="AB125" s="101"/>
      <c r="AC125" s="36" t="s">
        <v>26</v>
      </c>
      <c r="AD125" s="47" t="s">
        <v>49</v>
      </c>
      <c r="AE125" s="48" t="s">
        <v>49</v>
      </c>
      <c r="AF125" s="48" t="s">
        <v>49</v>
      </c>
      <c r="AG125" s="48" t="s">
        <v>49</v>
      </c>
      <c r="AH125" s="48" t="s">
        <v>49</v>
      </c>
      <c r="AI125" s="48" t="s">
        <v>49</v>
      </c>
      <c r="AJ125" s="49" t="s">
        <v>49</v>
      </c>
      <c r="AK125" s="48" t="s">
        <v>49</v>
      </c>
      <c r="AL125" s="62" t="s">
        <v>32</v>
      </c>
      <c r="AM125" s="59"/>
      <c r="AN125" s="10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1"/>
    </row>
    <row r="126" spans="1:51" x14ac:dyDescent="0.2">
      <c r="A126" s="33">
        <f t="shared" si="2"/>
        <v>121</v>
      </c>
      <c r="B126" s="34" t="s">
        <v>1052</v>
      </c>
      <c r="C126" s="35" t="s">
        <v>1053</v>
      </c>
      <c r="D126" s="36" t="s">
        <v>1054</v>
      </c>
      <c r="E126" s="36" t="s">
        <v>54</v>
      </c>
      <c r="F126" s="34" t="s">
        <v>1055</v>
      </c>
      <c r="G126" s="37" t="s">
        <v>456</v>
      </c>
      <c r="H126" s="37" t="s">
        <v>187</v>
      </c>
      <c r="I126" s="38" t="s">
        <v>1056</v>
      </c>
      <c r="J126" s="38" t="s">
        <v>1057</v>
      </c>
      <c r="K126" s="39" t="s">
        <v>42</v>
      </c>
      <c r="L126" s="99" t="s">
        <v>1058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2" t="s">
        <v>1059</v>
      </c>
      <c r="Y126" s="58" t="s">
        <v>1060</v>
      </c>
      <c r="Z126" s="44" t="s">
        <v>61</v>
      </c>
      <c r="AA126" s="45">
        <v>40280</v>
      </c>
      <c r="AB126" s="101" t="s">
        <v>30</v>
      </c>
      <c r="AC126" s="36" t="s">
        <v>26</v>
      </c>
      <c r="AD126" s="47" t="s">
        <v>49</v>
      </c>
      <c r="AE126" s="48" t="s">
        <v>49</v>
      </c>
      <c r="AF126" s="48" t="s">
        <v>41</v>
      </c>
      <c r="AG126" s="48" t="s">
        <v>41</v>
      </c>
      <c r="AH126" s="48" t="s">
        <v>41</v>
      </c>
      <c r="AI126" s="48" t="s">
        <v>41</v>
      </c>
      <c r="AJ126" s="49" t="s">
        <v>41</v>
      </c>
      <c r="AK126" s="48" t="s">
        <v>41</v>
      </c>
      <c r="AL126" s="62" t="s">
        <v>4587</v>
      </c>
      <c r="AM126" s="59"/>
      <c r="AN126" s="10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1"/>
    </row>
    <row r="127" spans="1:51" x14ac:dyDescent="0.2">
      <c r="A127" s="33">
        <f t="shared" si="2"/>
        <v>122</v>
      </c>
      <c r="B127" s="34" t="s">
        <v>1061</v>
      </c>
      <c r="C127" s="35" t="s">
        <v>1062</v>
      </c>
      <c r="D127" s="36" t="s">
        <v>1063</v>
      </c>
      <c r="E127" s="36" t="s">
        <v>36</v>
      </c>
      <c r="F127" s="34" t="s">
        <v>1064</v>
      </c>
      <c r="G127" s="37" t="s">
        <v>73</v>
      </c>
      <c r="H127" s="37" t="s">
        <v>73</v>
      </c>
      <c r="I127" s="34" t="s">
        <v>1065</v>
      </c>
      <c r="J127" s="34" t="s">
        <v>41</v>
      </c>
      <c r="K127" s="39" t="s">
        <v>42</v>
      </c>
      <c r="L127" s="120">
        <v>37718</v>
      </c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2" t="s">
        <v>1066</v>
      </c>
      <c r="Y127" s="52" t="s">
        <v>1067</v>
      </c>
      <c r="Z127" s="44" t="s">
        <v>61</v>
      </c>
      <c r="AA127" s="45">
        <v>37877</v>
      </c>
      <c r="AB127" s="101" t="s">
        <v>30</v>
      </c>
      <c r="AC127" s="36"/>
      <c r="AD127" s="47" t="s">
        <v>49</v>
      </c>
      <c r="AE127" s="48" t="s">
        <v>41</v>
      </c>
      <c r="AF127" s="48" t="s">
        <v>41</v>
      </c>
      <c r="AG127" s="48" t="s">
        <v>41</v>
      </c>
      <c r="AH127" s="48" t="s">
        <v>41</v>
      </c>
      <c r="AI127" s="48" t="s">
        <v>41</v>
      </c>
      <c r="AJ127" s="49" t="s">
        <v>41</v>
      </c>
      <c r="AK127" s="48" t="s">
        <v>41</v>
      </c>
      <c r="AL127" s="65" t="s">
        <v>4590</v>
      </c>
      <c r="AM127" s="59" t="s">
        <v>1068</v>
      </c>
      <c r="AN127" s="10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1"/>
    </row>
    <row r="128" spans="1:51" x14ac:dyDescent="0.2">
      <c r="A128" s="33">
        <f t="shared" si="2"/>
        <v>123</v>
      </c>
      <c r="B128" s="34" t="s">
        <v>1069</v>
      </c>
      <c r="C128" s="35" t="s">
        <v>1070</v>
      </c>
      <c r="D128" s="36" t="s">
        <v>1071</v>
      </c>
      <c r="E128" s="36" t="s">
        <v>54</v>
      </c>
      <c r="F128" s="34" t="s">
        <v>1072</v>
      </c>
      <c r="G128" s="37" t="s">
        <v>39</v>
      </c>
      <c r="H128" s="37" t="s">
        <v>39</v>
      </c>
      <c r="I128" s="34" t="s">
        <v>1073</v>
      </c>
      <c r="J128" s="34" t="s">
        <v>41</v>
      </c>
      <c r="K128" s="39" t="s">
        <v>42</v>
      </c>
      <c r="L128" s="99" t="s">
        <v>1074</v>
      </c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2" t="s">
        <v>1075</v>
      </c>
      <c r="Y128" s="100" t="s">
        <v>1076</v>
      </c>
      <c r="Z128" s="44" t="s">
        <v>61</v>
      </c>
      <c r="AA128" s="45">
        <v>37877</v>
      </c>
      <c r="AB128" s="101" t="s">
        <v>30</v>
      </c>
      <c r="AC128" s="36" t="s">
        <v>26</v>
      </c>
      <c r="AD128" s="47" t="s">
        <v>49</v>
      </c>
      <c r="AE128" s="48" t="s">
        <v>49</v>
      </c>
      <c r="AF128" s="48" t="s">
        <v>49</v>
      </c>
      <c r="AG128" s="48" t="s">
        <v>49</v>
      </c>
      <c r="AH128" s="48" t="s">
        <v>49</v>
      </c>
      <c r="AI128" s="48" t="s">
        <v>49</v>
      </c>
      <c r="AJ128" s="49" t="s">
        <v>49</v>
      </c>
      <c r="AK128" s="48" t="s">
        <v>41</v>
      </c>
      <c r="AL128" s="62" t="s">
        <v>148</v>
      </c>
      <c r="AM128" s="59"/>
      <c r="AN128" s="10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1"/>
    </row>
    <row r="129" spans="1:51" x14ac:dyDescent="0.2">
      <c r="A129" s="33">
        <f t="shared" si="2"/>
        <v>124</v>
      </c>
      <c r="B129" s="34" t="s">
        <v>1077</v>
      </c>
      <c r="C129" s="35" t="s">
        <v>1078</v>
      </c>
      <c r="D129" s="73" t="s">
        <v>1079</v>
      </c>
      <c r="E129" s="36" t="s">
        <v>54</v>
      </c>
      <c r="F129" s="98" t="s">
        <v>1080</v>
      </c>
      <c r="G129" s="37" t="s">
        <v>252</v>
      </c>
      <c r="H129" s="37" t="s">
        <v>57</v>
      </c>
      <c r="I129" s="38" t="s">
        <v>1081</v>
      </c>
      <c r="J129" s="38" t="s">
        <v>41</v>
      </c>
      <c r="K129" s="39" t="s">
        <v>42</v>
      </c>
      <c r="L129" s="99" t="s">
        <v>1082</v>
      </c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42" t="s">
        <v>1083</v>
      </c>
      <c r="Y129" s="69" t="s">
        <v>1084</v>
      </c>
      <c r="Z129" s="44" t="s">
        <v>1085</v>
      </c>
      <c r="AA129" s="45">
        <v>44041</v>
      </c>
      <c r="AB129" s="101" t="s">
        <v>30</v>
      </c>
      <c r="AC129" s="73" t="s">
        <v>26</v>
      </c>
      <c r="AD129" s="47" t="s">
        <v>49</v>
      </c>
      <c r="AE129" s="48" t="s">
        <v>49</v>
      </c>
      <c r="AF129" s="48" t="s">
        <v>49</v>
      </c>
      <c r="AG129" s="48" t="s">
        <v>49</v>
      </c>
      <c r="AH129" s="48" t="s">
        <v>49</v>
      </c>
      <c r="AI129" s="48" t="s">
        <v>49</v>
      </c>
      <c r="AJ129" s="49" t="s">
        <v>49</v>
      </c>
      <c r="AK129" s="48" t="s">
        <v>41</v>
      </c>
      <c r="AL129" s="65" t="s">
        <v>148</v>
      </c>
      <c r="AM129" s="59"/>
      <c r="AN129" s="10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1"/>
    </row>
    <row r="130" spans="1:51" x14ac:dyDescent="0.2">
      <c r="A130" s="33">
        <f t="shared" si="2"/>
        <v>125</v>
      </c>
      <c r="B130" s="34" t="s">
        <v>1086</v>
      </c>
      <c r="C130" s="35" t="s">
        <v>1087</v>
      </c>
      <c r="D130" s="36" t="s">
        <v>1088</v>
      </c>
      <c r="E130" s="36" t="s">
        <v>54</v>
      </c>
      <c r="F130" s="34" t="s">
        <v>1089</v>
      </c>
      <c r="G130" s="37" t="s">
        <v>73</v>
      </c>
      <c r="H130" s="37" t="s">
        <v>73</v>
      </c>
      <c r="I130" s="34" t="s">
        <v>1090</v>
      </c>
      <c r="J130" s="34" t="s">
        <v>41</v>
      </c>
      <c r="K130" s="39" t="s">
        <v>42</v>
      </c>
      <c r="L130" s="99" t="s">
        <v>1091</v>
      </c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2" t="s">
        <v>1092</v>
      </c>
      <c r="Y130" s="69" t="s">
        <v>1093</v>
      </c>
      <c r="Z130" s="44" t="s">
        <v>1094</v>
      </c>
      <c r="AA130" s="45">
        <v>43200</v>
      </c>
      <c r="AB130" s="101" t="s">
        <v>30</v>
      </c>
      <c r="AC130" s="36" t="s">
        <v>26</v>
      </c>
      <c r="AD130" s="47" t="s">
        <v>49</v>
      </c>
      <c r="AE130" s="48" t="s">
        <v>49</v>
      </c>
      <c r="AF130" s="48" t="s">
        <v>49</v>
      </c>
      <c r="AG130" s="48" t="s">
        <v>49</v>
      </c>
      <c r="AH130" s="48" t="s">
        <v>49</v>
      </c>
      <c r="AI130" s="48" t="s">
        <v>41</v>
      </c>
      <c r="AJ130" s="49" t="s">
        <v>41</v>
      </c>
      <c r="AK130" s="48" t="s">
        <v>41</v>
      </c>
      <c r="AL130" s="62" t="s">
        <v>4589</v>
      </c>
      <c r="AM130" s="59"/>
      <c r="AN130" s="10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1"/>
    </row>
    <row r="131" spans="1:51" x14ac:dyDescent="0.2">
      <c r="A131" s="33">
        <f t="shared" si="2"/>
        <v>126</v>
      </c>
      <c r="B131" s="34" t="s">
        <v>1095</v>
      </c>
      <c r="C131" s="35" t="s">
        <v>1096</v>
      </c>
      <c r="D131" s="73" t="s">
        <v>1097</v>
      </c>
      <c r="E131" s="36" t="s">
        <v>36</v>
      </c>
      <c r="F131" s="98" t="s">
        <v>1098</v>
      </c>
      <c r="G131" s="37" t="s">
        <v>73</v>
      </c>
      <c r="H131" s="37" t="s">
        <v>73</v>
      </c>
      <c r="I131" s="38" t="s">
        <v>1099</v>
      </c>
      <c r="J131" s="38" t="s">
        <v>41</v>
      </c>
      <c r="K131" s="39" t="s">
        <v>42</v>
      </c>
      <c r="L131" s="99" t="s">
        <v>1100</v>
      </c>
      <c r="M131" s="56"/>
      <c r="N131" s="56"/>
      <c r="O131" s="56"/>
      <c r="P131" s="56"/>
      <c r="Q131" s="56"/>
      <c r="R131" s="56"/>
      <c r="S131" s="56" t="s">
        <v>44</v>
      </c>
      <c r="T131" s="56"/>
      <c r="U131" s="56"/>
      <c r="V131" s="56"/>
      <c r="W131" s="56"/>
      <c r="X131" s="42" t="s">
        <v>1101</v>
      </c>
      <c r="Y131" s="58" t="s">
        <v>1102</v>
      </c>
      <c r="Z131" s="44" t="s">
        <v>1103</v>
      </c>
      <c r="AA131" s="45">
        <v>44944</v>
      </c>
      <c r="AB131" s="101" t="s">
        <v>30</v>
      </c>
      <c r="AC131" s="73"/>
      <c r="AD131" s="47" t="s">
        <v>49</v>
      </c>
      <c r="AE131" s="48" t="s">
        <v>41</v>
      </c>
      <c r="AF131" s="48" t="s">
        <v>41</v>
      </c>
      <c r="AG131" s="48" t="s">
        <v>49</v>
      </c>
      <c r="AH131" s="48" t="s">
        <v>49</v>
      </c>
      <c r="AI131" s="48" t="s">
        <v>41</v>
      </c>
      <c r="AJ131" s="49" t="s">
        <v>41</v>
      </c>
      <c r="AK131" s="48" t="s">
        <v>41</v>
      </c>
      <c r="AL131" s="62" t="s">
        <v>4589</v>
      </c>
      <c r="AM131" s="59"/>
      <c r="AN131" s="117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1"/>
    </row>
    <row r="132" spans="1:51" x14ac:dyDescent="0.2">
      <c r="A132" s="33">
        <f t="shared" si="2"/>
        <v>127</v>
      </c>
      <c r="B132" s="34" t="s">
        <v>1104</v>
      </c>
      <c r="C132" s="35" t="s">
        <v>1105</v>
      </c>
      <c r="D132" s="36" t="s">
        <v>1106</v>
      </c>
      <c r="E132" s="36" t="s">
        <v>54</v>
      </c>
      <c r="F132" s="34" t="s">
        <v>1107</v>
      </c>
      <c r="G132" s="37" t="s">
        <v>252</v>
      </c>
      <c r="H132" s="37" t="s">
        <v>57</v>
      </c>
      <c r="I132" s="38" t="s">
        <v>1108</v>
      </c>
      <c r="J132" s="34" t="s">
        <v>41</v>
      </c>
      <c r="K132" s="39" t="s">
        <v>42</v>
      </c>
      <c r="L132" s="158" t="s">
        <v>1109</v>
      </c>
      <c r="M132" s="41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42" t="s">
        <v>1110</v>
      </c>
      <c r="Y132" s="58" t="s">
        <v>1111</v>
      </c>
      <c r="Z132" s="44" t="s">
        <v>1112</v>
      </c>
      <c r="AA132" s="45">
        <v>44041</v>
      </c>
      <c r="AB132" s="101" t="s">
        <v>30</v>
      </c>
      <c r="AC132" s="36" t="s">
        <v>26</v>
      </c>
      <c r="AD132" s="47" t="s">
        <v>49</v>
      </c>
      <c r="AE132" s="48" t="s">
        <v>49</v>
      </c>
      <c r="AF132" s="48" t="s">
        <v>49</v>
      </c>
      <c r="AG132" s="48" t="s">
        <v>49</v>
      </c>
      <c r="AH132" s="48" t="s">
        <v>49</v>
      </c>
      <c r="AI132" s="48" t="s">
        <v>49</v>
      </c>
      <c r="AJ132" s="49" t="s">
        <v>49</v>
      </c>
      <c r="AK132" s="48" t="s">
        <v>49</v>
      </c>
      <c r="AL132" s="62" t="s">
        <v>32</v>
      </c>
      <c r="AM132" s="59"/>
      <c r="AN132" s="10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1"/>
    </row>
    <row r="133" spans="1:51" x14ac:dyDescent="0.2">
      <c r="A133" s="33">
        <f t="shared" si="2"/>
        <v>128</v>
      </c>
      <c r="B133" s="34" t="s">
        <v>1113</v>
      </c>
      <c r="C133" s="35" t="s">
        <v>1114</v>
      </c>
      <c r="D133" s="36" t="s">
        <v>1115</v>
      </c>
      <c r="E133" s="36" t="s">
        <v>54</v>
      </c>
      <c r="F133" s="98" t="s">
        <v>1116</v>
      </c>
      <c r="G133" s="37" t="s">
        <v>73</v>
      </c>
      <c r="H133" s="37" t="s">
        <v>73</v>
      </c>
      <c r="I133" s="34" t="s">
        <v>1117</v>
      </c>
      <c r="J133" s="34" t="s">
        <v>1118</v>
      </c>
      <c r="K133" s="39" t="s">
        <v>42</v>
      </c>
      <c r="L133" s="99" t="s">
        <v>1119</v>
      </c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42" t="s">
        <v>1120</v>
      </c>
      <c r="Y133" s="58" t="s">
        <v>1121</v>
      </c>
      <c r="Z133" s="44" t="s">
        <v>61</v>
      </c>
      <c r="AA133" s="45">
        <v>38593</v>
      </c>
      <c r="AB133" s="101" t="s">
        <v>30</v>
      </c>
      <c r="AC133" s="36" t="s">
        <v>26</v>
      </c>
      <c r="AD133" s="47" t="s">
        <v>49</v>
      </c>
      <c r="AE133" s="48" t="s">
        <v>49</v>
      </c>
      <c r="AF133" s="48" t="s">
        <v>49</v>
      </c>
      <c r="AG133" s="48" t="s">
        <v>49</v>
      </c>
      <c r="AH133" s="48" t="s">
        <v>49</v>
      </c>
      <c r="AI133" s="48" t="s">
        <v>49</v>
      </c>
      <c r="AJ133" s="49" t="s">
        <v>49</v>
      </c>
      <c r="AK133" s="48" t="s">
        <v>41</v>
      </c>
      <c r="AL133" s="62" t="s">
        <v>148</v>
      </c>
      <c r="AM133" s="59"/>
      <c r="AN133" s="10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1"/>
    </row>
    <row r="134" spans="1:51" x14ac:dyDescent="0.2">
      <c r="A134" s="33">
        <f t="shared" si="2"/>
        <v>129</v>
      </c>
      <c r="B134" s="34" t="s">
        <v>1122</v>
      </c>
      <c r="C134" s="35" t="s">
        <v>1123</v>
      </c>
      <c r="D134" s="36" t="s">
        <v>1124</v>
      </c>
      <c r="E134" s="36" t="s">
        <v>36</v>
      </c>
      <c r="F134" s="34" t="s">
        <v>1125</v>
      </c>
      <c r="G134" s="37" t="s">
        <v>73</v>
      </c>
      <c r="H134" s="37" t="s">
        <v>73</v>
      </c>
      <c r="I134" s="34" t="s">
        <v>1126</v>
      </c>
      <c r="J134" s="34" t="s">
        <v>41</v>
      </c>
      <c r="K134" s="39" t="s">
        <v>42</v>
      </c>
      <c r="L134" s="120">
        <v>34156</v>
      </c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42" t="s">
        <v>1127</v>
      </c>
      <c r="Y134" s="58" t="s">
        <v>1128</v>
      </c>
      <c r="Z134" s="44" t="s">
        <v>1129</v>
      </c>
      <c r="AA134" s="45" t="s">
        <v>1130</v>
      </c>
      <c r="AB134" s="101" t="s">
        <v>30</v>
      </c>
      <c r="AC134" s="36"/>
      <c r="AD134" s="47" t="s">
        <v>49</v>
      </c>
      <c r="AE134" s="48" t="s">
        <v>41</v>
      </c>
      <c r="AF134" s="48" t="s">
        <v>41</v>
      </c>
      <c r="AG134" s="48" t="s">
        <v>41</v>
      </c>
      <c r="AH134" s="48" t="s">
        <v>41</v>
      </c>
      <c r="AI134" s="48" t="s">
        <v>41</v>
      </c>
      <c r="AJ134" s="49" t="s">
        <v>41</v>
      </c>
      <c r="AK134" s="48" t="s">
        <v>41</v>
      </c>
      <c r="AL134" s="65" t="s">
        <v>4592</v>
      </c>
      <c r="AM134" s="59" t="s">
        <v>1068</v>
      </c>
      <c r="AN134" s="10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1"/>
    </row>
    <row r="135" spans="1:51" x14ac:dyDescent="0.2">
      <c r="A135" s="33">
        <f t="shared" si="2"/>
        <v>130</v>
      </c>
      <c r="B135" s="34" t="s">
        <v>1131</v>
      </c>
      <c r="C135" s="35" t="s">
        <v>1132</v>
      </c>
      <c r="D135" s="36" t="s">
        <v>1133</v>
      </c>
      <c r="E135" s="36" t="s">
        <v>54</v>
      </c>
      <c r="F135" s="87" t="s">
        <v>1134</v>
      </c>
      <c r="G135" s="37" t="s">
        <v>73</v>
      </c>
      <c r="H135" s="37" t="s">
        <v>73</v>
      </c>
      <c r="I135" s="107" t="s">
        <v>1135</v>
      </c>
      <c r="J135" s="34" t="s">
        <v>1136</v>
      </c>
      <c r="K135" s="39" t="s">
        <v>42</v>
      </c>
      <c r="L135" s="120">
        <v>31057</v>
      </c>
      <c r="M135" s="41" t="s">
        <v>179</v>
      </c>
      <c r="N135" s="41" t="s">
        <v>179</v>
      </c>
      <c r="O135" s="41"/>
      <c r="P135" s="41">
        <v>1</v>
      </c>
      <c r="Q135" s="41" t="s">
        <v>732</v>
      </c>
      <c r="R135" s="41"/>
      <c r="S135" s="41"/>
      <c r="T135" s="41"/>
      <c r="U135" s="41"/>
      <c r="V135" s="41"/>
      <c r="W135" s="41"/>
      <c r="X135" s="42" t="s">
        <v>1137</v>
      </c>
      <c r="Y135" s="69" t="s">
        <v>1138</v>
      </c>
      <c r="Z135" s="44" t="s">
        <v>61</v>
      </c>
      <c r="AA135" s="45">
        <v>34597</v>
      </c>
      <c r="AB135" s="101" t="s">
        <v>30</v>
      </c>
      <c r="AC135" s="36" t="s">
        <v>26</v>
      </c>
      <c r="AD135" s="64" t="s">
        <v>120</v>
      </c>
      <c r="AE135" s="48" t="s">
        <v>120</v>
      </c>
      <c r="AF135" s="48" t="s">
        <v>120</v>
      </c>
      <c r="AG135" s="48" t="s">
        <v>120</v>
      </c>
      <c r="AH135" s="48" t="s">
        <v>120</v>
      </c>
      <c r="AI135" s="48" t="s">
        <v>120</v>
      </c>
      <c r="AJ135" s="49" t="s">
        <v>41</v>
      </c>
      <c r="AK135" s="48" t="s">
        <v>41</v>
      </c>
      <c r="AL135" s="62" t="s">
        <v>276</v>
      </c>
      <c r="AM135" s="59"/>
      <c r="AN135" s="10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1"/>
    </row>
    <row r="136" spans="1:51" x14ac:dyDescent="0.2">
      <c r="A136" s="33">
        <f t="shared" si="2"/>
        <v>131</v>
      </c>
      <c r="B136" s="34" t="s">
        <v>1139</v>
      </c>
      <c r="C136" s="35" t="s">
        <v>1140</v>
      </c>
      <c r="D136" s="36" t="s">
        <v>1141</v>
      </c>
      <c r="E136" s="36" t="s">
        <v>54</v>
      </c>
      <c r="F136" s="34" t="s">
        <v>1142</v>
      </c>
      <c r="G136" s="37" t="s">
        <v>252</v>
      </c>
      <c r="H136" s="37" t="s">
        <v>57</v>
      </c>
      <c r="I136" s="34" t="s">
        <v>1143</v>
      </c>
      <c r="J136" s="34" t="s">
        <v>1144</v>
      </c>
      <c r="K136" s="39" t="s">
        <v>42</v>
      </c>
      <c r="L136" s="120">
        <v>30355</v>
      </c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2" t="s">
        <v>1145</v>
      </c>
      <c r="Y136" s="58" t="s">
        <v>1146</v>
      </c>
      <c r="Z136" s="44" t="s">
        <v>61</v>
      </c>
      <c r="AA136" s="45">
        <v>34597</v>
      </c>
      <c r="AB136" s="101" t="s">
        <v>30</v>
      </c>
      <c r="AC136" s="36"/>
      <c r="AD136" s="47" t="s">
        <v>49</v>
      </c>
      <c r="AE136" s="48" t="s">
        <v>41</v>
      </c>
      <c r="AF136" s="48" t="s">
        <v>41</v>
      </c>
      <c r="AG136" s="48" t="s">
        <v>41</v>
      </c>
      <c r="AH136" s="48" t="s">
        <v>41</v>
      </c>
      <c r="AI136" s="48" t="s">
        <v>41</v>
      </c>
      <c r="AJ136" s="49" t="s">
        <v>41</v>
      </c>
      <c r="AK136" s="48" t="s">
        <v>41</v>
      </c>
      <c r="AL136" s="65" t="s">
        <v>4592</v>
      </c>
      <c r="AM136" s="59" t="s">
        <v>50</v>
      </c>
      <c r="AN136" s="117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1"/>
    </row>
    <row r="137" spans="1:51" x14ac:dyDescent="0.2">
      <c r="A137" s="33">
        <f t="shared" ref="A137:A201" si="3">+A136+1</f>
        <v>132</v>
      </c>
      <c r="B137" s="34" t="s">
        <v>1147</v>
      </c>
      <c r="C137" s="35" t="s">
        <v>1148</v>
      </c>
      <c r="D137" s="36" t="s">
        <v>1149</v>
      </c>
      <c r="E137" s="36" t="s">
        <v>36</v>
      </c>
      <c r="F137" s="98" t="s">
        <v>1150</v>
      </c>
      <c r="G137" s="37" t="s">
        <v>205</v>
      </c>
      <c r="H137" s="37" t="s">
        <v>205</v>
      </c>
      <c r="I137" s="38" t="s">
        <v>1151</v>
      </c>
      <c r="J137" s="38" t="s">
        <v>41</v>
      </c>
      <c r="K137" s="39" t="s">
        <v>42</v>
      </c>
      <c r="L137" s="120">
        <v>44290</v>
      </c>
      <c r="M137" s="56"/>
      <c r="N137" s="56"/>
      <c r="O137" s="56"/>
      <c r="P137" s="56"/>
      <c r="Q137" s="56"/>
      <c r="R137" s="56" t="s">
        <v>44</v>
      </c>
      <c r="S137" s="56"/>
      <c r="T137" s="56"/>
      <c r="U137" s="56"/>
      <c r="V137" s="56"/>
      <c r="W137" s="56"/>
      <c r="X137" s="42" t="s">
        <v>1152</v>
      </c>
      <c r="Y137" s="58" t="s">
        <v>1153</v>
      </c>
      <c r="Z137" s="44" t="s">
        <v>1154</v>
      </c>
      <c r="AA137" s="45">
        <v>44944</v>
      </c>
      <c r="AB137" s="101" t="s">
        <v>30</v>
      </c>
      <c r="AC137" s="36"/>
      <c r="AD137" s="47" t="s">
        <v>49</v>
      </c>
      <c r="AE137" s="48" t="s">
        <v>41</v>
      </c>
      <c r="AF137" s="48" t="s">
        <v>49</v>
      </c>
      <c r="AG137" s="48" t="s">
        <v>49</v>
      </c>
      <c r="AH137" s="48" t="s">
        <v>49</v>
      </c>
      <c r="AI137" s="48" t="s">
        <v>49</v>
      </c>
      <c r="AJ137" s="49" t="s">
        <v>41</v>
      </c>
      <c r="AK137" s="48" t="s">
        <v>41</v>
      </c>
      <c r="AL137" s="62" t="s">
        <v>276</v>
      </c>
      <c r="AM137" s="59"/>
      <c r="AN137" s="10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1"/>
    </row>
    <row r="138" spans="1:51" x14ac:dyDescent="0.2">
      <c r="A138" s="33">
        <f t="shared" si="3"/>
        <v>133</v>
      </c>
      <c r="B138" s="34" t="s">
        <v>1155</v>
      </c>
      <c r="C138" s="35" t="s">
        <v>1156</v>
      </c>
      <c r="D138" s="36" t="s">
        <v>1157</v>
      </c>
      <c r="E138" s="36" t="s">
        <v>54</v>
      </c>
      <c r="F138" s="108" t="s">
        <v>1158</v>
      </c>
      <c r="G138" s="37" t="s">
        <v>73</v>
      </c>
      <c r="H138" s="37" t="s">
        <v>73</v>
      </c>
      <c r="I138" s="108" t="s">
        <v>1159</v>
      </c>
      <c r="J138" s="34" t="s">
        <v>41</v>
      </c>
      <c r="K138" s="39" t="s">
        <v>42</v>
      </c>
      <c r="L138" s="99" t="s">
        <v>1160</v>
      </c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7" t="s">
        <v>1161</v>
      </c>
      <c r="Y138" s="58" t="s">
        <v>1162</v>
      </c>
      <c r="Z138" s="44" t="s">
        <v>61</v>
      </c>
      <c r="AA138" s="45">
        <v>42935</v>
      </c>
      <c r="AB138" s="101" t="s">
        <v>30</v>
      </c>
      <c r="AC138" s="36" t="s">
        <v>26</v>
      </c>
      <c r="AD138" s="47" t="s">
        <v>49</v>
      </c>
      <c r="AE138" s="48" t="s">
        <v>49</v>
      </c>
      <c r="AF138" s="48" t="s">
        <v>49</v>
      </c>
      <c r="AG138" s="48" t="s">
        <v>49</v>
      </c>
      <c r="AH138" s="48" t="s">
        <v>49</v>
      </c>
      <c r="AI138" s="48" t="s">
        <v>49</v>
      </c>
      <c r="AJ138" s="49" t="s">
        <v>49</v>
      </c>
      <c r="AK138" s="48" t="s">
        <v>49</v>
      </c>
      <c r="AL138" s="62" t="s">
        <v>32</v>
      </c>
      <c r="AM138" s="59"/>
      <c r="AN138" s="10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1"/>
    </row>
    <row r="139" spans="1:51" x14ac:dyDescent="0.2">
      <c r="A139" s="33">
        <f t="shared" si="3"/>
        <v>134</v>
      </c>
      <c r="B139" s="34" t="s">
        <v>1163</v>
      </c>
      <c r="C139" s="35" t="s">
        <v>1164</v>
      </c>
      <c r="D139" s="73" t="s">
        <v>1165</v>
      </c>
      <c r="E139" s="36" t="s">
        <v>54</v>
      </c>
      <c r="F139" s="98" t="s">
        <v>1166</v>
      </c>
      <c r="G139" s="37" t="s">
        <v>56</v>
      </c>
      <c r="H139" s="37" t="s">
        <v>57</v>
      </c>
      <c r="I139" s="140" t="s">
        <v>1167</v>
      </c>
      <c r="J139" s="34" t="s">
        <v>41</v>
      </c>
      <c r="K139" s="39" t="s">
        <v>42</v>
      </c>
      <c r="L139" s="120">
        <v>41951</v>
      </c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42" t="s">
        <v>1168</v>
      </c>
      <c r="Y139" s="58" t="s">
        <v>1169</v>
      </c>
      <c r="Z139" s="44" t="s">
        <v>61</v>
      </c>
      <c r="AA139" s="45">
        <v>41793</v>
      </c>
      <c r="AB139" s="101" t="s">
        <v>30</v>
      </c>
      <c r="AC139" s="73" t="s">
        <v>26</v>
      </c>
      <c r="AD139" s="47" t="s">
        <v>49</v>
      </c>
      <c r="AE139" s="48" t="s">
        <v>49</v>
      </c>
      <c r="AF139" s="48" t="s">
        <v>49</v>
      </c>
      <c r="AG139" s="48" t="s">
        <v>49</v>
      </c>
      <c r="AH139" s="48" t="s">
        <v>49</v>
      </c>
      <c r="AI139" s="48" t="s">
        <v>49</v>
      </c>
      <c r="AJ139" s="49" t="s">
        <v>49</v>
      </c>
      <c r="AK139" s="48" t="s">
        <v>49</v>
      </c>
      <c r="AL139" s="65" t="s">
        <v>32</v>
      </c>
      <c r="AM139" s="59"/>
      <c r="AN139" s="10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1"/>
    </row>
    <row r="140" spans="1:51" x14ac:dyDescent="0.2">
      <c r="A140" s="33">
        <f t="shared" si="3"/>
        <v>135</v>
      </c>
      <c r="B140" s="34" t="s">
        <v>1170</v>
      </c>
      <c r="C140" s="35" t="s">
        <v>1171</v>
      </c>
      <c r="D140" s="36" t="s">
        <v>1172</v>
      </c>
      <c r="E140" s="36" t="s">
        <v>54</v>
      </c>
      <c r="F140" s="34" t="s">
        <v>1173</v>
      </c>
      <c r="G140" s="37" t="s">
        <v>349</v>
      </c>
      <c r="H140" s="37" t="s">
        <v>350</v>
      </c>
      <c r="I140" s="34" t="s">
        <v>1174</v>
      </c>
      <c r="J140" s="38" t="s">
        <v>1175</v>
      </c>
      <c r="K140" s="39" t="s">
        <v>42</v>
      </c>
      <c r="L140" s="99" t="s">
        <v>59</v>
      </c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2" t="s">
        <v>1176</v>
      </c>
      <c r="Y140" s="43" t="s">
        <v>1177</v>
      </c>
      <c r="Z140" s="44" t="s">
        <v>1178</v>
      </c>
      <c r="AA140" s="45">
        <v>44041</v>
      </c>
      <c r="AB140" s="101" t="s">
        <v>30</v>
      </c>
      <c r="AC140" s="36" t="s">
        <v>26</v>
      </c>
      <c r="AD140" s="47" t="s">
        <v>49</v>
      </c>
      <c r="AE140" s="48" t="s">
        <v>49</v>
      </c>
      <c r="AF140" s="48" t="s">
        <v>49</v>
      </c>
      <c r="AG140" s="48" t="s">
        <v>49</v>
      </c>
      <c r="AH140" s="48" t="s">
        <v>49</v>
      </c>
      <c r="AI140" s="48" t="s">
        <v>41</v>
      </c>
      <c r="AJ140" s="49" t="s">
        <v>41</v>
      </c>
      <c r="AK140" s="48" t="s">
        <v>41</v>
      </c>
      <c r="AL140" s="62" t="s">
        <v>4589</v>
      </c>
      <c r="AM140" s="59"/>
      <c r="AN140" s="10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1"/>
    </row>
    <row r="141" spans="1:51" x14ac:dyDescent="0.2">
      <c r="A141" s="33">
        <f t="shared" si="3"/>
        <v>136</v>
      </c>
      <c r="B141" s="34" t="s">
        <v>1179</v>
      </c>
      <c r="C141" s="35" t="s">
        <v>1180</v>
      </c>
      <c r="D141" s="36" t="s">
        <v>1181</v>
      </c>
      <c r="E141" s="36" t="s">
        <v>36</v>
      </c>
      <c r="F141" s="34" t="s">
        <v>1182</v>
      </c>
      <c r="G141" s="37" t="s">
        <v>456</v>
      </c>
      <c r="H141" s="37" t="s">
        <v>187</v>
      </c>
      <c r="I141" s="38" t="s">
        <v>1183</v>
      </c>
      <c r="J141" s="38" t="s">
        <v>41</v>
      </c>
      <c r="K141" s="39" t="s">
        <v>42</v>
      </c>
      <c r="L141" s="159" t="s">
        <v>1184</v>
      </c>
      <c r="M141" s="70"/>
      <c r="N141" s="70"/>
      <c r="O141" s="70"/>
      <c r="P141" s="70"/>
      <c r="Q141" s="70"/>
      <c r="R141" s="70"/>
      <c r="S141" s="70" t="s">
        <v>44</v>
      </c>
      <c r="T141" s="70"/>
      <c r="U141" s="70"/>
      <c r="V141" s="70"/>
      <c r="W141" s="70"/>
      <c r="X141" s="54" t="s">
        <v>1185</v>
      </c>
      <c r="Y141" s="43" t="s">
        <v>1186</v>
      </c>
      <c r="Z141" s="44" t="s">
        <v>1154</v>
      </c>
      <c r="AA141" s="45">
        <v>44944</v>
      </c>
      <c r="AB141" s="160" t="s">
        <v>30</v>
      </c>
      <c r="AC141" s="36"/>
      <c r="AD141" s="47" t="s">
        <v>49</v>
      </c>
      <c r="AE141" s="48" t="s">
        <v>41</v>
      </c>
      <c r="AF141" s="48" t="s">
        <v>41</v>
      </c>
      <c r="AG141" s="48" t="s">
        <v>49</v>
      </c>
      <c r="AH141" s="48" t="s">
        <v>49</v>
      </c>
      <c r="AI141" s="48" t="s">
        <v>41</v>
      </c>
      <c r="AJ141" s="49" t="s">
        <v>41</v>
      </c>
      <c r="AK141" s="48" t="s">
        <v>41</v>
      </c>
      <c r="AL141" s="62" t="s">
        <v>4589</v>
      </c>
      <c r="AM141" s="138"/>
      <c r="AN141" s="10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1"/>
    </row>
    <row r="142" spans="1:51" x14ac:dyDescent="0.2">
      <c r="A142" s="33">
        <f t="shared" si="3"/>
        <v>137</v>
      </c>
      <c r="B142" s="34" t="s">
        <v>1187</v>
      </c>
      <c r="C142" s="35" t="s">
        <v>1188</v>
      </c>
      <c r="D142" s="73" t="s">
        <v>1189</v>
      </c>
      <c r="E142" s="36" t="s">
        <v>54</v>
      </c>
      <c r="F142" s="98" t="s">
        <v>1190</v>
      </c>
      <c r="G142" s="37" t="s">
        <v>858</v>
      </c>
      <c r="H142" s="37" t="s">
        <v>57</v>
      </c>
      <c r="I142" s="140" t="s">
        <v>1191</v>
      </c>
      <c r="J142" s="38" t="s">
        <v>1192</v>
      </c>
      <c r="K142" s="39" t="s">
        <v>42</v>
      </c>
      <c r="L142" s="161" t="s">
        <v>1193</v>
      </c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42" t="s">
        <v>1194</v>
      </c>
      <c r="Y142" s="58" t="s">
        <v>1195</v>
      </c>
      <c r="Z142" s="119" t="s">
        <v>1196</v>
      </c>
      <c r="AA142" s="45">
        <v>44041</v>
      </c>
      <c r="AB142" s="160" t="s">
        <v>30</v>
      </c>
      <c r="AC142" s="73" t="s">
        <v>26</v>
      </c>
      <c r="AD142" s="47" t="s">
        <v>49</v>
      </c>
      <c r="AE142" s="48" t="s">
        <v>49</v>
      </c>
      <c r="AF142" s="48" t="s">
        <v>49</v>
      </c>
      <c r="AG142" s="48" t="s">
        <v>49</v>
      </c>
      <c r="AH142" s="48" t="s">
        <v>49</v>
      </c>
      <c r="AI142" s="48" t="s">
        <v>41</v>
      </c>
      <c r="AJ142" s="49" t="s">
        <v>41</v>
      </c>
      <c r="AK142" s="48" t="s">
        <v>41</v>
      </c>
      <c r="AL142" s="62" t="s">
        <v>4589</v>
      </c>
      <c r="AM142" s="138"/>
      <c r="AN142" s="10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1"/>
    </row>
    <row r="143" spans="1:51" x14ac:dyDescent="0.2">
      <c r="A143" s="33">
        <f t="shared" si="3"/>
        <v>138</v>
      </c>
      <c r="B143" s="34" t="s">
        <v>1197</v>
      </c>
      <c r="C143" s="35" t="s">
        <v>1198</v>
      </c>
      <c r="D143" s="36" t="s">
        <v>1199</v>
      </c>
      <c r="E143" s="36" t="s">
        <v>36</v>
      </c>
      <c r="F143" s="34" t="s">
        <v>1200</v>
      </c>
      <c r="G143" s="37" t="s">
        <v>73</v>
      </c>
      <c r="H143" s="37" t="s">
        <v>73</v>
      </c>
      <c r="I143" s="34" t="s">
        <v>1201</v>
      </c>
      <c r="J143" s="34" t="s">
        <v>1202</v>
      </c>
      <c r="K143" s="39" t="s">
        <v>42</v>
      </c>
      <c r="L143" s="159" t="s">
        <v>1203</v>
      </c>
      <c r="M143" s="68" t="s">
        <v>179</v>
      </c>
      <c r="N143" s="68" t="s">
        <v>179</v>
      </c>
      <c r="O143" s="68" t="s">
        <v>4615</v>
      </c>
      <c r="P143" s="68">
        <v>2</v>
      </c>
      <c r="Q143" s="68"/>
      <c r="R143" s="68"/>
      <c r="S143" s="68"/>
      <c r="T143" s="68" t="s">
        <v>732</v>
      </c>
      <c r="U143" s="68"/>
      <c r="V143" s="68"/>
      <c r="W143" s="68"/>
      <c r="X143" s="42" t="s">
        <v>1204</v>
      </c>
      <c r="Y143" s="58" t="s">
        <v>1205</v>
      </c>
      <c r="Z143" s="162"/>
      <c r="AA143" s="45" t="s">
        <v>47</v>
      </c>
      <c r="AB143" s="160"/>
      <c r="AC143" s="36" t="s">
        <v>26</v>
      </c>
      <c r="AD143" s="47" t="s">
        <v>49</v>
      </c>
      <c r="AE143" s="48" t="s">
        <v>49</v>
      </c>
      <c r="AF143" s="48" t="s">
        <v>49</v>
      </c>
      <c r="AG143" s="48" t="s">
        <v>49</v>
      </c>
      <c r="AH143" s="48" t="s">
        <v>49</v>
      </c>
      <c r="AI143" s="48" t="s">
        <v>49</v>
      </c>
      <c r="AJ143" s="49" t="s">
        <v>49</v>
      </c>
      <c r="AK143" s="48" t="s">
        <v>41</v>
      </c>
      <c r="AL143" s="62" t="s">
        <v>148</v>
      </c>
      <c r="AM143" s="138"/>
      <c r="AN143" s="10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1"/>
    </row>
    <row r="144" spans="1:51" x14ac:dyDescent="0.2">
      <c r="A144" s="33">
        <f t="shared" si="3"/>
        <v>139</v>
      </c>
      <c r="B144" s="107" t="s">
        <v>1206</v>
      </c>
      <c r="C144" s="35" t="s">
        <v>1207</v>
      </c>
      <c r="D144" s="36" t="s">
        <v>1208</v>
      </c>
      <c r="E144" s="36" t="s">
        <v>54</v>
      </c>
      <c r="F144" s="34" t="s">
        <v>1209</v>
      </c>
      <c r="G144" s="37" t="s">
        <v>176</v>
      </c>
      <c r="H144" s="37" t="s">
        <v>39</v>
      </c>
      <c r="I144" s="34" t="s">
        <v>1210</v>
      </c>
      <c r="J144" s="38" t="s">
        <v>1211</v>
      </c>
      <c r="K144" s="39" t="s">
        <v>42</v>
      </c>
      <c r="L144" s="99" t="s">
        <v>825</v>
      </c>
      <c r="M144" s="115"/>
      <c r="N144" s="147"/>
      <c r="O144" s="147"/>
      <c r="P144" s="147"/>
      <c r="Q144" s="147"/>
      <c r="R144" s="147"/>
      <c r="S144" s="115"/>
      <c r="T144" s="114"/>
      <c r="U144" s="115"/>
      <c r="V144" s="56"/>
      <c r="W144" s="56"/>
      <c r="X144" s="42" t="s">
        <v>1212</v>
      </c>
      <c r="Y144" s="58" t="s">
        <v>1213</v>
      </c>
      <c r="Z144" s="44" t="s">
        <v>61</v>
      </c>
      <c r="AA144" s="45">
        <v>39286</v>
      </c>
      <c r="AB144" s="101" t="s">
        <v>30</v>
      </c>
      <c r="AC144" s="36" t="s">
        <v>26</v>
      </c>
      <c r="AD144" s="47" t="s">
        <v>49</v>
      </c>
      <c r="AE144" s="48" t="s">
        <v>49</v>
      </c>
      <c r="AF144" s="48" t="s">
        <v>49</v>
      </c>
      <c r="AG144" s="48" t="s">
        <v>49</v>
      </c>
      <c r="AH144" s="48" t="s">
        <v>49</v>
      </c>
      <c r="AI144" s="48" t="s">
        <v>49</v>
      </c>
      <c r="AJ144" s="49" t="s">
        <v>49</v>
      </c>
      <c r="AK144" s="48" t="s">
        <v>49</v>
      </c>
      <c r="AL144" s="62" t="s">
        <v>32</v>
      </c>
      <c r="AM144" s="138"/>
      <c r="AN144" s="10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1"/>
    </row>
    <row r="145" spans="1:51" x14ac:dyDescent="0.2">
      <c r="A145" s="33">
        <f t="shared" si="3"/>
        <v>140</v>
      </c>
      <c r="B145" s="34" t="s">
        <v>1214</v>
      </c>
      <c r="C145" s="35" t="s">
        <v>1215</v>
      </c>
      <c r="D145" s="36" t="s">
        <v>1216</v>
      </c>
      <c r="E145" s="36" t="s">
        <v>36</v>
      </c>
      <c r="F145" s="34" t="s">
        <v>1217</v>
      </c>
      <c r="G145" s="37" t="s">
        <v>73</v>
      </c>
      <c r="H145" s="37" t="s">
        <v>73</v>
      </c>
      <c r="I145" s="34">
        <v>85781123929</v>
      </c>
      <c r="J145" s="34" t="s">
        <v>41</v>
      </c>
      <c r="K145" s="39" t="s">
        <v>42</v>
      </c>
      <c r="L145" s="163" t="s">
        <v>1218</v>
      </c>
      <c r="M145" s="115"/>
      <c r="N145" s="147"/>
      <c r="O145" s="147"/>
      <c r="P145" s="147"/>
      <c r="Q145" s="147"/>
      <c r="R145" s="147"/>
      <c r="S145" s="115"/>
      <c r="T145" s="114"/>
      <c r="U145" s="115"/>
      <c r="V145" s="56"/>
      <c r="W145" s="56"/>
      <c r="X145" s="42" t="s">
        <v>1219</v>
      </c>
      <c r="Y145" s="58" t="s">
        <v>1220</v>
      </c>
      <c r="Z145" s="121" t="s">
        <v>1221</v>
      </c>
      <c r="AA145" s="45">
        <v>44650</v>
      </c>
      <c r="AB145" s="164" t="s">
        <v>30</v>
      </c>
      <c r="AC145" s="36" t="s">
        <v>26</v>
      </c>
      <c r="AD145" s="47" t="s">
        <v>49</v>
      </c>
      <c r="AE145" s="48" t="s">
        <v>49</v>
      </c>
      <c r="AF145" s="48" t="s">
        <v>49</v>
      </c>
      <c r="AG145" s="48" t="s">
        <v>49</v>
      </c>
      <c r="AH145" s="48" t="s">
        <v>49</v>
      </c>
      <c r="AI145" s="48" t="s">
        <v>49</v>
      </c>
      <c r="AJ145" s="49" t="s">
        <v>49</v>
      </c>
      <c r="AK145" s="48" t="s">
        <v>49</v>
      </c>
      <c r="AL145" s="65" t="s">
        <v>32</v>
      </c>
      <c r="AM145" s="103"/>
      <c r="AN145" s="10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1"/>
    </row>
    <row r="146" spans="1:51" x14ac:dyDescent="0.2">
      <c r="A146" s="33">
        <f t="shared" si="3"/>
        <v>141</v>
      </c>
      <c r="B146" s="34" t="s">
        <v>1222</v>
      </c>
      <c r="C146" s="35" t="s">
        <v>1223</v>
      </c>
      <c r="D146" s="73" t="s">
        <v>1224</v>
      </c>
      <c r="E146" s="36" t="s">
        <v>54</v>
      </c>
      <c r="F146" s="98" t="s">
        <v>1225</v>
      </c>
      <c r="G146" s="37" t="s">
        <v>73</v>
      </c>
      <c r="H146" s="37" t="s">
        <v>73</v>
      </c>
      <c r="I146" s="140" t="s">
        <v>1226</v>
      </c>
      <c r="J146" s="34" t="s">
        <v>41</v>
      </c>
      <c r="K146" s="39" t="s">
        <v>42</v>
      </c>
      <c r="L146" s="165" t="s">
        <v>1227</v>
      </c>
      <c r="M146" s="115" t="s">
        <v>179</v>
      </c>
      <c r="N146" s="147" t="s">
        <v>179</v>
      </c>
      <c r="O146" s="147"/>
      <c r="P146" s="147">
        <v>6</v>
      </c>
      <c r="Q146" s="147" t="s">
        <v>1041</v>
      </c>
      <c r="R146" s="147"/>
      <c r="S146" s="115"/>
      <c r="T146" s="114"/>
      <c r="U146" s="115"/>
      <c r="V146" s="56"/>
      <c r="W146" s="56"/>
      <c r="X146" s="42" t="s">
        <v>1228</v>
      </c>
      <c r="Y146" s="58" t="s">
        <v>1229</v>
      </c>
      <c r="Z146" s="44"/>
      <c r="AA146" s="45" t="s">
        <v>47</v>
      </c>
      <c r="AB146" s="164"/>
      <c r="AC146" s="73"/>
      <c r="AD146" s="47" t="s">
        <v>49</v>
      </c>
      <c r="AE146" s="48" t="s">
        <v>41</v>
      </c>
      <c r="AF146" s="48" t="s">
        <v>41</v>
      </c>
      <c r="AG146" s="48" t="s">
        <v>41</v>
      </c>
      <c r="AH146" s="48" t="s">
        <v>41</v>
      </c>
      <c r="AI146" s="48" t="s">
        <v>41</v>
      </c>
      <c r="AJ146" s="49" t="s">
        <v>41</v>
      </c>
      <c r="AK146" s="48" t="s">
        <v>41</v>
      </c>
      <c r="AL146" s="65" t="s">
        <v>4588</v>
      </c>
      <c r="AM146" s="59" t="s">
        <v>1230</v>
      </c>
      <c r="AN146" s="10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1"/>
    </row>
    <row r="147" spans="1:51" x14ac:dyDescent="0.2">
      <c r="A147" s="33">
        <f t="shared" si="3"/>
        <v>142</v>
      </c>
      <c r="B147" s="38" t="s">
        <v>1231</v>
      </c>
      <c r="C147" s="35" t="s">
        <v>1232</v>
      </c>
      <c r="D147" s="36" t="s">
        <v>1233</v>
      </c>
      <c r="E147" s="36" t="s">
        <v>54</v>
      </c>
      <c r="F147" s="34" t="s">
        <v>1234</v>
      </c>
      <c r="G147" s="37" t="s">
        <v>39</v>
      </c>
      <c r="H147" s="37" t="s">
        <v>39</v>
      </c>
      <c r="I147" s="38" t="s">
        <v>1235</v>
      </c>
      <c r="J147" s="34" t="s">
        <v>41</v>
      </c>
      <c r="K147" s="39" t="s">
        <v>42</v>
      </c>
      <c r="L147" s="163" t="s">
        <v>1236</v>
      </c>
      <c r="M147" s="115"/>
      <c r="N147" s="147"/>
      <c r="O147" s="147"/>
      <c r="P147" s="147"/>
      <c r="Q147" s="147"/>
      <c r="R147" s="147"/>
      <c r="S147" s="115" t="s">
        <v>44</v>
      </c>
      <c r="T147" s="114" t="s">
        <v>732</v>
      </c>
      <c r="U147" s="115"/>
      <c r="V147" s="56"/>
      <c r="W147" s="56"/>
      <c r="X147" s="42" t="s">
        <v>1237</v>
      </c>
      <c r="Y147" s="58" t="s">
        <v>1238</v>
      </c>
      <c r="Z147" s="84" t="s">
        <v>1239</v>
      </c>
      <c r="AA147" s="45">
        <v>44650</v>
      </c>
      <c r="AB147" s="164" t="s">
        <v>30</v>
      </c>
      <c r="AC147" s="36"/>
      <c r="AD147" s="47" t="s">
        <v>49</v>
      </c>
      <c r="AE147" s="48" t="s">
        <v>41</v>
      </c>
      <c r="AF147" s="48" t="s">
        <v>41</v>
      </c>
      <c r="AG147" s="48" t="s">
        <v>49</v>
      </c>
      <c r="AH147" s="48" t="s">
        <v>49</v>
      </c>
      <c r="AI147" s="48" t="s">
        <v>49</v>
      </c>
      <c r="AJ147" s="49" t="s">
        <v>49</v>
      </c>
      <c r="AK147" s="48" t="s">
        <v>49</v>
      </c>
      <c r="AL147" s="65" t="s">
        <v>32</v>
      </c>
      <c r="AM147" s="59"/>
      <c r="AN147" s="10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1"/>
    </row>
    <row r="148" spans="1:51" x14ac:dyDescent="0.2">
      <c r="A148" s="33">
        <f t="shared" si="3"/>
        <v>143</v>
      </c>
      <c r="B148" s="34" t="s">
        <v>1240</v>
      </c>
      <c r="C148" s="35" t="s">
        <v>1241</v>
      </c>
      <c r="D148" s="36" t="s">
        <v>1242</v>
      </c>
      <c r="E148" s="36" t="s">
        <v>54</v>
      </c>
      <c r="F148" s="34" t="s">
        <v>4625</v>
      </c>
      <c r="G148" s="37" t="s">
        <v>360</v>
      </c>
      <c r="H148" s="37" t="s">
        <v>350</v>
      </c>
      <c r="I148" s="38" t="s">
        <v>1244</v>
      </c>
      <c r="J148" s="34"/>
      <c r="K148" s="39" t="s">
        <v>42</v>
      </c>
      <c r="L148" s="165" t="s">
        <v>1245</v>
      </c>
      <c r="M148" s="56"/>
      <c r="N148" s="115"/>
      <c r="O148" s="114"/>
      <c r="P148" s="115"/>
      <c r="Q148" s="114"/>
      <c r="R148" s="115"/>
      <c r="S148" s="115"/>
      <c r="T148" s="114"/>
      <c r="U148" s="115"/>
      <c r="V148" s="56"/>
      <c r="W148" s="56"/>
      <c r="X148" s="42" t="s">
        <v>1246</v>
      </c>
      <c r="Y148" s="58" t="s">
        <v>1247</v>
      </c>
      <c r="Z148" s="144" t="s">
        <v>1248</v>
      </c>
      <c r="AA148" s="45">
        <v>44650</v>
      </c>
      <c r="AB148" s="164" t="s">
        <v>30</v>
      </c>
      <c r="AC148" s="36" t="s">
        <v>26</v>
      </c>
      <c r="AD148" s="47" t="s">
        <v>49</v>
      </c>
      <c r="AE148" s="48" t="s">
        <v>49</v>
      </c>
      <c r="AF148" s="48" t="s">
        <v>49</v>
      </c>
      <c r="AG148" s="48" t="s">
        <v>49</v>
      </c>
      <c r="AH148" s="48" t="s">
        <v>49</v>
      </c>
      <c r="AI148" s="48" t="s">
        <v>49</v>
      </c>
      <c r="AJ148" s="49" t="s">
        <v>49</v>
      </c>
      <c r="AK148" s="48" t="s">
        <v>49</v>
      </c>
      <c r="AL148" s="65" t="s">
        <v>32</v>
      </c>
      <c r="AM148" s="59"/>
      <c r="AN148" s="10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1"/>
    </row>
    <row r="149" spans="1:51" x14ac:dyDescent="0.2">
      <c r="A149" s="33">
        <f t="shared" si="3"/>
        <v>144</v>
      </c>
      <c r="B149" s="34" t="s">
        <v>1249</v>
      </c>
      <c r="C149" s="35" t="s">
        <v>1250</v>
      </c>
      <c r="D149" s="36" t="s">
        <v>1251</v>
      </c>
      <c r="E149" s="36" t="s">
        <v>54</v>
      </c>
      <c r="F149" s="34" t="s">
        <v>1252</v>
      </c>
      <c r="G149" s="37" t="s">
        <v>176</v>
      </c>
      <c r="H149" s="37" t="s">
        <v>39</v>
      </c>
      <c r="I149" s="34" t="s">
        <v>1253</v>
      </c>
      <c r="J149" s="34" t="s">
        <v>41</v>
      </c>
      <c r="K149" s="39" t="s">
        <v>42</v>
      </c>
      <c r="L149" s="166" t="s">
        <v>1254</v>
      </c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2" t="s">
        <v>1255</v>
      </c>
      <c r="Y149" s="52" t="s">
        <v>1256</v>
      </c>
      <c r="Z149" s="44" t="s">
        <v>1257</v>
      </c>
      <c r="AA149" s="45">
        <v>42935</v>
      </c>
      <c r="AB149" s="101" t="s">
        <v>30</v>
      </c>
      <c r="AC149" s="36" t="s">
        <v>26</v>
      </c>
      <c r="AD149" s="47" t="s">
        <v>49</v>
      </c>
      <c r="AE149" s="48" t="s">
        <v>49</v>
      </c>
      <c r="AF149" s="48" t="s">
        <v>49</v>
      </c>
      <c r="AG149" s="48" t="s">
        <v>49</v>
      </c>
      <c r="AH149" s="48" t="s">
        <v>49</v>
      </c>
      <c r="AI149" s="48" t="s">
        <v>49</v>
      </c>
      <c r="AJ149" s="49" t="s">
        <v>49</v>
      </c>
      <c r="AK149" s="48" t="s">
        <v>49</v>
      </c>
      <c r="AL149" s="62" t="s">
        <v>32</v>
      </c>
      <c r="AM149" s="59"/>
      <c r="AN149" s="10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1"/>
    </row>
    <row r="150" spans="1:51" x14ac:dyDescent="0.2">
      <c r="A150" s="33">
        <f t="shared" si="3"/>
        <v>145</v>
      </c>
      <c r="B150" s="34" t="s">
        <v>1258</v>
      </c>
      <c r="C150" s="35" t="s">
        <v>1259</v>
      </c>
      <c r="D150" s="36" t="s">
        <v>1260</v>
      </c>
      <c r="E150" s="36" t="s">
        <v>54</v>
      </c>
      <c r="F150" s="34" t="s">
        <v>1261</v>
      </c>
      <c r="G150" s="37" t="s">
        <v>73</v>
      </c>
      <c r="H150" s="37" t="s">
        <v>73</v>
      </c>
      <c r="I150" s="38" t="s">
        <v>1262</v>
      </c>
      <c r="J150" s="34"/>
      <c r="K150" s="39" t="s">
        <v>42</v>
      </c>
      <c r="L150" s="120">
        <v>45376</v>
      </c>
      <c r="M150" s="56"/>
      <c r="N150" s="56"/>
      <c r="O150" s="56"/>
      <c r="P150" s="56"/>
      <c r="Q150" s="56"/>
      <c r="R150" s="56"/>
      <c r="S150" s="56"/>
      <c r="T150" s="56"/>
      <c r="U150" s="56" t="s">
        <v>44</v>
      </c>
      <c r="V150" s="56"/>
      <c r="W150" s="56"/>
      <c r="X150" s="42" t="s">
        <v>1263</v>
      </c>
      <c r="Y150" s="58" t="s">
        <v>1264</v>
      </c>
      <c r="Z150" s="121"/>
      <c r="AA150" s="45"/>
      <c r="AB150" s="101"/>
      <c r="AC150" s="36"/>
      <c r="AD150" s="47" t="s">
        <v>49</v>
      </c>
      <c r="AE150" s="48" t="s">
        <v>41</v>
      </c>
      <c r="AF150" s="48" t="s">
        <v>41</v>
      </c>
      <c r="AG150" s="48" t="s">
        <v>41</v>
      </c>
      <c r="AH150" s="48" t="s">
        <v>41</v>
      </c>
      <c r="AI150" s="48" t="s">
        <v>49</v>
      </c>
      <c r="AJ150" s="49" t="s">
        <v>49</v>
      </c>
      <c r="AK150" s="48" t="s">
        <v>49</v>
      </c>
      <c r="AL150" s="62" t="s">
        <v>32</v>
      </c>
      <c r="AM150" s="59"/>
      <c r="AN150" s="10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1"/>
    </row>
    <row r="151" spans="1:51" x14ac:dyDescent="0.2">
      <c r="A151" s="33">
        <f t="shared" si="3"/>
        <v>146</v>
      </c>
      <c r="B151" s="34" t="s">
        <v>1265</v>
      </c>
      <c r="C151" s="35" t="s">
        <v>1266</v>
      </c>
      <c r="D151" s="36" t="s">
        <v>1267</v>
      </c>
      <c r="E151" s="36" t="s">
        <v>36</v>
      </c>
      <c r="F151" s="34" t="s">
        <v>1268</v>
      </c>
      <c r="G151" s="37" t="s">
        <v>73</v>
      </c>
      <c r="H151" s="37" t="s">
        <v>73</v>
      </c>
      <c r="I151" s="42" t="s">
        <v>1269</v>
      </c>
      <c r="J151" s="34"/>
      <c r="K151" s="39" t="s">
        <v>42</v>
      </c>
      <c r="L151" s="120">
        <v>45607</v>
      </c>
      <c r="M151" s="56" t="s">
        <v>179</v>
      </c>
      <c r="N151" s="56" t="s">
        <v>179</v>
      </c>
      <c r="O151" s="56"/>
      <c r="P151" s="56">
        <v>1</v>
      </c>
      <c r="Q151" s="56"/>
      <c r="R151" s="56"/>
      <c r="S151" s="56"/>
      <c r="T151" s="56"/>
      <c r="U151" s="56" t="s">
        <v>44</v>
      </c>
      <c r="V151" s="56"/>
      <c r="W151" s="56"/>
      <c r="X151" s="42" t="s">
        <v>1270</v>
      </c>
      <c r="Y151" s="58" t="s">
        <v>1271</v>
      </c>
      <c r="Z151" s="121"/>
      <c r="AA151" s="45"/>
      <c r="AB151" s="101"/>
      <c r="AC151" s="36"/>
      <c r="AD151" s="47" t="s">
        <v>49</v>
      </c>
      <c r="AE151" s="48" t="s">
        <v>41</v>
      </c>
      <c r="AF151" s="48" t="s">
        <v>41</v>
      </c>
      <c r="AG151" s="48" t="s">
        <v>41</v>
      </c>
      <c r="AH151" s="48" t="s">
        <v>41</v>
      </c>
      <c r="AI151" s="48" t="s">
        <v>49</v>
      </c>
      <c r="AJ151" s="49" t="s">
        <v>41</v>
      </c>
      <c r="AK151" s="48" t="s">
        <v>41</v>
      </c>
      <c r="AL151" s="62" t="s">
        <v>276</v>
      </c>
      <c r="AM151" s="59"/>
      <c r="AN151" s="10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1"/>
    </row>
    <row r="152" spans="1:51" x14ac:dyDescent="0.2">
      <c r="A152" s="33">
        <f t="shared" si="3"/>
        <v>147</v>
      </c>
      <c r="B152" s="34" t="s">
        <v>1272</v>
      </c>
      <c r="C152" s="35" t="s">
        <v>1273</v>
      </c>
      <c r="D152" s="36" t="s">
        <v>1274</v>
      </c>
      <c r="E152" s="36" t="s">
        <v>36</v>
      </c>
      <c r="F152" s="34" t="s">
        <v>1275</v>
      </c>
      <c r="G152" s="37" t="s">
        <v>73</v>
      </c>
      <c r="H152" s="37" t="s">
        <v>73</v>
      </c>
      <c r="I152" s="38" t="s">
        <v>1276</v>
      </c>
      <c r="J152" s="34" t="s">
        <v>41</v>
      </c>
      <c r="K152" s="39" t="s">
        <v>42</v>
      </c>
      <c r="L152" s="166" t="s">
        <v>1277</v>
      </c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2" t="s">
        <v>1278</v>
      </c>
      <c r="Y152" s="52" t="s">
        <v>1279</v>
      </c>
      <c r="Z152" s="44" t="s">
        <v>1280</v>
      </c>
      <c r="AA152" s="45">
        <v>41793</v>
      </c>
      <c r="AB152" s="101" t="s">
        <v>30</v>
      </c>
      <c r="AC152" s="36" t="s">
        <v>26</v>
      </c>
      <c r="AD152" s="47" t="s">
        <v>49</v>
      </c>
      <c r="AE152" s="48" t="s">
        <v>49</v>
      </c>
      <c r="AF152" s="48" t="s">
        <v>49</v>
      </c>
      <c r="AG152" s="48" t="s">
        <v>49</v>
      </c>
      <c r="AH152" s="48" t="s">
        <v>49</v>
      </c>
      <c r="AI152" s="48" t="s">
        <v>41</v>
      </c>
      <c r="AJ152" s="49" t="s">
        <v>41</v>
      </c>
      <c r="AK152" s="48" t="s">
        <v>41</v>
      </c>
      <c r="AL152" s="62" t="s">
        <v>4589</v>
      </c>
      <c r="AM152" s="59"/>
      <c r="AN152" s="10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1"/>
    </row>
    <row r="153" spans="1:51" x14ac:dyDescent="0.2">
      <c r="A153" s="33">
        <f t="shared" si="3"/>
        <v>148</v>
      </c>
      <c r="B153" s="34" t="s">
        <v>1281</v>
      </c>
      <c r="C153" s="35" t="s">
        <v>1282</v>
      </c>
      <c r="D153" s="36" t="s">
        <v>1283</v>
      </c>
      <c r="E153" s="36" t="s">
        <v>54</v>
      </c>
      <c r="F153" s="34" t="s">
        <v>1284</v>
      </c>
      <c r="G153" s="37" t="s">
        <v>1285</v>
      </c>
      <c r="H153" s="37" t="s">
        <v>350</v>
      </c>
      <c r="I153" s="34" t="s">
        <v>1286</v>
      </c>
      <c r="J153" s="34" t="s">
        <v>41</v>
      </c>
      <c r="K153" s="39" t="s">
        <v>42</v>
      </c>
      <c r="L153" s="158" t="s">
        <v>1287</v>
      </c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42" t="s">
        <v>1288</v>
      </c>
      <c r="Y153" s="58" t="s">
        <v>1289</v>
      </c>
      <c r="Z153" s="44" t="s">
        <v>1290</v>
      </c>
      <c r="AA153" s="45">
        <v>42935</v>
      </c>
      <c r="AB153" s="101" t="s">
        <v>30</v>
      </c>
      <c r="AC153" s="36" t="s">
        <v>26</v>
      </c>
      <c r="AD153" s="47" t="s">
        <v>49</v>
      </c>
      <c r="AE153" s="48" t="s">
        <v>49</v>
      </c>
      <c r="AF153" s="48" t="s">
        <v>49</v>
      </c>
      <c r="AG153" s="48" t="s">
        <v>49</v>
      </c>
      <c r="AH153" s="48" t="s">
        <v>49</v>
      </c>
      <c r="AI153" s="48" t="s">
        <v>49</v>
      </c>
      <c r="AJ153" s="49" t="s">
        <v>41</v>
      </c>
      <c r="AK153" s="48" t="s">
        <v>41</v>
      </c>
      <c r="AL153" s="62" t="s">
        <v>276</v>
      </c>
      <c r="AM153" s="59"/>
      <c r="AN153" s="10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1"/>
    </row>
    <row r="154" spans="1:51" x14ac:dyDescent="0.2">
      <c r="A154" s="33">
        <f t="shared" si="3"/>
        <v>149</v>
      </c>
      <c r="B154" s="34" t="s">
        <v>1291</v>
      </c>
      <c r="C154" s="35" t="s">
        <v>1292</v>
      </c>
      <c r="D154" s="36" t="s">
        <v>1293</v>
      </c>
      <c r="E154" s="36" t="s">
        <v>54</v>
      </c>
      <c r="F154" s="34" t="s">
        <v>1294</v>
      </c>
      <c r="G154" s="37" t="s">
        <v>73</v>
      </c>
      <c r="H154" s="37" t="s">
        <v>73</v>
      </c>
      <c r="I154" s="167" t="s">
        <v>1295</v>
      </c>
      <c r="J154" s="57" t="s">
        <v>1296</v>
      </c>
      <c r="K154" s="39" t="s">
        <v>42</v>
      </c>
      <c r="L154" s="99" t="s">
        <v>307</v>
      </c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42" t="s">
        <v>1297</v>
      </c>
      <c r="Y154" s="100" t="s">
        <v>1298</v>
      </c>
      <c r="Z154" s="44" t="s">
        <v>61</v>
      </c>
      <c r="AA154" s="45">
        <v>39286</v>
      </c>
      <c r="AB154" s="101" t="s">
        <v>30</v>
      </c>
      <c r="AC154" s="36"/>
      <c r="AD154" s="47" t="s">
        <v>49</v>
      </c>
      <c r="AE154" s="48" t="s">
        <v>41</v>
      </c>
      <c r="AF154" s="48" t="s">
        <v>41</v>
      </c>
      <c r="AG154" s="48" t="s">
        <v>41</v>
      </c>
      <c r="AH154" s="48" t="s">
        <v>41</v>
      </c>
      <c r="AI154" s="48" t="s">
        <v>41</v>
      </c>
      <c r="AJ154" s="49" t="s">
        <v>41</v>
      </c>
      <c r="AK154" s="48" t="s">
        <v>41</v>
      </c>
      <c r="AL154" s="65" t="s">
        <v>4590</v>
      </c>
      <c r="AM154" s="59" t="s">
        <v>192</v>
      </c>
      <c r="AN154" s="10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1"/>
    </row>
    <row r="155" spans="1:51" x14ac:dyDescent="0.2">
      <c r="A155" s="33">
        <f t="shared" si="3"/>
        <v>150</v>
      </c>
      <c r="B155" s="34" t="s">
        <v>1299</v>
      </c>
      <c r="C155" s="35" t="s">
        <v>1300</v>
      </c>
      <c r="D155" s="36" t="s">
        <v>1301</v>
      </c>
      <c r="E155" s="36" t="s">
        <v>54</v>
      </c>
      <c r="F155" s="34" t="s">
        <v>1302</v>
      </c>
      <c r="G155" s="37" t="s">
        <v>186</v>
      </c>
      <c r="H155" s="37" t="s">
        <v>187</v>
      </c>
      <c r="I155" s="167" t="s">
        <v>1303</v>
      </c>
      <c r="J155" s="57" t="s">
        <v>41</v>
      </c>
      <c r="K155" s="39" t="s">
        <v>42</v>
      </c>
      <c r="L155" s="120">
        <v>45694</v>
      </c>
      <c r="M155" s="56"/>
      <c r="N155" s="56"/>
      <c r="O155" s="56"/>
      <c r="P155" s="56"/>
      <c r="Q155" s="56"/>
      <c r="R155" s="56"/>
      <c r="S155" s="56"/>
      <c r="T155" s="56"/>
      <c r="U155" s="56"/>
      <c r="V155" s="56" t="s">
        <v>44</v>
      </c>
      <c r="W155" s="56"/>
      <c r="X155" s="167" t="s">
        <v>1304</v>
      </c>
      <c r="Y155" s="146" t="s">
        <v>1305</v>
      </c>
      <c r="Z155" s="44"/>
      <c r="AA155" s="45"/>
      <c r="AB155" s="101"/>
      <c r="AC155" s="36"/>
      <c r="AD155" s="47" t="s">
        <v>49</v>
      </c>
      <c r="AE155" s="48" t="s">
        <v>41</v>
      </c>
      <c r="AF155" s="48" t="s">
        <v>41</v>
      </c>
      <c r="AG155" s="48" t="s">
        <v>41</v>
      </c>
      <c r="AH155" s="48" t="s">
        <v>41</v>
      </c>
      <c r="AI155" s="48" t="s">
        <v>41</v>
      </c>
      <c r="AJ155" s="49" t="s">
        <v>49</v>
      </c>
      <c r="AK155" s="48" t="s">
        <v>49</v>
      </c>
      <c r="AL155" s="65" t="s">
        <v>32</v>
      </c>
      <c r="AM155" s="59"/>
      <c r="AN155" s="10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1"/>
    </row>
    <row r="156" spans="1:51" x14ac:dyDescent="0.2">
      <c r="A156" s="33">
        <f t="shared" si="3"/>
        <v>151</v>
      </c>
      <c r="B156" s="34" t="s">
        <v>1306</v>
      </c>
      <c r="C156" s="35" t="s">
        <v>1307</v>
      </c>
      <c r="D156" s="36" t="s">
        <v>1308</v>
      </c>
      <c r="E156" s="36" t="s">
        <v>54</v>
      </c>
      <c r="F156" s="34" t="s">
        <v>1309</v>
      </c>
      <c r="G156" s="37" t="s">
        <v>186</v>
      </c>
      <c r="H156" s="37" t="s">
        <v>187</v>
      </c>
      <c r="I156" s="34" t="s">
        <v>1310</v>
      </c>
      <c r="J156" s="34" t="s">
        <v>41</v>
      </c>
      <c r="K156" s="39" t="s">
        <v>42</v>
      </c>
      <c r="L156" s="158" t="s">
        <v>1311</v>
      </c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2" t="s">
        <v>1312</v>
      </c>
      <c r="Y156" s="58" t="s">
        <v>1313</v>
      </c>
      <c r="Z156" s="44" t="s">
        <v>61</v>
      </c>
      <c r="AA156" s="45">
        <v>37208</v>
      </c>
      <c r="AB156" s="101" t="s">
        <v>30</v>
      </c>
      <c r="AC156" s="36" t="s">
        <v>26</v>
      </c>
      <c r="AD156" s="47" t="s">
        <v>49</v>
      </c>
      <c r="AE156" s="48" t="s">
        <v>49</v>
      </c>
      <c r="AF156" s="48" t="s">
        <v>49</v>
      </c>
      <c r="AG156" s="48" t="s">
        <v>49</v>
      </c>
      <c r="AH156" s="48" t="s">
        <v>49</v>
      </c>
      <c r="AI156" s="48" t="s">
        <v>49</v>
      </c>
      <c r="AJ156" s="49" t="s">
        <v>49</v>
      </c>
      <c r="AK156" s="48" t="s">
        <v>41</v>
      </c>
      <c r="AL156" s="65" t="s">
        <v>148</v>
      </c>
      <c r="AM156" s="59"/>
      <c r="AN156" s="10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1"/>
    </row>
    <row r="157" spans="1:51" x14ac:dyDescent="0.2">
      <c r="A157" s="33">
        <f t="shared" si="3"/>
        <v>152</v>
      </c>
      <c r="B157" s="34" t="s">
        <v>1314</v>
      </c>
      <c r="C157" s="35" t="s">
        <v>1315</v>
      </c>
      <c r="D157" s="36" t="s">
        <v>1316</v>
      </c>
      <c r="E157" s="36" t="s">
        <v>54</v>
      </c>
      <c r="F157" s="34" t="s">
        <v>1317</v>
      </c>
      <c r="G157" s="37" t="s">
        <v>858</v>
      </c>
      <c r="H157" s="37" t="s">
        <v>57</v>
      </c>
      <c r="I157" s="38" t="s">
        <v>1318</v>
      </c>
      <c r="J157" s="34" t="s">
        <v>41</v>
      </c>
      <c r="K157" s="39" t="s">
        <v>42</v>
      </c>
      <c r="L157" s="158" t="s">
        <v>1319</v>
      </c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2" t="s">
        <v>1320</v>
      </c>
      <c r="Y157" s="58" t="s">
        <v>1321</v>
      </c>
      <c r="Z157" s="119" t="s">
        <v>1322</v>
      </c>
      <c r="AA157" s="45">
        <v>44944</v>
      </c>
      <c r="AB157" s="101" t="s">
        <v>30</v>
      </c>
      <c r="AC157" s="36" t="s">
        <v>26</v>
      </c>
      <c r="AD157" s="47" t="s">
        <v>49</v>
      </c>
      <c r="AE157" s="48" t="s">
        <v>49</v>
      </c>
      <c r="AF157" s="48" t="s">
        <v>49</v>
      </c>
      <c r="AG157" s="48" t="s">
        <v>49</v>
      </c>
      <c r="AH157" s="48" t="s">
        <v>49</v>
      </c>
      <c r="AI157" s="48" t="s">
        <v>41</v>
      </c>
      <c r="AJ157" s="49" t="s">
        <v>41</v>
      </c>
      <c r="AK157" s="48" t="s">
        <v>41</v>
      </c>
      <c r="AL157" s="62" t="s">
        <v>4589</v>
      </c>
      <c r="AM157" s="59"/>
      <c r="AN157" s="10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1"/>
    </row>
    <row r="158" spans="1:51" x14ac:dyDescent="0.2">
      <c r="A158" s="33">
        <f t="shared" si="3"/>
        <v>153</v>
      </c>
      <c r="B158" s="34" t="s">
        <v>1323</v>
      </c>
      <c r="C158" s="35" t="s">
        <v>1324</v>
      </c>
      <c r="D158" s="36" t="s">
        <v>1325</v>
      </c>
      <c r="E158" s="36" t="s">
        <v>36</v>
      </c>
      <c r="F158" s="34" t="s">
        <v>1326</v>
      </c>
      <c r="G158" s="37" t="s">
        <v>377</v>
      </c>
      <c r="H158" s="37" t="s">
        <v>378</v>
      </c>
      <c r="I158" s="38" t="s">
        <v>1327</v>
      </c>
      <c r="J158" s="34" t="s">
        <v>41</v>
      </c>
      <c r="K158" s="39" t="s">
        <v>42</v>
      </c>
      <c r="L158" s="158" t="s">
        <v>1328</v>
      </c>
      <c r="M158" s="41"/>
      <c r="N158" s="41"/>
      <c r="O158" s="41"/>
      <c r="P158" s="41"/>
      <c r="Q158" s="41"/>
      <c r="R158" s="41"/>
      <c r="S158" s="168" t="s">
        <v>44</v>
      </c>
      <c r="T158" s="41"/>
      <c r="U158" s="41"/>
      <c r="V158" s="41"/>
      <c r="W158" s="41"/>
      <c r="X158" s="42" t="s">
        <v>1329</v>
      </c>
      <c r="Y158" s="58" t="s">
        <v>1330</v>
      </c>
      <c r="Z158" s="121" t="s">
        <v>1331</v>
      </c>
      <c r="AA158" s="45">
        <v>44650</v>
      </c>
      <c r="AB158" s="101" t="s">
        <v>30</v>
      </c>
      <c r="AC158" s="36"/>
      <c r="AD158" s="47" t="s">
        <v>49</v>
      </c>
      <c r="AE158" s="48"/>
      <c r="AF158" s="48" t="s">
        <v>41</v>
      </c>
      <c r="AG158" s="48" t="s">
        <v>49</v>
      </c>
      <c r="AH158" s="48" t="s">
        <v>41</v>
      </c>
      <c r="AI158" s="48" t="s">
        <v>41</v>
      </c>
      <c r="AJ158" s="49" t="s">
        <v>41</v>
      </c>
      <c r="AK158" s="48" t="s">
        <v>41</v>
      </c>
      <c r="AL158" s="62" t="s">
        <v>139</v>
      </c>
      <c r="AM158" s="59"/>
      <c r="AN158" s="10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1"/>
    </row>
    <row r="159" spans="1:51" x14ac:dyDescent="0.2">
      <c r="A159" s="33">
        <f t="shared" si="3"/>
        <v>154</v>
      </c>
      <c r="B159" s="34" t="s">
        <v>1332</v>
      </c>
      <c r="C159" s="35" t="s">
        <v>1333</v>
      </c>
      <c r="D159" s="36" t="s">
        <v>1334</v>
      </c>
      <c r="E159" s="36" t="s">
        <v>54</v>
      </c>
      <c r="F159" s="34" t="s">
        <v>1335</v>
      </c>
      <c r="G159" s="37" t="s">
        <v>73</v>
      </c>
      <c r="H159" s="37" t="s">
        <v>73</v>
      </c>
      <c r="I159" s="34" t="s">
        <v>1336</v>
      </c>
      <c r="J159" s="34" t="s">
        <v>1337</v>
      </c>
      <c r="K159" s="39" t="s">
        <v>42</v>
      </c>
      <c r="L159" s="158" t="s">
        <v>1338</v>
      </c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42" t="s">
        <v>1339</v>
      </c>
      <c r="Y159" s="58" t="s">
        <v>1340</v>
      </c>
      <c r="Z159" s="44" t="s">
        <v>1341</v>
      </c>
      <c r="AA159" s="45">
        <v>44944</v>
      </c>
      <c r="AB159" s="101" t="s">
        <v>30</v>
      </c>
      <c r="AC159" s="36" t="s">
        <v>26</v>
      </c>
      <c r="AD159" s="64" t="s">
        <v>120</v>
      </c>
      <c r="AE159" s="48" t="s">
        <v>120</v>
      </c>
      <c r="AF159" s="48" t="s">
        <v>120</v>
      </c>
      <c r="AG159" s="48" t="s">
        <v>120</v>
      </c>
      <c r="AH159" s="48" t="s">
        <v>120</v>
      </c>
      <c r="AI159" s="48" t="s">
        <v>120</v>
      </c>
      <c r="AJ159" s="49" t="s">
        <v>120</v>
      </c>
      <c r="AK159" s="48" t="s">
        <v>41</v>
      </c>
      <c r="AL159" s="62" t="s">
        <v>148</v>
      </c>
      <c r="AM159" s="59"/>
      <c r="AN159" s="10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1"/>
    </row>
    <row r="160" spans="1:51" x14ac:dyDescent="0.2">
      <c r="A160" s="33">
        <f t="shared" si="3"/>
        <v>155</v>
      </c>
      <c r="B160" s="34" t="s">
        <v>1342</v>
      </c>
      <c r="C160" s="35" t="s">
        <v>1343</v>
      </c>
      <c r="D160" s="36" t="s">
        <v>4616</v>
      </c>
      <c r="E160" s="36" t="s">
        <v>54</v>
      </c>
      <c r="F160" s="34" t="s">
        <v>1345</v>
      </c>
      <c r="G160" s="37" t="s">
        <v>176</v>
      </c>
      <c r="H160" s="37" t="s">
        <v>39</v>
      </c>
      <c r="I160" s="34" t="s">
        <v>1346</v>
      </c>
      <c r="J160" s="34" t="s">
        <v>41</v>
      </c>
      <c r="K160" s="39" t="s">
        <v>42</v>
      </c>
      <c r="L160" s="158" t="s">
        <v>1347</v>
      </c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42" t="s">
        <v>4617</v>
      </c>
      <c r="Y160" s="69" t="s">
        <v>1349</v>
      </c>
      <c r="Z160" s="69"/>
      <c r="AA160" s="45" t="s">
        <v>47</v>
      </c>
      <c r="AB160" s="101"/>
      <c r="AC160" s="36" t="s">
        <v>26</v>
      </c>
      <c r="AD160" s="47" t="s">
        <v>49</v>
      </c>
      <c r="AE160" s="48" t="s">
        <v>49</v>
      </c>
      <c r="AF160" s="48" t="s">
        <v>49</v>
      </c>
      <c r="AG160" s="48" t="s">
        <v>49</v>
      </c>
      <c r="AH160" s="48" t="s">
        <v>49</v>
      </c>
      <c r="AI160" s="48" t="s">
        <v>49</v>
      </c>
      <c r="AJ160" s="49" t="s">
        <v>49</v>
      </c>
      <c r="AK160" s="48" t="s">
        <v>49</v>
      </c>
      <c r="AL160" s="62" t="s">
        <v>32</v>
      </c>
      <c r="AM160" s="59"/>
      <c r="AN160" s="10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1"/>
    </row>
    <row r="161" spans="1:51" x14ac:dyDescent="0.2">
      <c r="A161" s="33">
        <f t="shared" si="3"/>
        <v>156</v>
      </c>
      <c r="B161" s="34" t="s">
        <v>1350</v>
      </c>
      <c r="C161" s="35" t="s">
        <v>1351</v>
      </c>
      <c r="D161" s="36" t="s">
        <v>1352</v>
      </c>
      <c r="E161" s="36" t="s">
        <v>36</v>
      </c>
      <c r="F161" s="98" t="s">
        <v>1353</v>
      </c>
      <c r="G161" s="37" t="s">
        <v>1354</v>
      </c>
      <c r="H161" s="37" t="s">
        <v>57</v>
      </c>
      <c r="I161" s="38" t="s">
        <v>1355</v>
      </c>
      <c r="J161" s="34" t="s">
        <v>41</v>
      </c>
      <c r="K161" s="39" t="s">
        <v>42</v>
      </c>
      <c r="L161" s="169" t="s">
        <v>59</v>
      </c>
      <c r="M161" s="56" t="s">
        <v>179</v>
      </c>
      <c r="N161" s="56" t="s">
        <v>179</v>
      </c>
      <c r="O161" s="56"/>
      <c r="P161" s="56">
        <v>6</v>
      </c>
      <c r="Q161" s="56" t="s">
        <v>942</v>
      </c>
      <c r="R161" s="56"/>
      <c r="S161" s="56"/>
      <c r="T161" s="56"/>
      <c r="U161" s="56"/>
      <c r="V161" s="56"/>
      <c r="W161" s="56"/>
      <c r="X161" s="42" t="s">
        <v>1356</v>
      </c>
      <c r="Y161" s="58" t="s">
        <v>1357</v>
      </c>
      <c r="Z161" s="58"/>
      <c r="AA161" s="45" t="s">
        <v>47</v>
      </c>
      <c r="AB161" s="46"/>
      <c r="AC161" s="73"/>
      <c r="AD161" s="47" t="s">
        <v>49</v>
      </c>
      <c r="AE161" s="48" t="s">
        <v>41</v>
      </c>
      <c r="AF161" s="48" t="s">
        <v>41</v>
      </c>
      <c r="AG161" s="48" t="s">
        <v>41</v>
      </c>
      <c r="AH161" s="48" t="s">
        <v>41</v>
      </c>
      <c r="AI161" s="48" t="s">
        <v>41</v>
      </c>
      <c r="AJ161" s="49" t="s">
        <v>41</v>
      </c>
      <c r="AK161" s="48" t="s">
        <v>41</v>
      </c>
      <c r="AL161" s="65" t="s">
        <v>4591</v>
      </c>
      <c r="AM161" s="59"/>
      <c r="AN161" s="10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1"/>
    </row>
    <row r="162" spans="1:51" x14ac:dyDescent="0.2">
      <c r="A162" s="33">
        <f t="shared" si="3"/>
        <v>157</v>
      </c>
      <c r="B162" s="34" t="s">
        <v>1358</v>
      </c>
      <c r="C162" s="35" t="s">
        <v>1359</v>
      </c>
      <c r="D162" s="36" t="s">
        <v>1360</v>
      </c>
      <c r="E162" s="36" t="s">
        <v>36</v>
      </c>
      <c r="F162" s="34" t="s">
        <v>1361</v>
      </c>
      <c r="G162" s="37" t="s">
        <v>252</v>
      </c>
      <c r="H162" s="37" t="s">
        <v>57</v>
      </c>
      <c r="I162" s="34" t="s">
        <v>1362</v>
      </c>
      <c r="J162" s="34" t="s">
        <v>41</v>
      </c>
      <c r="K162" s="39" t="s">
        <v>42</v>
      </c>
      <c r="L162" s="142" t="s">
        <v>1363</v>
      </c>
      <c r="M162" s="41" t="s">
        <v>179</v>
      </c>
      <c r="N162" s="41" t="s">
        <v>179</v>
      </c>
      <c r="O162" s="41"/>
      <c r="P162" s="41">
        <v>6</v>
      </c>
      <c r="Q162" s="41" t="s">
        <v>942</v>
      </c>
      <c r="R162" s="41"/>
      <c r="S162" s="41"/>
      <c r="T162" s="41"/>
      <c r="U162" s="41"/>
      <c r="V162" s="41"/>
      <c r="W162" s="41"/>
      <c r="X162" s="42" t="s">
        <v>1145</v>
      </c>
      <c r="Y162" s="58" t="s">
        <v>1364</v>
      </c>
      <c r="Z162" s="58"/>
      <c r="AA162" s="45" t="s">
        <v>47</v>
      </c>
      <c r="AB162" s="46"/>
      <c r="AC162" s="36"/>
      <c r="AD162" s="47" t="s">
        <v>49</v>
      </c>
      <c r="AE162" s="48" t="s">
        <v>41</v>
      </c>
      <c r="AF162" s="48" t="s">
        <v>41</v>
      </c>
      <c r="AG162" s="48" t="s">
        <v>41</v>
      </c>
      <c r="AH162" s="48" t="s">
        <v>41</v>
      </c>
      <c r="AI162" s="48" t="s">
        <v>41</v>
      </c>
      <c r="AJ162" s="49" t="s">
        <v>41</v>
      </c>
      <c r="AK162" s="48" t="s">
        <v>41</v>
      </c>
      <c r="AL162" s="65" t="s">
        <v>4591</v>
      </c>
      <c r="AM162" s="59" t="s">
        <v>460</v>
      </c>
      <c r="AN162" s="10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1"/>
    </row>
    <row r="163" spans="1:51" x14ac:dyDescent="0.2">
      <c r="A163" s="33">
        <f t="shared" si="3"/>
        <v>158</v>
      </c>
      <c r="B163" s="34" t="s">
        <v>1365</v>
      </c>
      <c r="C163" s="35" t="s">
        <v>1366</v>
      </c>
      <c r="D163" s="36" t="s">
        <v>1367</v>
      </c>
      <c r="E163" s="36" t="s">
        <v>54</v>
      </c>
      <c r="F163" s="34" t="s">
        <v>1368</v>
      </c>
      <c r="G163" s="37" t="s">
        <v>350</v>
      </c>
      <c r="H163" s="37" t="s">
        <v>350</v>
      </c>
      <c r="I163" s="34">
        <v>81226003225</v>
      </c>
      <c r="J163" s="34" t="s">
        <v>41</v>
      </c>
      <c r="K163" s="39" t="s">
        <v>42</v>
      </c>
      <c r="L163" s="158" t="s">
        <v>1369</v>
      </c>
      <c r="M163" s="56"/>
      <c r="N163" s="56"/>
      <c r="O163" s="56"/>
      <c r="P163" s="56"/>
      <c r="Q163" s="56"/>
      <c r="R163" s="56"/>
      <c r="S163" s="56"/>
      <c r="T163" s="56"/>
      <c r="U163" s="56" t="s">
        <v>44</v>
      </c>
      <c r="V163" s="56"/>
      <c r="W163" s="56"/>
      <c r="X163" s="42" t="s">
        <v>1370</v>
      </c>
      <c r="Y163" s="58" t="s">
        <v>1371</v>
      </c>
      <c r="Z163" s="69"/>
      <c r="AA163" s="45"/>
      <c r="AB163" s="101"/>
      <c r="AC163" s="36"/>
      <c r="AD163" s="47" t="s">
        <v>49</v>
      </c>
      <c r="AE163" s="48" t="s">
        <v>41</v>
      </c>
      <c r="AF163" s="48" t="s">
        <v>41</v>
      </c>
      <c r="AG163" s="48" t="s">
        <v>41</v>
      </c>
      <c r="AH163" s="48" t="s">
        <v>41</v>
      </c>
      <c r="AI163" s="48" t="s">
        <v>49</v>
      </c>
      <c r="AJ163" s="49" t="s">
        <v>49</v>
      </c>
      <c r="AK163" s="48" t="s">
        <v>49</v>
      </c>
      <c r="AL163" s="62" t="s">
        <v>32</v>
      </c>
      <c r="AM163" s="59"/>
      <c r="AN163" s="10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1"/>
    </row>
    <row r="164" spans="1:51" x14ac:dyDescent="0.2">
      <c r="A164" s="33">
        <f t="shared" si="3"/>
        <v>159</v>
      </c>
      <c r="B164" s="34" t="s">
        <v>4634</v>
      </c>
      <c r="C164" s="35" t="s">
        <v>4635</v>
      </c>
      <c r="D164" s="36" t="s">
        <v>4636</v>
      </c>
      <c r="E164" s="36" t="s">
        <v>4169</v>
      </c>
      <c r="F164" s="34" t="s">
        <v>4637</v>
      </c>
      <c r="G164" s="37" t="s">
        <v>73</v>
      </c>
      <c r="H164" s="37" t="s">
        <v>73</v>
      </c>
      <c r="I164" s="38" t="s">
        <v>4638</v>
      </c>
      <c r="J164" s="34"/>
      <c r="K164" s="39" t="s">
        <v>42</v>
      </c>
      <c r="L164" s="166">
        <v>46085</v>
      </c>
      <c r="M164" s="56" t="s">
        <v>179</v>
      </c>
      <c r="N164" s="56" t="s">
        <v>179</v>
      </c>
      <c r="O164" s="56"/>
      <c r="P164" s="56"/>
      <c r="Q164" s="56" t="s">
        <v>179</v>
      </c>
      <c r="R164" s="56"/>
      <c r="S164" s="56"/>
      <c r="T164" s="56"/>
      <c r="U164" s="56"/>
      <c r="V164" s="56"/>
      <c r="W164" s="56" t="s">
        <v>44</v>
      </c>
      <c r="X164" s="38" t="s">
        <v>4639</v>
      </c>
      <c r="Y164" s="310" t="s">
        <v>4640</v>
      </c>
      <c r="Z164" s="69"/>
      <c r="AA164" s="45"/>
      <c r="AB164" s="101"/>
      <c r="AC164" s="36"/>
      <c r="AD164" s="47" t="s">
        <v>49</v>
      </c>
      <c r="AE164" s="48" t="s">
        <v>41</v>
      </c>
      <c r="AF164" s="48" t="s">
        <v>41</v>
      </c>
      <c r="AG164" s="48" t="s">
        <v>41</v>
      </c>
      <c r="AH164" s="48" t="s">
        <v>41</v>
      </c>
      <c r="AI164" s="48" t="s">
        <v>41</v>
      </c>
      <c r="AJ164" s="49" t="s">
        <v>41</v>
      </c>
      <c r="AK164" s="48" t="s">
        <v>49</v>
      </c>
      <c r="AL164" s="62" t="s">
        <v>32</v>
      </c>
      <c r="AM164" s="59"/>
      <c r="AN164" s="10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1"/>
    </row>
    <row r="165" spans="1:51" x14ac:dyDescent="0.2">
      <c r="A165" s="33">
        <f t="shared" si="3"/>
        <v>160</v>
      </c>
      <c r="B165" s="34" t="s">
        <v>1372</v>
      </c>
      <c r="C165" s="35" t="s">
        <v>1373</v>
      </c>
      <c r="D165" s="36" t="s">
        <v>1374</v>
      </c>
      <c r="E165" s="36" t="s">
        <v>54</v>
      </c>
      <c r="F165" s="34" t="s">
        <v>1375</v>
      </c>
      <c r="G165" s="37" t="s">
        <v>73</v>
      </c>
      <c r="H165" s="37" t="s">
        <v>73</v>
      </c>
      <c r="I165" s="108" t="s">
        <v>1376</v>
      </c>
      <c r="J165" s="108" t="s">
        <v>1377</v>
      </c>
      <c r="K165" s="39" t="s">
        <v>42</v>
      </c>
      <c r="L165" s="99" t="s">
        <v>1378</v>
      </c>
      <c r="M165" s="56" t="s">
        <v>179</v>
      </c>
      <c r="N165" s="56" t="s">
        <v>179</v>
      </c>
      <c r="O165" s="56"/>
      <c r="P165" s="56">
        <v>4</v>
      </c>
      <c r="Q165" s="56" t="s">
        <v>1041</v>
      </c>
      <c r="R165" s="56"/>
      <c r="S165" s="56"/>
      <c r="T165" s="56"/>
      <c r="U165" s="56"/>
      <c r="V165" s="56"/>
      <c r="W165" s="56"/>
      <c r="X165" s="42" t="s">
        <v>1379</v>
      </c>
      <c r="Y165" s="58" t="s">
        <v>1380</v>
      </c>
      <c r="Z165" s="44"/>
      <c r="AA165" s="45" t="s">
        <v>47</v>
      </c>
      <c r="AB165" s="101"/>
      <c r="AC165" s="36" t="s">
        <v>26</v>
      </c>
      <c r="AD165" s="47" t="s">
        <v>49</v>
      </c>
      <c r="AE165" s="48" t="s">
        <v>49</v>
      </c>
      <c r="AF165" s="48" t="s">
        <v>41</v>
      </c>
      <c r="AG165" s="48" t="s">
        <v>41</v>
      </c>
      <c r="AH165" s="48" t="s">
        <v>41</v>
      </c>
      <c r="AI165" s="48" t="s">
        <v>41</v>
      </c>
      <c r="AJ165" s="49" t="s">
        <v>41</v>
      </c>
      <c r="AK165" s="48" t="s">
        <v>41</v>
      </c>
      <c r="AL165" s="62" t="s">
        <v>4587</v>
      </c>
      <c r="AM165" s="59"/>
      <c r="AN165" s="10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1"/>
    </row>
    <row r="166" spans="1:51" x14ac:dyDescent="0.2">
      <c r="A166" s="33">
        <f t="shared" si="3"/>
        <v>161</v>
      </c>
      <c r="B166" s="34" t="s">
        <v>1381</v>
      </c>
      <c r="C166" s="35" t="s">
        <v>1382</v>
      </c>
      <c r="D166" s="170" t="s">
        <v>1383</v>
      </c>
      <c r="E166" s="36" t="s">
        <v>54</v>
      </c>
      <c r="F166" s="34" t="s">
        <v>1384</v>
      </c>
      <c r="G166" s="37" t="s">
        <v>73</v>
      </c>
      <c r="H166" s="37" t="s">
        <v>73</v>
      </c>
      <c r="I166" s="107" t="s">
        <v>1385</v>
      </c>
      <c r="J166" s="171" t="s">
        <v>41</v>
      </c>
      <c r="K166" s="172" t="s">
        <v>42</v>
      </c>
      <c r="L166" s="173" t="s">
        <v>1363</v>
      </c>
      <c r="M166" s="70"/>
      <c r="N166" s="111"/>
      <c r="O166" s="111"/>
      <c r="P166" s="111"/>
      <c r="Q166" s="112"/>
      <c r="R166" s="112"/>
      <c r="S166" s="112"/>
      <c r="T166" s="41"/>
      <c r="U166" s="41"/>
      <c r="V166" s="41"/>
      <c r="W166" s="41"/>
      <c r="X166" s="42" t="s">
        <v>1386</v>
      </c>
      <c r="Y166" s="58" t="s">
        <v>1387</v>
      </c>
      <c r="Z166" s="44" t="s">
        <v>61</v>
      </c>
      <c r="AA166" s="45">
        <v>41793</v>
      </c>
      <c r="AB166" s="160" t="s">
        <v>30</v>
      </c>
      <c r="AC166" s="36" t="s">
        <v>26</v>
      </c>
      <c r="AD166" s="47" t="s">
        <v>49</v>
      </c>
      <c r="AE166" s="48" t="s">
        <v>49</v>
      </c>
      <c r="AF166" s="48" t="s">
        <v>41</v>
      </c>
      <c r="AG166" s="48" t="s">
        <v>41</v>
      </c>
      <c r="AH166" s="48" t="s">
        <v>41</v>
      </c>
      <c r="AI166" s="48" t="s">
        <v>41</v>
      </c>
      <c r="AJ166" s="49" t="s">
        <v>41</v>
      </c>
      <c r="AK166" s="48" t="s">
        <v>41</v>
      </c>
      <c r="AL166" s="62" t="s">
        <v>4587</v>
      </c>
      <c r="AM166" s="59"/>
      <c r="AN166" s="10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1"/>
    </row>
    <row r="167" spans="1:51" x14ac:dyDescent="0.2">
      <c r="A167" s="33">
        <f t="shared" si="3"/>
        <v>162</v>
      </c>
      <c r="B167" s="34" t="s">
        <v>1388</v>
      </c>
      <c r="C167" s="35" t="s">
        <v>1389</v>
      </c>
      <c r="D167" s="170" t="s">
        <v>1390</v>
      </c>
      <c r="E167" s="36" t="s">
        <v>36</v>
      </c>
      <c r="F167" s="34" t="s">
        <v>1391</v>
      </c>
      <c r="G167" s="37" t="s">
        <v>73</v>
      </c>
      <c r="H167" s="37" t="s">
        <v>73</v>
      </c>
      <c r="I167" s="108" t="s">
        <v>1392</v>
      </c>
      <c r="J167" s="108" t="s">
        <v>41</v>
      </c>
      <c r="K167" s="39" t="s">
        <v>42</v>
      </c>
      <c r="L167" s="99" t="s">
        <v>1393</v>
      </c>
      <c r="M167" s="115" t="s">
        <v>179</v>
      </c>
      <c r="N167" s="115" t="s">
        <v>179</v>
      </c>
      <c r="O167" s="115"/>
      <c r="P167" s="115">
        <v>3</v>
      </c>
      <c r="Q167" s="115"/>
      <c r="R167" s="115" t="s">
        <v>44</v>
      </c>
      <c r="S167" s="115"/>
      <c r="T167" s="56"/>
      <c r="U167" s="56"/>
      <c r="V167" s="56"/>
      <c r="W167" s="56"/>
      <c r="X167" s="42" t="s">
        <v>1394</v>
      </c>
      <c r="Y167" s="58" t="s">
        <v>1395</v>
      </c>
      <c r="Z167" s="58"/>
      <c r="AA167" s="45" t="s">
        <v>47</v>
      </c>
      <c r="AB167" s="101"/>
      <c r="AC167" s="36"/>
      <c r="AD167" s="47" t="s">
        <v>49</v>
      </c>
      <c r="AE167" s="48" t="s">
        <v>41</v>
      </c>
      <c r="AF167" s="48" t="s">
        <v>49</v>
      </c>
      <c r="AG167" s="48" t="s">
        <v>49</v>
      </c>
      <c r="AH167" s="48" t="s">
        <v>49</v>
      </c>
      <c r="AI167" s="48" t="s">
        <v>49</v>
      </c>
      <c r="AJ167" s="49" t="s">
        <v>49</v>
      </c>
      <c r="AK167" s="48" t="s">
        <v>49</v>
      </c>
      <c r="AL167" s="62" t="s">
        <v>32</v>
      </c>
      <c r="AM167" s="59"/>
      <c r="AN167" s="10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1"/>
    </row>
    <row r="168" spans="1:51" x14ac:dyDescent="0.2">
      <c r="A168" s="33">
        <f t="shared" si="3"/>
        <v>163</v>
      </c>
      <c r="B168" s="34" t="s">
        <v>1396</v>
      </c>
      <c r="C168" s="35" t="s">
        <v>1397</v>
      </c>
      <c r="D168" s="170" t="s">
        <v>1398</v>
      </c>
      <c r="E168" s="36" t="s">
        <v>54</v>
      </c>
      <c r="F168" s="34" t="s">
        <v>1399</v>
      </c>
      <c r="G168" s="37" t="s">
        <v>205</v>
      </c>
      <c r="H168" s="37" t="s">
        <v>205</v>
      </c>
      <c r="I168" s="34" t="s">
        <v>1400</v>
      </c>
      <c r="J168" s="34" t="s">
        <v>41</v>
      </c>
      <c r="K168" s="39" t="s">
        <v>42</v>
      </c>
      <c r="L168" s="99" t="s">
        <v>1401</v>
      </c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2" t="s">
        <v>1402</v>
      </c>
      <c r="Y168" s="58" t="s">
        <v>1403</v>
      </c>
      <c r="Z168" s="44" t="s">
        <v>61</v>
      </c>
      <c r="AA168" s="45">
        <v>36641</v>
      </c>
      <c r="AB168" s="101" t="s">
        <v>30</v>
      </c>
      <c r="AC168" s="36" t="s">
        <v>26</v>
      </c>
      <c r="AD168" s="47" t="s">
        <v>49</v>
      </c>
      <c r="AE168" s="48" t="s">
        <v>49</v>
      </c>
      <c r="AF168" s="48" t="s">
        <v>49</v>
      </c>
      <c r="AG168" s="48" t="s">
        <v>49</v>
      </c>
      <c r="AH168" s="48" t="s">
        <v>49</v>
      </c>
      <c r="AI168" s="48" t="s">
        <v>49</v>
      </c>
      <c r="AJ168" s="49" t="s">
        <v>49</v>
      </c>
      <c r="AK168" s="48" t="s">
        <v>41</v>
      </c>
      <c r="AL168" s="65" t="s">
        <v>148</v>
      </c>
      <c r="AM168" s="59"/>
      <c r="AN168" s="10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1"/>
    </row>
    <row r="169" spans="1:51" x14ac:dyDescent="0.2">
      <c r="A169" s="33">
        <f t="shared" si="3"/>
        <v>164</v>
      </c>
      <c r="B169" s="34" t="s">
        <v>1404</v>
      </c>
      <c r="C169" s="35" t="s">
        <v>1405</v>
      </c>
      <c r="D169" s="174" t="s">
        <v>1406</v>
      </c>
      <c r="E169" s="36" t="s">
        <v>54</v>
      </c>
      <c r="F169" s="34" t="s">
        <v>1407</v>
      </c>
      <c r="G169" s="37" t="s">
        <v>858</v>
      </c>
      <c r="H169" s="37" t="s">
        <v>57</v>
      </c>
      <c r="I169" s="34" t="s">
        <v>1408</v>
      </c>
      <c r="J169" s="34" t="s">
        <v>41</v>
      </c>
      <c r="K169" s="39" t="s">
        <v>42</v>
      </c>
      <c r="L169" s="99" t="s">
        <v>1409</v>
      </c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42" t="s">
        <v>1410</v>
      </c>
      <c r="Y169" s="58" t="s">
        <v>1411</v>
      </c>
      <c r="Z169" s="44" t="s">
        <v>1412</v>
      </c>
      <c r="AA169" s="45">
        <v>42935</v>
      </c>
      <c r="AB169" s="101" t="s">
        <v>30</v>
      </c>
      <c r="AC169" s="109" t="s">
        <v>26</v>
      </c>
      <c r="AD169" s="47" t="s">
        <v>49</v>
      </c>
      <c r="AE169" s="48" t="s">
        <v>49</v>
      </c>
      <c r="AF169" s="48" t="s">
        <v>49</v>
      </c>
      <c r="AG169" s="48" t="s">
        <v>49</v>
      </c>
      <c r="AH169" s="48" t="s">
        <v>49</v>
      </c>
      <c r="AI169" s="48" t="s">
        <v>49</v>
      </c>
      <c r="AJ169" s="49" t="s">
        <v>41</v>
      </c>
      <c r="AK169" s="48" t="s">
        <v>41</v>
      </c>
      <c r="AL169" s="62" t="s">
        <v>276</v>
      </c>
      <c r="AM169" s="59"/>
      <c r="AN169" s="10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1"/>
    </row>
    <row r="170" spans="1:51" x14ac:dyDescent="0.2">
      <c r="A170" s="33">
        <f t="shared" si="3"/>
        <v>165</v>
      </c>
      <c r="B170" s="34" t="s">
        <v>1413</v>
      </c>
      <c r="C170" s="35" t="s">
        <v>1414</v>
      </c>
      <c r="D170" s="36" t="s">
        <v>1415</v>
      </c>
      <c r="E170" s="36" t="s">
        <v>54</v>
      </c>
      <c r="F170" s="34" t="s">
        <v>1416</v>
      </c>
      <c r="G170" s="37" t="s">
        <v>1417</v>
      </c>
      <c r="H170" s="37" t="s">
        <v>187</v>
      </c>
      <c r="I170" s="34" t="s">
        <v>1418</v>
      </c>
      <c r="J170" s="34" t="s">
        <v>1419</v>
      </c>
      <c r="K170" s="39" t="s">
        <v>42</v>
      </c>
      <c r="L170" s="158" t="s">
        <v>1420</v>
      </c>
      <c r="M170" s="56" t="s">
        <v>179</v>
      </c>
      <c r="N170" s="56" t="s">
        <v>179</v>
      </c>
      <c r="O170" s="56"/>
      <c r="P170" s="56">
        <v>6</v>
      </c>
      <c r="Q170" s="56" t="s">
        <v>942</v>
      </c>
      <c r="R170" s="56"/>
      <c r="S170" s="56"/>
      <c r="T170" s="56"/>
      <c r="U170" s="56"/>
      <c r="V170" s="56"/>
      <c r="W170" s="56"/>
      <c r="X170" s="42" t="s">
        <v>1421</v>
      </c>
      <c r="Y170" s="58" t="s">
        <v>1422</v>
      </c>
      <c r="Z170" s="58"/>
      <c r="AA170" s="45" t="s">
        <v>47</v>
      </c>
      <c r="AB170" s="101"/>
      <c r="AC170" s="36"/>
      <c r="AD170" s="47" t="s">
        <v>49</v>
      </c>
      <c r="AE170" s="48" t="s">
        <v>41</v>
      </c>
      <c r="AF170" s="48" t="s">
        <v>41</v>
      </c>
      <c r="AG170" s="48" t="s">
        <v>41</v>
      </c>
      <c r="AH170" s="48" t="s">
        <v>41</v>
      </c>
      <c r="AI170" s="48" t="s">
        <v>41</v>
      </c>
      <c r="AJ170" s="49" t="s">
        <v>41</v>
      </c>
      <c r="AK170" s="48" t="s">
        <v>41</v>
      </c>
      <c r="AL170" s="65" t="s">
        <v>4588</v>
      </c>
      <c r="AM170" s="59"/>
      <c r="AN170" s="117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1"/>
    </row>
    <row r="171" spans="1:51" x14ac:dyDescent="0.2">
      <c r="A171" s="33">
        <f t="shared" si="3"/>
        <v>166</v>
      </c>
      <c r="B171" s="34" t="s">
        <v>1423</v>
      </c>
      <c r="C171" s="35" t="s">
        <v>1424</v>
      </c>
      <c r="D171" s="36" t="s">
        <v>1425</v>
      </c>
      <c r="E171" s="36" t="s">
        <v>36</v>
      </c>
      <c r="F171" s="87" t="s">
        <v>1426</v>
      </c>
      <c r="G171" s="37" t="s">
        <v>360</v>
      </c>
      <c r="H171" s="37" t="s">
        <v>350</v>
      </c>
      <c r="I171" s="34" t="s">
        <v>1427</v>
      </c>
      <c r="J171" s="34" t="s">
        <v>41</v>
      </c>
      <c r="K171" s="39" t="s">
        <v>42</v>
      </c>
      <c r="L171" s="158" t="s">
        <v>1428</v>
      </c>
      <c r="M171" s="56" t="s">
        <v>179</v>
      </c>
      <c r="N171" s="56" t="s">
        <v>179</v>
      </c>
      <c r="O171" s="56"/>
      <c r="P171" s="56">
        <v>6</v>
      </c>
      <c r="Q171" s="56" t="s">
        <v>942</v>
      </c>
      <c r="R171" s="56"/>
      <c r="S171" s="56"/>
      <c r="T171" s="56"/>
      <c r="U171" s="56"/>
      <c r="V171" s="56"/>
      <c r="W171" s="56"/>
      <c r="X171" s="42" t="s">
        <v>1429</v>
      </c>
      <c r="Y171" s="52" t="s">
        <v>1430</v>
      </c>
      <c r="Z171" s="52"/>
      <c r="AA171" s="45" t="s">
        <v>47</v>
      </c>
      <c r="AB171" s="101"/>
      <c r="AC171" s="36">
        <v>1</v>
      </c>
      <c r="AD171" s="47" t="s">
        <v>49</v>
      </c>
      <c r="AE171" s="48" t="s">
        <v>41</v>
      </c>
      <c r="AF171" s="48" t="s">
        <v>41</v>
      </c>
      <c r="AG171" s="48" t="s">
        <v>41</v>
      </c>
      <c r="AH171" s="48" t="s">
        <v>41</v>
      </c>
      <c r="AI171" s="48" t="s">
        <v>41</v>
      </c>
      <c r="AJ171" s="49" t="s">
        <v>41</v>
      </c>
      <c r="AK171" s="48" t="s">
        <v>41</v>
      </c>
      <c r="AL171" s="65" t="s">
        <v>4588</v>
      </c>
      <c r="AM171" s="59" t="s">
        <v>1431</v>
      </c>
      <c r="AN171" s="117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1"/>
    </row>
    <row r="172" spans="1:51" x14ac:dyDescent="0.2">
      <c r="A172" s="33">
        <f t="shared" si="3"/>
        <v>167</v>
      </c>
      <c r="B172" s="34" t="s">
        <v>1432</v>
      </c>
      <c r="C172" s="35" t="s">
        <v>1433</v>
      </c>
      <c r="D172" s="36" t="s">
        <v>1434</v>
      </c>
      <c r="E172" s="36" t="s">
        <v>54</v>
      </c>
      <c r="F172" s="34" t="s">
        <v>1435</v>
      </c>
      <c r="G172" s="37" t="s">
        <v>38</v>
      </c>
      <c r="H172" s="37" t="s">
        <v>39</v>
      </c>
      <c r="I172" s="38" t="s">
        <v>1436</v>
      </c>
      <c r="J172" s="34" t="s">
        <v>41</v>
      </c>
      <c r="K172" s="39" t="s">
        <v>42</v>
      </c>
      <c r="L172" s="166" t="s">
        <v>1437</v>
      </c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42" t="s">
        <v>1438</v>
      </c>
      <c r="Y172" s="58" t="s">
        <v>1439</v>
      </c>
      <c r="Z172" s="44" t="s">
        <v>1440</v>
      </c>
      <c r="AA172" s="45">
        <v>44041</v>
      </c>
      <c r="AB172" s="101" t="s">
        <v>30</v>
      </c>
      <c r="AC172" s="36" t="s">
        <v>26</v>
      </c>
      <c r="AD172" s="175" t="s">
        <v>49</v>
      </c>
      <c r="AE172" s="48" t="s">
        <v>49</v>
      </c>
      <c r="AF172" s="48" t="s">
        <v>49</v>
      </c>
      <c r="AG172" s="48" t="s">
        <v>49</v>
      </c>
      <c r="AH172" s="48" t="s">
        <v>49</v>
      </c>
      <c r="AI172" s="48" t="s">
        <v>49</v>
      </c>
      <c r="AJ172" s="49" t="s">
        <v>41</v>
      </c>
      <c r="AK172" s="48" t="s">
        <v>41</v>
      </c>
      <c r="AL172" s="62" t="s">
        <v>276</v>
      </c>
      <c r="AM172" s="59"/>
      <c r="AN172" s="10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1"/>
    </row>
    <row r="173" spans="1:51" x14ac:dyDescent="0.2">
      <c r="A173" s="33">
        <f t="shared" si="3"/>
        <v>168</v>
      </c>
      <c r="B173" s="34" t="s">
        <v>1441</v>
      </c>
      <c r="C173" s="35" t="s">
        <v>1442</v>
      </c>
      <c r="D173" s="36" t="s">
        <v>1443</v>
      </c>
      <c r="E173" s="36" t="s">
        <v>54</v>
      </c>
      <c r="F173" s="34" t="s">
        <v>1444</v>
      </c>
      <c r="G173" s="37" t="s">
        <v>73</v>
      </c>
      <c r="H173" s="37" t="s">
        <v>73</v>
      </c>
      <c r="I173" s="34" t="s">
        <v>1445</v>
      </c>
      <c r="J173" s="34" t="s">
        <v>1445</v>
      </c>
      <c r="K173" s="39" t="s">
        <v>42</v>
      </c>
      <c r="L173" s="166" t="s">
        <v>1446</v>
      </c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42" t="s">
        <v>1447</v>
      </c>
      <c r="Y173" s="58" t="s">
        <v>1448</v>
      </c>
      <c r="Z173" s="44" t="s">
        <v>61</v>
      </c>
      <c r="AA173" s="45">
        <v>34597</v>
      </c>
      <c r="AB173" s="101" t="s">
        <v>30</v>
      </c>
      <c r="AC173" s="36" t="s">
        <v>26</v>
      </c>
      <c r="AD173" s="47" t="s">
        <v>49</v>
      </c>
      <c r="AE173" s="48" t="s">
        <v>49</v>
      </c>
      <c r="AF173" s="48" t="s">
        <v>49</v>
      </c>
      <c r="AG173" s="48" t="s">
        <v>49</v>
      </c>
      <c r="AH173" s="48" t="s">
        <v>49</v>
      </c>
      <c r="AI173" s="48" t="s">
        <v>49</v>
      </c>
      <c r="AJ173" s="49" t="s">
        <v>49</v>
      </c>
      <c r="AK173" s="48" t="s">
        <v>49</v>
      </c>
      <c r="AL173" s="65" t="s">
        <v>32</v>
      </c>
      <c r="AM173" s="59"/>
      <c r="AN173" s="10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1"/>
    </row>
    <row r="174" spans="1:51" x14ac:dyDescent="0.2">
      <c r="A174" s="33">
        <f t="shared" si="3"/>
        <v>169</v>
      </c>
      <c r="B174" s="34" t="s">
        <v>1449</v>
      </c>
      <c r="C174" s="35" t="s">
        <v>1450</v>
      </c>
      <c r="D174" s="36" t="s">
        <v>1451</v>
      </c>
      <c r="E174" s="36" t="s">
        <v>54</v>
      </c>
      <c r="F174" s="34" t="s">
        <v>1452</v>
      </c>
      <c r="G174" s="37" t="s">
        <v>73</v>
      </c>
      <c r="H174" s="37" t="s">
        <v>73</v>
      </c>
      <c r="I174" s="34" t="s">
        <v>1453</v>
      </c>
      <c r="J174" s="34" t="s">
        <v>41</v>
      </c>
      <c r="K174" s="39" t="s">
        <v>42</v>
      </c>
      <c r="L174" s="166" t="s">
        <v>1454</v>
      </c>
      <c r="M174" s="56"/>
      <c r="N174" s="56"/>
      <c r="O174" s="56"/>
      <c r="P174" s="56"/>
      <c r="Q174" s="56"/>
      <c r="R174" s="56" t="s">
        <v>44</v>
      </c>
      <c r="S174" s="56"/>
      <c r="T174" s="56"/>
      <c r="U174" s="56"/>
      <c r="V174" s="56"/>
      <c r="W174" s="56"/>
      <c r="X174" s="42" t="s">
        <v>1455</v>
      </c>
      <c r="Y174" s="58" t="s">
        <v>1456</v>
      </c>
      <c r="Z174" s="84" t="s">
        <v>1457</v>
      </c>
      <c r="AA174" s="45">
        <v>44650</v>
      </c>
      <c r="AB174" s="101" t="s">
        <v>129</v>
      </c>
      <c r="AC174" s="36"/>
      <c r="AD174" s="47" t="s">
        <v>49</v>
      </c>
      <c r="AE174" s="48" t="s">
        <v>41</v>
      </c>
      <c r="AF174" s="48" t="s">
        <v>49</v>
      </c>
      <c r="AG174" s="48" t="s">
        <v>41</v>
      </c>
      <c r="AH174" s="48" t="s">
        <v>41</v>
      </c>
      <c r="AI174" s="48" t="s">
        <v>41</v>
      </c>
      <c r="AJ174" s="49" t="s">
        <v>41</v>
      </c>
      <c r="AK174" s="48" t="s">
        <v>41</v>
      </c>
      <c r="AL174" s="62" t="s">
        <v>110</v>
      </c>
      <c r="AM174" s="59"/>
      <c r="AN174" s="10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1"/>
    </row>
    <row r="175" spans="1:51" x14ac:dyDescent="0.2">
      <c r="A175" s="33">
        <f t="shared" si="3"/>
        <v>170</v>
      </c>
      <c r="B175" s="34" t="s">
        <v>1458</v>
      </c>
      <c r="C175" s="35" t="s">
        <v>1459</v>
      </c>
      <c r="D175" s="36" t="s">
        <v>1460</v>
      </c>
      <c r="E175" s="36" t="s">
        <v>54</v>
      </c>
      <c r="F175" s="34" t="s">
        <v>1461</v>
      </c>
      <c r="G175" s="176" t="s">
        <v>39</v>
      </c>
      <c r="H175" s="176" t="s">
        <v>39</v>
      </c>
      <c r="I175" s="34" t="s">
        <v>1462</v>
      </c>
      <c r="J175" s="34" t="s">
        <v>1463</v>
      </c>
      <c r="K175" s="39" t="s">
        <v>42</v>
      </c>
      <c r="L175" s="99" t="s">
        <v>1464</v>
      </c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42" t="s">
        <v>1465</v>
      </c>
      <c r="Y175" s="58" t="s">
        <v>1466</v>
      </c>
      <c r="Z175" s="44" t="s">
        <v>1467</v>
      </c>
      <c r="AA175" s="45">
        <v>44041</v>
      </c>
      <c r="AB175" s="101" t="s">
        <v>129</v>
      </c>
      <c r="AC175" s="36" t="s">
        <v>26</v>
      </c>
      <c r="AD175" s="47" t="s">
        <v>49</v>
      </c>
      <c r="AE175" s="48" t="s">
        <v>49</v>
      </c>
      <c r="AF175" s="48" t="s">
        <v>49</v>
      </c>
      <c r="AG175" s="48" t="s">
        <v>49</v>
      </c>
      <c r="AH175" s="48" t="s">
        <v>49</v>
      </c>
      <c r="AI175" s="48" t="s">
        <v>49</v>
      </c>
      <c r="AJ175" s="49" t="s">
        <v>49</v>
      </c>
      <c r="AK175" s="48" t="s">
        <v>49</v>
      </c>
      <c r="AL175" s="62" t="s">
        <v>32</v>
      </c>
      <c r="AM175" s="59"/>
      <c r="AN175" s="10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1"/>
    </row>
    <row r="176" spans="1:51" x14ac:dyDescent="0.2">
      <c r="A176" s="33">
        <f t="shared" si="3"/>
        <v>171</v>
      </c>
      <c r="B176" s="34" t="s">
        <v>1468</v>
      </c>
      <c r="C176" s="35" t="s">
        <v>1469</v>
      </c>
      <c r="D176" s="36" t="s">
        <v>1470</v>
      </c>
      <c r="E176" s="36" t="s">
        <v>36</v>
      </c>
      <c r="F176" s="34" t="s">
        <v>1471</v>
      </c>
      <c r="G176" s="176" t="s">
        <v>38</v>
      </c>
      <c r="H176" s="176" t="s">
        <v>39</v>
      </c>
      <c r="I176" s="38" t="s">
        <v>1472</v>
      </c>
      <c r="J176" s="34" t="s">
        <v>41</v>
      </c>
      <c r="K176" s="39" t="s">
        <v>42</v>
      </c>
      <c r="L176" s="120">
        <v>45320</v>
      </c>
      <c r="M176" s="56"/>
      <c r="N176" s="56"/>
      <c r="O176" s="56"/>
      <c r="P176" s="56"/>
      <c r="Q176" s="56"/>
      <c r="R176" s="115"/>
      <c r="S176" s="56"/>
      <c r="T176" s="56"/>
      <c r="U176" s="56" t="s">
        <v>44</v>
      </c>
      <c r="V176" s="56"/>
      <c r="W176" s="56"/>
      <c r="X176" s="42" t="s">
        <v>1473</v>
      </c>
      <c r="Y176" s="83" t="s">
        <v>1474</v>
      </c>
      <c r="Z176" s="44"/>
      <c r="AA176" s="45"/>
      <c r="AB176" s="101"/>
      <c r="AC176" s="36"/>
      <c r="AD176" s="47" t="s">
        <v>49</v>
      </c>
      <c r="AE176" s="48" t="s">
        <v>41</v>
      </c>
      <c r="AF176" s="48" t="s">
        <v>41</v>
      </c>
      <c r="AG176" s="48" t="s">
        <v>41</v>
      </c>
      <c r="AH176" s="48" t="s">
        <v>41</v>
      </c>
      <c r="AI176" s="48" t="s">
        <v>49</v>
      </c>
      <c r="AJ176" s="49" t="s">
        <v>49</v>
      </c>
      <c r="AK176" s="48" t="s">
        <v>41</v>
      </c>
      <c r="AL176" s="65" t="s">
        <v>148</v>
      </c>
      <c r="AM176" s="59"/>
      <c r="AN176" s="10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1"/>
    </row>
    <row r="177" spans="1:51" x14ac:dyDescent="0.2">
      <c r="A177" s="33">
        <f t="shared" si="3"/>
        <v>172</v>
      </c>
      <c r="B177" s="34" t="s">
        <v>1475</v>
      </c>
      <c r="C177" s="35" t="s">
        <v>1476</v>
      </c>
      <c r="D177" s="36" t="s">
        <v>1477</v>
      </c>
      <c r="E177" s="36" t="s">
        <v>36</v>
      </c>
      <c r="F177" s="34" t="s">
        <v>1478</v>
      </c>
      <c r="G177" s="37" t="s">
        <v>205</v>
      </c>
      <c r="H177" s="37" t="s">
        <v>205</v>
      </c>
      <c r="I177" s="34" t="s">
        <v>1479</v>
      </c>
      <c r="J177" s="34" t="s">
        <v>1480</v>
      </c>
      <c r="K177" s="39" t="s">
        <v>42</v>
      </c>
      <c r="L177" s="120">
        <v>37112</v>
      </c>
      <c r="M177" s="41"/>
      <c r="N177" s="41"/>
      <c r="O177" s="41"/>
      <c r="P177" s="41"/>
      <c r="Q177" s="41"/>
      <c r="R177" s="177"/>
      <c r="S177" s="112"/>
      <c r="T177" s="41" t="s">
        <v>732</v>
      </c>
      <c r="U177" s="41"/>
      <c r="V177" s="41"/>
      <c r="W177" s="41"/>
      <c r="X177" s="42" t="s">
        <v>1481</v>
      </c>
      <c r="Y177" s="58" t="s">
        <v>1482</v>
      </c>
      <c r="Z177" s="58"/>
      <c r="AA177" s="45">
        <v>45642</v>
      </c>
      <c r="AB177" s="101"/>
      <c r="AC177" s="36" t="s">
        <v>26</v>
      </c>
      <c r="AD177" s="47" t="s">
        <v>49</v>
      </c>
      <c r="AE177" s="48" t="s">
        <v>49</v>
      </c>
      <c r="AF177" s="48" t="s">
        <v>49</v>
      </c>
      <c r="AG177" s="48" t="s">
        <v>49</v>
      </c>
      <c r="AH177" s="48" t="s">
        <v>49</v>
      </c>
      <c r="AI177" s="48" t="s">
        <v>49</v>
      </c>
      <c r="AJ177" s="49" t="s">
        <v>49</v>
      </c>
      <c r="AK177" s="48" t="s">
        <v>41</v>
      </c>
      <c r="AL177" s="65" t="s">
        <v>148</v>
      </c>
      <c r="AM177" s="59"/>
      <c r="AN177" s="10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1"/>
    </row>
    <row r="178" spans="1:51" x14ac:dyDescent="0.2">
      <c r="A178" s="33">
        <f t="shared" si="3"/>
        <v>173</v>
      </c>
      <c r="B178" s="34" t="s">
        <v>1483</v>
      </c>
      <c r="C178" s="35" t="s">
        <v>1484</v>
      </c>
      <c r="D178" s="36" t="s">
        <v>1485</v>
      </c>
      <c r="E178" s="36" t="s">
        <v>54</v>
      </c>
      <c r="F178" s="34" t="s">
        <v>1486</v>
      </c>
      <c r="G178" s="37" t="s">
        <v>73</v>
      </c>
      <c r="H178" s="37" t="s">
        <v>73</v>
      </c>
      <c r="I178" s="34" t="s">
        <v>1445</v>
      </c>
      <c r="J178" s="34" t="s">
        <v>1445</v>
      </c>
      <c r="K178" s="39" t="s">
        <v>42</v>
      </c>
      <c r="L178" s="166" t="s">
        <v>1487</v>
      </c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2" t="s">
        <v>1488</v>
      </c>
      <c r="Y178" s="43" t="s">
        <v>1489</v>
      </c>
      <c r="Z178" s="44" t="s">
        <v>61</v>
      </c>
      <c r="AA178" s="45">
        <v>39286</v>
      </c>
      <c r="AB178" s="101" t="s">
        <v>30</v>
      </c>
      <c r="AC178" s="36" t="s">
        <v>26</v>
      </c>
      <c r="AD178" s="47" t="s">
        <v>49</v>
      </c>
      <c r="AE178" s="48" t="s">
        <v>49</v>
      </c>
      <c r="AF178" s="48" t="s">
        <v>49</v>
      </c>
      <c r="AG178" s="48" t="s">
        <v>49</v>
      </c>
      <c r="AH178" s="48" t="s">
        <v>49</v>
      </c>
      <c r="AI178" s="48" t="s">
        <v>49</v>
      </c>
      <c r="AJ178" s="49" t="s">
        <v>49</v>
      </c>
      <c r="AK178" s="48" t="s">
        <v>49</v>
      </c>
      <c r="AL178" s="65" t="s">
        <v>32</v>
      </c>
      <c r="AM178" s="59"/>
      <c r="AN178" s="10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1"/>
    </row>
    <row r="179" spans="1:51" x14ac:dyDescent="0.2">
      <c r="A179" s="33">
        <f t="shared" si="3"/>
        <v>174</v>
      </c>
      <c r="B179" s="34" t="s">
        <v>1490</v>
      </c>
      <c r="C179" s="35" t="s">
        <v>1491</v>
      </c>
      <c r="D179" s="36" t="s">
        <v>1492</v>
      </c>
      <c r="E179" s="36" t="s">
        <v>54</v>
      </c>
      <c r="F179" s="98" t="s">
        <v>1493</v>
      </c>
      <c r="G179" s="37" t="s">
        <v>528</v>
      </c>
      <c r="H179" s="37" t="s">
        <v>57</v>
      </c>
      <c r="I179" s="34" t="s">
        <v>1494</v>
      </c>
      <c r="J179" s="34" t="s">
        <v>1495</v>
      </c>
      <c r="K179" s="39" t="s">
        <v>42</v>
      </c>
      <c r="L179" s="99" t="s">
        <v>1496</v>
      </c>
      <c r="M179" s="115"/>
      <c r="N179" s="115"/>
      <c r="O179" s="115"/>
      <c r="P179" s="115"/>
      <c r="Q179" s="115"/>
      <c r="R179" s="115"/>
      <c r="S179" s="115"/>
      <c r="T179" s="56"/>
      <c r="U179" s="56"/>
      <c r="V179" s="56"/>
      <c r="W179" s="56"/>
      <c r="X179" s="42" t="s">
        <v>1497</v>
      </c>
      <c r="Y179" s="58" t="s">
        <v>1498</v>
      </c>
      <c r="Z179" s="44" t="s">
        <v>61</v>
      </c>
      <c r="AA179" s="45">
        <v>36641</v>
      </c>
      <c r="AB179" s="101" t="s">
        <v>30</v>
      </c>
      <c r="AC179" s="36" t="s">
        <v>26</v>
      </c>
      <c r="AD179" s="47" t="s">
        <v>49</v>
      </c>
      <c r="AE179" s="48" t="s">
        <v>49</v>
      </c>
      <c r="AF179" s="48" t="s">
        <v>41</v>
      </c>
      <c r="AG179" s="48" t="s">
        <v>41</v>
      </c>
      <c r="AH179" s="48" t="s">
        <v>41</v>
      </c>
      <c r="AI179" s="48" t="s">
        <v>41</v>
      </c>
      <c r="AJ179" s="49" t="s">
        <v>41</v>
      </c>
      <c r="AK179" s="48" t="s">
        <v>41</v>
      </c>
      <c r="AL179" s="62" t="s">
        <v>4587</v>
      </c>
      <c r="AM179" s="59"/>
      <c r="AN179" s="10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1"/>
    </row>
    <row r="180" spans="1:51" x14ac:dyDescent="0.2">
      <c r="A180" s="33">
        <f t="shared" si="3"/>
        <v>175</v>
      </c>
      <c r="B180" s="34" t="s">
        <v>1499</v>
      </c>
      <c r="C180" s="35" t="s">
        <v>1500</v>
      </c>
      <c r="D180" s="36" t="s">
        <v>4611</v>
      </c>
      <c r="E180" s="36" t="s">
        <v>54</v>
      </c>
      <c r="F180" s="34" t="s">
        <v>1501</v>
      </c>
      <c r="G180" s="37" t="s">
        <v>73</v>
      </c>
      <c r="H180" s="37" t="s">
        <v>73</v>
      </c>
      <c r="I180" s="34" t="s">
        <v>1502</v>
      </c>
      <c r="J180" s="34" t="s">
        <v>41</v>
      </c>
      <c r="K180" s="39" t="s">
        <v>42</v>
      </c>
      <c r="L180" s="99" t="s">
        <v>1503</v>
      </c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42" t="s">
        <v>4612</v>
      </c>
      <c r="Y180" s="58" t="s">
        <v>1504</v>
      </c>
      <c r="Z180" s="44" t="s">
        <v>61</v>
      </c>
      <c r="AA180" s="45">
        <v>36641</v>
      </c>
      <c r="AB180" s="101" t="s">
        <v>30</v>
      </c>
      <c r="AC180" s="36" t="s">
        <v>26</v>
      </c>
      <c r="AD180" s="47" t="s">
        <v>49</v>
      </c>
      <c r="AE180" s="48" t="s">
        <v>49</v>
      </c>
      <c r="AF180" s="48" t="s">
        <v>49</v>
      </c>
      <c r="AG180" s="48" t="s">
        <v>49</v>
      </c>
      <c r="AH180" s="48" t="s">
        <v>49</v>
      </c>
      <c r="AI180" s="48" t="s">
        <v>49</v>
      </c>
      <c r="AJ180" s="49" t="s">
        <v>49</v>
      </c>
      <c r="AK180" s="48" t="s">
        <v>49</v>
      </c>
      <c r="AL180" s="65" t="s">
        <v>32</v>
      </c>
      <c r="AM180" s="59"/>
      <c r="AN180" s="10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1"/>
    </row>
    <row r="181" spans="1:51" x14ac:dyDescent="0.2">
      <c r="A181" s="33">
        <f t="shared" si="3"/>
        <v>176</v>
      </c>
      <c r="B181" s="34" t="s">
        <v>1505</v>
      </c>
      <c r="C181" s="35" t="s">
        <v>1506</v>
      </c>
      <c r="D181" s="36" t="s">
        <v>1507</v>
      </c>
      <c r="E181" s="36" t="s">
        <v>54</v>
      </c>
      <c r="F181" s="34" t="s">
        <v>1508</v>
      </c>
      <c r="G181" s="37" t="s">
        <v>176</v>
      </c>
      <c r="H181" s="37" t="s">
        <v>39</v>
      </c>
      <c r="I181" s="34" t="s">
        <v>1509</v>
      </c>
      <c r="J181" s="34" t="s">
        <v>1509</v>
      </c>
      <c r="K181" s="39" t="s">
        <v>42</v>
      </c>
      <c r="L181" s="158" t="s">
        <v>1510</v>
      </c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2" t="s">
        <v>1511</v>
      </c>
      <c r="Y181" s="69" t="s">
        <v>1512</v>
      </c>
      <c r="Z181" s="44" t="s">
        <v>61</v>
      </c>
      <c r="AA181" s="45">
        <v>36803</v>
      </c>
      <c r="AB181" s="101" t="s">
        <v>30</v>
      </c>
      <c r="AC181" s="36"/>
      <c r="AD181" s="47" t="s">
        <v>49</v>
      </c>
      <c r="AE181" s="48" t="s">
        <v>49</v>
      </c>
      <c r="AF181" s="48" t="s">
        <v>49</v>
      </c>
      <c r="AG181" s="48" t="s">
        <v>49</v>
      </c>
      <c r="AH181" s="48" t="s">
        <v>49</v>
      </c>
      <c r="AI181" s="48" t="s">
        <v>49</v>
      </c>
      <c r="AJ181" s="49" t="s">
        <v>49</v>
      </c>
      <c r="AK181" s="48" t="s">
        <v>41</v>
      </c>
      <c r="AL181" s="65" t="s">
        <v>148</v>
      </c>
      <c r="AM181" s="59"/>
      <c r="AN181" s="10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1"/>
    </row>
    <row r="182" spans="1:51" x14ac:dyDescent="0.2">
      <c r="A182" s="33">
        <f t="shared" si="3"/>
        <v>177</v>
      </c>
      <c r="B182" s="34" t="s">
        <v>1513</v>
      </c>
      <c r="C182" s="35" t="s">
        <v>1514</v>
      </c>
      <c r="D182" s="89" t="s">
        <v>1515</v>
      </c>
      <c r="E182" s="36" t="s">
        <v>36</v>
      </c>
      <c r="F182" s="34" t="s">
        <v>1516</v>
      </c>
      <c r="G182" s="37" t="s">
        <v>205</v>
      </c>
      <c r="H182" s="37" t="s">
        <v>205</v>
      </c>
      <c r="I182" s="38" t="s">
        <v>1517</v>
      </c>
      <c r="J182" s="107" t="s">
        <v>41</v>
      </c>
      <c r="K182" s="39" t="s">
        <v>42</v>
      </c>
      <c r="L182" s="158" t="s">
        <v>1518</v>
      </c>
      <c r="M182" s="41"/>
      <c r="N182" s="41"/>
      <c r="O182" s="41"/>
      <c r="P182" s="41"/>
      <c r="Q182" s="41"/>
      <c r="R182" s="41"/>
      <c r="S182" s="41"/>
      <c r="T182" s="41" t="s">
        <v>44</v>
      </c>
      <c r="U182" s="41"/>
      <c r="V182" s="41"/>
      <c r="W182" s="41"/>
      <c r="X182" s="42" t="s">
        <v>1519</v>
      </c>
      <c r="Y182" s="58" t="s">
        <v>1520</v>
      </c>
      <c r="Z182" s="44"/>
      <c r="AA182" s="45">
        <v>45642</v>
      </c>
      <c r="AB182" s="101"/>
      <c r="AC182" s="36"/>
      <c r="AD182" s="47" t="s">
        <v>49</v>
      </c>
      <c r="AE182" s="48" t="s">
        <v>41</v>
      </c>
      <c r="AF182" s="48" t="s">
        <v>41</v>
      </c>
      <c r="AG182" s="48" t="s">
        <v>41</v>
      </c>
      <c r="AH182" s="48" t="s">
        <v>49</v>
      </c>
      <c r="AI182" s="48" t="s">
        <v>49</v>
      </c>
      <c r="AJ182" s="49" t="s">
        <v>49</v>
      </c>
      <c r="AK182" s="48" t="s">
        <v>49</v>
      </c>
      <c r="AL182" s="65" t="s">
        <v>32</v>
      </c>
      <c r="AM182" s="59"/>
      <c r="AN182" s="10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1"/>
    </row>
    <row r="183" spans="1:51" x14ac:dyDescent="0.2">
      <c r="A183" s="33">
        <f t="shared" si="3"/>
        <v>178</v>
      </c>
      <c r="B183" s="34" t="s">
        <v>1521</v>
      </c>
      <c r="C183" s="35" t="s">
        <v>1522</v>
      </c>
      <c r="D183" s="36" t="s">
        <v>1523</v>
      </c>
      <c r="E183" s="36" t="s">
        <v>54</v>
      </c>
      <c r="F183" s="34" t="s">
        <v>1524</v>
      </c>
      <c r="G183" s="37" t="s">
        <v>73</v>
      </c>
      <c r="H183" s="37" t="s">
        <v>73</v>
      </c>
      <c r="I183" s="38" t="s">
        <v>1525</v>
      </c>
      <c r="J183" s="38" t="s">
        <v>1525</v>
      </c>
      <c r="K183" s="178" t="s">
        <v>42</v>
      </c>
      <c r="L183" s="158" t="s">
        <v>1526</v>
      </c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42" t="s">
        <v>1527</v>
      </c>
      <c r="Y183" s="58" t="s">
        <v>1528</v>
      </c>
      <c r="Z183" s="44" t="s">
        <v>1529</v>
      </c>
      <c r="AA183" s="45">
        <v>42935</v>
      </c>
      <c r="AB183" s="180" t="s">
        <v>30</v>
      </c>
      <c r="AC183" s="36" t="s">
        <v>26</v>
      </c>
      <c r="AD183" s="181" t="s">
        <v>49</v>
      </c>
      <c r="AE183" s="48" t="s">
        <v>49</v>
      </c>
      <c r="AF183" s="48" t="s">
        <v>49</v>
      </c>
      <c r="AG183" s="48" t="s">
        <v>41</v>
      </c>
      <c r="AH183" s="48" t="s">
        <v>41</v>
      </c>
      <c r="AI183" s="48" t="s">
        <v>41</v>
      </c>
      <c r="AJ183" s="49" t="s">
        <v>41</v>
      </c>
      <c r="AK183" s="48" t="s">
        <v>41</v>
      </c>
      <c r="AL183" s="62" t="s">
        <v>110</v>
      </c>
      <c r="AM183" s="59"/>
      <c r="AN183" s="10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1"/>
    </row>
    <row r="184" spans="1:51" x14ac:dyDescent="0.2">
      <c r="A184" s="33">
        <f t="shared" si="3"/>
        <v>179</v>
      </c>
      <c r="B184" s="34" t="s">
        <v>1530</v>
      </c>
      <c r="C184" s="35" t="s">
        <v>1531</v>
      </c>
      <c r="D184" s="36" t="s">
        <v>1532</v>
      </c>
      <c r="E184" s="36" t="s">
        <v>36</v>
      </c>
      <c r="F184" s="87" t="s">
        <v>1533</v>
      </c>
      <c r="G184" s="182" t="s">
        <v>73</v>
      </c>
      <c r="H184" s="182" t="s">
        <v>73</v>
      </c>
      <c r="I184" s="183" t="s">
        <v>1534</v>
      </c>
      <c r="J184" s="38" t="s">
        <v>1534</v>
      </c>
      <c r="K184" s="178" t="s">
        <v>42</v>
      </c>
      <c r="L184" s="158" t="s">
        <v>1535</v>
      </c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42" t="s">
        <v>1536</v>
      </c>
      <c r="Y184" s="58" t="s">
        <v>1537</v>
      </c>
      <c r="Z184" s="119" t="s">
        <v>1538</v>
      </c>
      <c r="AA184" s="45">
        <v>42935</v>
      </c>
      <c r="AB184" s="180" t="s">
        <v>30</v>
      </c>
      <c r="AC184" s="36" t="s">
        <v>26</v>
      </c>
      <c r="AD184" s="181" t="s">
        <v>49</v>
      </c>
      <c r="AE184" s="48" t="s">
        <v>49</v>
      </c>
      <c r="AF184" s="48" t="s">
        <v>49</v>
      </c>
      <c r="AG184" s="48" t="s">
        <v>49</v>
      </c>
      <c r="AH184" s="48" t="s">
        <v>49</v>
      </c>
      <c r="AI184" s="48" t="s">
        <v>49</v>
      </c>
      <c r="AJ184" s="49" t="s">
        <v>49</v>
      </c>
      <c r="AK184" s="48" t="s">
        <v>49</v>
      </c>
      <c r="AL184" s="65" t="s">
        <v>32</v>
      </c>
      <c r="AM184" s="184"/>
      <c r="AN184" s="10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1"/>
    </row>
    <row r="185" spans="1:51" x14ac:dyDescent="0.2">
      <c r="A185" s="33">
        <f t="shared" si="3"/>
        <v>180</v>
      </c>
      <c r="B185" s="34" t="s">
        <v>1539</v>
      </c>
      <c r="C185" s="35" t="s">
        <v>1540</v>
      </c>
      <c r="D185" s="174" t="s">
        <v>4614</v>
      </c>
      <c r="E185" s="36" t="s">
        <v>36</v>
      </c>
      <c r="F185" s="108" t="s">
        <v>1542</v>
      </c>
      <c r="G185" s="37" t="s">
        <v>1285</v>
      </c>
      <c r="H185" s="37" t="s">
        <v>350</v>
      </c>
      <c r="I185" s="140" t="s">
        <v>1543</v>
      </c>
      <c r="J185" s="108" t="s">
        <v>41</v>
      </c>
      <c r="K185" s="39" t="s">
        <v>42</v>
      </c>
      <c r="L185" s="158" t="s">
        <v>1544</v>
      </c>
      <c r="M185" s="56" t="s">
        <v>179</v>
      </c>
      <c r="N185" s="56"/>
      <c r="O185" s="56"/>
      <c r="P185" s="56"/>
      <c r="Q185" s="56"/>
      <c r="R185" s="56"/>
      <c r="S185" s="56"/>
      <c r="T185" s="56" t="s">
        <v>44</v>
      </c>
      <c r="U185" s="56"/>
      <c r="V185" s="56"/>
      <c r="W185" s="56"/>
      <c r="X185" s="42" t="s">
        <v>1545</v>
      </c>
      <c r="Y185" s="58" t="s">
        <v>1546</v>
      </c>
      <c r="Z185" s="58"/>
      <c r="AA185" s="45">
        <v>45642</v>
      </c>
      <c r="AB185" s="101"/>
      <c r="AC185" s="109"/>
      <c r="AD185" s="47" t="s">
        <v>49</v>
      </c>
      <c r="AE185" s="48" t="s">
        <v>41</v>
      </c>
      <c r="AF185" s="48" t="s">
        <v>41</v>
      </c>
      <c r="AG185" s="48" t="s">
        <v>41</v>
      </c>
      <c r="AH185" s="48" t="s">
        <v>49</v>
      </c>
      <c r="AI185" s="48" t="s">
        <v>49</v>
      </c>
      <c r="AJ185" s="49" t="s">
        <v>49</v>
      </c>
      <c r="AK185" s="48" t="s">
        <v>49</v>
      </c>
      <c r="AL185" s="65" t="s">
        <v>32</v>
      </c>
      <c r="AM185" s="59"/>
      <c r="AN185" s="10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1"/>
    </row>
    <row r="186" spans="1:51" x14ac:dyDescent="0.2">
      <c r="A186" s="33">
        <f t="shared" si="3"/>
        <v>181</v>
      </c>
      <c r="B186" s="34" t="s">
        <v>1547</v>
      </c>
      <c r="C186" s="35" t="s">
        <v>1548</v>
      </c>
      <c r="D186" s="174" t="s">
        <v>1549</v>
      </c>
      <c r="E186" s="36" t="s">
        <v>54</v>
      </c>
      <c r="F186" s="185" t="s">
        <v>1550</v>
      </c>
      <c r="G186" s="126" t="s">
        <v>73</v>
      </c>
      <c r="H186" s="126" t="s">
        <v>73</v>
      </c>
      <c r="I186" s="139" t="s">
        <v>1551</v>
      </c>
      <c r="J186" s="108" t="s">
        <v>1552</v>
      </c>
      <c r="K186" s="39" t="s">
        <v>42</v>
      </c>
      <c r="L186" s="158" t="s">
        <v>1553</v>
      </c>
      <c r="M186" s="56"/>
      <c r="N186" s="137"/>
      <c r="O186" s="137"/>
      <c r="P186" s="137"/>
      <c r="Q186" s="137"/>
      <c r="R186" s="186"/>
      <c r="S186" s="115"/>
      <c r="T186" s="56"/>
      <c r="U186" s="56"/>
      <c r="V186" s="56"/>
      <c r="W186" s="56"/>
      <c r="X186" s="42" t="s">
        <v>1554</v>
      </c>
      <c r="Y186" s="58" t="s">
        <v>1555</v>
      </c>
      <c r="Z186" s="121" t="s">
        <v>1556</v>
      </c>
      <c r="AA186" s="45">
        <v>44650</v>
      </c>
      <c r="AB186" s="101" t="s">
        <v>30</v>
      </c>
      <c r="AC186" s="109" t="s">
        <v>26</v>
      </c>
      <c r="AD186" s="47" t="s">
        <v>49</v>
      </c>
      <c r="AE186" s="48" t="s">
        <v>49</v>
      </c>
      <c r="AF186" s="48" t="s">
        <v>49</v>
      </c>
      <c r="AG186" s="48" t="s">
        <v>49</v>
      </c>
      <c r="AH186" s="48" t="s">
        <v>49</v>
      </c>
      <c r="AI186" s="48" t="s">
        <v>49</v>
      </c>
      <c r="AJ186" s="49" t="s">
        <v>49</v>
      </c>
      <c r="AK186" s="48" t="s">
        <v>49</v>
      </c>
      <c r="AL186" s="62" t="s">
        <v>32</v>
      </c>
      <c r="AM186" s="59"/>
      <c r="AN186" s="10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1"/>
    </row>
    <row r="187" spans="1:51" x14ac:dyDescent="0.2">
      <c r="A187" s="33">
        <f t="shared" si="3"/>
        <v>182</v>
      </c>
      <c r="B187" s="34" t="s">
        <v>1557</v>
      </c>
      <c r="C187" s="35" t="s">
        <v>1558</v>
      </c>
      <c r="D187" s="174" t="s">
        <v>1559</v>
      </c>
      <c r="E187" s="36" t="s">
        <v>54</v>
      </c>
      <c r="F187" s="108" t="s">
        <v>1560</v>
      </c>
      <c r="G187" s="37" t="s">
        <v>73</v>
      </c>
      <c r="H187" s="37" t="s">
        <v>73</v>
      </c>
      <c r="I187" s="140" t="s">
        <v>1561</v>
      </c>
      <c r="J187" s="108"/>
      <c r="K187" s="39" t="s">
        <v>42</v>
      </c>
      <c r="L187" s="158" t="s">
        <v>1562</v>
      </c>
      <c r="M187" s="56"/>
      <c r="N187" s="56"/>
      <c r="O187" s="56"/>
      <c r="P187" s="56"/>
      <c r="Q187" s="115"/>
      <c r="R187" s="115" t="s">
        <v>44</v>
      </c>
      <c r="S187" s="115"/>
      <c r="T187" s="56"/>
      <c r="U187" s="56"/>
      <c r="V187" s="56"/>
      <c r="W187" s="56"/>
      <c r="X187" s="42" t="s">
        <v>1563</v>
      </c>
      <c r="Y187" s="58" t="s">
        <v>1564</v>
      </c>
      <c r="Z187" s="44" t="s">
        <v>1565</v>
      </c>
      <c r="AA187" s="45">
        <v>44944</v>
      </c>
      <c r="AB187" s="101" t="s">
        <v>30</v>
      </c>
      <c r="AC187" s="109"/>
      <c r="AD187" s="47" t="s">
        <v>49</v>
      </c>
      <c r="AE187" s="48" t="s">
        <v>41</v>
      </c>
      <c r="AF187" s="48" t="s">
        <v>49</v>
      </c>
      <c r="AG187" s="48" t="s">
        <v>49</v>
      </c>
      <c r="AH187" s="48" t="s">
        <v>49</v>
      </c>
      <c r="AI187" s="48" t="s">
        <v>49</v>
      </c>
      <c r="AJ187" s="49" t="s">
        <v>49</v>
      </c>
      <c r="AK187" s="48" t="s">
        <v>49</v>
      </c>
      <c r="AL187" s="62" t="s">
        <v>32</v>
      </c>
      <c r="AM187" s="59"/>
      <c r="AN187" s="10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1"/>
    </row>
    <row r="188" spans="1:51" x14ac:dyDescent="0.2">
      <c r="A188" s="33">
        <f t="shared" si="3"/>
        <v>183</v>
      </c>
      <c r="B188" s="34" t="s">
        <v>1566</v>
      </c>
      <c r="C188" s="35" t="s">
        <v>1567</v>
      </c>
      <c r="D188" s="36" t="s">
        <v>1568</v>
      </c>
      <c r="E188" s="36" t="s">
        <v>54</v>
      </c>
      <c r="F188" s="98" t="s">
        <v>1569</v>
      </c>
      <c r="G188" s="37" t="s">
        <v>73</v>
      </c>
      <c r="H188" s="37" t="s">
        <v>73</v>
      </c>
      <c r="I188" s="34" t="s">
        <v>1570</v>
      </c>
      <c r="J188" s="34" t="s">
        <v>1571</v>
      </c>
      <c r="K188" s="39" t="s">
        <v>42</v>
      </c>
      <c r="L188" s="158" t="s">
        <v>1572</v>
      </c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2" t="s">
        <v>1573</v>
      </c>
      <c r="Y188" s="52" t="s">
        <v>1574</v>
      </c>
      <c r="Z188" s="44" t="s">
        <v>61</v>
      </c>
      <c r="AA188" s="45">
        <v>36641</v>
      </c>
      <c r="AB188" s="101" t="s">
        <v>30</v>
      </c>
      <c r="AC188" s="36"/>
      <c r="AD188" s="47" t="s">
        <v>49</v>
      </c>
      <c r="AE188" s="48" t="s">
        <v>41</v>
      </c>
      <c r="AF188" s="48" t="s">
        <v>41</v>
      </c>
      <c r="AG188" s="48" t="s">
        <v>41</v>
      </c>
      <c r="AH188" s="48" t="s">
        <v>41</v>
      </c>
      <c r="AI188" s="48" t="s">
        <v>41</v>
      </c>
      <c r="AJ188" s="49" t="s">
        <v>41</v>
      </c>
      <c r="AK188" s="48" t="s">
        <v>41</v>
      </c>
      <c r="AL188" s="65" t="s">
        <v>4592</v>
      </c>
      <c r="AM188" s="59"/>
      <c r="AN188" s="10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1"/>
    </row>
    <row r="189" spans="1:51" x14ac:dyDescent="0.2">
      <c r="A189" s="33">
        <f t="shared" si="3"/>
        <v>184</v>
      </c>
      <c r="B189" s="34" t="s">
        <v>1575</v>
      </c>
      <c r="C189" s="35" t="s">
        <v>1576</v>
      </c>
      <c r="D189" s="36" t="s">
        <v>1577</v>
      </c>
      <c r="E189" s="36" t="s">
        <v>54</v>
      </c>
      <c r="F189" s="34" t="s">
        <v>1578</v>
      </c>
      <c r="G189" s="37" t="s">
        <v>73</v>
      </c>
      <c r="H189" s="37" t="s">
        <v>73</v>
      </c>
      <c r="I189" s="34" t="s">
        <v>1579</v>
      </c>
      <c r="J189" s="34" t="s">
        <v>1579</v>
      </c>
      <c r="K189" s="39" t="s">
        <v>42</v>
      </c>
      <c r="L189" s="99" t="s">
        <v>1580</v>
      </c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42" t="s">
        <v>1581</v>
      </c>
      <c r="Y189" s="52" t="s">
        <v>1582</v>
      </c>
      <c r="Z189" s="44" t="s">
        <v>61</v>
      </c>
      <c r="AA189" s="45">
        <v>40815</v>
      </c>
      <c r="AB189" s="101" t="s">
        <v>129</v>
      </c>
      <c r="AC189" s="73" t="s">
        <v>26</v>
      </c>
      <c r="AD189" s="61" t="s">
        <v>49</v>
      </c>
      <c r="AE189" s="48" t="s">
        <v>49</v>
      </c>
      <c r="AF189" s="48" t="s">
        <v>49</v>
      </c>
      <c r="AG189" s="48" t="s">
        <v>49</v>
      </c>
      <c r="AH189" s="48" t="s">
        <v>49</v>
      </c>
      <c r="AI189" s="48" t="s">
        <v>49</v>
      </c>
      <c r="AJ189" s="49" t="s">
        <v>49</v>
      </c>
      <c r="AK189" s="48" t="s">
        <v>41</v>
      </c>
      <c r="AL189" s="65" t="s">
        <v>148</v>
      </c>
      <c r="AM189" s="59"/>
      <c r="AN189" s="10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1"/>
    </row>
    <row r="190" spans="1:51" x14ac:dyDescent="0.2">
      <c r="A190" s="33">
        <f t="shared" si="3"/>
        <v>185</v>
      </c>
      <c r="B190" s="34" t="s">
        <v>1583</v>
      </c>
      <c r="C190" s="35" t="s">
        <v>1584</v>
      </c>
      <c r="D190" s="36" t="s">
        <v>1585</v>
      </c>
      <c r="E190" s="36" t="s">
        <v>54</v>
      </c>
      <c r="F190" s="98" t="s">
        <v>1586</v>
      </c>
      <c r="G190" s="37" t="s">
        <v>73</v>
      </c>
      <c r="H190" s="37" t="s">
        <v>73</v>
      </c>
      <c r="I190" s="54" t="s">
        <v>1587</v>
      </c>
      <c r="J190" s="34" t="s">
        <v>41</v>
      </c>
      <c r="K190" s="39" t="s">
        <v>42</v>
      </c>
      <c r="L190" s="158" t="s">
        <v>1588</v>
      </c>
      <c r="M190" s="56"/>
      <c r="N190" s="56"/>
      <c r="O190" s="56"/>
      <c r="P190" s="56"/>
      <c r="Q190" s="56"/>
      <c r="R190" s="56"/>
      <c r="S190" s="56"/>
      <c r="T190" s="56"/>
      <c r="U190" s="56"/>
      <c r="V190" s="56" t="s">
        <v>732</v>
      </c>
      <c r="W190" s="56"/>
      <c r="X190" s="54" t="s">
        <v>1589</v>
      </c>
      <c r="Y190" s="58" t="s">
        <v>1590</v>
      </c>
      <c r="Z190" s="44"/>
      <c r="AA190" s="45"/>
      <c r="AB190" s="101" t="s">
        <v>30</v>
      </c>
      <c r="AC190" s="36" t="s">
        <v>26</v>
      </c>
      <c r="AD190" s="47" t="s">
        <v>49</v>
      </c>
      <c r="AE190" s="48" t="s">
        <v>49</v>
      </c>
      <c r="AF190" s="48" t="s">
        <v>49</v>
      </c>
      <c r="AG190" s="48" t="s">
        <v>49</v>
      </c>
      <c r="AH190" s="48" t="s">
        <v>49</v>
      </c>
      <c r="AI190" s="48" t="s">
        <v>49</v>
      </c>
      <c r="AJ190" s="49" t="s">
        <v>49</v>
      </c>
      <c r="AK190" s="48" t="s">
        <v>49</v>
      </c>
      <c r="AL190" s="62" t="s">
        <v>32</v>
      </c>
      <c r="AM190" s="59"/>
      <c r="AN190" s="10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1"/>
    </row>
    <row r="191" spans="1:51" x14ac:dyDescent="0.2">
      <c r="A191" s="33">
        <f t="shared" si="3"/>
        <v>186</v>
      </c>
      <c r="B191" s="34" t="s">
        <v>1591</v>
      </c>
      <c r="C191" s="35" t="s">
        <v>1592</v>
      </c>
      <c r="D191" s="36" t="s">
        <v>1593</v>
      </c>
      <c r="E191" s="36" t="s">
        <v>54</v>
      </c>
      <c r="F191" s="98" t="s">
        <v>1594</v>
      </c>
      <c r="G191" s="37" t="s">
        <v>205</v>
      </c>
      <c r="H191" s="37" t="s">
        <v>205</v>
      </c>
      <c r="I191" s="38" t="s">
        <v>1595</v>
      </c>
      <c r="J191" s="34" t="s">
        <v>41</v>
      </c>
      <c r="K191" s="39" t="s">
        <v>42</v>
      </c>
      <c r="L191" s="158" t="s">
        <v>1596</v>
      </c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42" t="s">
        <v>1152</v>
      </c>
      <c r="Y191" s="52" t="s">
        <v>1597</v>
      </c>
      <c r="Z191" s="44" t="s">
        <v>1598</v>
      </c>
      <c r="AA191" s="45">
        <v>44041</v>
      </c>
      <c r="AB191" s="101" t="s">
        <v>30</v>
      </c>
      <c r="AC191" s="36" t="s">
        <v>26</v>
      </c>
      <c r="AD191" s="47" t="s">
        <v>49</v>
      </c>
      <c r="AE191" s="48" t="s">
        <v>49</v>
      </c>
      <c r="AF191" s="48" t="s">
        <v>49</v>
      </c>
      <c r="AG191" s="48" t="s">
        <v>49</v>
      </c>
      <c r="AH191" s="48" t="s">
        <v>49</v>
      </c>
      <c r="AI191" s="48" t="s">
        <v>49</v>
      </c>
      <c r="AJ191" s="49" t="s">
        <v>49</v>
      </c>
      <c r="AK191" s="48" t="s">
        <v>49</v>
      </c>
      <c r="AL191" s="62" t="s">
        <v>32</v>
      </c>
      <c r="AM191" s="59"/>
      <c r="AN191" s="10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1"/>
    </row>
    <row r="192" spans="1:51" x14ac:dyDescent="0.2">
      <c r="A192" s="33">
        <f t="shared" si="3"/>
        <v>187</v>
      </c>
      <c r="B192" s="34" t="s">
        <v>1599</v>
      </c>
      <c r="C192" s="35" t="s">
        <v>1600</v>
      </c>
      <c r="D192" s="36" t="s">
        <v>1601</v>
      </c>
      <c r="E192" s="36" t="s">
        <v>54</v>
      </c>
      <c r="F192" s="98" t="s">
        <v>1602</v>
      </c>
      <c r="G192" s="37" t="s">
        <v>176</v>
      </c>
      <c r="H192" s="37" t="s">
        <v>39</v>
      </c>
      <c r="I192" s="57" t="s">
        <v>1603</v>
      </c>
      <c r="J192" s="34" t="s">
        <v>41</v>
      </c>
      <c r="K192" s="39" t="s">
        <v>42</v>
      </c>
      <c r="L192" s="158" t="s">
        <v>1604</v>
      </c>
      <c r="M192" s="56"/>
      <c r="N192" s="56"/>
      <c r="O192" s="56"/>
      <c r="P192" s="56"/>
      <c r="Q192" s="56"/>
      <c r="R192" s="56"/>
      <c r="S192" s="56"/>
      <c r="T192" s="56" t="s">
        <v>44</v>
      </c>
      <c r="U192" s="56"/>
      <c r="V192" s="56" t="s">
        <v>732</v>
      </c>
      <c r="W192" s="56"/>
      <c r="X192" s="42" t="s">
        <v>1605</v>
      </c>
      <c r="Y192" s="58" t="s">
        <v>1606</v>
      </c>
      <c r="Z192" s="58"/>
      <c r="AA192" s="45">
        <v>45642</v>
      </c>
      <c r="AB192" s="101"/>
      <c r="AC192" s="36"/>
      <c r="AD192" s="47" t="s">
        <v>49</v>
      </c>
      <c r="AE192" s="48" t="s">
        <v>41</v>
      </c>
      <c r="AF192" s="48" t="s">
        <v>41</v>
      </c>
      <c r="AG192" s="48" t="s">
        <v>41</v>
      </c>
      <c r="AH192" s="48" t="s">
        <v>49</v>
      </c>
      <c r="AI192" s="48" t="s">
        <v>49</v>
      </c>
      <c r="AJ192" s="49" t="s">
        <v>49</v>
      </c>
      <c r="AK192" s="48" t="s">
        <v>41</v>
      </c>
      <c r="AL192" s="65" t="s">
        <v>148</v>
      </c>
      <c r="AM192" s="59"/>
      <c r="AN192" s="10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1"/>
    </row>
    <row r="193" spans="1:59" x14ac:dyDescent="0.2">
      <c r="A193" s="33">
        <f t="shared" si="3"/>
        <v>188</v>
      </c>
      <c r="B193" s="34" t="s">
        <v>1607</v>
      </c>
      <c r="C193" s="35" t="s">
        <v>1608</v>
      </c>
      <c r="D193" s="36" t="s">
        <v>1609</v>
      </c>
      <c r="E193" s="36" t="s">
        <v>36</v>
      </c>
      <c r="F193" s="98" t="s">
        <v>1610</v>
      </c>
      <c r="G193" s="37" t="s">
        <v>252</v>
      </c>
      <c r="H193" s="37" t="s">
        <v>57</v>
      </c>
      <c r="I193" s="38" t="s">
        <v>1611</v>
      </c>
      <c r="J193" s="34" t="s">
        <v>41</v>
      </c>
      <c r="K193" s="39" t="s">
        <v>42</v>
      </c>
      <c r="L193" s="158" t="s">
        <v>1604</v>
      </c>
      <c r="M193" s="56"/>
      <c r="N193" s="56"/>
      <c r="O193" s="56"/>
      <c r="P193" s="56"/>
      <c r="Q193" s="56"/>
      <c r="R193" s="56"/>
      <c r="S193" s="56"/>
      <c r="T193" s="56" t="s">
        <v>44</v>
      </c>
      <c r="U193" s="56"/>
      <c r="V193" s="56"/>
      <c r="W193" s="56"/>
      <c r="X193" s="42" t="s">
        <v>1612</v>
      </c>
      <c r="Y193" s="58" t="s">
        <v>1613</v>
      </c>
      <c r="Z193" s="58"/>
      <c r="AA193" s="45">
        <v>45642</v>
      </c>
      <c r="AB193" s="101"/>
      <c r="AC193" s="36"/>
      <c r="AD193" s="47" t="s">
        <v>49</v>
      </c>
      <c r="AE193" s="48" t="s">
        <v>41</v>
      </c>
      <c r="AF193" s="48" t="s">
        <v>41</v>
      </c>
      <c r="AG193" s="48" t="s">
        <v>41</v>
      </c>
      <c r="AH193" s="48" t="s">
        <v>49</v>
      </c>
      <c r="AI193" s="48" t="s">
        <v>41</v>
      </c>
      <c r="AJ193" s="49" t="s">
        <v>41</v>
      </c>
      <c r="AK193" s="48" t="s">
        <v>41</v>
      </c>
      <c r="AL193" s="62" t="s">
        <v>4589</v>
      </c>
      <c r="AM193" s="59"/>
      <c r="AN193" s="10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1"/>
    </row>
    <row r="194" spans="1:59" x14ac:dyDescent="0.2">
      <c r="A194" s="33">
        <f t="shared" si="3"/>
        <v>189</v>
      </c>
      <c r="B194" s="34" t="s">
        <v>1614</v>
      </c>
      <c r="C194" s="35" t="s">
        <v>1615</v>
      </c>
      <c r="D194" s="36" t="s">
        <v>1616</v>
      </c>
      <c r="E194" s="36" t="s">
        <v>54</v>
      </c>
      <c r="F194" s="98" t="s">
        <v>1166</v>
      </c>
      <c r="G194" s="37" t="s">
        <v>56</v>
      </c>
      <c r="H194" s="37" t="s">
        <v>57</v>
      </c>
      <c r="I194" s="38" t="s">
        <v>1617</v>
      </c>
      <c r="J194" s="34" t="s">
        <v>41</v>
      </c>
      <c r="K194" s="39" t="s">
        <v>42</v>
      </c>
      <c r="L194" s="158" t="s">
        <v>1618</v>
      </c>
      <c r="M194" s="115"/>
      <c r="N194" s="115"/>
      <c r="O194" s="115"/>
      <c r="P194" s="115"/>
      <c r="Q194" s="115"/>
      <c r="R194" s="115" t="s">
        <v>44</v>
      </c>
      <c r="S194" s="115"/>
      <c r="T194" s="56"/>
      <c r="U194" s="56"/>
      <c r="V194" s="56"/>
      <c r="W194" s="56"/>
      <c r="X194" s="42" t="s">
        <v>1619</v>
      </c>
      <c r="Y194" s="43" t="s">
        <v>1620</v>
      </c>
      <c r="Z194" s="44" t="s">
        <v>1621</v>
      </c>
      <c r="AA194" s="45">
        <v>44650</v>
      </c>
      <c r="AB194" s="101" t="s">
        <v>30</v>
      </c>
      <c r="AC194" s="36"/>
      <c r="AD194" s="47" t="s">
        <v>49</v>
      </c>
      <c r="AE194" s="48" t="s">
        <v>41</v>
      </c>
      <c r="AF194" s="48" t="s">
        <v>49</v>
      </c>
      <c r="AG194" s="48" t="s">
        <v>49</v>
      </c>
      <c r="AH194" s="48" t="s">
        <v>49</v>
      </c>
      <c r="AI194" s="48" t="s">
        <v>49</v>
      </c>
      <c r="AJ194" s="49" t="s">
        <v>49</v>
      </c>
      <c r="AK194" s="48" t="s">
        <v>49</v>
      </c>
      <c r="AL194" s="65" t="s">
        <v>32</v>
      </c>
      <c r="AM194" s="59"/>
      <c r="AN194" s="10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1"/>
    </row>
    <row r="195" spans="1:59" x14ac:dyDescent="0.2">
      <c r="A195" s="33">
        <f t="shared" si="3"/>
        <v>190</v>
      </c>
      <c r="B195" s="34" t="s">
        <v>1622</v>
      </c>
      <c r="C195" s="35" t="s">
        <v>1623</v>
      </c>
      <c r="D195" s="36" t="s">
        <v>1624</v>
      </c>
      <c r="E195" s="36" t="s">
        <v>54</v>
      </c>
      <c r="F195" s="34" t="s">
        <v>1625</v>
      </c>
      <c r="G195" s="37" t="s">
        <v>73</v>
      </c>
      <c r="H195" s="37" t="s">
        <v>73</v>
      </c>
      <c r="I195" s="38" t="s">
        <v>1626</v>
      </c>
      <c r="J195" s="34" t="s">
        <v>41</v>
      </c>
      <c r="K195" s="39" t="s">
        <v>42</v>
      </c>
      <c r="L195" s="187">
        <v>45315</v>
      </c>
      <c r="M195" s="188"/>
      <c r="N195" s="188"/>
      <c r="O195" s="188"/>
      <c r="P195" s="188"/>
      <c r="Q195" s="188"/>
      <c r="R195" s="188"/>
      <c r="S195" s="188"/>
      <c r="T195" s="188"/>
      <c r="U195" s="188" t="s">
        <v>44</v>
      </c>
      <c r="V195" s="188"/>
      <c r="W195" s="188"/>
      <c r="X195" s="38" t="s">
        <v>1627</v>
      </c>
      <c r="Y195" s="43" t="s">
        <v>1628</v>
      </c>
      <c r="Z195" s="44"/>
      <c r="AA195" s="45"/>
      <c r="AB195" s="164"/>
      <c r="AC195" s="36"/>
      <c r="AD195" s="47" t="s">
        <v>49</v>
      </c>
      <c r="AE195" s="48" t="s">
        <v>41</v>
      </c>
      <c r="AF195" s="48" t="s">
        <v>41</v>
      </c>
      <c r="AG195" s="48" t="s">
        <v>41</v>
      </c>
      <c r="AH195" s="48" t="s">
        <v>41</v>
      </c>
      <c r="AI195" s="48" t="s">
        <v>49</v>
      </c>
      <c r="AJ195" s="49" t="s">
        <v>49</v>
      </c>
      <c r="AK195" s="48" t="s">
        <v>49</v>
      </c>
      <c r="AL195" s="65" t="s">
        <v>32</v>
      </c>
      <c r="AM195" s="59"/>
      <c r="AN195" s="10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1"/>
    </row>
    <row r="196" spans="1:59" x14ac:dyDescent="0.2">
      <c r="A196" s="33">
        <f t="shared" si="3"/>
        <v>191</v>
      </c>
      <c r="B196" s="34" t="s">
        <v>1629</v>
      </c>
      <c r="C196" s="35" t="s">
        <v>1630</v>
      </c>
      <c r="D196" s="36" t="s">
        <v>1631</v>
      </c>
      <c r="E196" s="36" t="s">
        <v>54</v>
      </c>
      <c r="F196" s="98" t="s">
        <v>1632</v>
      </c>
      <c r="G196" s="37" t="s">
        <v>360</v>
      </c>
      <c r="H196" s="37" t="s">
        <v>350</v>
      </c>
      <c r="I196" s="34" t="s">
        <v>1633</v>
      </c>
      <c r="J196" s="34" t="s">
        <v>41</v>
      </c>
      <c r="K196" s="39" t="s">
        <v>42</v>
      </c>
      <c r="L196" s="165" t="s">
        <v>1634</v>
      </c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W196" s="188"/>
      <c r="X196" s="42" t="s">
        <v>1635</v>
      </c>
      <c r="Y196" s="58" t="s">
        <v>1636</v>
      </c>
      <c r="Z196" s="44" t="s">
        <v>1637</v>
      </c>
      <c r="AA196" s="45">
        <v>44041</v>
      </c>
      <c r="AB196" s="164" t="s">
        <v>30</v>
      </c>
      <c r="AC196" s="36" t="s">
        <v>26</v>
      </c>
      <c r="AD196" s="47" t="s">
        <v>49</v>
      </c>
      <c r="AE196" s="48" t="s">
        <v>49</v>
      </c>
      <c r="AF196" s="48" t="s">
        <v>49</v>
      </c>
      <c r="AG196" s="48" t="s">
        <v>49</v>
      </c>
      <c r="AH196" s="48" t="s">
        <v>49</v>
      </c>
      <c r="AI196" s="48" t="s">
        <v>49</v>
      </c>
      <c r="AJ196" s="49" t="s">
        <v>49</v>
      </c>
      <c r="AK196" s="48" t="s">
        <v>41</v>
      </c>
      <c r="AL196" s="62" t="s">
        <v>148</v>
      </c>
      <c r="AM196" s="59"/>
      <c r="AN196" s="10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1"/>
    </row>
    <row r="197" spans="1:59" x14ac:dyDescent="0.2">
      <c r="A197" s="33">
        <f t="shared" si="3"/>
        <v>192</v>
      </c>
      <c r="B197" s="34" t="s">
        <v>1638</v>
      </c>
      <c r="C197" s="35" t="s">
        <v>1639</v>
      </c>
      <c r="D197" s="36" t="s">
        <v>1640</v>
      </c>
      <c r="E197" s="36" t="s">
        <v>54</v>
      </c>
      <c r="F197" s="98" t="s">
        <v>1641</v>
      </c>
      <c r="G197" s="37" t="s">
        <v>73</v>
      </c>
      <c r="H197" s="37" t="s">
        <v>73</v>
      </c>
      <c r="I197" s="34" t="s">
        <v>1642</v>
      </c>
      <c r="J197" s="34" t="s">
        <v>41</v>
      </c>
      <c r="K197" s="39" t="s">
        <v>42</v>
      </c>
      <c r="L197" s="165">
        <v>31054</v>
      </c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42" t="s">
        <v>1643</v>
      </c>
      <c r="Y197" s="58" t="s">
        <v>1644</v>
      </c>
      <c r="Z197" s="44" t="s">
        <v>61</v>
      </c>
      <c r="AA197" s="45">
        <v>36641</v>
      </c>
      <c r="AB197" s="164" t="s">
        <v>30</v>
      </c>
      <c r="AC197" s="36"/>
      <c r="AD197" s="47" t="s">
        <v>49</v>
      </c>
      <c r="AE197" s="48" t="s">
        <v>41</v>
      </c>
      <c r="AF197" s="48" t="s">
        <v>41</v>
      </c>
      <c r="AG197" s="48" t="s">
        <v>41</v>
      </c>
      <c r="AH197" s="48" t="s">
        <v>41</v>
      </c>
      <c r="AI197" s="48" t="s">
        <v>41</v>
      </c>
      <c r="AJ197" s="49" t="s">
        <v>41</v>
      </c>
      <c r="AK197" s="48" t="s">
        <v>41</v>
      </c>
      <c r="AL197" s="62" t="s">
        <v>4590</v>
      </c>
      <c r="AM197" s="59" t="s">
        <v>192</v>
      </c>
      <c r="AN197" s="10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1"/>
    </row>
    <row r="198" spans="1:59" x14ac:dyDescent="0.2">
      <c r="A198" s="33">
        <f t="shared" si="3"/>
        <v>193</v>
      </c>
      <c r="B198" s="34" t="s">
        <v>1645</v>
      </c>
      <c r="C198" s="35" t="s">
        <v>1646</v>
      </c>
      <c r="D198" s="36" t="s">
        <v>1647</v>
      </c>
      <c r="E198" s="36" t="s">
        <v>54</v>
      </c>
      <c r="F198" s="34" t="s">
        <v>1648</v>
      </c>
      <c r="G198" s="37" t="s">
        <v>73</v>
      </c>
      <c r="H198" s="37" t="s">
        <v>73</v>
      </c>
      <c r="I198" s="34" t="s">
        <v>1649</v>
      </c>
      <c r="J198" s="34" t="s">
        <v>41</v>
      </c>
      <c r="K198" s="39" t="s">
        <v>42</v>
      </c>
      <c r="L198" s="189" t="s">
        <v>1650</v>
      </c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90" t="s">
        <v>1651</v>
      </c>
      <c r="Y198" s="58" t="s">
        <v>1652</v>
      </c>
      <c r="Z198" s="44" t="s">
        <v>61</v>
      </c>
      <c r="AA198" s="45">
        <v>36640</v>
      </c>
      <c r="AB198" s="191" t="s">
        <v>129</v>
      </c>
      <c r="AC198" s="36" t="s">
        <v>26</v>
      </c>
      <c r="AD198" s="47" t="s">
        <v>49</v>
      </c>
      <c r="AE198" s="48" t="s">
        <v>49</v>
      </c>
      <c r="AF198" s="48" t="s">
        <v>49</v>
      </c>
      <c r="AG198" s="48" t="s">
        <v>49</v>
      </c>
      <c r="AH198" s="48" t="s">
        <v>49</v>
      </c>
      <c r="AI198" s="48" t="s">
        <v>49</v>
      </c>
      <c r="AJ198" s="49" t="s">
        <v>49</v>
      </c>
      <c r="AK198" s="48" t="s">
        <v>49</v>
      </c>
      <c r="AL198" s="62" t="s">
        <v>32</v>
      </c>
      <c r="AM198" s="59"/>
      <c r="AN198" s="10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1"/>
    </row>
    <row r="199" spans="1:59" x14ac:dyDescent="0.2">
      <c r="A199" s="33">
        <f t="shared" si="3"/>
        <v>194</v>
      </c>
      <c r="B199" s="34" t="s">
        <v>1653</v>
      </c>
      <c r="C199" s="35" t="s">
        <v>1654</v>
      </c>
      <c r="D199" s="36" t="s">
        <v>1655</v>
      </c>
      <c r="E199" s="36" t="s">
        <v>241</v>
      </c>
      <c r="F199" s="34" t="s">
        <v>1656</v>
      </c>
      <c r="G199" s="37" t="s">
        <v>73</v>
      </c>
      <c r="H199" s="37" t="s">
        <v>73</v>
      </c>
      <c r="I199" s="34" t="s">
        <v>1657</v>
      </c>
      <c r="J199" s="34" t="s">
        <v>41</v>
      </c>
      <c r="K199" s="39" t="s">
        <v>42</v>
      </c>
      <c r="L199" s="158" t="s">
        <v>556</v>
      </c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57" t="s">
        <v>1658</v>
      </c>
      <c r="Y199" s="43" t="s">
        <v>1659</v>
      </c>
      <c r="Z199" s="44" t="s">
        <v>61</v>
      </c>
      <c r="AA199" s="45">
        <v>36641</v>
      </c>
      <c r="AB199" s="101" t="s">
        <v>30</v>
      </c>
      <c r="AC199" s="36" t="s">
        <v>26</v>
      </c>
      <c r="AD199" s="47" t="s">
        <v>49</v>
      </c>
      <c r="AE199" s="48" t="s">
        <v>49</v>
      </c>
      <c r="AF199" s="48" t="s">
        <v>49</v>
      </c>
      <c r="AG199" s="48" t="s">
        <v>49</v>
      </c>
      <c r="AH199" s="48" t="s">
        <v>49</v>
      </c>
      <c r="AI199" s="48" t="s">
        <v>49</v>
      </c>
      <c r="AJ199" s="49" t="s">
        <v>49</v>
      </c>
      <c r="AK199" s="48" t="s">
        <v>49</v>
      </c>
      <c r="AL199" s="65" t="s">
        <v>32</v>
      </c>
      <c r="AM199" s="103" t="s">
        <v>41</v>
      </c>
      <c r="AN199" s="10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1"/>
    </row>
    <row r="200" spans="1:59" x14ac:dyDescent="0.2">
      <c r="A200" s="33">
        <f t="shared" si="3"/>
        <v>195</v>
      </c>
      <c r="B200" s="34" t="s">
        <v>1660</v>
      </c>
      <c r="C200" s="35" t="s">
        <v>1661</v>
      </c>
      <c r="D200" s="36" t="s">
        <v>1662</v>
      </c>
      <c r="E200" s="36" t="s">
        <v>36</v>
      </c>
      <c r="F200" s="34" t="s">
        <v>1663</v>
      </c>
      <c r="G200" s="37" t="s">
        <v>73</v>
      </c>
      <c r="H200" s="37" t="s">
        <v>73</v>
      </c>
      <c r="I200" s="34" t="s">
        <v>1664</v>
      </c>
      <c r="J200" s="34" t="s">
        <v>41</v>
      </c>
      <c r="K200" s="39" t="s">
        <v>42</v>
      </c>
      <c r="L200" s="120">
        <v>45143</v>
      </c>
      <c r="M200" s="56"/>
      <c r="N200" s="56"/>
      <c r="O200" s="56"/>
      <c r="P200" s="56"/>
      <c r="Q200" s="56"/>
      <c r="R200" s="56"/>
      <c r="S200" s="56"/>
      <c r="T200" s="56" t="s">
        <v>44</v>
      </c>
      <c r="U200" s="56"/>
      <c r="V200" s="56"/>
      <c r="W200" s="56"/>
      <c r="X200" s="42" t="s">
        <v>1665</v>
      </c>
      <c r="Y200" s="83" t="s">
        <v>1666</v>
      </c>
      <c r="Z200" s="44"/>
      <c r="AA200" s="45">
        <v>45642</v>
      </c>
      <c r="AB200" s="101"/>
      <c r="AC200" s="36"/>
      <c r="AD200" s="64" t="s">
        <v>120</v>
      </c>
      <c r="AE200" s="48" t="s">
        <v>41</v>
      </c>
      <c r="AF200" s="48" t="s">
        <v>41</v>
      </c>
      <c r="AG200" s="48" t="s">
        <v>41</v>
      </c>
      <c r="AH200" s="48" t="s">
        <v>120</v>
      </c>
      <c r="AI200" s="48" t="s">
        <v>120</v>
      </c>
      <c r="AJ200" s="49" t="s">
        <v>120</v>
      </c>
      <c r="AK200" s="48" t="s">
        <v>120</v>
      </c>
      <c r="AL200" s="62" t="s">
        <v>32</v>
      </c>
      <c r="AM200" s="59"/>
      <c r="AN200" s="10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1"/>
    </row>
    <row r="201" spans="1:59" x14ac:dyDescent="0.2">
      <c r="A201" s="33">
        <f t="shared" si="3"/>
        <v>196</v>
      </c>
      <c r="B201" s="34" t="s">
        <v>1667</v>
      </c>
      <c r="C201" s="35" t="s">
        <v>1668</v>
      </c>
      <c r="D201" s="36" t="s">
        <v>1669</v>
      </c>
      <c r="E201" s="36" t="s">
        <v>54</v>
      </c>
      <c r="F201" s="34" t="s">
        <v>1670</v>
      </c>
      <c r="G201" s="37" t="s">
        <v>73</v>
      </c>
      <c r="H201" s="37" t="s">
        <v>73</v>
      </c>
      <c r="I201" s="34" t="s">
        <v>1671</v>
      </c>
      <c r="J201" s="34" t="s">
        <v>1671</v>
      </c>
      <c r="K201" s="39" t="s">
        <v>42</v>
      </c>
      <c r="L201" s="163" t="s">
        <v>1040</v>
      </c>
      <c r="M201" s="130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42" t="s">
        <v>1672</v>
      </c>
      <c r="Y201" s="43" t="s">
        <v>1673</v>
      </c>
      <c r="Z201" s="44" t="s">
        <v>61</v>
      </c>
      <c r="AA201" s="45">
        <v>36803</v>
      </c>
      <c r="AB201" s="164" t="s">
        <v>30</v>
      </c>
      <c r="AC201" s="36" t="s">
        <v>26</v>
      </c>
      <c r="AD201" s="61" t="s">
        <v>49</v>
      </c>
      <c r="AE201" s="48" t="s">
        <v>49</v>
      </c>
      <c r="AF201" s="48" t="s">
        <v>49</v>
      </c>
      <c r="AG201" s="48" t="s">
        <v>49</v>
      </c>
      <c r="AH201" s="48" t="s">
        <v>49</v>
      </c>
      <c r="AI201" s="48" t="s">
        <v>49</v>
      </c>
      <c r="AJ201" s="49" t="s">
        <v>49</v>
      </c>
      <c r="AK201" s="48" t="s">
        <v>49</v>
      </c>
      <c r="AL201" s="65" t="s">
        <v>32</v>
      </c>
      <c r="AM201" s="59"/>
      <c r="AN201" s="10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1"/>
    </row>
    <row r="202" spans="1:59" x14ac:dyDescent="0.2">
      <c r="A202" s="33">
        <f t="shared" ref="A202:A265" si="4">+A201+1</f>
        <v>197</v>
      </c>
      <c r="B202" s="34" t="s">
        <v>1674</v>
      </c>
      <c r="C202" s="35" t="s">
        <v>1675</v>
      </c>
      <c r="D202" s="36" t="s">
        <v>1676</v>
      </c>
      <c r="E202" s="36" t="s">
        <v>36</v>
      </c>
      <c r="F202" s="87" t="s">
        <v>1677</v>
      </c>
      <c r="G202" s="37" t="s">
        <v>73</v>
      </c>
      <c r="H202" s="37" t="s">
        <v>73</v>
      </c>
      <c r="I202" s="34" t="s">
        <v>1678</v>
      </c>
      <c r="J202" s="34" t="s">
        <v>1679</v>
      </c>
      <c r="K202" s="39" t="s">
        <v>42</v>
      </c>
      <c r="L202" s="120">
        <v>34984</v>
      </c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2" t="s">
        <v>1680</v>
      </c>
      <c r="Y202" s="43" t="s">
        <v>1681</v>
      </c>
      <c r="Z202" s="44" t="s">
        <v>61</v>
      </c>
      <c r="AA202" s="45">
        <v>40815</v>
      </c>
      <c r="AB202" s="101" t="s">
        <v>30</v>
      </c>
      <c r="AC202" s="36" t="s">
        <v>26</v>
      </c>
      <c r="AD202" s="47" t="s">
        <v>49</v>
      </c>
      <c r="AE202" s="48" t="s">
        <v>49</v>
      </c>
      <c r="AF202" s="48" t="s">
        <v>49</v>
      </c>
      <c r="AG202" s="48" t="s">
        <v>49</v>
      </c>
      <c r="AH202" s="48" t="s">
        <v>49</v>
      </c>
      <c r="AI202" s="48" t="s">
        <v>49</v>
      </c>
      <c r="AJ202" s="49" t="s">
        <v>49</v>
      </c>
      <c r="AK202" s="48" t="s">
        <v>49</v>
      </c>
      <c r="AL202" s="65" t="s">
        <v>32</v>
      </c>
      <c r="AM202" s="103" t="s">
        <v>41</v>
      </c>
      <c r="AN202" s="10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1"/>
    </row>
    <row r="203" spans="1:59" x14ac:dyDescent="0.2">
      <c r="A203" s="33">
        <f t="shared" si="4"/>
        <v>198</v>
      </c>
      <c r="B203" s="98" t="s">
        <v>1682</v>
      </c>
      <c r="C203" s="35" t="s">
        <v>1683</v>
      </c>
      <c r="D203" s="73" t="s">
        <v>1684</v>
      </c>
      <c r="E203" s="36" t="s">
        <v>36</v>
      </c>
      <c r="F203" s="192" t="s">
        <v>1685</v>
      </c>
      <c r="G203" s="37" t="s">
        <v>73</v>
      </c>
      <c r="H203" s="37" t="s">
        <v>73</v>
      </c>
      <c r="I203" s="193" t="s">
        <v>41</v>
      </c>
      <c r="J203" s="193" t="s">
        <v>1686</v>
      </c>
      <c r="K203" s="39" t="s">
        <v>42</v>
      </c>
      <c r="L203" s="194">
        <v>45728</v>
      </c>
      <c r="M203" s="137"/>
      <c r="N203" s="137"/>
      <c r="O203" s="137"/>
      <c r="P203" s="137"/>
      <c r="Q203" s="137"/>
      <c r="R203" s="137"/>
      <c r="S203" s="137"/>
      <c r="T203" s="137"/>
      <c r="U203" s="137"/>
      <c r="V203" s="137" t="s">
        <v>44</v>
      </c>
      <c r="W203" s="137"/>
      <c r="X203" s="193" t="s">
        <v>1687</v>
      </c>
      <c r="Y203" s="58" t="s">
        <v>1688</v>
      </c>
      <c r="Z203" s="58"/>
      <c r="AA203" s="58"/>
      <c r="AB203" s="101"/>
      <c r="AC203" s="36"/>
      <c r="AD203" s="47" t="s">
        <v>49</v>
      </c>
      <c r="AE203" s="48" t="s">
        <v>41</v>
      </c>
      <c r="AF203" s="48" t="s">
        <v>41</v>
      </c>
      <c r="AG203" s="48" t="s">
        <v>41</v>
      </c>
      <c r="AH203" s="48" t="s">
        <v>41</v>
      </c>
      <c r="AI203" s="48" t="s">
        <v>41</v>
      </c>
      <c r="AJ203" s="49" t="s">
        <v>49</v>
      </c>
      <c r="AK203" s="48" t="s">
        <v>49</v>
      </c>
      <c r="AL203" s="65" t="s">
        <v>32</v>
      </c>
      <c r="AM203" s="134"/>
      <c r="AN203" s="195"/>
      <c r="AO203" s="196"/>
      <c r="AP203" s="196"/>
      <c r="AQ203" s="196"/>
      <c r="AR203" s="196"/>
      <c r="AS203" s="196"/>
      <c r="AT203" s="196"/>
      <c r="AU203" s="196"/>
      <c r="AV203" s="196"/>
      <c r="AW203" s="196"/>
      <c r="AX203" s="196"/>
      <c r="AY203" s="197"/>
      <c r="AZ203" s="198"/>
      <c r="BA203" s="198"/>
      <c r="BB203" s="198"/>
      <c r="BC203" s="198"/>
      <c r="BD203" s="198"/>
      <c r="BE203" s="198"/>
      <c r="BF203" s="198"/>
      <c r="BG203" s="198"/>
    </row>
    <row r="204" spans="1:59" x14ac:dyDescent="0.2">
      <c r="A204" s="33">
        <f t="shared" si="4"/>
        <v>199</v>
      </c>
      <c r="B204" s="34" t="s">
        <v>1689</v>
      </c>
      <c r="C204" s="35" t="s">
        <v>1690</v>
      </c>
      <c r="D204" s="36" t="s">
        <v>1691</v>
      </c>
      <c r="E204" s="36" t="s">
        <v>54</v>
      </c>
      <c r="F204" s="34" t="s">
        <v>1692</v>
      </c>
      <c r="G204" s="37" t="s">
        <v>73</v>
      </c>
      <c r="H204" s="37" t="s">
        <v>73</v>
      </c>
      <c r="I204" s="34" t="s">
        <v>1671</v>
      </c>
      <c r="J204" s="34" t="s">
        <v>1671</v>
      </c>
      <c r="K204" s="39" t="s">
        <v>42</v>
      </c>
      <c r="L204" s="120">
        <v>30353</v>
      </c>
      <c r="M204" s="115"/>
      <c r="N204" s="115"/>
      <c r="O204" s="115"/>
      <c r="P204" s="115"/>
      <c r="Q204" s="115"/>
      <c r="R204" s="115"/>
      <c r="S204" s="115"/>
      <c r="T204" s="56"/>
      <c r="U204" s="56"/>
      <c r="V204" s="56"/>
      <c r="W204" s="56"/>
      <c r="X204" s="42" t="s">
        <v>1693</v>
      </c>
      <c r="Y204" s="58" t="s">
        <v>1694</v>
      </c>
      <c r="Z204" s="44" t="s">
        <v>1695</v>
      </c>
      <c r="AA204" s="45">
        <v>42325</v>
      </c>
      <c r="AB204" s="101" t="s">
        <v>30</v>
      </c>
      <c r="AC204" s="36" t="s">
        <v>26</v>
      </c>
      <c r="AD204" s="64" t="s">
        <v>120</v>
      </c>
      <c r="AE204" s="48" t="s">
        <v>120</v>
      </c>
      <c r="AF204" s="48" t="s">
        <v>120</v>
      </c>
      <c r="AG204" s="48" t="s">
        <v>120</v>
      </c>
      <c r="AH204" s="48" t="s">
        <v>120</v>
      </c>
      <c r="AI204" s="48" t="s">
        <v>120</v>
      </c>
      <c r="AJ204" s="49" t="s">
        <v>120</v>
      </c>
      <c r="AK204" s="48" t="s">
        <v>120</v>
      </c>
      <c r="AL204" s="65" t="s">
        <v>32</v>
      </c>
      <c r="AM204" s="134"/>
      <c r="AN204" s="10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1"/>
    </row>
    <row r="205" spans="1:59" x14ac:dyDescent="0.2">
      <c r="A205" s="33">
        <f t="shared" si="4"/>
        <v>200</v>
      </c>
      <c r="B205" s="34" t="s">
        <v>1696</v>
      </c>
      <c r="C205" s="35" t="s">
        <v>1697</v>
      </c>
      <c r="D205" s="36" t="s">
        <v>1698</v>
      </c>
      <c r="E205" s="36" t="s">
        <v>54</v>
      </c>
      <c r="F205" s="34" t="s">
        <v>1699</v>
      </c>
      <c r="G205" s="37" t="s">
        <v>73</v>
      </c>
      <c r="H205" s="37" t="s">
        <v>73</v>
      </c>
      <c r="I205" s="34" t="s">
        <v>1700</v>
      </c>
      <c r="J205" s="34" t="s">
        <v>1700</v>
      </c>
      <c r="K205" s="39" t="s">
        <v>42</v>
      </c>
      <c r="L205" s="194">
        <v>30353</v>
      </c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42" t="s">
        <v>1701</v>
      </c>
      <c r="Y205" s="58" t="s">
        <v>1702</v>
      </c>
      <c r="Z205" s="44" t="s">
        <v>61</v>
      </c>
      <c r="AA205" s="45">
        <v>34597</v>
      </c>
      <c r="AB205" s="191" t="s">
        <v>30</v>
      </c>
      <c r="AC205" s="36"/>
      <c r="AD205" s="47" t="s">
        <v>49</v>
      </c>
      <c r="AE205" s="48" t="s">
        <v>41</v>
      </c>
      <c r="AF205" s="48" t="s">
        <v>41</v>
      </c>
      <c r="AG205" s="48" t="s">
        <v>41</v>
      </c>
      <c r="AH205" s="48" t="s">
        <v>41</v>
      </c>
      <c r="AI205" s="48" t="s">
        <v>41</v>
      </c>
      <c r="AJ205" s="49" t="s">
        <v>41</v>
      </c>
      <c r="AK205" s="48" t="s">
        <v>41</v>
      </c>
      <c r="AL205" s="65" t="s">
        <v>4591</v>
      </c>
      <c r="AM205" s="59" t="s">
        <v>460</v>
      </c>
      <c r="AN205" s="10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1"/>
    </row>
    <row r="206" spans="1:59" x14ac:dyDescent="0.2">
      <c r="A206" s="33">
        <f t="shared" si="4"/>
        <v>201</v>
      </c>
      <c r="B206" s="34" t="s">
        <v>1703</v>
      </c>
      <c r="C206" s="35" t="s">
        <v>1704</v>
      </c>
      <c r="D206" s="36" t="s">
        <v>1705</v>
      </c>
      <c r="E206" s="36" t="s">
        <v>36</v>
      </c>
      <c r="F206" s="34" t="s">
        <v>1706</v>
      </c>
      <c r="G206" s="37" t="s">
        <v>214</v>
      </c>
      <c r="H206" s="37" t="s">
        <v>205</v>
      </c>
      <c r="I206" s="38" t="s">
        <v>1707</v>
      </c>
      <c r="J206" s="34"/>
      <c r="K206" s="39" t="s">
        <v>42</v>
      </c>
      <c r="L206" s="166" t="s">
        <v>1708</v>
      </c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42" t="s">
        <v>1709</v>
      </c>
      <c r="Y206" s="52" t="s">
        <v>1710</v>
      </c>
      <c r="Z206" s="44" t="s">
        <v>1711</v>
      </c>
      <c r="AA206" s="45">
        <v>44041</v>
      </c>
      <c r="AB206" s="101" t="s">
        <v>30</v>
      </c>
      <c r="AC206" s="36" t="s">
        <v>26</v>
      </c>
      <c r="AD206" s="47" t="s">
        <v>49</v>
      </c>
      <c r="AE206" s="48" t="s">
        <v>49</v>
      </c>
      <c r="AF206" s="48" t="s">
        <v>49</v>
      </c>
      <c r="AG206" s="48" t="s">
        <v>49</v>
      </c>
      <c r="AH206" s="48" t="s">
        <v>49</v>
      </c>
      <c r="AI206" s="48" t="s">
        <v>49</v>
      </c>
      <c r="AJ206" s="49" t="s">
        <v>49</v>
      </c>
      <c r="AK206" s="48" t="s">
        <v>49</v>
      </c>
      <c r="AL206" s="62" t="s">
        <v>32</v>
      </c>
      <c r="AM206" s="59"/>
      <c r="AN206" s="10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1"/>
    </row>
    <row r="207" spans="1:59" x14ac:dyDescent="0.2">
      <c r="A207" s="33">
        <f t="shared" si="4"/>
        <v>202</v>
      </c>
      <c r="B207" s="34" t="s">
        <v>1712</v>
      </c>
      <c r="C207" s="35" t="s">
        <v>1713</v>
      </c>
      <c r="D207" s="36" t="s">
        <v>1714</v>
      </c>
      <c r="E207" s="36" t="s">
        <v>36</v>
      </c>
      <c r="F207" s="34" t="s">
        <v>1715</v>
      </c>
      <c r="G207" s="37" t="s">
        <v>39</v>
      </c>
      <c r="H207" s="37" t="s">
        <v>39</v>
      </c>
      <c r="I207" s="34" t="s">
        <v>1716</v>
      </c>
      <c r="J207" s="34" t="s">
        <v>41</v>
      </c>
      <c r="K207" s="39" t="s">
        <v>42</v>
      </c>
      <c r="L207" s="120">
        <v>42010</v>
      </c>
      <c r="M207" s="56" t="s">
        <v>179</v>
      </c>
      <c r="N207" s="56" t="s">
        <v>179</v>
      </c>
      <c r="O207" s="56"/>
      <c r="P207" s="56">
        <v>2</v>
      </c>
      <c r="Q207" s="56"/>
      <c r="R207" s="56"/>
      <c r="S207" s="56"/>
      <c r="T207" s="56" t="s">
        <v>732</v>
      </c>
      <c r="U207" s="56"/>
      <c r="V207" s="56"/>
      <c r="W207" s="56"/>
      <c r="X207" s="57" t="s">
        <v>1717</v>
      </c>
      <c r="Y207" s="100" t="s">
        <v>1718</v>
      </c>
      <c r="Z207" s="44" t="s">
        <v>1719</v>
      </c>
      <c r="AA207" s="45">
        <v>42325</v>
      </c>
      <c r="AB207" s="101" t="s">
        <v>30</v>
      </c>
      <c r="AC207" s="36" t="s">
        <v>26</v>
      </c>
      <c r="AD207" s="47" t="s">
        <v>49</v>
      </c>
      <c r="AE207" s="48" t="s">
        <v>49</v>
      </c>
      <c r="AF207" s="48" t="s">
        <v>49</v>
      </c>
      <c r="AG207" s="48" t="s">
        <v>49</v>
      </c>
      <c r="AH207" s="48" t="s">
        <v>49</v>
      </c>
      <c r="AI207" s="48" t="s">
        <v>49</v>
      </c>
      <c r="AJ207" s="49" t="s">
        <v>49</v>
      </c>
      <c r="AK207" s="48" t="s">
        <v>49</v>
      </c>
      <c r="AL207" s="62" t="s">
        <v>32</v>
      </c>
      <c r="AM207" s="59"/>
      <c r="AN207" s="10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1"/>
    </row>
    <row r="208" spans="1:59" x14ac:dyDescent="0.2">
      <c r="A208" s="33">
        <f t="shared" si="4"/>
        <v>203</v>
      </c>
      <c r="B208" s="34" t="s">
        <v>1720</v>
      </c>
      <c r="C208" s="35" t="s">
        <v>1721</v>
      </c>
      <c r="D208" s="36" t="s">
        <v>1722</v>
      </c>
      <c r="E208" s="36" t="s">
        <v>36</v>
      </c>
      <c r="F208" s="34" t="s">
        <v>1723</v>
      </c>
      <c r="G208" s="37" t="s">
        <v>398</v>
      </c>
      <c r="H208" s="37" t="s">
        <v>205</v>
      </c>
      <c r="I208" s="38" t="s">
        <v>1724</v>
      </c>
      <c r="J208" s="34" t="s">
        <v>41</v>
      </c>
      <c r="K208" s="39" t="s">
        <v>42</v>
      </c>
      <c r="L208" s="120" t="s">
        <v>1725</v>
      </c>
      <c r="M208" s="56" t="s">
        <v>179</v>
      </c>
      <c r="N208" s="56" t="s">
        <v>179</v>
      </c>
      <c r="O208" s="56"/>
      <c r="P208" s="56">
        <v>2</v>
      </c>
      <c r="Q208" s="56" t="s">
        <v>179</v>
      </c>
      <c r="R208" s="56"/>
      <c r="S208" s="56"/>
      <c r="T208" s="56" t="s">
        <v>44</v>
      </c>
      <c r="U208" s="56"/>
      <c r="V208" s="56"/>
      <c r="W208" s="56"/>
      <c r="X208" s="54" t="s">
        <v>1726</v>
      </c>
      <c r="Y208" s="100" t="s">
        <v>1727</v>
      </c>
      <c r="Z208" s="44"/>
      <c r="AA208" s="45" t="s">
        <v>47</v>
      </c>
      <c r="AB208" s="101"/>
      <c r="AC208" s="36"/>
      <c r="AD208" s="47" t="s">
        <v>49</v>
      </c>
      <c r="AE208" s="48" t="s">
        <v>41</v>
      </c>
      <c r="AF208" s="48" t="s">
        <v>41</v>
      </c>
      <c r="AG208" s="48" t="s">
        <v>49</v>
      </c>
      <c r="AH208" s="48" t="s">
        <v>49</v>
      </c>
      <c r="AI208" s="48" t="s">
        <v>49</v>
      </c>
      <c r="AJ208" s="49" t="s">
        <v>49</v>
      </c>
      <c r="AK208" s="48" t="s">
        <v>49</v>
      </c>
      <c r="AL208" s="62" t="s">
        <v>32</v>
      </c>
      <c r="AM208" s="59"/>
      <c r="AN208" s="10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1"/>
    </row>
    <row r="209" spans="1:51" ht="15" customHeight="1" x14ac:dyDescent="0.2">
      <c r="A209" s="33">
        <f t="shared" si="4"/>
        <v>204</v>
      </c>
      <c r="B209" s="38" t="s">
        <v>1728</v>
      </c>
      <c r="C209" s="35" t="s">
        <v>1729</v>
      </c>
      <c r="D209" s="36" t="s">
        <v>1730</v>
      </c>
      <c r="E209" s="36" t="s">
        <v>54</v>
      </c>
      <c r="F209" s="34" t="s">
        <v>1731</v>
      </c>
      <c r="G209" s="37" t="s">
        <v>205</v>
      </c>
      <c r="H209" s="37" t="s">
        <v>205</v>
      </c>
      <c r="I209" s="199" t="s">
        <v>1732</v>
      </c>
      <c r="J209" s="34" t="s">
        <v>41</v>
      </c>
      <c r="K209" s="39" t="s">
        <v>42</v>
      </c>
      <c r="L209" s="120">
        <v>43292</v>
      </c>
      <c r="M209" s="137"/>
      <c r="N209" s="137"/>
      <c r="O209" s="137"/>
      <c r="P209" s="137"/>
      <c r="Q209" s="137"/>
      <c r="R209" s="137"/>
      <c r="S209" s="137"/>
      <c r="T209" s="137"/>
      <c r="U209" s="137"/>
      <c r="V209" s="137" t="s">
        <v>732</v>
      </c>
      <c r="W209" s="137"/>
      <c r="X209" s="42" t="s">
        <v>1733</v>
      </c>
      <c r="Y209" s="100" t="s">
        <v>1734</v>
      </c>
      <c r="Z209" s="44"/>
      <c r="AA209" s="45">
        <v>44041</v>
      </c>
      <c r="AB209" s="101" t="s">
        <v>30</v>
      </c>
      <c r="AC209" s="36" t="s">
        <v>26</v>
      </c>
      <c r="AD209" s="47" t="s">
        <v>49</v>
      </c>
      <c r="AE209" s="48" t="s">
        <v>49</v>
      </c>
      <c r="AF209" s="48" t="s">
        <v>49</v>
      </c>
      <c r="AG209" s="48" t="s">
        <v>49</v>
      </c>
      <c r="AH209" s="48" t="s">
        <v>49</v>
      </c>
      <c r="AI209" s="48" t="s">
        <v>49</v>
      </c>
      <c r="AJ209" s="49" t="s">
        <v>49</v>
      </c>
      <c r="AK209" s="48" t="s">
        <v>49</v>
      </c>
      <c r="AL209" s="62" t="s">
        <v>32</v>
      </c>
      <c r="AM209" s="59"/>
      <c r="AN209" s="10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1"/>
    </row>
    <row r="210" spans="1:51" ht="15" customHeight="1" x14ac:dyDescent="0.2">
      <c r="A210" s="33">
        <f t="shared" si="4"/>
        <v>205</v>
      </c>
      <c r="B210" s="38" t="s">
        <v>1735</v>
      </c>
      <c r="C210" s="35" t="s">
        <v>1736</v>
      </c>
      <c r="D210" s="36" t="s">
        <v>1737</v>
      </c>
      <c r="E210" s="36" t="s">
        <v>54</v>
      </c>
      <c r="F210" s="34" t="s">
        <v>1738</v>
      </c>
      <c r="G210" s="37" t="s">
        <v>73</v>
      </c>
      <c r="H210" s="37" t="s">
        <v>73</v>
      </c>
      <c r="I210" s="199" t="s">
        <v>1739</v>
      </c>
      <c r="J210" s="34" t="s">
        <v>41</v>
      </c>
      <c r="K210" s="39" t="s">
        <v>42</v>
      </c>
      <c r="L210" s="120">
        <v>45610</v>
      </c>
      <c r="M210" s="115"/>
      <c r="N210" s="115"/>
      <c r="O210" s="115"/>
      <c r="P210" s="115"/>
      <c r="Q210" s="115"/>
      <c r="R210" s="115"/>
      <c r="S210" s="115"/>
      <c r="T210" s="115"/>
      <c r="U210" s="115" t="s">
        <v>44</v>
      </c>
      <c r="V210" s="115"/>
      <c r="W210" s="115"/>
      <c r="X210" s="199" t="s">
        <v>1740</v>
      </c>
      <c r="Y210" s="100" t="s">
        <v>1741</v>
      </c>
      <c r="Z210" s="44"/>
      <c r="AA210" s="45"/>
      <c r="AB210" s="101"/>
      <c r="AC210" s="36"/>
      <c r="AD210" s="47" t="s">
        <v>49</v>
      </c>
      <c r="AE210" s="48" t="s">
        <v>41</v>
      </c>
      <c r="AF210" s="48" t="s">
        <v>41</v>
      </c>
      <c r="AG210" s="48" t="s">
        <v>41</v>
      </c>
      <c r="AH210" s="48" t="s">
        <v>41</v>
      </c>
      <c r="AI210" s="48" t="s">
        <v>49</v>
      </c>
      <c r="AJ210" s="49" t="s">
        <v>49</v>
      </c>
      <c r="AK210" s="48" t="s">
        <v>41</v>
      </c>
      <c r="AL210" s="62" t="s">
        <v>148</v>
      </c>
      <c r="AM210" s="59"/>
      <c r="AN210" s="10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1"/>
    </row>
    <row r="211" spans="1:51" x14ac:dyDescent="0.2">
      <c r="A211" s="33">
        <f t="shared" si="4"/>
        <v>206</v>
      </c>
      <c r="B211" s="34" t="s">
        <v>1742</v>
      </c>
      <c r="C211" s="35" t="s">
        <v>1743</v>
      </c>
      <c r="D211" s="36" t="s">
        <v>1744</v>
      </c>
      <c r="E211" s="36" t="s">
        <v>36</v>
      </c>
      <c r="F211" s="34" t="s">
        <v>1745</v>
      </c>
      <c r="G211" s="37" t="s">
        <v>323</v>
      </c>
      <c r="H211" s="37" t="s">
        <v>39</v>
      </c>
      <c r="I211" s="38" t="s">
        <v>1746</v>
      </c>
      <c r="J211" s="34"/>
      <c r="K211" s="39" t="s">
        <v>42</v>
      </c>
      <c r="L211" s="194">
        <v>42463</v>
      </c>
      <c r="M211" s="115"/>
      <c r="N211" s="114"/>
      <c r="O211" s="115"/>
      <c r="P211" s="114"/>
      <c r="Q211" s="115"/>
      <c r="R211" s="115"/>
      <c r="S211" s="115"/>
      <c r="T211" s="56"/>
      <c r="U211" s="56"/>
      <c r="V211" s="56"/>
      <c r="W211" s="56"/>
      <c r="X211" s="42" t="s">
        <v>1747</v>
      </c>
      <c r="Y211" s="100" t="s">
        <v>1748</v>
      </c>
      <c r="Z211" s="44" t="s">
        <v>61</v>
      </c>
      <c r="AA211" s="45">
        <v>42935</v>
      </c>
      <c r="AB211" s="191" t="s">
        <v>30</v>
      </c>
      <c r="AC211" s="36" t="s">
        <v>26</v>
      </c>
      <c r="AD211" s="47" t="s">
        <v>49</v>
      </c>
      <c r="AE211" s="48" t="s">
        <v>49</v>
      </c>
      <c r="AF211" s="48" t="s">
        <v>49</v>
      </c>
      <c r="AG211" s="48" t="s">
        <v>49</v>
      </c>
      <c r="AH211" s="48" t="s">
        <v>49</v>
      </c>
      <c r="AI211" s="48" t="s">
        <v>49</v>
      </c>
      <c r="AJ211" s="49" t="s">
        <v>49</v>
      </c>
      <c r="AK211" s="48" t="s">
        <v>49</v>
      </c>
      <c r="AL211" s="62" t="s">
        <v>32</v>
      </c>
      <c r="AM211" s="59"/>
      <c r="AN211" s="10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1"/>
    </row>
    <row r="212" spans="1:51" x14ac:dyDescent="0.2">
      <c r="A212" s="33">
        <f t="shared" si="4"/>
        <v>207</v>
      </c>
      <c r="B212" s="34" t="s">
        <v>1749</v>
      </c>
      <c r="C212" s="35" t="s">
        <v>1750</v>
      </c>
      <c r="D212" s="36" t="s">
        <v>1751</v>
      </c>
      <c r="E212" s="36" t="s">
        <v>54</v>
      </c>
      <c r="F212" s="34" t="s">
        <v>1752</v>
      </c>
      <c r="G212" s="37" t="s">
        <v>73</v>
      </c>
      <c r="H212" s="37" t="s">
        <v>73</v>
      </c>
      <c r="I212" s="34" t="s">
        <v>1753</v>
      </c>
      <c r="J212" s="34" t="s">
        <v>1753</v>
      </c>
      <c r="K212" s="39" t="s">
        <v>42</v>
      </c>
      <c r="L212" s="158" t="s">
        <v>1311</v>
      </c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2" t="s">
        <v>1754</v>
      </c>
      <c r="Y212" s="58" t="s">
        <v>1755</v>
      </c>
      <c r="Z212" s="44" t="s">
        <v>61</v>
      </c>
      <c r="AA212" s="45">
        <v>37208</v>
      </c>
      <c r="AB212" s="101" t="s">
        <v>30</v>
      </c>
      <c r="AC212" s="36" t="s">
        <v>26</v>
      </c>
      <c r="AD212" s="47" t="s">
        <v>49</v>
      </c>
      <c r="AE212" s="48" t="s">
        <v>49</v>
      </c>
      <c r="AF212" s="48" t="s">
        <v>49</v>
      </c>
      <c r="AG212" s="48" t="s">
        <v>49</v>
      </c>
      <c r="AH212" s="48" t="s">
        <v>49</v>
      </c>
      <c r="AI212" s="48" t="s">
        <v>49</v>
      </c>
      <c r="AJ212" s="49" t="s">
        <v>49</v>
      </c>
      <c r="AK212" s="48" t="s">
        <v>41</v>
      </c>
      <c r="AL212" s="62" t="s">
        <v>148</v>
      </c>
      <c r="AM212" s="103"/>
      <c r="AN212" s="10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1"/>
    </row>
    <row r="213" spans="1:51" x14ac:dyDescent="0.2">
      <c r="A213" s="33">
        <f t="shared" si="4"/>
        <v>208</v>
      </c>
      <c r="B213" s="34" t="s">
        <v>1756</v>
      </c>
      <c r="C213" s="35" t="s">
        <v>1757</v>
      </c>
      <c r="D213" s="36" t="s">
        <v>1758</v>
      </c>
      <c r="E213" s="36" t="s">
        <v>54</v>
      </c>
      <c r="F213" s="34" t="s">
        <v>1759</v>
      </c>
      <c r="G213" s="37" t="s">
        <v>73</v>
      </c>
      <c r="H213" s="37" t="s">
        <v>73</v>
      </c>
      <c r="I213" s="34">
        <v>85741499797</v>
      </c>
      <c r="J213" s="34" t="s">
        <v>41</v>
      </c>
      <c r="K213" s="39" t="s">
        <v>42</v>
      </c>
      <c r="L213" s="158" t="s">
        <v>1760</v>
      </c>
      <c r="M213" s="41"/>
      <c r="N213" s="41"/>
      <c r="O213" s="41"/>
      <c r="P213" s="41"/>
      <c r="Q213" s="41"/>
      <c r="R213" s="41"/>
      <c r="S213" s="41"/>
      <c r="T213" s="41" t="s">
        <v>44</v>
      </c>
      <c r="U213" s="41"/>
      <c r="V213" s="41"/>
      <c r="W213" s="41"/>
      <c r="X213" s="42" t="s">
        <v>1761</v>
      </c>
      <c r="Y213" s="58" t="s">
        <v>1762</v>
      </c>
      <c r="Z213" s="44"/>
      <c r="AA213" s="45">
        <v>45642</v>
      </c>
      <c r="AB213" s="101"/>
      <c r="AC213" s="36"/>
      <c r="AD213" s="47" t="s">
        <v>49</v>
      </c>
      <c r="AE213" s="48" t="s">
        <v>41</v>
      </c>
      <c r="AF213" s="48" t="s">
        <v>41</v>
      </c>
      <c r="AG213" s="48" t="s">
        <v>1763</v>
      </c>
      <c r="AH213" s="48" t="s">
        <v>49</v>
      </c>
      <c r="AI213" s="48" t="s">
        <v>49</v>
      </c>
      <c r="AJ213" s="49" t="s">
        <v>49</v>
      </c>
      <c r="AK213" s="48" t="s">
        <v>49</v>
      </c>
      <c r="AL213" s="62" t="s">
        <v>32</v>
      </c>
      <c r="AM213" s="59"/>
      <c r="AN213" s="10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1"/>
    </row>
    <row r="214" spans="1:51" x14ac:dyDescent="0.2">
      <c r="A214" s="33">
        <f t="shared" si="4"/>
        <v>209</v>
      </c>
      <c r="B214" s="34" t="s">
        <v>1764</v>
      </c>
      <c r="C214" s="35" t="s">
        <v>1765</v>
      </c>
      <c r="D214" s="36" t="s">
        <v>1766</v>
      </c>
      <c r="E214" s="36" t="s">
        <v>54</v>
      </c>
      <c r="F214" s="34" t="s">
        <v>1767</v>
      </c>
      <c r="G214" s="37" t="s">
        <v>73</v>
      </c>
      <c r="H214" s="37" t="s">
        <v>73</v>
      </c>
      <c r="I214" s="34" t="s">
        <v>1753</v>
      </c>
      <c r="J214" s="34" t="s">
        <v>1753</v>
      </c>
      <c r="K214" s="39" t="s">
        <v>42</v>
      </c>
      <c r="L214" s="120">
        <v>30353</v>
      </c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2" t="s">
        <v>1768</v>
      </c>
      <c r="Y214" s="58" t="s">
        <v>1769</v>
      </c>
      <c r="Z214" s="44" t="s">
        <v>1770</v>
      </c>
      <c r="AA214" s="45">
        <v>44041</v>
      </c>
      <c r="AB214" s="101" t="s">
        <v>30</v>
      </c>
      <c r="AC214" s="36" t="s">
        <v>26</v>
      </c>
      <c r="AD214" s="64" t="s">
        <v>120</v>
      </c>
      <c r="AE214" s="48" t="s">
        <v>120</v>
      </c>
      <c r="AF214" s="48" t="s">
        <v>120</v>
      </c>
      <c r="AG214" s="48" t="s">
        <v>120</v>
      </c>
      <c r="AH214" s="48" t="s">
        <v>120</v>
      </c>
      <c r="AI214" s="48" t="s">
        <v>120</v>
      </c>
      <c r="AJ214" s="49" t="s">
        <v>41</v>
      </c>
      <c r="AK214" s="48" t="s">
        <v>41</v>
      </c>
      <c r="AL214" s="62" t="s">
        <v>276</v>
      </c>
      <c r="AM214" s="59"/>
      <c r="AN214" s="10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1"/>
    </row>
    <row r="215" spans="1:51" x14ac:dyDescent="0.2">
      <c r="A215" s="33">
        <f t="shared" si="4"/>
        <v>210</v>
      </c>
      <c r="B215" s="34" t="s">
        <v>1771</v>
      </c>
      <c r="C215" s="35" t="s">
        <v>1772</v>
      </c>
      <c r="D215" s="36" t="s">
        <v>1773</v>
      </c>
      <c r="E215" s="36" t="s">
        <v>54</v>
      </c>
      <c r="F215" s="34" t="s">
        <v>1774</v>
      </c>
      <c r="G215" s="37" t="s">
        <v>360</v>
      </c>
      <c r="H215" s="37" t="s">
        <v>350</v>
      </c>
      <c r="I215" s="34" t="s">
        <v>1775</v>
      </c>
      <c r="J215" s="34" t="s">
        <v>41</v>
      </c>
      <c r="K215" s="39" t="s">
        <v>42</v>
      </c>
      <c r="L215" s="158" t="s">
        <v>1776</v>
      </c>
      <c r="M215" s="41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42" t="s">
        <v>1777</v>
      </c>
      <c r="Y215" s="52" t="s">
        <v>1778</v>
      </c>
      <c r="Z215" s="44" t="s">
        <v>61</v>
      </c>
      <c r="AA215" s="45">
        <v>40815</v>
      </c>
      <c r="AB215" s="101" t="s">
        <v>30</v>
      </c>
      <c r="AC215" s="36" t="s">
        <v>26</v>
      </c>
      <c r="AD215" s="47" t="s">
        <v>49</v>
      </c>
      <c r="AE215" s="48" t="s">
        <v>49</v>
      </c>
      <c r="AF215" s="48" t="s">
        <v>49</v>
      </c>
      <c r="AG215" s="48" t="s">
        <v>49</v>
      </c>
      <c r="AH215" s="48" t="s">
        <v>49</v>
      </c>
      <c r="AI215" s="48" t="s">
        <v>49</v>
      </c>
      <c r="AJ215" s="49" t="s">
        <v>49</v>
      </c>
      <c r="AK215" s="48" t="s">
        <v>49</v>
      </c>
      <c r="AL215" s="65" t="s">
        <v>32</v>
      </c>
      <c r="AM215" s="59"/>
      <c r="AN215" s="10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1"/>
    </row>
    <row r="216" spans="1:51" x14ac:dyDescent="0.2">
      <c r="A216" s="33">
        <f t="shared" si="4"/>
        <v>211</v>
      </c>
      <c r="B216" s="34" t="s">
        <v>1779</v>
      </c>
      <c r="C216" s="35" t="s">
        <v>1780</v>
      </c>
      <c r="D216" s="36" t="s">
        <v>1781</v>
      </c>
      <c r="E216" s="36" t="s">
        <v>36</v>
      </c>
      <c r="F216" s="34" t="s">
        <v>1782</v>
      </c>
      <c r="G216" s="37" t="s">
        <v>38</v>
      </c>
      <c r="H216" s="37" t="s">
        <v>39</v>
      </c>
      <c r="I216" s="38" t="s">
        <v>1783</v>
      </c>
      <c r="J216" s="34" t="s">
        <v>41</v>
      </c>
      <c r="K216" s="39" t="s">
        <v>42</v>
      </c>
      <c r="L216" s="99" t="s">
        <v>1650</v>
      </c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42" t="s">
        <v>1784</v>
      </c>
      <c r="Y216" s="52" t="s">
        <v>1785</v>
      </c>
      <c r="Z216" s="44" t="s">
        <v>1786</v>
      </c>
      <c r="AA216" s="45">
        <v>43200</v>
      </c>
      <c r="AB216" s="101" t="s">
        <v>30</v>
      </c>
      <c r="AC216" s="36" t="s">
        <v>26</v>
      </c>
      <c r="AD216" s="47" t="s">
        <v>49</v>
      </c>
      <c r="AE216" s="48" t="s">
        <v>49</v>
      </c>
      <c r="AF216" s="48" t="s">
        <v>49</v>
      </c>
      <c r="AG216" s="48" t="s">
        <v>49</v>
      </c>
      <c r="AH216" s="48" t="s">
        <v>49</v>
      </c>
      <c r="AI216" s="48" t="s">
        <v>49</v>
      </c>
      <c r="AJ216" s="49" t="s">
        <v>49</v>
      </c>
      <c r="AK216" s="48" t="s">
        <v>49</v>
      </c>
      <c r="AL216" s="65" t="s">
        <v>32</v>
      </c>
      <c r="AM216" s="59"/>
      <c r="AN216" s="10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1"/>
    </row>
    <row r="217" spans="1:51" x14ac:dyDescent="0.2">
      <c r="A217" s="33">
        <f t="shared" si="4"/>
        <v>212</v>
      </c>
      <c r="B217" s="34" t="s">
        <v>1787</v>
      </c>
      <c r="C217" s="35" t="s">
        <v>1788</v>
      </c>
      <c r="D217" s="36" t="s">
        <v>1789</v>
      </c>
      <c r="E217" s="36" t="s">
        <v>54</v>
      </c>
      <c r="F217" s="34" t="s">
        <v>1790</v>
      </c>
      <c r="G217" s="37" t="s">
        <v>73</v>
      </c>
      <c r="H217" s="37" t="s">
        <v>73</v>
      </c>
      <c r="I217" s="34" t="s">
        <v>1791</v>
      </c>
      <c r="J217" s="34" t="s">
        <v>41</v>
      </c>
      <c r="K217" s="39" t="s">
        <v>42</v>
      </c>
      <c r="L217" s="99" t="s">
        <v>1650</v>
      </c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42" t="s">
        <v>1792</v>
      </c>
      <c r="Y217" s="100" t="s">
        <v>1793</v>
      </c>
      <c r="Z217" s="44" t="s">
        <v>61</v>
      </c>
      <c r="AA217" s="45">
        <v>37208</v>
      </c>
      <c r="AB217" s="101" t="s">
        <v>30</v>
      </c>
      <c r="AC217" s="36" t="s">
        <v>26</v>
      </c>
      <c r="AD217" s="47" t="s">
        <v>49</v>
      </c>
      <c r="AE217" s="48" t="s">
        <v>49</v>
      </c>
      <c r="AF217" s="48" t="s">
        <v>41</v>
      </c>
      <c r="AG217" s="48" t="s">
        <v>41</v>
      </c>
      <c r="AH217" s="48" t="s">
        <v>41</v>
      </c>
      <c r="AI217" s="48" t="s">
        <v>41</v>
      </c>
      <c r="AJ217" s="49" t="s">
        <v>41</v>
      </c>
      <c r="AK217" s="48" t="s">
        <v>41</v>
      </c>
      <c r="AL217" s="62" t="s">
        <v>4587</v>
      </c>
      <c r="AM217" s="59"/>
      <c r="AN217" s="10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1"/>
    </row>
    <row r="218" spans="1:51" x14ac:dyDescent="0.2">
      <c r="A218" s="33">
        <f t="shared" si="4"/>
        <v>213</v>
      </c>
      <c r="B218" s="34" t="s">
        <v>1794</v>
      </c>
      <c r="C218" s="35" t="s">
        <v>1795</v>
      </c>
      <c r="D218" s="36" t="s">
        <v>1796</v>
      </c>
      <c r="E218" s="36" t="s">
        <v>54</v>
      </c>
      <c r="F218" s="87" t="s">
        <v>1797</v>
      </c>
      <c r="G218" s="37" t="s">
        <v>39</v>
      </c>
      <c r="H218" s="37" t="s">
        <v>39</v>
      </c>
      <c r="I218" s="38" t="s">
        <v>1798</v>
      </c>
      <c r="J218" s="34" t="s">
        <v>41</v>
      </c>
      <c r="K218" s="39" t="s">
        <v>42</v>
      </c>
      <c r="L218" s="158" t="s">
        <v>1799</v>
      </c>
      <c r="M218" s="56"/>
      <c r="N218" s="56"/>
      <c r="O218" s="56"/>
      <c r="P218" s="56"/>
      <c r="Q218" s="56"/>
      <c r="R218" s="56"/>
      <c r="S218" s="56"/>
      <c r="T218" s="56"/>
      <c r="U218" s="56"/>
      <c r="V218" s="56" t="s">
        <v>732</v>
      </c>
      <c r="W218" s="56"/>
      <c r="X218" s="42" t="s">
        <v>1800</v>
      </c>
      <c r="Y218" s="69" t="s">
        <v>1801</v>
      </c>
      <c r="Z218" s="44"/>
      <c r="AA218" s="45"/>
      <c r="AB218" s="101"/>
      <c r="AC218" s="36" t="s">
        <v>26</v>
      </c>
      <c r="AD218" s="47" t="s">
        <v>49</v>
      </c>
      <c r="AE218" s="48" t="s">
        <v>49</v>
      </c>
      <c r="AF218" s="48" t="s">
        <v>49</v>
      </c>
      <c r="AG218" s="48" t="s">
        <v>49</v>
      </c>
      <c r="AH218" s="48" t="s">
        <v>49</v>
      </c>
      <c r="AI218" s="48" t="s">
        <v>49</v>
      </c>
      <c r="AJ218" s="49" t="s">
        <v>49</v>
      </c>
      <c r="AK218" s="48" t="s">
        <v>49</v>
      </c>
      <c r="AL218" s="65" t="s">
        <v>32</v>
      </c>
      <c r="AM218" s="59"/>
      <c r="AN218" s="10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1"/>
    </row>
    <row r="219" spans="1:51" x14ac:dyDescent="0.2">
      <c r="A219" s="33">
        <f t="shared" si="4"/>
        <v>214</v>
      </c>
      <c r="B219" s="34" t="s">
        <v>1802</v>
      </c>
      <c r="C219" s="35" t="s">
        <v>1803</v>
      </c>
      <c r="D219" s="36" t="s">
        <v>1804</v>
      </c>
      <c r="E219" s="36" t="s">
        <v>54</v>
      </c>
      <c r="F219" s="200" t="s">
        <v>1805</v>
      </c>
      <c r="G219" s="37" t="s">
        <v>528</v>
      </c>
      <c r="H219" s="37" t="s">
        <v>57</v>
      </c>
      <c r="I219" s="201" t="s">
        <v>1806</v>
      </c>
      <c r="J219" s="34" t="s">
        <v>41</v>
      </c>
      <c r="K219" s="39" t="s">
        <v>42</v>
      </c>
      <c r="L219" s="158" t="s">
        <v>1006</v>
      </c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2" t="s">
        <v>1807</v>
      </c>
      <c r="Y219" s="58" t="s">
        <v>1808</v>
      </c>
      <c r="Z219" s="44" t="s">
        <v>1809</v>
      </c>
      <c r="AA219" s="45">
        <v>43200</v>
      </c>
      <c r="AB219" s="101" t="s">
        <v>30</v>
      </c>
      <c r="AC219" s="36" t="s">
        <v>26</v>
      </c>
      <c r="AD219" s="47" t="s">
        <v>49</v>
      </c>
      <c r="AE219" s="48" t="s">
        <v>49</v>
      </c>
      <c r="AF219" s="48" t="s">
        <v>49</v>
      </c>
      <c r="AG219" s="48" t="s">
        <v>49</v>
      </c>
      <c r="AH219" s="48" t="s">
        <v>49</v>
      </c>
      <c r="AI219" s="48" t="s">
        <v>49</v>
      </c>
      <c r="AJ219" s="49" t="s">
        <v>41</v>
      </c>
      <c r="AK219" s="48" t="s">
        <v>41</v>
      </c>
      <c r="AL219" s="62" t="s">
        <v>276</v>
      </c>
      <c r="AM219" s="59"/>
      <c r="AN219" s="10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1"/>
    </row>
    <row r="220" spans="1:51" x14ac:dyDescent="0.2">
      <c r="A220" s="33">
        <f t="shared" si="4"/>
        <v>215</v>
      </c>
      <c r="B220" s="34" t="s">
        <v>1810</v>
      </c>
      <c r="C220" s="35" t="s">
        <v>1811</v>
      </c>
      <c r="D220" s="89" t="s">
        <v>1812</v>
      </c>
      <c r="E220" s="36" t="s">
        <v>36</v>
      </c>
      <c r="F220" s="200" t="s">
        <v>1813</v>
      </c>
      <c r="G220" s="37" t="s">
        <v>252</v>
      </c>
      <c r="H220" s="37" t="s">
        <v>57</v>
      </c>
      <c r="I220" s="201" t="s">
        <v>1814</v>
      </c>
      <c r="J220" s="34"/>
      <c r="K220" s="39" t="s">
        <v>42</v>
      </c>
      <c r="L220" s="158" t="s">
        <v>1815</v>
      </c>
      <c r="M220" s="41"/>
      <c r="N220" s="41"/>
      <c r="O220" s="41"/>
      <c r="P220" s="41"/>
      <c r="Q220" s="41"/>
      <c r="R220" s="41"/>
      <c r="S220" s="41"/>
      <c r="T220" s="41"/>
      <c r="U220" s="41"/>
      <c r="V220" s="41" t="s">
        <v>44</v>
      </c>
      <c r="W220" s="41"/>
      <c r="X220" s="201" t="s">
        <v>1816</v>
      </c>
      <c r="Y220" s="58" t="s">
        <v>1817</v>
      </c>
      <c r="Z220" s="44"/>
      <c r="AA220" s="45"/>
      <c r="AB220" s="101"/>
      <c r="AC220" s="36"/>
      <c r="AD220" s="47" t="s">
        <v>49</v>
      </c>
      <c r="AE220" s="48" t="s">
        <v>41</v>
      </c>
      <c r="AF220" s="48" t="s">
        <v>41</v>
      </c>
      <c r="AG220" s="48" t="s">
        <v>41</v>
      </c>
      <c r="AH220" s="48" t="s">
        <v>41</v>
      </c>
      <c r="AI220" s="48" t="s">
        <v>41</v>
      </c>
      <c r="AJ220" s="49" t="s">
        <v>49</v>
      </c>
      <c r="AK220" s="48" t="s">
        <v>41</v>
      </c>
      <c r="AL220" s="65" t="s">
        <v>148</v>
      </c>
      <c r="AM220" s="59"/>
      <c r="AN220" s="10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1"/>
    </row>
    <row r="221" spans="1:51" x14ac:dyDescent="0.2">
      <c r="A221" s="33">
        <f t="shared" si="4"/>
        <v>216</v>
      </c>
      <c r="B221" s="34" t="s">
        <v>1818</v>
      </c>
      <c r="C221" s="35" t="s">
        <v>1819</v>
      </c>
      <c r="D221" s="174" t="s">
        <v>1820</v>
      </c>
      <c r="E221" s="36" t="s">
        <v>54</v>
      </c>
      <c r="F221" s="34" t="s">
        <v>1821</v>
      </c>
      <c r="G221" s="37" t="s">
        <v>39</v>
      </c>
      <c r="H221" s="37" t="s">
        <v>39</v>
      </c>
      <c r="I221" s="34" t="s">
        <v>1822</v>
      </c>
      <c r="J221" s="34" t="s">
        <v>1823</v>
      </c>
      <c r="K221" s="39" t="s">
        <v>42</v>
      </c>
      <c r="L221" s="158" t="s">
        <v>1824</v>
      </c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2" t="s">
        <v>1825</v>
      </c>
      <c r="Y221" s="58" t="s">
        <v>1826</v>
      </c>
      <c r="Z221" s="44" t="s">
        <v>1827</v>
      </c>
      <c r="AA221" s="45">
        <v>43200</v>
      </c>
      <c r="AB221" s="101" t="s">
        <v>30</v>
      </c>
      <c r="AC221" s="109"/>
      <c r="AD221" s="47" t="s">
        <v>49</v>
      </c>
      <c r="AE221" s="48" t="s">
        <v>41</v>
      </c>
      <c r="AF221" s="48" t="s">
        <v>41</v>
      </c>
      <c r="AG221" s="48" t="s">
        <v>41</v>
      </c>
      <c r="AH221" s="48" t="s">
        <v>41</v>
      </c>
      <c r="AI221" s="48" t="s">
        <v>41</v>
      </c>
      <c r="AJ221" s="49" t="s">
        <v>41</v>
      </c>
      <c r="AK221" s="48" t="s">
        <v>41</v>
      </c>
      <c r="AL221" s="65" t="s">
        <v>4590</v>
      </c>
      <c r="AM221" s="59" t="s">
        <v>1828</v>
      </c>
      <c r="AN221" s="10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1"/>
    </row>
    <row r="222" spans="1:51" x14ac:dyDescent="0.2">
      <c r="A222" s="33">
        <f t="shared" si="4"/>
        <v>217</v>
      </c>
      <c r="B222" s="34" t="s">
        <v>1829</v>
      </c>
      <c r="C222" s="35" t="s">
        <v>1830</v>
      </c>
      <c r="D222" s="36" t="s">
        <v>1831</v>
      </c>
      <c r="E222" s="36" t="s">
        <v>36</v>
      </c>
      <c r="F222" s="108" t="s">
        <v>1832</v>
      </c>
      <c r="G222" s="37" t="s">
        <v>73</v>
      </c>
      <c r="H222" s="37" t="s">
        <v>73</v>
      </c>
      <c r="I222" s="38" t="s">
        <v>1833</v>
      </c>
      <c r="J222" s="38" t="s">
        <v>1834</v>
      </c>
      <c r="K222" s="39" t="s">
        <v>42</v>
      </c>
      <c r="L222" s="99" t="s">
        <v>1835</v>
      </c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42" t="s">
        <v>1836</v>
      </c>
      <c r="Y222" s="58" t="s">
        <v>1837</v>
      </c>
      <c r="Z222" s="44" t="s">
        <v>1838</v>
      </c>
      <c r="AA222" s="45">
        <v>43200</v>
      </c>
      <c r="AB222" s="101" t="s">
        <v>30</v>
      </c>
      <c r="AC222" s="36" t="s">
        <v>26</v>
      </c>
      <c r="AD222" s="47" t="s">
        <v>49</v>
      </c>
      <c r="AE222" s="48" t="s">
        <v>49</v>
      </c>
      <c r="AF222" s="48" t="s">
        <v>41</v>
      </c>
      <c r="AG222" s="48" t="s">
        <v>41</v>
      </c>
      <c r="AH222" s="48" t="s">
        <v>41</v>
      </c>
      <c r="AI222" s="48" t="s">
        <v>41</v>
      </c>
      <c r="AJ222" s="49" t="s">
        <v>41</v>
      </c>
      <c r="AK222" s="48" t="s">
        <v>41</v>
      </c>
      <c r="AL222" s="62" t="s">
        <v>4587</v>
      </c>
      <c r="AM222" s="59"/>
      <c r="AN222" s="10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1"/>
    </row>
    <row r="223" spans="1:51" x14ac:dyDescent="0.2">
      <c r="A223" s="33">
        <f t="shared" si="4"/>
        <v>218</v>
      </c>
      <c r="B223" s="34" t="s">
        <v>1839</v>
      </c>
      <c r="C223" s="35" t="s">
        <v>1840</v>
      </c>
      <c r="D223" s="36" t="s">
        <v>1841</v>
      </c>
      <c r="E223" s="36" t="s">
        <v>36</v>
      </c>
      <c r="F223" s="108" t="s">
        <v>1842</v>
      </c>
      <c r="G223" s="37" t="s">
        <v>205</v>
      </c>
      <c r="H223" s="37" t="s">
        <v>205</v>
      </c>
      <c r="I223" s="38" t="s">
        <v>1843</v>
      </c>
      <c r="J223" s="38" t="s">
        <v>41</v>
      </c>
      <c r="K223" s="39" t="s">
        <v>42</v>
      </c>
      <c r="L223" s="120">
        <v>44658</v>
      </c>
      <c r="M223" s="56"/>
      <c r="N223" s="56"/>
      <c r="O223" s="56"/>
      <c r="P223" s="56"/>
      <c r="Q223" s="56"/>
      <c r="R223" s="56"/>
      <c r="S223" s="56" t="s">
        <v>44</v>
      </c>
      <c r="T223" s="56"/>
      <c r="U223" s="56"/>
      <c r="V223" s="56"/>
      <c r="W223" s="56"/>
      <c r="X223" s="42" t="s">
        <v>1844</v>
      </c>
      <c r="Y223" s="58" t="s">
        <v>1845</v>
      </c>
      <c r="Z223" s="44" t="s">
        <v>1846</v>
      </c>
      <c r="AA223" s="45">
        <v>44944</v>
      </c>
      <c r="AB223" s="101" t="s">
        <v>30</v>
      </c>
      <c r="AC223" s="36"/>
      <c r="AD223" s="47" t="s">
        <v>49</v>
      </c>
      <c r="AE223" s="48" t="s">
        <v>41</v>
      </c>
      <c r="AF223" s="48" t="s">
        <v>41</v>
      </c>
      <c r="AG223" s="48" t="s">
        <v>49</v>
      </c>
      <c r="AH223" s="48" t="s">
        <v>49</v>
      </c>
      <c r="AI223" s="48" t="s">
        <v>49</v>
      </c>
      <c r="AJ223" s="49" t="s">
        <v>49</v>
      </c>
      <c r="AK223" s="48" t="s">
        <v>49</v>
      </c>
      <c r="AL223" s="62" t="s">
        <v>32</v>
      </c>
      <c r="AM223" s="59"/>
      <c r="AN223" s="10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1"/>
    </row>
    <row r="224" spans="1:51" x14ac:dyDescent="0.2">
      <c r="A224" s="33">
        <f t="shared" si="4"/>
        <v>219</v>
      </c>
      <c r="B224" s="108" t="s">
        <v>1847</v>
      </c>
      <c r="C224" s="35" t="s">
        <v>1848</v>
      </c>
      <c r="D224" s="174" t="s">
        <v>1849</v>
      </c>
      <c r="E224" s="36" t="s">
        <v>54</v>
      </c>
      <c r="F224" s="108" t="s">
        <v>1850</v>
      </c>
      <c r="G224" s="37" t="s">
        <v>73</v>
      </c>
      <c r="H224" s="37" t="s">
        <v>73</v>
      </c>
      <c r="I224" s="108" t="s">
        <v>1851</v>
      </c>
      <c r="J224" s="108" t="s">
        <v>1851</v>
      </c>
      <c r="K224" s="39" t="s">
        <v>42</v>
      </c>
      <c r="L224" s="158" t="s">
        <v>1852</v>
      </c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2" t="s">
        <v>1853</v>
      </c>
      <c r="Y224" s="58" t="s">
        <v>1854</v>
      </c>
      <c r="Z224" s="44" t="s">
        <v>1855</v>
      </c>
      <c r="AA224" s="45">
        <v>42935</v>
      </c>
      <c r="AB224" s="101" t="s">
        <v>30</v>
      </c>
      <c r="AC224" s="109" t="s">
        <v>26</v>
      </c>
      <c r="AD224" s="61" t="s">
        <v>49</v>
      </c>
      <c r="AE224" s="48" t="s">
        <v>49</v>
      </c>
      <c r="AF224" s="48" t="s">
        <v>49</v>
      </c>
      <c r="AG224" s="48" t="s">
        <v>49</v>
      </c>
      <c r="AH224" s="48" t="s">
        <v>49</v>
      </c>
      <c r="AI224" s="48" t="s">
        <v>41</v>
      </c>
      <c r="AJ224" s="49" t="s">
        <v>41</v>
      </c>
      <c r="AK224" s="48" t="s">
        <v>41</v>
      </c>
      <c r="AL224" s="62" t="s">
        <v>4589</v>
      </c>
      <c r="AM224" s="59"/>
      <c r="AN224" s="10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1"/>
    </row>
    <row r="225" spans="1:51" x14ac:dyDescent="0.2">
      <c r="A225" s="33">
        <f t="shared" si="4"/>
        <v>220</v>
      </c>
      <c r="B225" s="34" t="s">
        <v>1856</v>
      </c>
      <c r="C225" s="35" t="s">
        <v>1857</v>
      </c>
      <c r="D225" s="202" t="s">
        <v>1858</v>
      </c>
      <c r="E225" s="36" t="s">
        <v>54</v>
      </c>
      <c r="F225" s="87" t="s">
        <v>1859</v>
      </c>
      <c r="G225" s="37" t="s">
        <v>73</v>
      </c>
      <c r="H225" s="37" t="s">
        <v>73</v>
      </c>
      <c r="I225" s="107" t="s">
        <v>1860</v>
      </c>
      <c r="J225" s="34" t="s">
        <v>1861</v>
      </c>
      <c r="K225" s="39" t="s">
        <v>42</v>
      </c>
      <c r="L225" s="158" t="s">
        <v>1862</v>
      </c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2" t="s">
        <v>1863</v>
      </c>
      <c r="Y225" s="52" t="s">
        <v>1864</v>
      </c>
      <c r="Z225" s="44" t="s">
        <v>61</v>
      </c>
      <c r="AA225" s="45">
        <v>41793</v>
      </c>
      <c r="AB225" s="101" t="s">
        <v>30</v>
      </c>
      <c r="AC225" s="36" t="s">
        <v>26</v>
      </c>
      <c r="AD225" s="61" t="s">
        <v>49</v>
      </c>
      <c r="AE225" s="48" t="s">
        <v>49</v>
      </c>
      <c r="AF225" s="48" t="s">
        <v>49</v>
      </c>
      <c r="AG225" s="48" t="s">
        <v>49</v>
      </c>
      <c r="AH225" s="48" t="s">
        <v>49</v>
      </c>
      <c r="AI225" s="48" t="s">
        <v>49</v>
      </c>
      <c r="AJ225" s="49" t="s">
        <v>49</v>
      </c>
      <c r="AK225" s="48" t="s">
        <v>49</v>
      </c>
      <c r="AL225" s="65" t="s">
        <v>32</v>
      </c>
      <c r="AM225" s="59"/>
      <c r="AN225" s="10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1"/>
    </row>
    <row r="226" spans="1:51" x14ac:dyDescent="0.2">
      <c r="A226" s="33">
        <f t="shared" si="4"/>
        <v>221</v>
      </c>
      <c r="B226" s="34" t="s">
        <v>1865</v>
      </c>
      <c r="C226" s="35" t="s">
        <v>1866</v>
      </c>
      <c r="D226" s="104" t="s">
        <v>1867</v>
      </c>
      <c r="E226" s="36" t="s">
        <v>54</v>
      </c>
      <c r="F226" s="34" t="s">
        <v>1868</v>
      </c>
      <c r="G226" s="37" t="s">
        <v>73</v>
      </c>
      <c r="H226" s="37" t="s">
        <v>73</v>
      </c>
      <c r="I226" s="34" t="s">
        <v>1860</v>
      </c>
      <c r="J226" s="34" t="s">
        <v>1861</v>
      </c>
      <c r="K226" s="39" t="s">
        <v>42</v>
      </c>
      <c r="L226" s="99" t="s">
        <v>1869</v>
      </c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2" t="s">
        <v>1870</v>
      </c>
      <c r="Y226" s="52" t="s">
        <v>1871</v>
      </c>
      <c r="Z226" s="44" t="s">
        <v>1872</v>
      </c>
      <c r="AA226" s="45">
        <v>40876</v>
      </c>
      <c r="AB226" s="101" t="s">
        <v>30</v>
      </c>
      <c r="AC226" s="36" t="s">
        <v>26</v>
      </c>
      <c r="AD226" s="47" t="s">
        <v>49</v>
      </c>
      <c r="AE226" s="48" t="s">
        <v>49</v>
      </c>
      <c r="AF226" s="48" t="s">
        <v>49</v>
      </c>
      <c r="AG226" s="48" t="s">
        <v>49</v>
      </c>
      <c r="AH226" s="48" t="s">
        <v>49</v>
      </c>
      <c r="AI226" s="48" t="s">
        <v>49</v>
      </c>
      <c r="AJ226" s="49" t="s">
        <v>49</v>
      </c>
      <c r="AK226" s="48" t="s">
        <v>49</v>
      </c>
      <c r="AL226" s="65" t="s">
        <v>32</v>
      </c>
      <c r="AM226" s="59"/>
      <c r="AN226" s="10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1"/>
    </row>
    <row r="227" spans="1:51" x14ac:dyDescent="0.2">
      <c r="A227" s="33">
        <f t="shared" si="4"/>
        <v>222</v>
      </c>
      <c r="B227" s="34" t="s">
        <v>1873</v>
      </c>
      <c r="C227" s="35" t="s">
        <v>1874</v>
      </c>
      <c r="D227" s="174" t="s">
        <v>1875</v>
      </c>
      <c r="E227" s="36" t="s">
        <v>54</v>
      </c>
      <c r="F227" s="34" t="s">
        <v>1876</v>
      </c>
      <c r="G227" s="37" t="s">
        <v>73</v>
      </c>
      <c r="H227" s="37" t="s">
        <v>73</v>
      </c>
      <c r="I227" s="34" t="s">
        <v>1679</v>
      </c>
      <c r="J227" s="34" t="s">
        <v>1877</v>
      </c>
      <c r="K227" s="39" t="s">
        <v>42</v>
      </c>
      <c r="L227" s="120">
        <v>34984</v>
      </c>
      <c r="M227" s="56"/>
      <c r="N227" s="56"/>
      <c r="O227" s="56"/>
      <c r="P227" s="56"/>
      <c r="Q227" s="56"/>
      <c r="R227" s="56"/>
      <c r="S227" s="56"/>
      <c r="T227" s="56"/>
      <c r="U227" s="56" t="s">
        <v>732</v>
      </c>
      <c r="V227" s="56"/>
      <c r="W227" s="56"/>
      <c r="X227" s="42" t="s">
        <v>1879</v>
      </c>
      <c r="Y227" s="58" t="s">
        <v>1880</v>
      </c>
      <c r="Z227" s="44"/>
      <c r="AA227" s="45"/>
      <c r="AB227" s="101"/>
      <c r="AC227" s="36" t="s">
        <v>26</v>
      </c>
      <c r="AD227" s="47" t="s">
        <v>49</v>
      </c>
      <c r="AE227" s="48" t="s">
        <v>49</v>
      </c>
      <c r="AF227" s="48" t="s">
        <v>49</v>
      </c>
      <c r="AG227" s="48" t="s">
        <v>49</v>
      </c>
      <c r="AH227" s="48" t="s">
        <v>49</v>
      </c>
      <c r="AI227" s="48" t="s">
        <v>49</v>
      </c>
      <c r="AJ227" s="49" t="s">
        <v>49</v>
      </c>
      <c r="AK227" s="48" t="s">
        <v>49</v>
      </c>
      <c r="AL227" s="65" t="s">
        <v>32</v>
      </c>
      <c r="AM227" s="59"/>
      <c r="AN227" s="10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1"/>
    </row>
    <row r="228" spans="1:51" x14ac:dyDescent="0.2">
      <c r="A228" s="33">
        <f t="shared" si="4"/>
        <v>223</v>
      </c>
      <c r="B228" s="34" t="s">
        <v>1881</v>
      </c>
      <c r="C228" s="35" t="s">
        <v>1882</v>
      </c>
      <c r="D228" s="174" t="s">
        <v>1883</v>
      </c>
      <c r="E228" s="36" t="s">
        <v>54</v>
      </c>
      <c r="F228" s="34" t="s">
        <v>1884</v>
      </c>
      <c r="G228" s="37" t="s">
        <v>73</v>
      </c>
      <c r="H228" s="37" t="s">
        <v>73</v>
      </c>
      <c r="I228" s="38" t="s">
        <v>1885</v>
      </c>
      <c r="J228" s="34" t="s">
        <v>1886</v>
      </c>
      <c r="K228" s="39" t="s">
        <v>42</v>
      </c>
      <c r="L228" s="120" t="s">
        <v>1887</v>
      </c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42" t="s">
        <v>1888</v>
      </c>
      <c r="Y228" s="58" t="s">
        <v>1889</v>
      </c>
      <c r="Z228" s="44" t="s">
        <v>1890</v>
      </c>
      <c r="AA228" s="45">
        <v>44041</v>
      </c>
      <c r="AB228" s="101" t="s">
        <v>30</v>
      </c>
      <c r="AC228" s="36" t="s">
        <v>26</v>
      </c>
      <c r="AD228" s="47" t="s">
        <v>49</v>
      </c>
      <c r="AE228" s="48" t="s">
        <v>49</v>
      </c>
      <c r="AF228" s="48" t="s">
        <v>49</v>
      </c>
      <c r="AG228" s="48" t="s">
        <v>49</v>
      </c>
      <c r="AH228" s="48" t="s">
        <v>49</v>
      </c>
      <c r="AI228" s="48" t="s">
        <v>49</v>
      </c>
      <c r="AJ228" s="49" t="s">
        <v>49</v>
      </c>
      <c r="AK228" s="48" t="s">
        <v>41</v>
      </c>
      <c r="AL228" s="65" t="s">
        <v>148</v>
      </c>
      <c r="AM228" s="59"/>
      <c r="AN228" s="10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1"/>
    </row>
    <row r="229" spans="1:51" x14ac:dyDescent="0.2">
      <c r="A229" s="33">
        <f t="shared" si="4"/>
        <v>224</v>
      </c>
      <c r="B229" s="72" t="s">
        <v>1891</v>
      </c>
      <c r="C229" s="35" t="s">
        <v>1892</v>
      </c>
      <c r="D229" s="36" t="s">
        <v>1893</v>
      </c>
      <c r="E229" s="36" t="s">
        <v>54</v>
      </c>
      <c r="F229" s="72" t="s">
        <v>1894</v>
      </c>
      <c r="G229" s="75" t="s">
        <v>252</v>
      </c>
      <c r="H229" s="75" t="s">
        <v>57</v>
      </c>
      <c r="I229" s="72" t="s">
        <v>1895</v>
      </c>
      <c r="J229" s="72" t="s">
        <v>41</v>
      </c>
      <c r="K229" s="77" t="s">
        <v>42</v>
      </c>
      <c r="L229" s="203" t="s">
        <v>556</v>
      </c>
      <c r="M229" s="156"/>
      <c r="N229" s="204"/>
      <c r="O229" s="205"/>
      <c r="P229" s="204"/>
      <c r="Q229" s="205"/>
      <c r="R229" s="205"/>
      <c r="S229" s="205"/>
      <c r="T229" s="156"/>
      <c r="U229" s="156" t="s">
        <v>732</v>
      </c>
      <c r="V229" s="156"/>
      <c r="W229" s="156"/>
      <c r="X229" s="42" t="s">
        <v>1896</v>
      </c>
      <c r="Y229" s="52" t="s">
        <v>1897</v>
      </c>
      <c r="Z229" s="44"/>
      <c r="AA229" s="45"/>
      <c r="AB229" s="206"/>
      <c r="AC229" s="154" t="s">
        <v>26</v>
      </c>
      <c r="AD229" s="81" t="s">
        <v>49</v>
      </c>
      <c r="AE229" s="48" t="s">
        <v>49</v>
      </c>
      <c r="AF229" s="48" t="s">
        <v>49</v>
      </c>
      <c r="AG229" s="48" t="s">
        <v>49</v>
      </c>
      <c r="AH229" s="48" t="s">
        <v>49</v>
      </c>
      <c r="AI229" s="48" t="s">
        <v>49</v>
      </c>
      <c r="AJ229" s="49" t="s">
        <v>49</v>
      </c>
      <c r="AK229" s="48" t="s">
        <v>41</v>
      </c>
      <c r="AL229" s="62" t="s">
        <v>148</v>
      </c>
      <c r="AM229" s="59"/>
      <c r="AN229" s="10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1"/>
    </row>
    <row r="230" spans="1:51" x14ac:dyDescent="0.2">
      <c r="A230" s="33">
        <f t="shared" si="4"/>
        <v>225</v>
      </c>
      <c r="B230" s="34" t="s">
        <v>1898</v>
      </c>
      <c r="C230" s="35" t="s">
        <v>1899</v>
      </c>
      <c r="D230" s="36" t="s">
        <v>1900</v>
      </c>
      <c r="E230" s="36" t="s">
        <v>54</v>
      </c>
      <c r="F230" s="34" t="s">
        <v>1901</v>
      </c>
      <c r="G230" s="37" t="s">
        <v>205</v>
      </c>
      <c r="H230" s="37" t="s">
        <v>205</v>
      </c>
      <c r="I230" s="34" t="s">
        <v>1902</v>
      </c>
      <c r="J230" s="34" t="s">
        <v>1903</v>
      </c>
      <c r="K230" s="39" t="s">
        <v>42</v>
      </c>
      <c r="L230" s="120">
        <v>34761</v>
      </c>
      <c r="M230" s="41"/>
      <c r="N230" s="177"/>
      <c r="O230" s="112"/>
      <c r="P230" s="177"/>
      <c r="Q230" s="112"/>
      <c r="R230" s="112"/>
      <c r="S230" s="112"/>
      <c r="T230" s="41"/>
      <c r="U230" s="41"/>
      <c r="V230" s="41"/>
      <c r="W230" s="41"/>
      <c r="X230" s="42" t="s">
        <v>1904</v>
      </c>
      <c r="Y230" s="43" t="s">
        <v>1905</v>
      </c>
      <c r="Z230" s="44" t="s">
        <v>61</v>
      </c>
      <c r="AA230" s="45">
        <v>36641</v>
      </c>
      <c r="AB230" s="101" t="s">
        <v>30</v>
      </c>
      <c r="AC230" s="36" t="s">
        <v>26</v>
      </c>
      <c r="AD230" s="47" t="s">
        <v>49</v>
      </c>
      <c r="AE230" s="48" t="s">
        <v>49</v>
      </c>
      <c r="AF230" s="48" t="s">
        <v>49</v>
      </c>
      <c r="AG230" s="48" t="s">
        <v>49</v>
      </c>
      <c r="AH230" s="48" t="s">
        <v>49</v>
      </c>
      <c r="AI230" s="48" t="s">
        <v>41</v>
      </c>
      <c r="AJ230" s="49" t="s">
        <v>41</v>
      </c>
      <c r="AK230" s="48" t="s">
        <v>41</v>
      </c>
      <c r="AL230" s="62" t="s">
        <v>4589</v>
      </c>
      <c r="AM230" s="59"/>
      <c r="AN230" s="10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1"/>
    </row>
    <row r="231" spans="1:51" x14ac:dyDescent="0.2">
      <c r="A231" s="33">
        <f t="shared" si="4"/>
        <v>226</v>
      </c>
      <c r="B231" s="34" t="s">
        <v>1906</v>
      </c>
      <c r="C231" s="35" t="s">
        <v>1907</v>
      </c>
      <c r="D231" s="36" t="s">
        <v>1908</v>
      </c>
      <c r="E231" s="36" t="s">
        <v>54</v>
      </c>
      <c r="F231" s="34" t="s">
        <v>1909</v>
      </c>
      <c r="G231" s="37" t="s">
        <v>205</v>
      </c>
      <c r="H231" s="37" t="s">
        <v>205</v>
      </c>
      <c r="I231" s="34" t="s">
        <v>1910</v>
      </c>
      <c r="J231" s="34" t="s">
        <v>41</v>
      </c>
      <c r="K231" s="39" t="s">
        <v>42</v>
      </c>
      <c r="L231" s="120">
        <v>33428</v>
      </c>
      <c r="M231" s="56"/>
      <c r="N231" s="114"/>
      <c r="O231" s="115"/>
      <c r="P231" s="114"/>
      <c r="Q231" s="115"/>
      <c r="R231" s="115"/>
      <c r="S231" s="115"/>
      <c r="T231" s="56"/>
      <c r="U231" s="56"/>
      <c r="V231" s="56"/>
      <c r="W231" s="56"/>
      <c r="X231" s="42" t="s">
        <v>1911</v>
      </c>
      <c r="Y231" s="43" t="s">
        <v>1912</v>
      </c>
      <c r="Z231" s="119" t="s">
        <v>61</v>
      </c>
      <c r="AA231" s="45">
        <v>36641</v>
      </c>
      <c r="AB231" s="101" t="s">
        <v>30</v>
      </c>
      <c r="AC231" s="36" t="s">
        <v>26</v>
      </c>
      <c r="AD231" s="47" t="s">
        <v>49</v>
      </c>
      <c r="AE231" s="48" t="s">
        <v>49</v>
      </c>
      <c r="AF231" s="48" t="s">
        <v>49</v>
      </c>
      <c r="AG231" s="48" t="s">
        <v>49</v>
      </c>
      <c r="AH231" s="48" t="s">
        <v>41</v>
      </c>
      <c r="AI231" s="48" t="s">
        <v>41</v>
      </c>
      <c r="AJ231" s="49" t="s">
        <v>41</v>
      </c>
      <c r="AK231" s="48" t="s">
        <v>41</v>
      </c>
      <c r="AL231" s="62" t="s">
        <v>139</v>
      </c>
      <c r="AM231" s="59"/>
      <c r="AN231" s="10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1"/>
    </row>
    <row r="232" spans="1:51" ht="18" customHeight="1" x14ac:dyDescent="0.2">
      <c r="A232" s="33">
        <f t="shared" si="4"/>
        <v>227</v>
      </c>
      <c r="B232" s="107" t="s">
        <v>1913</v>
      </c>
      <c r="C232" s="35" t="s">
        <v>1914</v>
      </c>
      <c r="D232" s="36" t="s">
        <v>1915</v>
      </c>
      <c r="E232" s="36" t="s">
        <v>54</v>
      </c>
      <c r="F232" s="34" t="s">
        <v>1916</v>
      </c>
      <c r="G232" s="37" t="s">
        <v>73</v>
      </c>
      <c r="H232" s="37" t="s">
        <v>73</v>
      </c>
      <c r="I232" s="183" t="s">
        <v>1917</v>
      </c>
      <c r="J232" s="34" t="s">
        <v>41</v>
      </c>
      <c r="K232" s="39" t="s">
        <v>42</v>
      </c>
      <c r="L232" s="120">
        <v>44447</v>
      </c>
      <c r="M232" s="56"/>
      <c r="N232" s="186"/>
      <c r="O232" s="115"/>
      <c r="P232" s="186"/>
      <c r="Q232" s="115"/>
      <c r="R232" s="115" t="s">
        <v>44</v>
      </c>
      <c r="S232" s="115"/>
      <c r="T232" s="56"/>
      <c r="U232" s="56"/>
      <c r="V232" s="56"/>
      <c r="W232" s="56"/>
      <c r="X232" s="42" t="s">
        <v>1918</v>
      </c>
      <c r="Y232" s="43" t="s">
        <v>1919</v>
      </c>
      <c r="Z232" s="207" t="s">
        <v>1920</v>
      </c>
      <c r="AA232" s="45">
        <v>44944</v>
      </c>
      <c r="AB232" s="101" t="s">
        <v>30</v>
      </c>
      <c r="AC232" s="36"/>
      <c r="AD232" s="47" t="s">
        <v>49</v>
      </c>
      <c r="AE232" s="48" t="s">
        <v>41</v>
      </c>
      <c r="AF232" s="48" t="s">
        <v>49</v>
      </c>
      <c r="AG232" s="48" t="s">
        <v>49</v>
      </c>
      <c r="AH232" s="48" t="s">
        <v>49</v>
      </c>
      <c r="AI232" s="48" t="s">
        <v>41</v>
      </c>
      <c r="AJ232" s="49" t="s">
        <v>41</v>
      </c>
      <c r="AK232" s="48" t="s">
        <v>41</v>
      </c>
      <c r="AL232" s="62" t="s">
        <v>4589</v>
      </c>
      <c r="AM232" s="59"/>
      <c r="AN232" s="10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1"/>
    </row>
    <row r="233" spans="1:51" x14ac:dyDescent="0.2">
      <c r="A233" s="33">
        <f t="shared" si="4"/>
        <v>228</v>
      </c>
      <c r="B233" s="34" t="s">
        <v>1921</v>
      </c>
      <c r="C233" s="35" t="s">
        <v>1922</v>
      </c>
      <c r="D233" s="36" t="s">
        <v>1923</v>
      </c>
      <c r="E233" s="36" t="s">
        <v>54</v>
      </c>
      <c r="F233" s="34" t="s">
        <v>1924</v>
      </c>
      <c r="G233" s="37" t="s">
        <v>176</v>
      </c>
      <c r="H233" s="37" t="s">
        <v>39</v>
      </c>
      <c r="I233" s="38" t="s">
        <v>1925</v>
      </c>
      <c r="J233" s="34" t="s">
        <v>41</v>
      </c>
      <c r="K233" s="39" t="s">
        <v>42</v>
      </c>
      <c r="L233" s="120">
        <v>45803</v>
      </c>
      <c r="M233" s="56" t="s">
        <v>179</v>
      </c>
      <c r="N233" s="147" t="s">
        <v>179</v>
      </c>
      <c r="O233" s="115"/>
      <c r="P233" s="56"/>
      <c r="Q233" s="115" t="s">
        <v>179</v>
      </c>
      <c r="R233" s="115"/>
      <c r="S233" s="115"/>
      <c r="T233" s="56"/>
      <c r="U233" s="56"/>
      <c r="V233" s="56" t="s">
        <v>44</v>
      </c>
      <c r="W233" s="56"/>
      <c r="X233" s="38" t="s">
        <v>1926</v>
      </c>
      <c r="Y233" s="55" t="s">
        <v>1927</v>
      </c>
      <c r="Z233" s="207"/>
      <c r="AA233" s="45"/>
      <c r="AB233" s="101"/>
      <c r="AC233" s="36"/>
      <c r="AD233" s="47" t="s">
        <v>49</v>
      </c>
      <c r="AE233" s="48" t="s">
        <v>41</v>
      </c>
      <c r="AF233" s="48" t="s">
        <v>41</v>
      </c>
      <c r="AG233" s="48" t="s">
        <v>41</v>
      </c>
      <c r="AH233" s="48" t="s">
        <v>41</v>
      </c>
      <c r="AI233" s="48" t="s">
        <v>41</v>
      </c>
      <c r="AJ233" s="49" t="s">
        <v>49</v>
      </c>
      <c r="AK233" s="48" t="s">
        <v>49</v>
      </c>
      <c r="AL233" s="62" t="s">
        <v>32</v>
      </c>
      <c r="AM233" s="59"/>
      <c r="AN233" s="10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1"/>
    </row>
    <row r="234" spans="1:51" x14ac:dyDescent="0.2">
      <c r="A234" s="33">
        <f t="shared" si="4"/>
        <v>229</v>
      </c>
      <c r="B234" s="108" t="s">
        <v>1928</v>
      </c>
      <c r="C234" s="35" t="s">
        <v>1929</v>
      </c>
      <c r="D234" s="36" t="s">
        <v>1930</v>
      </c>
      <c r="E234" s="36" t="s">
        <v>54</v>
      </c>
      <c r="F234" s="34" t="s">
        <v>1931</v>
      </c>
      <c r="G234" s="37" t="s">
        <v>243</v>
      </c>
      <c r="H234" s="37" t="s">
        <v>205</v>
      </c>
      <c r="I234" s="140" t="s">
        <v>1932</v>
      </c>
      <c r="J234" s="34" t="s">
        <v>41</v>
      </c>
      <c r="K234" s="39" t="s">
        <v>42</v>
      </c>
      <c r="L234" s="120">
        <v>43070</v>
      </c>
      <c r="M234" s="56"/>
      <c r="N234" s="114"/>
      <c r="O234" s="115"/>
      <c r="P234" s="114"/>
      <c r="Q234" s="115"/>
      <c r="R234" s="115"/>
      <c r="S234" s="115"/>
      <c r="T234" s="56"/>
      <c r="U234" s="56"/>
      <c r="V234" s="56"/>
      <c r="W234" s="56"/>
      <c r="X234" s="42" t="s">
        <v>1933</v>
      </c>
      <c r="Y234" s="52" t="s">
        <v>1934</v>
      </c>
      <c r="Z234" s="44" t="s">
        <v>1935</v>
      </c>
      <c r="AA234" s="45">
        <v>42935</v>
      </c>
      <c r="AB234" s="101" t="s">
        <v>30</v>
      </c>
      <c r="AC234" s="73" t="s">
        <v>26</v>
      </c>
      <c r="AD234" s="47" t="s">
        <v>49</v>
      </c>
      <c r="AE234" s="48" t="s">
        <v>49</v>
      </c>
      <c r="AF234" s="48" t="s">
        <v>49</v>
      </c>
      <c r="AG234" s="48" t="s">
        <v>49</v>
      </c>
      <c r="AH234" s="48" t="s">
        <v>49</v>
      </c>
      <c r="AI234" s="48" t="s">
        <v>49</v>
      </c>
      <c r="AJ234" s="49" t="s">
        <v>49</v>
      </c>
      <c r="AK234" s="48" t="s">
        <v>49</v>
      </c>
      <c r="AL234" s="62" t="s">
        <v>32</v>
      </c>
      <c r="AM234" s="59"/>
      <c r="AN234" s="117"/>
      <c r="AO234" s="3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1"/>
    </row>
    <row r="235" spans="1:51" x14ac:dyDescent="0.2">
      <c r="A235" s="33">
        <f t="shared" si="4"/>
        <v>230</v>
      </c>
      <c r="B235" s="34" t="s">
        <v>1936</v>
      </c>
      <c r="C235" s="35" t="s">
        <v>1937</v>
      </c>
      <c r="D235" s="36" t="s">
        <v>1938</v>
      </c>
      <c r="E235" s="36" t="s">
        <v>54</v>
      </c>
      <c r="F235" s="34" t="s">
        <v>1939</v>
      </c>
      <c r="G235" s="37" t="s">
        <v>323</v>
      </c>
      <c r="H235" s="37" t="s">
        <v>39</v>
      </c>
      <c r="I235" s="34" t="s">
        <v>1940</v>
      </c>
      <c r="J235" s="34" t="s">
        <v>41</v>
      </c>
      <c r="K235" s="39" t="s">
        <v>42</v>
      </c>
      <c r="L235" s="120">
        <v>37718</v>
      </c>
      <c r="M235" s="41"/>
      <c r="N235" s="177"/>
      <c r="O235" s="112"/>
      <c r="P235" s="177"/>
      <c r="Q235" s="112"/>
      <c r="R235" s="112"/>
      <c r="S235" s="41"/>
      <c r="T235" s="41"/>
      <c r="U235" s="41"/>
      <c r="V235" s="41"/>
      <c r="W235" s="41"/>
      <c r="X235" s="42" t="s">
        <v>1941</v>
      </c>
      <c r="Y235" s="52" t="s">
        <v>1942</v>
      </c>
      <c r="Z235" s="44" t="s">
        <v>61</v>
      </c>
      <c r="AA235" s="45">
        <v>38593</v>
      </c>
      <c r="AB235" s="101" t="s">
        <v>30</v>
      </c>
      <c r="AC235" s="36" t="s">
        <v>26</v>
      </c>
      <c r="AD235" s="47" t="s">
        <v>49</v>
      </c>
      <c r="AE235" s="48" t="s">
        <v>49</v>
      </c>
      <c r="AF235" s="48" t="s">
        <v>49</v>
      </c>
      <c r="AG235" s="48" t="s">
        <v>41</v>
      </c>
      <c r="AH235" s="48" t="s">
        <v>41</v>
      </c>
      <c r="AI235" s="48" t="s">
        <v>41</v>
      </c>
      <c r="AJ235" s="49" t="s">
        <v>41</v>
      </c>
      <c r="AK235" s="48" t="s">
        <v>41</v>
      </c>
      <c r="AL235" s="62" t="s">
        <v>110</v>
      </c>
      <c r="AM235" s="59"/>
      <c r="AN235" s="10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1"/>
    </row>
    <row r="236" spans="1:51" x14ac:dyDescent="0.2">
      <c r="A236" s="33">
        <f t="shared" si="4"/>
        <v>231</v>
      </c>
      <c r="B236" s="34" t="s">
        <v>1943</v>
      </c>
      <c r="C236" s="35" t="s">
        <v>1944</v>
      </c>
      <c r="D236" s="36" t="s">
        <v>1945</v>
      </c>
      <c r="E236" s="36" t="s">
        <v>54</v>
      </c>
      <c r="F236" s="98" t="s">
        <v>1946</v>
      </c>
      <c r="G236" s="37" t="s">
        <v>73</v>
      </c>
      <c r="H236" s="37" t="s">
        <v>73</v>
      </c>
      <c r="I236" s="38" t="s">
        <v>1947</v>
      </c>
      <c r="J236" s="34" t="s">
        <v>41</v>
      </c>
      <c r="K236" s="39" t="s">
        <v>42</v>
      </c>
      <c r="L236" s="120">
        <v>45084</v>
      </c>
      <c r="M236" s="41" t="s">
        <v>179</v>
      </c>
      <c r="N236" s="177" t="s">
        <v>179</v>
      </c>
      <c r="O236" s="112"/>
      <c r="P236" s="177">
        <v>1</v>
      </c>
      <c r="Q236" s="112"/>
      <c r="R236" s="112"/>
      <c r="S236" s="41"/>
      <c r="T236" s="41" t="s">
        <v>44</v>
      </c>
      <c r="U236" s="41"/>
      <c r="V236" s="41"/>
      <c r="W236" s="41"/>
      <c r="X236" s="42" t="s">
        <v>1948</v>
      </c>
      <c r="Y236" s="55" t="s">
        <v>1949</v>
      </c>
      <c r="Z236" s="119"/>
      <c r="AA236" s="45" t="s">
        <v>47</v>
      </c>
      <c r="AB236" s="101"/>
      <c r="AC236" s="36"/>
      <c r="AD236" s="66" t="s">
        <v>130</v>
      </c>
      <c r="AE236" s="48" t="s">
        <v>41</v>
      </c>
      <c r="AF236" s="48" t="s">
        <v>41</v>
      </c>
      <c r="AG236" s="48" t="s">
        <v>41</v>
      </c>
      <c r="AH236" s="48" t="s">
        <v>130</v>
      </c>
      <c r="AI236" s="48" t="s">
        <v>130</v>
      </c>
      <c r="AJ236" s="49" t="s">
        <v>130</v>
      </c>
      <c r="AK236" s="48" t="s">
        <v>130</v>
      </c>
      <c r="AL236" s="65" t="s">
        <v>32</v>
      </c>
      <c r="AM236" s="59"/>
      <c r="AN236" s="10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2"/>
      <c r="AY236" s="31"/>
    </row>
    <row r="237" spans="1:51" x14ac:dyDescent="0.2">
      <c r="A237" s="33">
        <f t="shared" si="4"/>
        <v>232</v>
      </c>
      <c r="B237" s="34" t="s">
        <v>1950</v>
      </c>
      <c r="C237" s="35" t="s">
        <v>1951</v>
      </c>
      <c r="D237" s="36" t="s">
        <v>1952</v>
      </c>
      <c r="E237" s="36" t="s">
        <v>54</v>
      </c>
      <c r="F237" s="34" t="s">
        <v>1953</v>
      </c>
      <c r="G237" s="37" t="s">
        <v>39</v>
      </c>
      <c r="H237" s="37" t="s">
        <v>39</v>
      </c>
      <c r="I237" s="38" t="s">
        <v>1954</v>
      </c>
      <c r="J237" s="34" t="s">
        <v>41</v>
      </c>
      <c r="K237" s="39" t="s">
        <v>42</v>
      </c>
      <c r="L237" s="120" t="s">
        <v>1955</v>
      </c>
      <c r="M237" s="41" t="s">
        <v>179</v>
      </c>
      <c r="N237" s="41" t="s">
        <v>179</v>
      </c>
      <c r="O237" s="41"/>
      <c r="P237" s="41"/>
      <c r="Q237" s="41"/>
      <c r="R237" s="41"/>
      <c r="S237" s="41" t="s">
        <v>44</v>
      </c>
      <c r="T237" s="41"/>
      <c r="U237" s="41"/>
      <c r="V237" s="41" t="s">
        <v>732</v>
      </c>
      <c r="W237" s="41"/>
      <c r="X237" s="42" t="s">
        <v>1956</v>
      </c>
      <c r="Y237" s="43" t="s">
        <v>1957</v>
      </c>
      <c r="Z237" s="84" t="s">
        <v>1958</v>
      </c>
      <c r="AA237" s="45">
        <v>44650</v>
      </c>
      <c r="AB237" s="101" t="s">
        <v>30</v>
      </c>
      <c r="AC237" s="36"/>
      <c r="AD237" s="47" t="s">
        <v>49</v>
      </c>
      <c r="AE237" s="48" t="s">
        <v>41</v>
      </c>
      <c r="AF237" s="48" t="s">
        <v>41</v>
      </c>
      <c r="AG237" s="48" t="s">
        <v>49</v>
      </c>
      <c r="AH237" s="48" t="s">
        <v>49</v>
      </c>
      <c r="AI237" s="48" t="s">
        <v>49</v>
      </c>
      <c r="AJ237" s="49" t="s">
        <v>49</v>
      </c>
      <c r="AK237" s="48" t="s">
        <v>41</v>
      </c>
      <c r="AL237" s="62" t="s">
        <v>148</v>
      </c>
      <c r="AM237" s="59"/>
      <c r="AN237" s="10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1"/>
    </row>
    <row r="238" spans="1:51" ht="26.25" customHeight="1" x14ac:dyDescent="0.2">
      <c r="A238" s="33">
        <f t="shared" si="4"/>
        <v>233</v>
      </c>
      <c r="B238" s="34" t="s">
        <v>1959</v>
      </c>
      <c r="C238" s="35" t="s">
        <v>1960</v>
      </c>
      <c r="D238" s="36" t="s">
        <v>1961</v>
      </c>
      <c r="E238" s="36" t="s">
        <v>54</v>
      </c>
      <c r="F238" s="34" t="s">
        <v>1962</v>
      </c>
      <c r="G238" s="37" t="s">
        <v>73</v>
      </c>
      <c r="H238" s="37" t="s">
        <v>73</v>
      </c>
      <c r="I238" s="34" t="s">
        <v>1963</v>
      </c>
      <c r="J238" s="34" t="s">
        <v>1964</v>
      </c>
      <c r="K238" s="39" t="s">
        <v>42</v>
      </c>
      <c r="L238" s="120" t="s">
        <v>628</v>
      </c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57" t="s">
        <v>1965</v>
      </c>
      <c r="Y238" s="43" t="s">
        <v>1966</v>
      </c>
      <c r="Z238" s="207" t="s">
        <v>1967</v>
      </c>
      <c r="AA238" s="45">
        <v>44944</v>
      </c>
      <c r="AB238" s="101" t="s">
        <v>30</v>
      </c>
      <c r="AC238" s="36" t="s">
        <v>26</v>
      </c>
      <c r="AD238" s="47" t="s">
        <v>49</v>
      </c>
      <c r="AE238" s="48" t="s">
        <v>49</v>
      </c>
      <c r="AF238" s="48" t="s">
        <v>49</v>
      </c>
      <c r="AG238" s="48" t="s">
        <v>49</v>
      </c>
      <c r="AH238" s="48" t="s">
        <v>49</v>
      </c>
      <c r="AI238" s="48" t="s">
        <v>49</v>
      </c>
      <c r="AJ238" s="49" t="s">
        <v>49</v>
      </c>
      <c r="AK238" s="48" t="s">
        <v>49</v>
      </c>
      <c r="AL238" s="65" t="s">
        <v>32</v>
      </c>
      <c r="AM238" s="134"/>
      <c r="AN238" s="10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1"/>
    </row>
    <row r="239" spans="1:51" x14ac:dyDescent="0.2">
      <c r="A239" s="33">
        <f t="shared" si="4"/>
        <v>234</v>
      </c>
      <c r="B239" s="34" t="s">
        <v>1968</v>
      </c>
      <c r="C239" s="35" t="s">
        <v>1969</v>
      </c>
      <c r="D239" s="36" t="s">
        <v>1970</v>
      </c>
      <c r="E239" s="36" t="s">
        <v>54</v>
      </c>
      <c r="F239" s="34" t="s">
        <v>1971</v>
      </c>
      <c r="G239" s="37" t="s">
        <v>73</v>
      </c>
      <c r="H239" s="37" t="s">
        <v>73</v>
      </c>
      <c r="I239" s="38" t="s">
        <v>1972</v>
      </c>
      <c r="J239" s="34" t="s">
        <v>41</v>
      </c>
      <c r="K239" s="39" t="s">
        <v>42</v>
      </c>
      <c r="L239" s="120">
        <v>45143</v>
      </c>
      <c r="M239" s="41"/>
      <c r="N239" s="41"/>
      <c r="O239" s="41"/>
      <c r="P239" s="41"/>
      <c r="Q239" s="41"/>
      <c r="R239" s="41"/>
      <c r="S239" s="41"/>
      <c r="T239" s="41" t="s">
        <v>44</v>
      </c>
      <c r="U239" s="41"/>
      <c r="V239" s="41"/>
      <c r="W239" s="41"/>
      <c r="X239" s="38" t="s">
        <v>1973</v>
      </c>
      <c r="Y239" s="43" t="s">
        <v>1974</v>
      </c>
      <c r="Z239" s="44"/>
      <c r="AA239" s="45" t="s">
        <v>47</v>
      </c>
      <c r="AB239" s="101"/>
      <c r="AC239" s="36"/>
      <c r="AD239" s="47" t="s">
        <v>49</v>
      </c>
      <c r="AE239" s="48" t="s">
        <v>41</v>
      </c>
      <c r="AF239" s="48" t="s">
        <v>41</v>
      </c>
      <c r="AG239" s="48" t="s">
        <v>41</v>
      </c>
      <c r="AH239" s="48" t="s">
        <v>49</v>
      </c>
      <c r="AI239" s="48" t="s">
        <v>49</v>
      </c>
      <c r="AJ239" s="49" t="s">
        <v>49</v>
      </c>
      <c r="AK239" s="48" t="s">
        <v>41</v>
      </c>
      <c r="AL239" s="62" t="s">
        <v>148</v>
      </c>
      <c r="AM239" s="134"/>
      <c r="AN239" s="10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1"/>
    </row>
    <row r="240" spans="1:51" x14ac:dyDescent="0.2">
      <c r="A240" s="33">
        <f t="shared" si="4"/>
        <v>235</v>
      </c>
      <c r="B240" s="34" t="s">
        <v>1975</v>
      </c>
      <c r="C240" s="35" t="s">
        <v>1976</v>
      </c>
      <c r="D240" s="36" t="s">
        <v>1977</v>
      </c>
      <c r="E240" s="36" t="s">
        <v>54</v>
      </c>
      <c r="F240" s="34" t="s">
        <v>1978</v>
      </c>
      <c r="G240" s="37" t="s">
        <v>205</v>
      </c>
      <c r="H240" s="37" t="s">
        <v>205</v>
      </c>
      <c r="I240" s="38" t="s">
        <v>1979</v>
      </c>
      <c r="J240" s="34" t="s">
        <v>41</v>
      </c>
      <c r="K240" s="39" t="s">
        <v>42</v>
      </c>
      <c r="L240" s="120">
        <v>45357</v>
      </c>
      <c r="M240" s="112" t="s">
        <v>179</v>
      </c>
      <c r="N240" s="112" t="s">
        <v>179</v>
      </c>
      <c r="O240" s="112"/>
      <c r="P240" s="112"/>
      <c r="Q240" s="112" t="s">
        <v>179</v>
      </c>
      <c r="R240" s="112"/>
      <c r="S240" s="112"/>
      <c r="T240" s="41"/>
      <c r="U240" s="41" t="s">
        <v>44</v>
      </c>
      <c r="V240" s="41"/>
      <c r="W240" s="41"/>
      <c r="X240" s="54" t="s">
        <v>1980</v>
      </c>
      <c r="Y240" s="43" t="s">
        <v>1981</v>
      </c>
      <c r="Z240" s="44"/>
      <c r="AA240" s="45"/>
      <c r="AB240" s="101"/>
      <c r="AC240" s="36"/>
      <c r="AD240" s="47" t="s">
        <v>49</v>
      </c>
      <c r="AE240" s="48" t="s">
        <v>41</v>
      </c>
      <c r="AF240" s="48" t="s">
        <v>41</v>
      </c>
      <c r="AG240" s="48" t="s">
        <v>41</v>
      </c>
      <c r="AH240" s="48" t="s">
        <v>41</v>
      </c>
      <c r="AI240" s="48" t="s">
        <v>49</v>
      </c>
      <c r="AJ240" s="49" t="s">
        <v>41</v>
      </c>
      <c r="AK240" s="48" t="s">
        <v>41</v>
      </c>
      <c r="AL240" s="62" t="s">
        <v>276</v>
      </c>
      <c r="AM240" s="59"/>
      <c r="AN240" s="10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1"/>
    </row>
    <row r="241" spans="1:51" x14ac:dyDescent="0.2">
      <c r="A241" s="33">
        <f t="shared" si="4"/>
        <v>236</v>
      </c>
      <c r="B241" s="122" t="s">
        <v>1982</v>
      </c>
      <c r="C241" s="123" t="s">
        <v>1983</v>
      </c>
      <c r="D241" s="202" t="s">
        <v>1984</v>
      </c>
      <c r="E241" s="36" t="s">
        <v>54</v>
      </c>
      <c r="F241" s="122" t="s">
        <v>1985</v>
      </c>
      <c r="G241" s="126" t="s">
        <v>73</v>
      </c>
      <c r="H241" s="126" t="s">
        <v>73</v>
      </c>
      <c r="I241" s="122" t="s">
        <v>1986</v>
      </c>
      <c r="J241" s="127" t="s">
        <v>1987</v>
      </c>
      <c r="K241" s="128" t="s">
        <v>42</v>
      </c>
      <c r="L241" s="194">
        <v>42465</v>
      </c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42" t="s">
        <v>1988</v>
      </c>
      <c r="Y241" s="58" t="s">
        <v>1989</v>
      </c>
      <c r="Z241" s="119" t="s">
        <v>1990</v>
      </c>
      <c r="AA241" s="45">
        <v>42935</v>
      </c>
      <c r="AB241" s="191" t="s">
        <v>30</v>
      </c>
      <c r="AC241" s="36" t="s">
        <v>26</v>
      </c>
      <c r="AD241" s="133" t="s">
        <v>49</v>
      </c>
      <c r="AE241" s="48" t="s">
        <v>49</v>
      </c>
      <c r="AF241" s="48" t="s">
        <v>49</v>
      </c>
      <c r="AG241" s="48" t="s">
        <v>49</v>
      </c>
      <c r="AH241" s="48" t="s">
        <v>49</v>
      </c>
      <c r="AI241" s="48" t="s">
        <v>41</v>
      </c>
      <c r="AJ241" s="49" t="s">
        <v>41</v>
      </c>
      <c r="AK241" s="48" t="s">
        <v>41</v>
      </c>
      <c r="AL241" s="62" t="s">
        <v>4589</v>
      </c>
      <c r="AM241" s="134"/>
      <c r="AN241" s="117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1"/>
    </row>
    <row r="242" spans="1:51" x14ac:dyDescent="0.2">
      <c r="A242" s="33">
        <f t="shared" si="4"/>
        <v>237</v>
      </c>
      <c r="B242" s="122" t="s">
        <v>1991</v>
      </c>
      <c r="C242" s="123" t="s">
        <v>1992</v>
      </c>
      <c r="D242" s="202" t="s">
        <v>1993</v>
      </c>
      <c r="E242" s="36" t="s">
        <v>36</v>
      </c>
      <c r="F242" s="122" t="s">
        <v>1994</v>
      </c>
      <c r="G242" s="126" t="s">
        <v>73</v>
      </c>
      <c r="H242" s="126" t="s">
        <v>73</v>
      </c>
      <c r="I242" s="122" t="s">
        <v>1995</v>
      </c>
      <c r="J242" s="122" t="s">
        <v>1996</v>
      </c>
      <c r="K242" s="128" t="s">
        <v>42</v>
      </c>
      <c r="L242" s="99" t="s">
        <v>1997</v>
      </c>
      <c r="M242" s="115" t="s">
        <v>179</v>
      </c>
      <c r="N242" s="115" t="s">
        <v>179</v>
      </c>
      <c r="O242" s="115" t="s">
        <v>1878</v>
      </c>
      <c r="P242" s="115"/>
      <c r="Q242" s="115"/>
      <c r="R242" s="115"/>
      <c r="S242" s="115"/>
      <c r="T242" s="56"/>
      <c r="U242" s="56"/>
      <c r="V242" s="56" t="s">
        <v>732</v>
      </c>
      <c r="W242" s="56"/>
      <c r="X242" s="42" t="s">
        <v>1998</v>
      </c>
      <c r="Y242" s="52" t="s">
        <v>1999</v>
      </c>
      <c r="Z242" s="208" t="s">
        <v>2000</v>
      </c>
      <c r="AA242" s="45">
        <v>44650</v>
      </c>
      <c r="AB242" s="101" t="s">
        <v>30</v>
      </c>
      <c r="AC242" s="36" t="s">
        <v>26</v>
      </c>
      <c r="AD242" s="133" t="s">
        <v>49</v>
      </c>
      <c r="AE242" s="48" t="s">
        <v>49</v>
      </c>
      <c r="AF242" s="48" t="s">
        <v>49</v>
      </c>
      <c r="AG242" s="48" t="s">
        <v>49</v>
      </c>
      <c r="AH242" s="48" t="s">
        <v>49</v>
      </c>
      <c r="AI242" s="48" t="s">
        <v>49</v>
      </c>
      <c r="AJ242" s="49" t="s">
        <v>49</v>
      </c>
      <c r="AK242" s="48" t="s">
        <v>49</v>
      </c>
      <c r="AL242" s="65" t="s">
        <v>32</v>
      </c>
      <c r="AM242" s="134"/>
      <c r="AN242" s="10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1"/>
    </row>
    <row r="243" spans="1:51" x14ac:dyDescent="0.2">
      <c r="A243" s="33">
        <f t="shared" si="4"/>
        <v>238</v>
      </c>
      <c r="B243" s="122" t="s">
        <v>2001</v>
      </c>
      <c r="C243" s="123" t="s">
        <v>2002</v>
      </c>
      <c r="D243" s="202" t="s">
        <v>2003</v>
      </c>
      <c r="E243" s="36" t="s">
        <v>36</v>
      </c>
      <c r="F243" s="122" t="s">
        <v>2004</v>
      </c>
      <c r="G243" s="126" t="s">
        <v>176</v>
      </c>
      <c r="H243" s="126" t="s">
        <v>39</v>
      </c>
      <c r="I243" s="127" t="s">
        <v>2005</v>
      </c>
      <c r="J243" s="122" t="s">
        <v>41</v>
      </c>
      <c r="K243" s="128" t="s">
        <v>42</v>
      </c>
      <c r="L243" s="120">
        <v>45740</v>
      </c>
      <c r="M243" s="56" t="s">
        <v>179</v>
      </c>
      <c r="N243" s="56" t="s">
        <v>179</v>
      </c>
      <c r="O243" s="56" t="s">
        <v>342</v>
      </c>
      <c r="P243" s="56"/>
      <c r="Q243" s="56"/>
      <c r="R243" s="56"/>
      <c r="S243" s="56"/>
      <c r="T243" s="56"/>
      <c r="U243" s="56"/>
      <c r="V243" s="56" t="s">
        <v>44</v>
      </c>
      <c r="W243" s="130"/>
      <c r="X243" s="127" t="s">
        <v>2006</v>
      </c>
      <c r="Y243" s="43" t="s">
        <v>2007</v>
      </c>
      <c r="Z243" s="208"/>
      <c r="AA243" s="45"/>
      <c r="AB243" s="101"/>
      <c r="AC243" s="36"/>
      <c r="AD243" s="133" t="s">
        <v>49</v>
      </c>
      <c r="AE243" s="48" t="s">
        <v>41</v>
      </c>
      <c r="AF243" s="48" t="s">
        <v>41</v>
      </c>
      <c r="AG243" s="48" t="s">
        <v>41</v>
      </c>
      <c r="AH243" s="48" t="s">
        <v>41</v>
      </c>
      <c r="AI243" s="48" t="s">
        <v>41</v>
      </c>
      <c r="AJ243" s="49" t="s">
        <v>49</v>
      </c>
      <c r="AK243" s="48" t="s">
        <v>49</v>
      </c>
      <c r="AL243" s="65" t="s">
        <v>32</v>
      </c>
      <c r="AM243" s="134"/>
      <c r="AN243" s="10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2"/>
      <c r="AY243" s="31"/>
    </row>
    <row r="244" spans="1:51" x14ac:dyDescent="0.2">
      <c r="A244" s="33">
        <f t="shared" si="4"/>
        <v>239</v>
      </c>
      <c r="B244" s="34" t="s">
        <v>2008</v>
      </c>
      <c r="C244" s="35" t="s">
        <v>2009</v>
      </c>
      <c r="D244" s="36" t="s">
        <v>2010</v>
      </c>
      <c r="E244" s="36" t="s">
        <v>54</v>
      </c>
      <c r="F244" s="34" t="s">
        <v>2011</v>
      </c>
      <c r="G244" s="37" t="s">
        <v>73</v>
      </c>
      <c r="H244" s="37" t="s">
        <v>73</v>
      </c>
      <c r="I244" s="34" t="s">
        <v>2012</v>
      </c>
      <c r="J244" s="34" t="s">
        <v>41</v>
      </c>
      <c r="K244" s="39" t="s">
        <v>42</v>
      </c>
      <c r="L244" s="99" t="s">
        <v>2013</v>
      </c>
      <c r="M244" s="56" t="s">
        <v>179</v>
      </c>
      <c r="N244" s="56"/>
      <c r="O244" s="56"/>
      <c r="P244" s="56"/>
      <c r="Q244" s="56"/>
      <c r="R244" s="56"/>
      <c r="S244" s="56"/>
      <c r="T244" s="56"/>
      <c r="U244" s="56"/>
      <c r="V244" s="56" t="s">
        <v>732</v>
      </c>
      <c r="W244" s="186"/>
      <c r="X244" s="209" t="s">
        <v>2014</v>
      </c>
      <c r="Y244" s="52" t="s">
        <v>2015</v>
      </c>
      <c r="Z244" s="44" t="s">
        <v>61</v>
      </c>
      <c r="AA244" s="45">
        <v>38593</v>
      </c>
      <c r="AB244" s="101" t="s">
        <v>30</v>
      </c>
      <c r="AC244" s="36" t="s">
        <v>26</v>
      </c>
      <c r="AD244" s="47" t="s">
        <v>49</v>
      </c>
      <c r="AE244" s="48" t="s">
        <v>49</v>
      </c>
      <c r="AF244" s="48" t="s">
        <v>49</v>
      </c>
      <c r="AG244" s="48" t="s">
        <v>49</v>
      </c>
      <c r="AH244" s="48" t="s">
        <v>49</v>
      </c>
      <c r="AI244" s="48" t="s">
        <v>49</v>
      </c>
      <c r="AJ244" s="49" t="s">
        <v>49</v>
      </c>
      <c r="AK244" s="48" t="s">
        <v>49</v>
      </c>
      <c r="AL244" s="65" t="s">
        <v>32</v>
      </c>
      <c r="AM244" s="59"/>
      <c r="AN244" s="10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2"/>
      <c r="AY244" s="210"/>
    </row>
    <row r="245" spans="1:51" x14ac:dyDescent="0.2">
      <c r="A245" s="33">
        <f t="shared" si="4"/>
        <v>240</v>
      </c>
      <c r="B245" s="107" t="s">
        <v>2016</v>
      </c>
      <c r="C245" s="35" t="s">
        <v>2017</v>
      </c>
      <c r="D245" s="36" t="s">
        <v>2018</v>
      </c>
      <c r="E245" s="36" t="s">
        <v>54</v>
      </c>
      <c r="F245" s="185" t="s">
        <v>2019</v>
      </c>
      <c r="G245" s="37" t="s">
        <v>176</v>
      </c>
      <c r="H245" s="37" t="s">
        <v>39</v>
      </c>
      <c r="I245" s="34" t="s">
        <v>2020</v>
      </c>
      <c r="J245" s="34" t="s">
        <v>41</v>
      </c>
      <c r="K245" s="39" t="s">
        <v>42</v>
      </c>
      <c r="L245" s="120">
        <v>41187</v>
      </c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42" t="s">
        <v>2021</v>
      </c>
      <c r="Y245" s="58" t="s">
        <v>2022</v>
      </c>
      <c r="Z245" s="44" t="s">
        <v>61</v>
      </c>
      <c r="AA245" s="45">
        <v>36641</v>
      </c>
      <c r="AB245" s="101" t="s">
        <v>30</v>
      </c>
      <c r="AC245" s="36" t="s">
        <v>26</v>
      </c>
      <c r="AD245" s="47" t="s">
        <v>49</v>
      </c>
      <c r="AE245" s="48" t="s">
        <v>49</v>
      </c>
      <c r="AF245" s="48" t="s">
        <v>49</v>
      </c>
      <c r="AG245" s="48" t="s">
        <v>41</v>
      </c>
      <c r="AH245" s="48" t="s">
        <v>41</v>
      </c>
      <c r="AI245" s="48" t="s">
        <v>41</v>
      </c>
      <c r="AJ245" s="49" t="s">
        <v>41</v>
      </c>
      <c r="AK245" s="48" t="s">
        <v>41</v>
      </c>
      <c r="AL245" s="62" t="s">
        <v>110</v>
      </c>
      <c r="AM245" s="59"/>
      <c r="AN245" s="117"/>
      <c r="AO245" s="3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1"/>
    </row>
    <row r="246" spans="1:51" x14ac:dyDescent="0.2">
      <c r="A246" s="33">
        <f t="shared" si="4"/>
        <v>241</v>
      </c>
      <c r="B246" s="108" t="s">
        <v>2023</v>
      </c>
      <c r="C246" s="35" t="s">
        <v>2024</v>
      </c>
      <c r="D246" s="36" t="s">
        <v>2025</v>
      </c>
      <c r="E246" s="36" t="s">
        <v>36</v>
      </c>
      <c r="F246" s="108" t="s">
        <v>2026</v>
      </c>
      <c r="G246" s="37" t="s">
        <v>73</v>
      </c>
      <c r="H246" s="37" t="s">
        <v>73</v>
      </c>
      <c r="I246" s="34" t="s">
        <v>2027</v>
      </c>
      <c r="J246" s="34" t="s">
        <v>2028</v>
      </c>
      <c r="K246" s="39" t="s">
        <v>42</v>
      </c>
      <c r="L246" s="120">
        <v>41918</v>
      </c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42" t="s">
        <v>2029</v>
      </c>
      <c r="Y246" s="58" t="s">
        <v>2030</v>
      </c>
      <c r="Z246" s="44" t="s">
        <v>2031</v>
      </c>
      <c r="AA246" s="45">
        <v>42325</v>
      </c>
      <c r="AB246" s="101" t="s">
        <v>30</v>
      </c>
      <c r="AC246" s="36" t="s">
        <v>26</v>
      </c>
      <c r="AD246" s="47" t="s">
        <v>49</v>
      </c>
      <c r="AE246" s="48" t="s">
        <v>49</v>
      </c>
      <c r="AF246" s="48" t="s">
        <v>49</v>
      </c>
      <c r="AG246" s="48" t="s">
        <v>49</v>
      </c>
      <c r="AH246" s="48" t="s">
        <v>49</v>
      </c>
      <c r="AI246" s="48" t="s">
        <v>49</v>
      </c>
      <c r="AJ246" s="49" t="s">
        <v>49</v>
      </c>
      <c r="AK246" s="48" t="s">
        <v>49</v>
      </c>
      <c r="AL246" s="62" t="s">
        <v>32</v>
      </c>
      <c r="AM246" s="59"/>
      <c r="AN246" s="10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1"/>
    </row>
    <row r="247" spans="1:51" x14ac:dyDescent="0.2">
      <c r="A247" s="33">
        <f t="shared" si="4"/>
        <v>242</v>
      </c>
      <c r="B247" s="34" t="s">
        <v>2032</v>
      </c>
      <c r="C247" s="35" t="s">
        <v>2033</v>
      </c>
      <c r="D247" s="36" t="s">
        <v>2034</v>
      </c>
      <c r="E247" s="36" t="s">
        <v>54</v>
      </c>
      <c r="F247" s="185" t="s">
        <v>2035</v>
      </c>
      <c r="G247" s="37" t="s">
        <v>73</v>
      </c>
      <c r="H247" s="37" t="s">
        <v>73</v>
      </c>
      <c r="I247" s="34" t="s">
        <v>2036</v>
      </c>
      <c r="J247" s="136" t="s">
        <v>2036</v>
      </c>
      <c r="K247" s="39" t="s">
        <v>42</v>
      </c>
      <c r="L247" s="99" t="s">
        <v>2037</v>
      </c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42" t="s">
        <v>2038</v>
      </c>
      <c r="Y247" s="58" t="s">
        <v>2039</v>
      </c>
      <c r="Z247" s="44" t="s">
        <v>61</v>
      </c>
      <c r="AA247" s="45">
        <v>40815</v>
      </c>
      <c r="AB247" s="101" t="s">
        <v>30</v>
      </c>
      <c r="AC247" s="36" t="s">
        <v>26</v>
      </c>
      <c r="AD247" s="61" t="s">
        <v>49</v>
      </c>
      <c r="AE247" s="48" t="s">
        <v>49</v>
      </c>
      <c r="AF247" s="48" t="s">
        <v>49</v>
      </c>
      <c r="AG247" s="48" t="s">
        <v>49</v>
      </c>
      <c r="AH247" s="48" t="s">
        <v>49</v>
      </c>
      <c r="AI247" s="48" t="s">
        <v>49</v>
      </c>
      <c r="AJ247" s="49" t="s">
        <v>49</v>
      </c>
      <c r="AK247" s="48" t="s">
        <v>49</v>
      </c>
      <c r="AL247" s="62" t="s">
        <v>32</v>
      </c>
      <c r="AM247" s="59"/>
      <c r="AN247" s="10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2"/>
      <c r="AY247" s="31"/>
    </row>
    <row r="248" spans="1:51" x14ac:dyDescent="0.2">
      <c r="A248" s="33">
        <f t="shared" si="4"/>
        <v>243</v>
      </c>
      <c r="B248" s="34" t="s">
        <v>2040</v>
      </c>
      <c r="C248" s="35" t="s">
        <v>2041</v>
      </c>
      <c r="D248" s="36" t="s">
        <v>2042</v>
      </c>
      <c r="E248" s="36" t="s">
        <v>241</v>
      </c>
      <c r="F248" s="34" t="s">
        <v>2043</v>
      </c>
      <c r="G248" s="37" t="s">
        <v>73</v>
      </c>
      <c r="H248" s="37" t="s">
        <v>73</v>
      </c>
      <c r="I248" s="34" t="s">
        <v>1445</v>
      </c>
      <c r="J248" s="34" t="s">
        <v>1445</v>
      </c>
      <c r="K248" s="39" t="s">
        <v>42</v>
      </c>
      <c r="L248" s="120">
        <v>31054</v>
      </c>
      <c r="M248" s="41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42" t="s">
        <v>2044</v>
      </c>
      <c r="Y248" s="58" t="s">
        <v>2045</v>
      </c>
      <c r="Z248" s="44" t="s">
        <v>61</v>
      </c>
      <c r="AA248" s="45">
        <v>40815</v>
      </c>
      <c r="AB248" s="101" t="s">
        <v>30</v>
      </c>
      <c r="AC248" s="36" t="s">
        <v>26</v>
      </c>
      <c r="AD248" s="47" t="s">
        <v>49</v>
      </c>
      <c r="AE248" s="48" t="s">
        <v>49</v>
      </c>
      <c r="AF248" s="48" t="s">
        <v>49</v>
      </c>
      <c r="AG248" s="48" t="s">
        <v>41</v>
      </c>
      <c r="AH248" s="48" t="s">
        <v>41</v>
      </c>
      <c r="AI248" s="48" t="s">
        <v>41</v>
      </c>
      <c r="AJ248" s="49" t="s">
        <v>41</v>
      </c>
      <c r="AK248" s="48" t="s">
        <v>41</v>
      </c>
      <c r="AL248" s="62" t="s">
        <v>110</v>
      </c>
      <c r="AM248" s="59"/>
      <c r="AN248" s="10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1"/>
    </row>
    <row r="249" spans="1:51" x14ac:dyDescent="0.2">
      <c r="A249" s="33">
        <f t="shared" si="4"/>
        <v>244</v>
      </c>
      <c r="B249" s="34" t="s">
        <v>2046</v>
      </c>
      <c r="C249" s="35" t="s">
        <v>2047</v>
      </c>
      <c r="D249" s="36" t="s">
        <v>2048</v>
      </c>
      <c r="E249" s="36" t="s">
        <v>54</v>
      </c>
      <c r="F249" s="34" t="s">
        <v>2049</v>
      </c>
      <c r="G249" s="37" t="s">
        <v>73</v>
      </c>
      <c r="H249" s="37" t="s">
        <v>73</v>
      </c>
      <c r="I249" s="34" t="s">
        <v>2050</v>
      </c>
      <c r="J249" s="34" t="s">
        <v>2051</v>
      </c>
      <c r="K249" s="39" t="s">
        <v>986</v>
      </c>
      <c r="L249" s="99" t="s">
        <v>2052</v>
      </c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42" t="s">
        <v>2053</v>
      </c>
      <c r="Y249" s="58" t="s">
        <v>2054</v>
      </c>
      <c r="Z249" s="44" t="s">
        <v>2055</v>
      </c>
      <c r="AA249" s="45">
        <v>42325</v>
      </c>
      <c r="AB249" s="101" t="s">
        <v>30</v>
      </c>
      <c r="AC249" s="36"/>
      <c r="AD249" s="66" t="s">
        <v>130</v>
      </c>
      <c r="AE249" s="48" t="s">
        <v>41</v>
      </c>
      <c r="AF249" s="48" t="s">
        <v>41</v>
      </c>
      <c r="AG249" s="48" t="s">
        <v>41</v>
      </c>
      <c r="AH249" s="48" t="s">
        <v>41</v>
      </c>
      <c r="AI249" s="48" t="s">
        <v>41</v>
      </c>
      <c r="AJ249" s="49" t="s">
        <v>41</v>
      </c>
      <c r="AK249" s="48" t="s">
        <v>41</v>
      </c>
      <c r="AL249" s="65" t="s">
        <v>4588</v>
      </c>
      <c r="AM249" s="59"/>
      <c r="AN249" s="10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1"/>
    </row>
    <row r="250" spans="1:51" ht="15" customHeight="1" x14ac:dyDescent="0.2">
      <c r="A250" s="33">
        <f t="shared" si="4"/>
        <v>245</v>
      </c>
      <c r="B250" s="34" t="s">
        <v>2056</v>
      </c>
      <c r="C250" s="35" t="s">
        <v>2057</v>
      </c>
      <c r="D250" s="36" t="s">
        <v>2058</v>
      </c>
      <c r="E250" s="36" t="s">
        <v>54</v>
      </c>
      <c r="F250" s="34" t="s">
        <v>2059</v>
      </c>
      <c r="G250" s="37" t="s">
        <v>350</v>
      </c>
      <c r="H250" s="37" t="s">
        <v>350</v>
      </c>
      <c r="I250" s="38" t="s">
        <v>2060</v>
      </c>
      <c r="J250" s="34" t="s">
        <v>41</v>
      </c>
      <c r="K250" s="39" t="s">
        <v>42</v>
      </c>
      <c r="L250" s="120">
        <v>44568</v>
      </c>
      <c r="M250" s="56"/>
      <c r="N250" s="56"/>
      <c r="O250" s="56"/>
      <c r="P250" s="56"/>
      <c r="Q250" s="56"/>
      <c r="R250" s="56"/>
      <c r="S250" s="56" t="s">
        <v>44</v>
      </c>
      <c r="T250" s="56"/>
      <c r="U250" s="56"/>
      <c r="V250" s="56"/>
      <c r="W250" s="56"/>
      <c r="X250" s="42" t="s">
        <v>2061</v>
      </c>
      <c r="Y250" s="58" t="s">
        <v>2062</v>
      </c>
      <c r="Z250" s="211" t="s">
        <v>2063</v>
      </c>
      <c r="AA250" s="45">
        <v>44944</v>
      </c>
      <c r="AB250" s="101" t="s">
        <v>30</v>
      </c>
      <c r="AC250" s="36"/>
      <c r="AD250" s="61" t="s">
        <v>49</v>
      </c>
      <c r="AE250" s="48" t="s">
        <v>41</v>
      </c>
      <c r="AF250" s="48" t="s">
        <v>41</v>
      </c>
      <c r="AG250" s="48" t="s">
        <v>49</v>
      </c>
      <c r="AH250" s="48" t="s">
        <v>49</v>
      </c>
      <c r="AI250" s="48" t="s">
        <v>49</v>
      </c>
      <c r="AJ250" s="49" t="s">
        <v>49</v>
      </c>
      <c r="AK250" s="48" t="s">
        <v>49</v>
      </c>
      <c r="AL250" s="62" t="s">
        <v>32</v>
      </c>
      <c r="AM250" s="59"/>
      <c r="AN250" s="10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1"/>
    </row>
    <row r="251" spans="1:51" ht="15" customHeight="1" x14ac:dyDescent="0.2">
      <c r="A251" s="33">
        <f t="shared" si="4"/>
        <v>246</v>
      </c>
      <c r="B251" s="34" t="s">
        <v>2064</v>
      </c>
      <c r="C251" s="35" t="s">
        <v>2065</v>
      </c>
      <c r="D251" s="36" t="s">
        <v>2066</v>
      </c>
      <c r="E251" s="36" t="s">
        <v>54</v>
      </c>
      <c r="F251" s="98" t="s">
        <v>2067</v>
      </c>
      <c r="G251" s="37" t="s">
        <v>39</v>
      </c>
      <c r="H251" s="37" t="s">
        <v>39</v>
      </c>
      <c r="I251" s="34" t="s">
        <v>2068</v>
      </c>
      <c r="J251" s="34" t="s">
        <v>2068</v>
      </c>
      <c r="K251" s="39" t="s">
        <v>42</v>
      </c>
      <c r="L251" s="120">
        <v>42254</v>
      </c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42" t="s">
        <v>2069</v>
      </c>
      <c r="Y251" s="58" t="s">
        <v>2070</v>
      </c>
      <c r="Z251" s="44" t="s">
        <v>2071</v>
      </c>
      <c r="AA251" s="45">
        <v>42325</v>
      </c>
      <c r="AB251" s="101" t="s">
        <v>30</v>
      </c>
      <c r="AC251" s="73" t="s">
        <v>26</v>
      </c>
      <c r="AD251" s="47" t="s">
        <v>49</v>
      </c>
      <c r="AE251" s="48" t="s">
        <v>49</v>
      </c>
      <c r="AF251" s="48" t="s">
        <v>49</v>
      </c>
      <c r="AG251" s="48" t="s">
        <v>49</v>
      </c>
      <c r="AH251" s="48" t="s">
        <v>49</v>
      </c>
      <c r="AI251" s="48" t="s">
        <v>49</v>
      </c>
      <c r="AJ251" s="49" t="s">
        <v>49</v>
      </c>
      <c r="AK251" s="48" t="s">
        <v>41</v>
      </c>
      <c r="AL251" s="65" t="s">
        <v>148</v>
      </c>
      <c r="AM251" s="59"/>
      <c r="AN251" s="10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1"/>
    </row>
    <row r="252" spans="1:51" ht="15" customHeight="1" x14ac:dyDescent="0.2">
      <c r="A252" s="33">
        <f t="shared" si="4"/>
        <v>247</v>
      </c>
      <c r="B252" s="34" t="s">
        <v>2072</v>
      </c>
      <c r="C252" s="35" t="s">
        <v>2073</v>
      </c>
      <c r="D252" s="36" t="s">
        <v>2074</v>
      </c>
      <c r="E252" s="36" t="s">
        <v>54</v>
      </c>
      <c r="F252" s="34" t="s">
        <v>2075</v>
      </c>
      <c r="G252" s="37" t="s">
        <v>205</v>
      </c>
      <c r="H252" s="37" t="s">
        <v>205</v>
      </c>
      <c r="I252" s="38" t="s">
        <v>2076</v>
      </c>
      <c r="J252" s="34" t="s">
        <v>41</v>
      </c>
      <c r="K252" s="39" t="s">
        <v>42</v>
      </c>
      <c r="L252" s="120" t="s">
        <v>2077</v>
      </c>
      <c r="M252" s="41"/>
      <c r="N252" s="41"/>
      <c r="O252" s="41"/>
      <c r="P252" s="41"/>
      <c r="Q252" s="41"/>
      <c r="R252" s="41"/>
      <c r="S252" s="41" t="s">
        <v>44</v>
      </c>
      <c r="T252" s="41"/>
      <c r="U252" s="41"/>
      <c r="V252" s="41"/>
      <c r="W252" s="41"/>
      <c r="X252" s="42" t="s">
        <v>2078</v>
      </c>
      <c r="Y252" s="58" t="s">
        <v>2079</v>
      </c>
      <c r="Z252" s="211" t="s">
        <v>2080</v>
      </c>
      <c r="AA252" s="45">
        <v>44944</v>
      </c>
      <c r="AB252" s="101" t="s">
        <v>30</v>
      </c>
      <c r="AC252" s="36"/>
      <c r="AD252" s="47" t="s">
        <v>49</v>
      </c>
      <c r="AE252" s="48" t="s">
        <v>41</v>
      </c>
      <c r="AF252" s="48" t="s">
        <v>41</v>
      </c>
      <c r="AG252" s="48" t="s">
        <v>49</v>
      </c>
      <c r="AH252" s="48" t="s">
        <v>49</v>
      </c>
      <c r="AI252" s="48" t="s">
        <v>49</v>
      </c>
      <c r="AJ252" s="49" t="s">
        <v>49</v>
      </c>
      <c r="AK252" s="48" t="s">
        <v>49</v>
      </c>
      <c r="AL252" s="62" t="s">
        <v>32</v>
      </c>
      <c r="AM252" s="59"/>
      <c r="AN252" s="10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1"/>
    </row>
    <row r="253" spans="1:51" ht="15" customHeight="1" x14ac:dyDescent="0.2">
      <c r="A253" s="33">
        <f t="shared" si="4"/>
        <v>248</v>
      </c>
      <c r="B253" s="34" t="s">
        <v>2081</v>
      </c>
      <c r="C253" s="35" t="s">
        <v>2082</v>
      </c>
      <c r="D253" s="36" t="s">
        <v>2083</v>
      </c>
      <c r="E253" s="36" t="s">
        <v>54</v>
      </c>
      <c r="F253" s="34" t="s">
        <v>2084</v>
      </c>
      <c r="G253" s="37" t="s">
        <v>377</v>
      </c>
      <c r="H253" s="37" t="s">
        <v>378</v>
      </c>
      <c r="I253" s="212" t="s">
        <v>2085</v>
      </c>
      <c r="J253" s="34" t="s">
        <v>41</v>
      </c>
      <c r="K253" s="39" t="s">
        <v>42</v>
      </c>
      <c r="L253" s="120">
        <v>36528</v>
      </c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2" t="s">
        <v>2086</v>
      </c>
      <c r="Y253" s="83" t="s">
        <v>2087</v>
      </c>
      <c r="Z253" s="44"/>
      <c r="AA253" s="45">
        <v>45642</v>
      </c>
      <c r="AB253" s="101"/>
      <c r="AC253" s="36" t="s">
        <v>26</v>
      </c>
      <c r="AD253" s="47" t="s">
        <v>49</v>
      </c>
      <c r="AE253" s="48" t="s">
        <v>49</v>
      </c>
      <c r="AF253" s="48" t="s">
        <v>49</v>
      </c>
      <c r="AG253" s="48" t="s">
        <v>49</v>
      </c>
      <c r="AH253" s="48" t="s">
        <v>41</v>
      </c>
      <c r="AI253" s="48" t="s">
        <v>41</v>
      </c>
      <c r="AJ253" s="49" t="s">
        <v>41</v>
      </c>
      <c r="AK253" s="48" t="s">
        <v>41</v>
      </c>
      <c r="AL253" s="65" t="s">
        <v>139</v>
      </c>
      <c r="AM253" s="59"/>
      <c r="AN253" s="10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1"/>
    </row>
    <row r="254" spans="1:51" ht="15" customHeight="1" x14ac:dyDescent="0.2">
      <c r="A254" s="33">
        <f t="shared" si="4"/>
        <v>249</v>
      </c>
      <c r="B254" s="34" t="s">
        <v>2088</v>
      </c>
      <c r="C254" s="35" t="s">
        <v>2089</v>
      </c>
      <c r="D254" s="36" t="s">
        <v>2090</v>
      </c>
      <c r="E254" s="36" t="s">
        <v>54</v>
      </c>
      <c r="F254" s="34" t="s">
        <v>2091</v>
      </c>
      <c r="G254" s="37" t="s">
        <v>323</v>
      </c>
      <c r="H254" s="37" t="s">
        <v>39</v>
      </c>
      <c r="I254" s="38" t="s">
        <v>2092</v>
      </c>
      <c r="J254" s="34" t="s">
        <v>41</v>
      </c>
      <c r="K254" s="39" t="s">
        <v>42</v>
      </c>
      <c r="L254" s="120" t="s">
        <v>2093</v>
      </c>
      <c r="M254" s="41"/>
      <c r="N254" s="41"/>
      <c r="O254" s="41"/>
      <c r="P254" s="41"/>
      <c r="Q254" s="41"/>
      <c r="R254" s="41"/>
      <c r="S254" s="41" t="s">
        <v>44</v>
      </c>
      <c r="T254" s="41"/>
      <c r="U254" s="41"/>
      <c r="V254" s="41"/>
      <c r="W254" s="41"/>
      <c r="X254" s="42" t="s">
        <v>2094</v>
      </c>
      <c r="Y254" s="58" t="s">
        <v>2095</v>
      </c>
      <c r="Z254" s="211" t="s">
        <v>2096</v>
      </c>
      <c r="AA254" s="45">
        <v>44944</v>
      </c>
      <c r="AB254" s="101" t="s">
        <v>30</v>
      </c>
      <c r="AC254" s="36"/>
      <c r="AD254" s="47" t="s">
        <v>49</v>
      </c>
      <c r="AE254" s="48" t="s">
        <v>41</v>
      </c>
      <c r="AF254" s="48" t="s">
        <v>41</v>
      </c>
      <c r="AG254" s="48" t="s">
        <v>49</v>
      </c>
      <c r="AH254" s="48" t="s">
        <v>49</v>
      </c>
      <c r="AI254" s="48" t="s">
        <v>49</v>
      </c>
      <c r="AJ254" s="49" t="s">
        <v>49</v>
      </c>
      <c r="AK254" s="48" t="s">
        <v>49</v>
      </c>
      <c r="AL254" s="62" t="s">
        <v>32</v>
      </c>
      <c r="AM254" s="59"/>
      <c r="AN254" s="10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1"/>
    </row>
    <row r="255" spans="1:51" x14ac:dyDescent="0.2">
      <c r="A255" s="33">
        <f t="shared" si="4"/>
        <v>250</v>
      </c>
      <c r="B255" s="34" t="s">
        <v>2097</v>
      </c>
      <c r="C255" s="35" t="s">
        <v>2098</v>
      </c>
      <c r="D255" s="36" t="s">
        <v>2099</v>
      </c>
      <c r="E255" s="36" t="s">
        <v>54</v>
      </c>
      <c r="F255" s="98" t="s">
        <v>2100</v>
      </c>
      <c r="G255" s="37" t="s">
        <v>73</v>
      </c>
      <c r="H255" s="37" t="s">
        <v>73</v>
      </c>
      <c r="I255" s="34" t="s">
        <v>2101</v>
      </c>
      <c r="J255" s="34" t="s">
        <v>2102</v>
      </c>
      <c r="K255" s="39" t="s">
        <v>42</v>
      </c>
      <c r="L255" s="99" t="s">
        <v>2103</v>
      </c>
      <c r="M255" s="112"/>
      <c r="N255" s="112"/>
      <c r="O255" s="112"/>
      <c r="P255" s="112"/>
      <c r="Q255" s="112"/>
      <c r="R255" s="112"/>
      <c r="S255" s="112"/>
      <c r="T255" s="41"/>
      <c r="U255" s="41"/>
      <c r="V255" s="41"/>
      <c r="W255" s="41"/>
      <c r="X255" s="42" t="s">
        <v>2104</v>
      </c>
      <c r="Y255" s="58" t="s">
        <v>2105</v>
      </c>
      <c r="Z255" s="44" t="s">
        <v>2106</v>
      </c>
      <c r="AA255" s="45">
        <v>42325</v>
      </c>
      <c r="AB255" s="101" t="s">
        <v>30</v>
      </c>
      <c r="AC255" s="36" t="s">
        <v>26</v>
      </c>
      <c r="AD255" s="47" t="s">
        <v>49</v>
      </c>
      <c r="AE255" s="48" t="s">
        <v>49</v>
      </c>
      <c r="AF255" s="48" t="s">
        <v>41</v>
      </c>
      <c r="AG255" s="48" t="s">
        <v>41</v>
      </c>
      <c r="AH255" s="48" t="s">
        <v>41</v>
      </c>
      <c r="AI255" s="48" t="s">
        <v>41</v>
      </c>
      <c r="AJ255" s="49" t="s">
        <v>41</v>
      </c>
      <c r="AK255" s="48" t="s">
        <v>41</v>
      </c>
      <c r="AL255" s="62" t="s">
        <v>4587</v>
      </c>
      <c r="AM255" s="59" t="s">
        <v>2107</v>
      </c>
      <c r="AN255" s="117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1"/>
    </row>
    <row r="256" spans="1:51" x14ac:dyDescent="0.2">
      <c r="A256" s="33">
        <f t="shared" si="4"/>
        <v>251</v>
      </c>
      <c r="B256" s="34" t="s">
        <v>2108</v>
      </c>
      <c r="C256" s="35" t="s">
        <v>2109</v>
      </c>
      <c r="D256" s="36" t="s">
        <v>2110</v>
      </c>
      <c r="E256" s="36" t="s">
        <v>36</v>
      </c>
      <c r="F256" s="34" t="s">
        <v>2111</v>
      </c>
      <c r="G256" s="37" t="s">
        <v>73</v>
      </c>
      <c r="H256" s="37" t="s">
        <v>73</v>
      </c>
      <c r="I256" s="34" t="s">
        <v>2112</v>
      </c>
      <c r="J256" s="34" t="s">
        <v>41</v>
      </c>
      <c r="K256" s="39" t="s">
        <v>42</v>
      </c>
      <c r="L256" s="120">
        <v>40004</v>
      </c>
      <c r="M256" s="115"/>
      <c r="N256" s="115"/>
      <c r="O256" s="115"/>
      <c r="P256" s="115"/>
      <c r="Q256" s="115"/>
      <c r="R256" s="115"/>
      <c r="S256" s="115"/>
      <c r="T256" s="56"/>
      <c r="U256" s="56"/>
      <c r="V256" s="56"/>
      <c r="W256" s="56"/>
      <c r="X256" s="42" t="s">
        <v>2113</v>
      </c>
      <c r="Y256" s="58" t="s">
        <v>2114</v>
      </c>
      <c r="Z256" s="84" t="s">
        <v>2115</v>
      </c>
      <c r="AA256" s="45" t="s">
        <v>2116</v>
      </c>
      <c r="AB256" s="101" t="s">
        <v>30</v>
      </c>
      <c r="AC256" s="36" t="s">
        <v>26</v>
      </c>
      <c r="AD256" s="47" t="s">
        <v>49</v>
      </c>
      <c r="AE256" s="48" t="s">
        <v>49</v>
      </c>
      <c r="AF256" s="48" t="s">
        <v>49</v>
      </c>
      <c r="AG256" s="48" t="s">
        <v>49</v>
      </c>
      <c r="AH256" s="48" t="s">
        <v>49</v>
      </c>
      <c r="AI256" s="48" t="s">
        <v>49</v>
      </c>
      <c r="AJ256" s="49" t="s">
        <v>49</v>
      </c>
      <c r="AK256" s="48" t="s">
        <v>41</v>
      </c>
      <c r="AL256" s="213">
        <v>1</v>
      </c>
      <c r="AM256" s="59"/>
      <c r="AN256" s="10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1"/>
    </row>
    <row r="257" spans="1:51" x14ac:dyDescent="0.2">
      <c r="A257" s="33">
        <f t="shared" si="4"/>
        <v>252</v>
      </c>
      <c r="B257" s="34" t="s">
        <v>2117</v>
      </c>
      <c r="C257" s="35" t="s">
        <v>2118</v>
      </c>
      <c r="D257" s="36" t="s">
        <v>2119</v>
      </c>
      <c r="E257" s="36" t="s">
        <v>54</v>
      </c>
      <c r="F257" s="34" t="s">
        <v>2120</v>
      </c>
      <c r="G257" s="37" t="s">
        <v>73</v>
      </c>
      <c r="H257" s="37" t="s">
        <v>73</v>
      </c>
      <c r="I257" s="34" t="s">
        <v>2121</v>
      </c>
      <c r="J257" s="34" t="s">
        <v>41</v>
      </c>
      <c r="K257" s="39" t="s">
        <v>42</v>
      </c>
      <c r="L257" s="165">
        <v>45202</v>
      </c>
      <c r="M257" s="130" t="s">
        <v>179</v>
      </c>
      <c r="N257" s="115" t="s">
        <v>341</v>
      </c>
      <c r="O257" s="115" t="s">
        <v>1878</v>
      </c>
      <c r="P257" s="115">
        <v>2</v>
      </c>
      <c r="Q257" s="137"/>
      <c r="R257" s="137"/>
      <c r="S257" s="137"/>
      <c r="T257" s="137" t="s">
        <v>44</v>
      </c>
      <c r="U257" s="137"/>
      <c r="V257" s="137"/>
      <c r="W257" s="137"/>
      <c r="X257" s="42" t="s">
        <v>2122</v>
      </c>
      <c r="Y257" s="146" t="s">
        <v>2123</v>
      </c>
      <c r="Z257" s="44"/>
      <c r="AA257" s="45" t="s">
        <v>47</v>
      </c>
      <c r="AB257" s="164"/>
      <c r="AC257" s="36"/>
      <c r="AD257" s="47" t="s">
        <v>49</v>
      </c>
      <c r="AE257" s="48" t="s">
        <v>41</v>
      </c>
      <c r="AF257" s="48" t="s">
        <v>41</v>
      </c>
      <c r="AG257" s="48" t="s">
        <v>41</v>
      </c>
      <c r="AH257" s="48" t="s">
        <v>49</v>
      </c>
      <c r="AI257" s="48" t="s">
        <v>49</v>
      </c>
      <c r="AJ257" s="49" t="s">
        <v>41</v>
      </c>
      <c r="AK257" s="48" t="s">
        <v>41</v>
      </c>
      <c r="AL257" s="62" t="s">
        <v>276</v>
      </c>
      <c r="AM257" s="59"/>
      <c r="AN257" s="10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2"/>
      <c r="AY257" s="31"/>
    </row>
    <row r="258" spans="1:51" x14ac:dyDescent="0.2">
      <c r="A258" s="33">
        <f t="shared" si="4"/>
        <v>253</v>
      </c>
      <c r="B258" s="34" t="s">
        <v>2124</v>
      </c>
      <c r="C258" s="35" t="s">
        <v>2125</v>
      </c>
      <c r="D258" s="36" t="s">
        <v>2126</v>
      </c>
      <c r="E258" s="36" t="s">
        <v>54</v>
      </c>
      <c r="F258" s="34" t="s">
        <v>2127</v>
      </c>
      <c r="G258" s="37" t="s">
        <v>73</v>
      </c>
      <c r="H258" s="37" t="s">
        <v>73</v>
      </c>
      <c r="I258" s="34" t="s">
        <v>2128</v>
      </c>
      <c r="J258" s="34" t="s">
        <v>41</v>
      </c>
      <c r="K258" s="39" t="s">
        <v>42</v>
      </c>
      <c r="L258" s="163" t="s">
        <v>2129</v>
      </c>
      <c r="M258" s="130"/>
      <c r="N258" s="130"/>
      <c r="O258" s="130"/>
      <c r="P258" s="130"/>
      <c r="Q258" s="115"/>
      <c r="R258" s="115"/>
      <c r="S258" s="115"/>
      <c r="T258" s="115"/>
      <c r="U258" s="56"/>
      <c r="V258" s="56"/>
      <c r="W258" s="56"/>
      <c r="X258" s="42" t="s">
        <v>2130</v>
      </c>
      <c r="Y258" s="100" t="s">
        <v>2131</v>
      </c>
      <c r="Z258" s="44" t="s">
        <v>2132</v>
      </c>
      <c r="AA258" s="45">
        <v>41793</v>
      </c>
      <c r="AB258" s="164" t="s">
        <v>129</v>
      </c>
      <c r="AC258" s="36" t="s">
        <v>26</v>
      </c>
      <c r="AD258" s="47" t="s">
        <v>49</v>
      </c>
      <c r="AE258" s="48" t="s">
        <v>49</v>
      </c>
      <c r="AF258" s="48" t="s">
        <v>49</v>
      </c>
      <c r="AG258" s="48" t="s">
        <v>49</v>
      </c>
      <c r="AH258" s="48" t="s">
        <v>41</v>
      </c>
      <c r="AI258" s="48" t="s">
        <v>41</v>
      </c>
      <c r="AJ258" s="49" t="s">
        <v>41</v>
      </c>
      <c r="AK258" s="48" t="s">
        <v>41</v>
      </c>
      <c r="AL258" s="62" t="s">
        <v>139</v>
      </c>
      <c r="AM258" s="59"/>
      <c r="AN258" s="10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1"/>
    </row>
    <row r="259" spans="1:51" x14ac:dyDescent="0.2">
      <c r="A259" s="33">
        <f t="shared" si="4"/>
        <v>254</v>
      </c>
      <c r="B259" s="34" t="s">
        <v>2133</v>
      </c>
      <c r="C259" s="35" t="s">
        <v>2134</v>
      </c>
      <c r="D259" s="36" t="s">
        <v>2135</v>
      </c>
      <c r="E259" s="36" t="s">
        <v>54</v>
      </c>
      <c r="F259" s="34" t="s">
        <v>2136</v>
      </c>
      <c r="G259" s="37" t="s">
        <v>73</v>
      </c>
      <c r="H259" s="37" t="s">
        <v>73</v>
      </c>
      <c r="I259" s="34" t="s">
        <v>2137</v>
      </c>
      <c r="J259" s="34" t="s">
        <v>2138</v>
      </c>
      <c r="K259" s="39" t="s">
        <v>42</v>
      </c>
      <c r="L259" s="99" t="s">
        <v>2139</v>
      </c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42" t="s">
        <v>2140</v>
      </c>
      <c r="Y259" s="58" t="s">
        <v>2141</v>
      </c>
      <c r="Z259" s="44" t="s">
        <v>2142</v>
      </c>
      <c r="AA259" s="45">
        <v>41793</v>
      </c>
      <c r="AB259" s="101" t="s">
        <v>30</v>
      </c>
      <c r="AC259" s="36" t="s">
        <v>26</v>
      </c>
      <c r="AD259" s="64" t="s">
        <v>120</v>
      </c>
      <c r="AE259" s="48" t="s">
        <v>120</v>
      </c>
      <c r="AF259" s="48" t="s">
        <v>120</v>
      </c>
      <c r="AG259" s="48" t="s">
        <v>120</v>
      </c>
      <c r="AH259" s="48" t="s">
        <v>120</v>
      </c>
      <c r="AI259" s="48" t="s">
        <v>120</v>
      </c>
      <c r="AJ259" s="49" t="s">
        <v>120</v>
      </c>
      <c r="AK259" s="48" t="s">
        <v>120</v>
      </c>
      <c r="AL259" s="62" t="s">
        <v>32</v>
      </c>
      <c r="AM259" s="59"/>
      <c r="AN259" s="10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1"/>
    </row>
    <row r="260" spans="1:51" ht="15" customHeight="1" x14ac:dyDescent="0.2">
      <c r="A260" s="33">
        <f t="shared" si="4"/>
        <v>255</v>
      </c>
      <c r="B260" s="34" t="s">
        <v>2143</v>
      </c>
      <c r="C260" s="35" t="s">
        <v>2144</v>
      </c>
      <c r="D260" s="36" t="s">
        <v>2145</v>
      </c>
      <c r="E260" s="36" t="s">
        <v>54</v>
      </c>
      <c r="F260" s="34" t="s">
        <v>2146</v>
      </c>
      <c r="G260" s="37" t="s">
        <v>252</v>
      </c>
      <c r="H260" s="37" t="s">
        <v>57</v>
      </c>
      <c r="I260" s="38" t="s">
        <v>2147</v>
      </c>
      <c r="J260" s="34" t="s">
        <v>41</v>
      </c>
      <c r="K260" s="39" t="s">
        <v>42</v>
      </c>
      <c r="L260" s="120" t="s">
        <v>2148</v>
      </c>
      <c r="M260" s="56"/>
      <c r="N260" s="56"/>
      <c r="O260" s="56"/>
      <c r="P260" s="56"/>
      <c r="Q260" s="56"/>
      <c r="R260" s="56"/>
      <c r="S260" s="56" t="s">
        <v>44</v>
      </c>
      <c r="T260" s="56"/>
      <c r="U260" s="56"/>
      <c r="V260" s="56"/>
      <c r="W260" s="56"/>
      <c r="X260" s="42" t="s">
        <v>2149</v>
      </c>
      <c r="Y260" s="58" t="s">
        <v>2150</v>
      </c>
      <c r="Z260" s="211" t="s">
        <v>2151</v>
      </c>
      <c r="AA260" s="45">
        <v>44944</v>
      </c>
      <c r="AB260" s="101" t="s">
        <v>30</v>
      </c>
      <c r="AC260" s="36"/>
      <c r="AD260" s="61" t="s">
        <v>49</v>
      </c>
      <c r="AE260" s="48" t="s">
        <v>41</v>
      </c>
      <c r="AF260" s="48" t="s">
        <v>41</v>
      </c>
      <c r="AG260" s="48" t="s">
        <v>49</v>
      </c>
      <c r="AH260" s="48" t="s">
        <v>49</v>
      </c>
      <c r="AI260" s="48" t="s">
        <v>49</v>
      </c>
      <c r="AJ260" s="49" t="s">
        <v>49</v>
      </c>
      <c r="AK260" s="48" t="s">
        <v>49</v>
      </c>
      <c r="AL260" s="65" t="s">
        <v>32</v>
      </c>
      <c r="AM260" s="59"/>
      <c r="AN260" s="10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1"/>
    </row>
    <row r="261" spans="1:51" ht="15" customHeight="1" x14ac:dyDescent="0.2">
      <c r="A261" s="33">
        <f t="shared" si="4"/>
        <v>256</v>
      </c>
      <c r="B261" s="34" t="s">
        <v>2152</v>
      </c>
      <c r="C261" s="35" t="s">
        <v>2153</v>
      </c>
      <c r="D261" s="36" t="s">
        <v>2154</v>
      </c>
      <c r="E261" s="36" t="s">
        <v>54</v>
      </c>
      <c r="F261" s="34" t="s">
        <v>2155</v>
      </c>
      <c r="G261" s="37" t="s">
        <v>323</v>
      </c>
      <c r="H261" s="37" t="s">
        <v>39</v>
      </c>
      <c r="I261" s="38" t="s">
        <v>2156</v>
      </c>
      <c r="J261" s="34" t="s">
        <v>41</v>
      </c>
      <c r="K261" s="39" t="s">
        <v>42</v>
      </c>
      <c r="L261" s="120">
        <v>44869</v>
      </c>
      <c r="M261" s="56"/>
      <c r="N261" s="56"/>
      <c r="O261" s="56"/>
      <c r="P261" s="56"/>
      <c r="Q261" s="56"/>
      <c r="R261" s="56"/>
      <c r="S261" s="56" t="s">
        <v>44</v>
      </c>
      <c r="T261" s="56"/>
      <c r="U261" s="56"/>
      <c r="V261" s="56"/>
      <c r="W261" s="56"/>
      <c r="X261" s="42" t="s">
        <v>2157</v>
      </c>
      <c r="Y261" s="58" t="s">
        <v>2158</v>
      </c>
      <c r="Z261" s="211" t="s">
        <v>2159</v>
      </c>
      <c r="AA261" s="45">
        <v>44944</v>
      </c>
      <c r="AB261" s="101" t="s">
        <v>30</v>
      </c>
      <c r="AC261" s="36"/>
      <c r="AD261" s="61" t="s">
        <v>49</v>
      </c>
      <c r="AE261" s="48" t="s">
        <v>41</v>
      </c>
      <c r="AF261" s="48" t="s">
        <v>41</v>
      </c>
      <c r="AG261" s="48" t="s">
        <v>49</v>
      </c>
      <c r="AH261" s="48" t="s">
        <v>49</v>
      </c>
      <c r="AI261" s="48" t="s">
        <v>49</v>
      </c>
      <c r="AJ261" s="49" t="s">
        <v>49</v>
      </c>
      <c r="AK261" s="48" t="s">
        <v>49</v>
      </c>
      <c r="AL261" s="62" t="s">
        <v>32</v>
      </c>
      <c r="AM261" s="59"/>
      <c r="AN261" s="10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1"/>
    </row>
    <row r="262" spans="1:51" ht="15" customHeight="1" x14ac:dyDescent="0.2">
      <c r="A262" s="33">
        <f t="shared" si="4"/>
        <v>257</v>
      </c>
      <c r="B262" s="34" t="s">
        <v>2160</v>
      </c>
      <c r="C262" s="35" t="s">
        <v>2161</v>
      </c>
      <c r="D262" s="36" t="s">
        <v>2162</v>
      </c>
      <c r="E262" s="36" t="s">
        <v>54</v>
      </c>
      <c r="F262" s="34" t="s">
        <v>2163</v>
      </c>
      <c r="G262" s="37" t="s">
        <v>38</v>
      </c>
      <c r="H262" s="37" t="s">
        <v>39</v>
      </c>
      <c r="I262" s="34" t="s">
        <v>2164</v>
      </c>
      <c r="J262" s="38" t="s">
        <v>2165</v>
      </c>
      <c r="K262" s="39" t="s">
        <v>42</v>
      </c>
      <c r="L262" s="120">
        <v>37539</v>
      </c>
      <c r="M262" s="41"/>
      <c r="N262" s="41"/>
      <c r="O262" s="41"/>
      <c r="P262" s="41"/>
      <c r="Q262" s="112"/>
      <c r="R262" s="112"/>
      <c r="S262" s="112"/>
      <c r="T262" s="41"/>
      <c r="U262" s="41"/>
      <c r="V262" s="41"/>
      <c r="W262" s="41"/>
      <c r="X262" s="42" t="s">
        <v>2166</v>
      </c>
      <c r="Y262" s="69" t="s">
        <v>2167</v>
      </c>
      <c r="Z262" s="44" t="s">
        <v>61</v>
      </c>
      <c r="AA262" s="45">
        <v>37877</v>
      </c>
      <c r="AB262" s="101" t="s">
        <v>30</v>
      </c>
      <c r="AC262" s="36" t="s">
        <v>26</v>
      </c>
      <c r="AD262" s="47" t="s">
        <v>49</v>
      </c>
      <c r="AE262" s="48" t="s">
        <v>49</v>
      </c>
      <c r="AF262" s="48" t="s">
        <v>49</v>
      </c>
      <c r="AG262" s="48" t="s">
        <v>49</v>
      </c>
      <c r="AH262" s="48" t="s">
        <v>49</v>
      </c>
      <c r="AI262" s="48" t="s">
        <v>49</v>
      </c>
      <c r="AJ262" s="49" t="s">
        <v>41</v>
      </c>
      <c r="AK262" s="48" t="s">
        <v>41</v>
      </c>
      <c r="AL262" s="62" t="s">
        <v>276</v>
      </c>
      <c r="AM262" s="59"/>
      <c r="AN262" s="10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1"/>
    </row>
    <row r="263" spans="1:51" ht="15" customHeight="1" x14ac:dyDescent="0.2">
      <c r="A263" s="33">
        <f t="shared" si="4"/>
        <v>258</v>
      </c>
      <c r="B263" s="34" t="s">
        <v>2168</v>
      </c>
      <c r="C263" s="35" t="s">
        <v>2169</v>
      </c>
      <c r="D263" s="36" t="s">
        <v>2170</v>
      </c>
      <c r="E263" s="36" t="s">
        <v>36</v>
      </c>
      <c r="F263" s="214" t="s">
        <v>2171</v>
      </c>
      <c r="G263" s="37" t="s">
        <v>176</v>
      </c>
      <c r="H263" s="37" t="s">
        <v>39</v>
      </c>
      <c r="I263" s="38" t="s">
        <v>2172</v>
      </c>
      <c r="J263" s="34" t="s">
        <v>41</v>
      </c>
      <c r="K263" s="39" t="s">
        <v>42</v>
      </c>
      <c r="L263" s="99" t="s">
        <v>2173</v>
      </c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2" t="s">
        <v>2174</v>
      </c>
      <c r="Y263" s="58" t="s">
        <v>2175</v>
      </c>
      <c r="Z263" s="211" t="s">
        <v>2176</v>
      </c>
      <c r="AA263" s="45">
        <v>44944</v>
      </c>
      <c r="AB263" s="101" t="s">
        <v>30</v>
      </c>
      <c r="AC263" s="36"/>
      <c r="AD263" s="47" t="s">
        <v>49</v>
      </c>
      <c r="AE263" s="48" t="s">
        <v>41</v>
      </c>
      <c r="AF263" s="48" t="s">
        <v>41</v>
      </c>
      <c r="AG263" s="48" t="s">
        <v>49</v>
      </c>
      <c r="AH263" s="48" t="s">
        <v>49</v>
      </c>
      <c r="AI263" s="48" t="s">
        <v>49</v>
      </c>
      <c r="AJ263" s="49" t="s">
        <v>49</v>
      </c>
      <c r="AK263" s="48" t="s">
        <v>49</v>
      </c>
      <c r="AL263" s="62" t="s">
        <v>32</v>
      </c>
      <c r="AM263" s="59"/>
      <c r="AN263" s="117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1"/>
    </row>
    <row r="264" spans="1:51" ht="15" customHeight="1" x14ac:dyDescent="0.2">
      <c r="A264" s="33">
        <f t="shared" si="4"/>
        <v>259</v>
      </c>
      <c r="B264" s="107" t="s">
        <v>2177</v>
      </c>
      <c r="C264" s="35" t="s">
        <v>2178</v>
      </c>
      <c r="D264" s="36" t="s">
        <v>2179</v>
      </c>
      <c r="E264" s="36" t="s">
        <v>36</v>
      </c>
      <c r="F264" s="87" t="s">
        <v>2180</v>
      </c>
      <c r="G264" s="37" t="s">
        <v>73</v>
      </c>
      <c r="H264" s="37" t="s">
        <v>73</v>
      </c>
      <c r="I264" s="38" t="s">
        <v>2181</v>
      </c>
      <c r="J264" s="34" t="s">
        <v>41</v>
      </c>
      <c r="K264" s="39" t="s">
        <v>42</v>
      </c>
      <c r="L264" s="120" t="s">
        <v>2182</v>
      </c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42" t="s">
        <v>2183</v>
      </c>
      <c r="Y264" s="43" t="s">
        <v>2184</v>
      </c>
      <c r="Z264" s="44" t="s">
        <v>2185</v>
      </c>
      <c r="AA264" s="45" t="s">
        <v>1130</v>
      </c>
      <c r="AB264" s="101" t="s">
        <v>30</v>
      </c>
      <c r="AC264" s="36"/>
      <c r="AD264" s="47" t="s">
        <v>49</v>
      </c>
      <c r="AE264" s="48" t="s">
        <v>41</v>
      </c>
      <c r="AF264" s="48" t="s">
        <v>41</v>
      </c>
      <c r="AG264" s="48" t="s">
        <v>41</v>
      </c>
      <c r="AH264" s="48" t="s">
        <v>41</v>
      </c>
      <c r="AI264" s="48" t="s">
        <v>41</v>
      </c>
      <c r="AJ264" s="49" t="s">
        <v>41</v>
      </c>
      <c r="AK264" s="48" t="s">
        <v>41</v>
      </c>
      <c r="AL264" s="65" t="s">
        <v>4591</v>
      </c>
      <c r="AM264" s="59"/>
      <c r="AN264" s="10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1"/>
    </row>
    <row r="265" spans="1:51" ht="15" customHeight="1" x14ac:dyDescent="0.2">
      <c r="A265" s="33">
        <f t="shared" si="4"/>
        <v>260</v>
      </c>
      <c r="B265" s="107" t="s">
        <v>2186</v>
      </c>
      <c r="C265" s="35" t="s">
        <v>2187</v>
      </c>
      <c r="D265" s="36" t="s">
        <v>2188</v>
      </c>
      <c r="E265" s="36" t="s">
        <v>54</v>
      </c>
      <c r="F265" s="34" t="s">
        <v>2189</v>
      </c>
      <c r="G265" s="37" t="s">
        <v>456</v>
      </c>
      <c r="H265" s="37" t="s">
        <v>187</v>
      </c>
      <c r="I265" s="38" t="s">
        <v>2190</v>
      </c>
      <c r="J265" s="34" t="s">
        <v>41</v>
      </c>
      <c r="K265" s="39" t="s">
        <v>42</v>
      </c>
      <c r="L265" s="120" t="s">
        <v>2191</v>
      </c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42" t="s">
        <v>2192</v>
      </c>
      <c r="Y265" s="43" t="s">
        <v>2193</v>
      </c>
      <c r="Z265" s="211" t="s">
        <v>2194</v>
      </c>
      <c r="AA265" s="45">
        <v>44944</v>
      </c>
      <c r="AB265" s="101" t="s">
        <v>30</v>
      </c>
      <c r="AC265" s="36" t="s">
        <v>26</v>
      </c>
      <c r="AD265" s="47" t="s">
        <v>49</v>
      </c>
      <c r="AE265" s="48" t="s">
        <v>49</v>
      </c>
      <c r="AF265" s="48" t="s">
        <v>49</v>
      </c>
      <c r="AG265" s="48" t="s">
        <v>49</v>
      </c>
      <c r="AH265" s="48" t="s">
        <v>49</v>
      </c>
      <c r="AI265" s="48" t="s">
        <v>49</v>
      </c>
      <c r="AJ265" s="49" t="s">
        <v>49</v>
      </c>
      <c r="AK265" s="48" t="s">
        <v>41</v>
      </c>
      <c r="AL265" s="62" t="s">
        <v>148</v>
      </c>
      <c r="AM265" s="59"/>
      <c r="AN265" s="10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1"/>
    </row>
    <row r="266" spans="1:51" x14ac:dyDescent="0.2">
      <c r="A266" s="33">
        <f t="shared" ref="A266:A330" si="5">+A265+1</f>
        <v>261</v>
      </c>
      <c r="B266" s="34" t="s">
        <v>2195</v>
      </c>
      <c r="C266" s="35" t="s">
        <v>2196</v>
      </c>
      <c r="D266" s="36" t="s">
        <v>2197</v>
      </c>
      <c r="E266" s="36" t="s">
        <v>54</v>
      </c>
      <c r="F266" s="34" t="s">
        <v>2198</v>
      </c>
      <c r="G266" s="37" t="s">
        <v>1354</v>
      </c>
      <c r="H266" s="37" t="s">
        <v>57</v>
      </c>
      <c r="I266" s="38" t="s">
        <v>2199</v>
      </c>
      <c r="J266" s="34" t="s">
        <v>41</v>
      </c>
      <c r="K266" s="39" t="s">
        <v>42</v>
      </c>
      <c r="L266" s="99" t="s">
        <v>2200</v>
      </c>
      <c r="M266" s="56"/>
      <c r="N266" s="56"/>
      <c r="O266" s="56"/>
      <c r="P266" s="56"/>
      <c r="Q266" s="56"/>
      <c r="R266" s="56" t="s">
        <v>44</v>
      </c>
      <c r="S266" s="56"/>
      <c r="T266" s="56"/>
      <c r="U266" s="56"/>
      <c r="V266" s="56"/>
      <c r="W266" s="56"/>
      <c r="X266" s="42" t="s">
        <v>2201</v>
      </c>
      <c r="Y266" s="43" t="s">
        <v>2202</v>
      </c>
      <c r="Z266" s="121" t="s">
        <v>2203</v>
      </c>
      <c r="AA266" s="45">
        <v>44650</v>
      </c>
      <c r="AB266" s="101" t="s">
        <v>30</v>
      </c>
      <c r="AC266" s="36"/>
      <c r="AD266" s="61" t="s">
        <v>49</v>
      </c>
      <c r="AE266" s="48" t="s">
        <v>41</v>
      </c>
      <c r="AF266" s="48" t="s">
        <v>49</v>
      </c>
      <c r="AG266" s="48" t="s">
        <v>49</v>
      </c>
      <c r="AH266" s="48" t="s">
        <v>49</v>
      </c>
      <c r="AI266" s="48" t="s">
        <v>49</v>
      </c>
      <c r="AJ266" s="49" t="s">
        <v>49</v>
      </c>
      <c r="AK266" s="48" t="s">
        <v>41</v>
      </c>
      <c r="AL266" s="62" t="s">
        <v>148</v>
      </c>
      <c r="AM266" s="59"/>
      <c r="AN266" s="10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1"/>
    </row>
    <row r="267" spans="1:51" x14ac:dyDescent="0.2">
      <c r="A267" s="33">
        <f t="shared" si="5"/>
        <v>262</v>
      </c>
      <c r="B267" s="34" t="s">
        <v>2204</v>
      </c>
      <c r="C267" s="35" t="s">
        <v>2205</v>
      </c>
      <c r="D267" s="36" t="s">
        <v>2206</v>
      </c>
      <c r="E267" s="36" t="s">
        <v>54</v>
      </c>
      <c r="F267" s="34" t="s">
        <v>2207</v>
      </c>
      <c r="G267" s="37" t="s">
        <v>73</v>
      </c>
      <c r="H267" s="37" t="s">
        <v>73</v>
      </c>
      <c r="I267" s="34" t="s">
        <v>2208</v>
      </c>
      <c r="J267" s="34" t="s">
        <v>2208</v>
      </c>
      <c r="K267" s="39" t="s">
        <v>42</v>
      </c>
      <c r="L267" s="99" t="s">
        <v>2209</v>
      </c>
      <c r="M267" s="215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42"/>
      <c r="Y267" s="52" t="s">
        <v>2210</v>
      </c>
      <c r="Z267" s="119" t="s">
        <v>61</v>
      </c>
      <c r="AA267" s="45">
        <v>40815</v>
      </c>
      <c r="AB267" s="101" t="s">
        <v>30</v>
      </c>
      <c r="AC267" s="36"/>
      <c r="AD267" s="61" t="s">
        <v>49</v>
      </c>
      <c r="AE267" s="48" t="s">
        <v>41</v>
      </c>
      <c r="AF267" s="48" t="s">
        <v>41</v>
      </c>
      <c r="AG267" s="48" t="s">
        <v>41</v>
      </c>
      <c r="AH267" s="48" t="s">
        <v>41</v>
      </c>
      <c r="AI267" s="48" t="s">
        <v>41</v>
      </c>
      <c r="AJ267" s="49" t="s">
        <v>41</v>
      </c>
      <c r="AK267" s="48" t="s">
        <v>41</v>
      </c>
      <c r="AL267" s="65" t="s">
        <v>4588</v>
      </c>
      <c r="AM267" s="59" t="s">
        <v>2211</v>
      </c>
      <c r="AN267" s="117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1"/>
    </row>
    <row r="268" spans="1:51" x14ac:dyDescent="0.2">
      <c r="A268" s="33">
        <f t="shared" si="5"/>
        <v>263</v>
      </c>
      <c r="B268" s="34" t="s">
        <v>2212</v>
      </c>
      <c r="C268" s="35" t="s">
        <v>2213</v>
      </c>
      <c r="D268" s="36" t="s">
        <v>2214</v>
      </c>
      <c r="E268" s="36" t="s">
        <v>54</v>
      </c>
      <c r="F268" s="87" t="s">
        <v>2215</v>
      </c>
      <c r="G268" s="37" t="s">
        <v>73</v>
      </c>
      <c r="H268" s="37" t="s">
        <v>73</v>
      </c>
      <c r="I268" s="38" t="s">
        <v>2216</v>
      </c>
      <c r="J268" s="107" t="s">
        <v>2217</v>
      </c>
      <c r="K268" s="39" t="s">
        <v>42</v>
      </c>
      <c r="L268" s="99" t="s">
        <v>2218</v>
      </c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2" t="s">
        <v>2219</v>
      </c>
      <c r="Y268" s="100" t="s">
        <v>2220</v>
      </c>
      <c r="Z268" s="44" t="s">
        <v>2221</v>
      </c>
      <c r="AA268" s="45">
        <v>41793</v>
      </c>
      <c r="AB268" s="101" t="s">
        <v>30</v>
      </c>
      <c r="AC268" s="36" t="s">
        <v>26</v>
      </c>
      <c r="AD268" s="64" t="s">
        <v>120</v>
      </c>
      <c r="AE268" s="48" t="s">
        <v>120</v>
      </c>
      <c r="AF268" s="48" t="s">
        <v>120</v>
      </c>
      <c r="AG268" s="48" t="s">
        <v>120</v>
      </c>
      <c r="AH268" s="48" t="s">
        <v>120</v>
      </c>
      <c r="AI268" s="48" t="s">
        <v>120</v>
      </c>
      <c r="AJ268" s="49" t="s">
        <v>120</v>
      </c>
      <c r="AK268" s="48" t="s">
        <v>120</v>
      </c>
      <c r="AL268" s="65" t="s">
        <v>32</v>
      </c>
      <c r="AM268" s="59"/>
      <c r="AN268" s="10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1"/>
    </row>
    <row r="269" spans="1:51" x14ac:dyDescent="0.2">
      <c r="A269" s="33">
        <f t="shared" si="5"/>
        <v>264</v>
      </c>
      <c r="B269" s="34" t="s">
        <v>2222</v>
      </c>
      <c r="C269" s="35" t="s">
        <v>2223</v>
      </c>
      <c r="D269" s="36" t="s">
        <v>2224</v>
      </c>
      <c r="E269" s="36" t="s">
        <v>54</v>
      </c>
      <c r="F269" s="216" t="s">
        <v>2225</v>
      </c>
      <c r="G269" s="37" t="s">
        <v>73</v>
      </c>
      <c r="H269" s="37" t="s">
        <v>73</v>
      </c>
      <c r="I269" s="108" t="s">
        <v>2226</v>
      </c>
      <c r="J269" s="108" t="s">
        <v>2227</v>
      </c>
      <c r="K269" s="39" t="s">
        <v>42</v>
      </c>
      <c r="L269" s="120">
        <v>32234</v>
      </c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2" t="s">
        <v>2228</v>
      </c>
      <c r="Y269" s="58" t="s">
        <v>2229</v>
      </c>
      <c r="Z269" s="44" t="s">
        <v>61</v>
      </c>
      <c r="AA269" s="45">
        <v>40815</v>
      </c>
      <c r="AB269" s="101" t="s">
        <v>30</v>
      </c>
      <c r="AC269" s="36" t="s">
        <v>26</v>
      </c>
      <c r="AD269" s="64" t="s">
        <v>120</v>
      </c>
      <c r="AE269" s="48" t="s">
        <v>120</v>
      </c>
      <c r="AF269" s="48" t="s">
        <v>120</v>
      </c>
      <c r="AG269" s="48" t="s">
        <v>41</v>
      </c>
      <c r="AH269" s="48" t="s">
        <v>41</v>
      </c>
      <c r="AI269" s="48" t="s">
        <v>41</v>
      </c>
      <c r="AJ269" s="49" t="s">
        <v>41</v>
      </c>
      <c r="AK269" s="48" t="s">
        <v>41</v>
      </c>
      <c r="AL269" s="62" t="s">
        <v>110</v>
      </c>
      <c r="AM269" s="59"/>
      <c r="AN269" s="10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1"/>
    </row>
    <row r="270" spans="1:51" x14ac:dyDescent="0.2">
      <c r="A270" s="33">
        <f t="shared" si="5"/>
        <v>265</v>
      </c>
      <c r="B270" s="34" t="s">
        <v>2230</v>
      </c>
      <c r="C270" s="35" t="s">
        <v>2231</v>
      </c>
      <c r="D270" s="36" t="s">
        <v>2232</v>
      </c>
      <c r="E270" s="36" t="s">
        <v>54</v>
      </c>
      <c r="F270" s="60" t="s">
        <v>2233</v>
      </c>
      <c r="G270" s="37" t="s">
        <v>528</v>
      </c>
      <c r="H270" s="37" t="s">
        <v>57</v>
      </c>
      <c r="I270" s="113" t="s">
        <v>2234</v>
      </c>
      <c r="J270" s="34" t="s">
        <v>41</v>
      </c>
      <c r="K270" s="39" t="s">
        <v>42</v>
      </c>
      <c r="L270" s="120">
        <v>37207</v>
      </c>
      <c r="M270" s="41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42" t="s">
        <v>2235</v>
      </c>
      <c r="Y270" s="69" t="s">
        <v>2236</v>
      </c>
      <c r="Z270" s="44" t="s">
        <v>2237</v>
      </c>
      <c r="AA270" s="45">
        <v>41793</v>
      </c>
      <c r="AB270" s="101" t="s">
        <v>30</v>
      </c>
      <c r="AC270" s="73" t="s">
        <v>26</v>
      </c>
      <c r="AD270" s="47" t="s">
        <v>49</v>
      </c>
      <c r="AE270" s="48" t="s">
        <v>49</v>
      </c>
      <c r="AF270" s="48" t="s">
        <v>49</v>
      </c>
      <c r="AG270" s="48" t="s">
        <v>49</v>
      </c>
      <c r="AH270" s="48" t="s">
        <v>49</v>
      </c>
      <c r="AI270" s="48" t="s">
        <v>49</v>
      </c>
      <c r="AJ270" s="49" t="s">
        <v>49</v>
      </c>
      <c r="AK270" s="48" t="s">
        <v>41</v>
      </c>
      <c r="AL270" s="62" t="s">
        <v>148</v>
      </c>
      <c r="AM270" s="59"/>
      <c r="AN270" s="10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1"/>
    </row>
    <row r="271" spans="1:51" x14ac:dyDescent="0.2">
      <c r="A271" s="33">
        <f t="shared" si="5"/>
        <v>266</v>
      </c>
      <c r="B271" s="34" t="s">
        <v>2238</v>
      </c>
      <c r="C271" s="35" t="s">
        <v>2239</v>
      </c>
      <c r="D271" s="36" t="s">
        <v>2240</v>
      </c>
      <c r="E271" s="36" t="s">
        <v>54</v>
      </c>
      <c r="F271" s="108" t="s">
        <v>2241</v>
      </c>
      <c r="G271" s="37" t="s">
        <v>413</v>
      </c>
      <c r="H271" s="37" t="s">
        <v>378</v>
      </c>
      <c r="I271" s="34" t="s">
        <v>2242</v>
      </c>
      <c r="J271" s="34" t="s">
        <v>41</v>
      </c>
      <c r="K271" s="39" t="s">
        <v>42</v>
      </c>
      <c r="L271" s="120">
        <v>37377</v>
      </c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2" t="s">
        <v>2243</v>
      </c>
      <c r="Y271" s="52" t="s">
        <v>2244</v>
      </c>
      <c r="Z271" s="44" t="s">
        <v>61</v>
      </c>
      <c r="AA271" s="45">
        <v>37877</v>
      </c>
      <c r="AB271" s="101" t="s">
        <v>30</v>
      </c>
      <c r="AC271" s="36" t="s">
        <v>26</v>
      </c>
      <c r="AD271" s="47" t="s">
        <v>49</v>
      </c>
      <c r="AE271" s="48" t="s">
        <v>49</v>
      </c>
      <c r="AF271" s="48" t="s">
        <v>49</v>
      </c>
      <c r="AG271" s="48" t="s">
        <v>41</v>
      </c>
      <c r="AH271" s="48" t="s">
        <v>41</v>
      </c>
      <c r="AI271" s="48" t="s">
        <v>41</v>
      </c>
      <c r="AJ271" s="49" t="s">
        <v>41</v>
      </c>
      <c r="AK271" s="48" t="s">
        <v>41</v>
      </c>
      <c r="AL271" s="62">
        <v>5</v>
      </c>
      <c r="AM271" s="59"/>
      <c r="AN271" s="10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1"/>
    </row>
    <row r="272" spans="1:51" x14ac:dyDescent="0.2">
      <c r="A272" s="33">
        <f t="shared" si="5"/>
        <v>267</v>
      </c>
      <c r="B272" s="34" t="s">
        <v>2245</v>
      </c>
      <c r="C272" s="35" t="s">
        <v>2246</v>
      </c>
      <c r="D272" s="36" t="s">
        <v>2247</v>
      </c>
      <c r="E272" s="36" t="s">
        <v>36</v>
      </c>
      <c r="F272" s="60" t="s">
        <v>2248</v>
      </c>
      <c r="G272" s="37" t="s">
        <v>360</v>
      </c>
      <c r="H272" s="37" t="s">
        <v>350</v>
      </c>
      <c r="I272" s="113" t="s">
        <v>2249</v>
      </c>
      <c r="J272" s="34" t="s">
        <v>41</v>
      </c>
      <c r="K272" s="39" t="s">
        <v>42</v>
      </c>
      <c r="L272" s="120">
        <v>44384</v>
      </c>
      <c r="M272" s="41"/>
      <c r="N272" s="70"/>
      <c r="O272" s="70"/>
      <c r="P272" s="70"/>
      <c r="Q272" s="70"/>
      <c r="R272" s="70" t="s">
        <v>44</v>
      </c>
      <c r="S272" s="70"/>
      <c r="T272" s="70"/>
      <c r="U272" s="70"/>
      <c r="V272" s="70"/>
      <c r="W272" s="70"/>
      <c r="X272" s="42" t="s">
        <v>2250</v>
      </c>
      <c r="Y272" s="58" t="s">
        <v>2251</v>
      </c>
      <c r="Z272" s="84" t="s">
        <v>2252</v>
      </c>
      <c r="AA272" s="45">
        <v>44650</v>
      </c>
      <c r="AB272" s="101" t="s">
        <v>30</v>
      </c>
      <c r="AC272" s="73"/>
      <c r="AD272" s="47" t="s">
        <v>49</v>
      </c>
      <c r="AE272" s="48" t="s">
        <v>41</v>
      </c>
      <c r="AF272" s="48" t="s">
        <v>49</v>
      </c>
      <c r="AG272" s="48" t="s">
        <v>41</v>
      </c>
      <c r="AH272" s="48" t="s">
        <v>41</v>
      </c>
      <c r="AI272" s="48" t="s">
        <v>41</v>
      </c>
      <c r="AJ272" s="49" t="s">
        <v>41</v>
      </c>
      <c r="AK272" s="48" t="s">
        <v>41</v>
      </c>
      <c r="AL272" s="62" t="s">
        <v>110</v>
      </c>
      <c r="AM272" s="59"/>
      <c r="AN272" s="10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1"/>
    </row>
    <row r="273" spans="1:51" ht="18.75" customHeight="1" x14ac:dyDescent="0.2">
      <c r="A273" s="33">
        <f t="shared" si="5"/>
        <v>268</v>
      </c>
      <c r="B273" s="38" t="s">
        <v>2253</v>
      </c>
      <c r="C273" s="35" t="s">
        <v>2254</v>
      </c>
      <c r="D273" s="36" t="s">
        <v>2255</v>
      </c>
      <c r="E273" s="36" t="s">
        <v>54</v>
      </c>
      <c r="F273" s="200" t="s">
        <v>2256</v>
      </c>
      <c r="G273" s="37" t="s">
        <v>39</v>
      </c>
      <c r="H273" s="37" t="s">
        <v>39</v>
      </c>
      <c r="I273" s="38" t="s">
        <v>2257</v>
      </c>
      <c r="J273" s="38" t="s">
        <v>41</v>
      </c>
      <c r="K273" s="39" t="s">
        <v>42</v>
      </c>
      <c r="L273" s="158" t="s">
        <v>2258</v>
      </c>
      <c r="M273" s="56"/>
      <c r="N273" s="56"/>
      <c r="O273" s="56"/>
      <c r="P273" s="56"/>
      <c r="Q273" s="56"/>
      <c r="R273" s="56" t="s">
        <v>44</v>
      </c>
      <c r="S273" s="56"/>
      <c r="T273" s="56"/>
      <c r="U273" s="56"/>
      <c r="V273" s="56"/>
      <c r="W273" s="56"/>
      <c r="X273" s="42" t="s">
        <v>2259</v>
      </c>
      <c r="Y273" s="58" t="s">
        <v>2260</v>
      </c>
      <c r="Z273" s="207" t="s">
        <v>2261</v>
      </c>
      <c r="AA273" s="45">
        <v>44944</v>
      </c>
      <c r="AB273" s="101" t="s">
        <v>30</v>
      </c>
      <c r="AC273" s="36" t="s">
        <v>26</v>
      </c>
      <c r="AD273" s="47" t="s">
        <v>49</v>
      </c>
      <c r="AE273" s="48" t="s">
        <v>49</v>
      </c>
      <c r="AF273" s="48" t="s">
        <v>49</v>
      </c>
      <c r="AG273" s="48" t="s">
        <v>49</v>
      </c>
      <c r="AH273" s="48" t="s">
        <v>49</v>
      </c>
      <c r="AI273" s="48" t="s">
        <v>49</v>
      </c>
      <c r="AJ273" s="49" t="s">
        <v>49</v>
      </c>
      <c r="AK273" s="48" t="s">
        <v>41</v>
      </c>
      <c r="AL273" s="65" t="s">
        <v>148</v>
      </c>
      <c r="AM273" s="59"/>
      <c r="AN273" s="117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1"/>
    </row>
    <row r="274" spans="1:51" x14ac:dyDescent="0.2">
      <c r="A274" s="33">
        <f t="shared" si="5"/>
        <v>269</v>
      </c>
      <c r="B274" s="34" t="s">
        <v>2262</v>
      </c>
      <c r="C274" s="35" t="s">
        <v>2263</v>
      </c>
      <c r="D274" s="36" t="s">
        <v>2264</v>
      </c>
      <c r="E274" s="36" t="s">
        <v>54</v>
      </c>
      <c r="F274" s="200" t="s">
        <v>2265</v>
      </c>
      <c r="G274" s="37" t="s">
        <v>1285</v>
      </c>
      <c r="H274" s="37" t="s">
        <v>350</v>
      </c>
      <c r="I274" s="38" t="s">
        <v>2266</v>
      </c>
      <c r="J274" s="34" t="s">
        <v>41</v>
      </c>
      <c r="K274" s="39" t="s">
        <v>42</v>
      </c>
      <c r="L274" s="120">
        <v>43408</v>
      </c>
      <c r="M274" s="41" t="s">
        <v>179</v>
      </c>
      <c r="N274" s="41" t="s">
        <v>179</v>
      </c>
      <c r="O274" s="41"/>
      <c r="P274" s="41">
        <v>5</v>
      </c>
      <c r="Q274" s="41" t="s">
        <v>942</v>
      </c>
      <c r="R274" s="41"/>
      <c r="S274" s="41"/>
      <c r="T274" s="41"/>
      <c r="U274" s="41"/>
      <c r="V274" s="41"/>
      <c r="W274" s="41"/>
      <c r="X274" s="42" t="s">
        <v>2267</v>
      </c>
      <c r="Y274" s="58" t="s">
        <v>2268</v>
      </c>
      <c r="Z274" s="44"/>
      <c r="AA274" s="45" t="s">
        <v>47</v>
      </c>
      <c r="AB274" s="101"/>
      <c r="AC274" s="36"/>
      <c r="AD274" s="47" t="s">
        <v>49</v>
      </c>
      <c r="AE274" s="48" t="s">
        <v>41</v>
      </c>
      <c r="AF274" s="48" t="s">
        <v>41</v>
      </c>
      <c r="AG274" s="48" t="s">
        <v>41</v>
      </c>
      <c r="AH274" s="48" t="s">
        <v>41</v>
      </c>
      <c r="AI274" s="48" t="s">
        <v>41</v>
      </c>
      <c r="AJ274" s="49" t="s">
        <v>41</v>
      </c>
      <c r="AK274" s="48" t="s">
        <v>41</v>
      </c>
      <c r="AL274" s="65">
        <v>7</v>
      </c>
      <c r="AM274" s="59" t="s">
        <v>2211</v>
      </c>
      <c r="AN274" s="10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1"/>
    </row>
    <row r="275" spans="1:51" x14ac:dyDescent="0.2">
      <c r="A275" s="33">
        <f t="shared" si="5"/>
        <v>270</v>
      </c>
      <c r="B275" s="34" t="s">
        <v>2269</v>
      </c>
      <c r="C275" s="35" t="s">
        <v>2270</v>
      </c>
      <c r="D275" s="36" t="s">
        <v>2271</v>
      </c>
      <c r="E275" s="36" t="s">
        <v>54</v>
      </c>
      <c r="F275" s="200" t="s">
        <v>2265</v>
      </c>
      <c r="G275" s="37" t="s">
        <v>1285</v>
      </c>
      <c r="H275" s="37" t="s">
        <v>350</v>
      </c>
      <c r="I275" s="34" t="s">
        <v>2272</v>
      </c>
      <c r="J275" s="34" t="s">
        <v>2273</v>
      </c>
      <c r="K275" s="39" t="s">
        <v>42</v>
      </c>
      <c r="L275" s="99" t="s">
        <v>2274</v>
      </c>
      <c r="M275" s="112" t="s">
        <v>179</v>
      </c>
      <c r="N275" s="41" t="s">
        <v>179</v>
      </c>
      <c r="O275" s="41"/>
      <c r="P275" s="41">
        <v>5</v>
      </c>
      <c r="Q275" s="41" t="s">
        <v>942</v>
      </c>
      <c r="R275" s="41"/>
      <c r="S275" s="41"/>
      <c r="T275" s="41"/>
      <c r="U275" s="41"/>
      <c r="V275" s="41"/>
      <c r="W275" s="41"/>
      <c r="X275" s="57" t="s">
        <v>2267</v>
      </c>
      <c r="Y275" s="58" t="s">
        <v>2275</v>
      </c>
      <c r="Z275" s="44"/>
      <c r="AA275" s="45" t="s">
        <v>47</v>
      </c>
      <c r="AB275" s="101"/>
      <c r="AC275" s="36"/>
      <c r="AD275" s="47" t="s">
        <v>49</v>
      </c>
      <c r="AE275" s="48" t="s">
        <v>41</v>
      </c>
      <c r="AF275" s="48" t="s">
        <v>41</v>
      </c>
      <c r="AG275" s="48" t="s">
        <v>41</v>
      </c>
      <c r="AH275" s="48" t="s">
        <v>41</v>
      </c>
      <c r="AI275" s="48" t="s">
        <v>41</v>
      </c>
      <c r="AJ275" s="49" t="s">
        <v>41</v>
      </c>
      <c r="AK275" s="48" t="s">
        <v>41</v>
      </c>
      <c r="AL275" s="65" t="s">
        <v>4591</v>
      </c>
      <c r="AM275" s="59" t="s">
        <v>2211</v>
      </c>
      <c r="AN275" s="10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1"/>
    </row>
    <row r="276" spans="1:51" x14ac:dyDescent="0.2">
      <c r="A276" s="33">
        <f t="shared" si="5"/>
        <v>271</v>
      </c>
      <c r="B276" s="38" t="s">
        <v>2253</v>
      </c>
      <c r="C276" s="35" t="s">
        <v>2276</v>
      </c>
      <c r="D276" s="36" t="s">
        <v>2277</v>
      </c>
      <c r="E276" s="36" t="s">
        <v>36</v>
      </c>
      <c r="F276" s="200" t="s">
        <v>2278</v>
      </c>
      <c r="G276" s="37" t="s">
        <v>323</v>
      </c>
      <c r="H276" s="37" t="s">
        <v>39</v>
      </c>
      <c r="I276" s="38" t="s">
        <v>2279</v>
      </c>
      <c r="J276" s="38" t="s">
        <v>2279</v>
      </c>
      <c r="K276" s="39" t="s">
        <v>42</v>
      </c>
      <c r="L276" s="217" t="s">
        <v>2280</v>
      </c>
      <c r="M276" s="41"/>
      <c r="N276" s="41"/>
      <c r="O276" s="41"/>
      <c r="P276" s="41"/>
      <c r="Q276" s="41"/>
      <c r="R276" s="56"/>
      <c r="S276" s="56"/>
      <c r="T276" s="56"/>
      <c r="U276" s="56"/>
      <c r="V276" s="56"/>
      <c r="W276" s="56"/>
      <c r="X276" s="218" t="s">
        <v>2281</v>
      </c>
      <c r="Y276" s="83" t="s">
        <v>2282</v>
      </c>
      <c r="Z276" s="119"/>
      <c r="AA276" s="45" t="s">
        <v>47</v>
      </c>
      <c r="AB276" s="101"/>
      <c r="AC276" s="36"/>
      <c r="AD276" s="47" t="s">
        <v>49</v>
      </c>
      <c r="AE276" s="48" t="s">
        <v>41</v>
      </c>
      <c r="AF276" s="48" t="s">
        <v>41</v>
      </c>
      <c r="AG276" s="48" t="s">
        <v>41</v>
      </c>
      <c r="AH276" s="48" t="s">
        <v>41</v>
      </c>
      <c r="AI276" s="48" t="s">
        <v>41</v>
      </c>
      <c r="AJ276" s="49" t="s">
        <v>41</v>
      </c>
      <c r="AK276" s="48" t="s">
        <v>41</v>
      </c>
      <c r="AL276" s="65" t="s">
        <v>4591</v>
      </c>
      <c r="AM276" s="59"/>
      <c r="AN276" s="10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1"/>
    </row>
    <row r="277" spans="1:51" x14ac:dyDescent="0.2">
      <c r="A277" s="33">
        <f t="shared" si="5"/>
        <v>272</v>
      </c>
      <c r="B277" s="34" t="s">
        <v>2283</v>
      </c>
      <c r="C277" s="35" t="s">
        <v>2284</v>
      </c>
      <c r="D277" s="36" t="s">
        <v>2285</v>
      </c>
      <c r="E277" s="36" t="s">
        <v>54</v>
      </c>
      <c r="F277" s="60" t="s">
        <v>2286</v>
      </c>
      <c r="G277" s="37" t="s">
        <v>73</v>
      </c>
      <c r="H277" s="37" t="s">
        <v>73</v>
      </c>
      <c r="I277" s="113" t="s">
        <v>2287</v>
      </c>
      <c r="J277" s="34" t="s">
        <v>41</v>
      </c>
      <c r="K277" s="39" t="s">
        <v>42</v>
      </c>
      <c r="L277" s="120" t="s">
        <v>2288</v>
      </c>
      <c r="M277" s="41"/>
      <c r="N277" s="70"/>
      <c r="O277" s="70"/>
      <c r="P277" s="70"/>
      <c r="Q277" s="70"/>
      <c r="R277" s="70"/>
      <c r="S277" s="70" t="s">
        <v>44</v>
      </c>
      <c r="T277" s="70"/>
      <c r="U277" s="70"/>
      <c r="V277" s="70"/>
      <c r="W277" s="70"/>
      <c r="X277" s="42" t="s">
        <v>2289</v>
      </c>
      <c r="Y277" s="58" t="s">
        <v>2290</v>
      </c>
      <c r="Z277" s="84" t="s">
        <v>2291</v>
      </c>
      <c r="AA277" s="45">
        <v>44650</v>
      </c>
      <c r="AB277" s="101" t="s">
        <v>30</v>
      </c>
      <c r="AC277" s="73"/>
      <c r="AD277" s="47" t="s">
        <v>49</v>
      </c>
      <c r="AE277" s="48" t="s">
        <v>41</v>
      </c>
      <c r="AF277" s="48" t="s">
        <v>41</v>
      </c>
      <c r="AG277" s="48" t="s">
        <v>49</v>
      </c>
      <c r="AH277" s="48" t="s">
        <v>49</v>
      </c>
      <c r="AI277" s="48" t="s">
        <v>41</v>
      </c>
      <c r="AJ277" s="49" t="s">
        <v>41</v>
      </c>
      <c r="AK277" s="48" t="s">
        <v>41</v>
      </c>
      <c r="AL277" s="62" t="s">
        <v>4589</v>
      </c>
      <c r="AM277" s="59"/>
      <c r="AN277" s="117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1"/>
    </row>
    <row r="278" spans="1:51" x14ac:dyDescent="0.2">
      <c r="A278" s="33">
        <f t="shared" si="5"/>
        <v>273</v>
      </c>
      <c r="B278" s="34" t="s">
        <v>2292</v>
      </c>
      <c r="C278" s="35" t="s">
        <v>2293</v>
      </c>
      <c r="D278" s="36" t="s">
        <v>2294</v>
      </c>
      <c r="E278" s="36" t="s">
        <v>54</v>
      </c>
      <c r="F278" s="52" t="s">
        <v>2295</v>
      </c>
      <c r="G278" s="37" t="s">
        <v>350</v>
      </c>
      <c r="H278" s="37" t="s">
        <v>350</v>
      </c>
      <c r="I278" s="113" t="s">
        <v>2296</v>
      </c>
      <c r="J278" s="34" t="s">
        <v>41</v>
      </c>
      <c r="K278" s="39" t="s">
        <v>42</v>
      </c>
      <c r="L278" s="120">
        <v>45237</v>
      </c>
      <c r="M278" s="41"/>
      <c r="N278" s="70"/>
      <c r="O278" s="70"/>
      <c r="P278" s="70"/>
      <c r="Q278" s="70"/>
      <c r="R278" s="70"/>
      <c r="S278" s="70"/>
      <c r="T278" s="70" t="s">
        <v>44</v>
      </c>
      <c r="U278" s="70"/>
      <c r="V278" s="70"/>
      <c r="W278" s="70"/>
      <c r="X278" s="42" t="s">
        <v>2297</v>
      </c>
      <c r="Y278" s="83" t="s">
        <v>2298</v>
      </c>
      <c r="Z278" s="44"/>
      <c r="AA278" s="45">
        <v>45642</v>
      </c>
      <c r="AB278" s="101"/>
      <c r="AC278" s="73"/>
      <c r="AD278" s="47" t="s">
        <v>49</v>
      </c>
      <c r="AE278" s="48" t="s">
        <v>41</v>
      </c>
      <c r="AF278" s="48" t="s">
        <v>41</v>
      </c>
      <c r="AG278" s="48" t="s">
        <v>41</v>
      </c>
      <c r="AH278" s="48" t="s">
        <v>49</v>
      </c>
      <c r="AI278" s="48" t="s">
        <v>49</v>
      </c>
      <c r="AJ278" s="49" t="s">
        <v>49</v>
      </c>
      <c r="AK278" s="48" t="s">
        <v>41</v>
      </c>
      <c r="AL278" s="62" t="s">
        <v>148</v>
      </c>
      <c r="AM278" s="59"/>
      <c r="AN278" s="117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1"/>
    </row>
    <row r="279" spans="1:51" x14ac:dyDescent="0.2">
      <c r="A279" s="33">
        <f t="shared" si="5"/>
        <v>274</v>
      </c>
      <c r="B279" s="34" t="s">
        <v>2299</v>
      </c>
      <c r="C279" s="35" t="s">
        <v>2300</v>
      </c>
      <c r="D279" s="36" t="s">
        <v>2301</v>
      </c>
      <c r="E279" s="36" t="s">
        <v>36</v>
      </c>
      <c r="F279" s="34" t="s">
        <v>2302</v>
      </c>
      <c r="G279" s="37" t="s">
        <v>73</v>
      </c>
      <c r="H279" s="37" t="s">
        <v>73</v>
      </c>
      <c r="I279" s="34" t="s">
        <v>2303</v>
      </c>
      <c r="J279" s="34" t="s">
        <v>41</v>
      </c>
      <c r="K279" s="39" t="s">
        <v>42</v>
      </c>
      <c r="L279" s="99" t="s">
        <v>1160</v>
      </c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42" t="s">
        <v>2304</v>
      </c>
      <c r="Y279" s="52" t="s">
        <v>2305</v>
      </c>
      <c r="Z279" s="44" t="s">
        <v>2306</v>
      </c>
      <c r="AA279" s="45">
        <v>43200</v>
      </c>
      <c r="AB279" s="101" t="s">
        <v>30</v>
      </c>
      <c r="AC279" s="36" t="s">
        <v>26</v>
      </c>
      <c r="AD279" s="47" t="s">
        <v>49</v>
      </c>
      <c r="AE279" s="48" t="s">
        <v>49</v>
      </c>
      <c r="AF279" s="48" t="s">
        <v>49</v>
      </c>
      <c r="AG279" s="48" t="s">
        <v>49</v>
      </c>
      <c r="AH279" s="48" t="s">
        <v>49</v>
      </c>
      <c r="AI279" s="48" t="s">
        <v>49</v>
      </c>
      <c r="AJ279" s="49" t="s">
        <v>49</v>
      </c>
      <c r="AK279" s="48" t="s">
        <v>41</v>
      </c>
      <c r="AL279" s="62" t="s">
        <v>148</v>
      </c>
      <c r="AM279" s="59"/>
      <c r="AN279" s="10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1"/>
    </row>
    <row r="280" spans="1:51" x14ac:dyDescent="0.2">
      <c r="A280" s="33">
        <f t="shared" si="5"/>
        <v>275</v>
      </c>
      <c r="B280" s="34" t="s">
        <v>2307</v>
      </c>
      <c r="C280" s="35" t="s">
        <v>2308</v>
      </c>
      <c r="D280" s="36" t="s">
        <v>2309</v>
      </c>
      <c r="E280" s="36" t="s">
        <v>54</v>
      </c>
      <c r="F280" s="34" t="s">
        <v>2310</v>
      </c>
      <c r="G280" s="37" t="s">
        <v>176</v>
      </c>
      <c r="H280" s="37" t="s">
        <v>39</v>
      </c>
      <c r="I280" s="34" t="s">
        <v>2311</v>
      </c>
      <c r="J280" s="34" t="s">
        <v>41</v>
      </c>
      <c r="K280" s="39" t="s">
        <v>42</v>
      </c>
      <c r="L280" s="99" t="s">
        <v>2312</v>
      </c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2" t="s">
        <v>2313</v>
      </c>
      <c r="Y280" s="58" t="s">
        <v>2314</v>
      </c>
      <c r="Z280" s="44" t="s">
        <v>61</v>
      </c>
      <c r="AA280" s="45">
        <v>38593</v>
      </c>
      <c r="AB280" s="101" t="s">
        <v>30</v>
      </c>
      <c r="AC280" s="36"/>
      <c r="AD280" s="47" t="s">
        <v>49</v>
      </c>
      <c r="AE280" s="48" t="s">
        <v>41</v>
      </c>
      <c r="AF280" s="48" t="s">
        <v>41</v>
      </c>
      <c r="AG280" s="48" t="s">
        <v>41</v>
      </c>
      <c r="AH280" s="48" t="s">
        <v>41</v>
      </c>
      <c r="AI280" s="48" t="s">
        <v>41</v>
      </c>
      <c r="AJ280" s="49" t="s">
        <v>41</v>
      </c>
      <c r="AK280" s="48" t="s">
        <v>41</v>
      </c>
      <c r="AL280" s="65" t="s">
        <v>4591</v>
      </c>
      <c r="AM280" s="59" t="s">
        <v>460</v>
      </c>
      <c r="AN280" s="10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1"/>
    </row>
    <row r="281" spans="1:51" x14ac:dyDescent="0.2">
      <c r="A281" s="33">
        <f t="shared" si="5"/>
        <v>276</v>
      </c>
      <c r="B281" s="34" t="s">
        <v>2315</v>
      </c>
      <c r="C281" s="35" t="s">
        <v>2316</v>
      </c>
      <c r="D281" s="36" t="s">
        <v>2317</v>
      </c>
      <c r="E281" s="36" t="s">
        <v>54</v>
      </c>
      <c r="F281" s="34" t="s">
        <v>2318</v>
      </c>
      <c r="G281" s="37" t="s">
        <v>349</v>
      </c>
      <c r="H281" s="37" t="s">
        <v>350</v>
      </c>
      <c r="I281" s="38" t="s">
        <v>2319</v>
      </c>
      <c r="J281" s="34" t="s">
        <v>41</v>
      </c>
      <c r="K281" s="39" t="s">
        <v>42</v>
      </c>
      <c r="L281" s="99" t="s">
        <v>2320</v>
      </c>
      <c r="M281" s="41"/>
      <c r="N281" s="41"/>
      <c r="O281" s="41"/>
      <c r="P281" s="41"/>
      <c r="Q281" s="41"/>
      <c r="R281" s="41"/>
      <c r="S281" s="41"/>
      <c r="T281" s="41"/>
      <c r="U281" s="41"/>
      <c r="V281" s="41" t="s">
        <v>732</v>
      </c>
      <c r="W281" s="41"/>
      <c r="X281" s="42" t="s">
        <v>2321</v>
      </c>
      <c r="Y281" s="52" t="s">
        <v>2322</v>
      </c>
      <c r="Z281" s="44" t="s">
        <v>2323</v>
      </c>
      <c r="AA281" s="45">
        <v>42935</v>
      </c>
      <c r="AB281" s="101" t="s">
        <v>30</v>
      </c>
      <c r="AC281" s="36" t="s">
        <v>26</v>
      </c>
      <c r="AD281" s="47" t="s">
        <v>49</v>
      </c>
      <c r="AE281" s="48" t="s">
        <v>49</v>
      </c>
      <c r="AF281" s="48" t="s">
        <v>49</v>
      </c>
      <c r="AG281" s="48" t="s">
        <v>49</v>
      </c>
      <c r="AH281" s="48" t="s">
        <v>49</v>
      </c>
      <c r="AI281" s="48" t="s">
        <v>49</v>
      </c>
      <c r="AJ281" s="49" t="s">
        <v>49</v>
      </c>
      <c r="AK281" s="48" t="s">
        <v>49</v>
      </c>
      <c r="AL281" s="65" t="s">
        <v>32</v>
      </c>
      <c r="AM281" s="59"/>
      <c r="AN281" s="10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1"/>
    </row>
    <row r="282" spans="1:51" x14ac:dyDescent="0.2">
      <c r="A282" s="33">
        <f t="shared" si="5"/>
        <v>277</v>
      </c>
      <c r="B282" s="34" t="s">
        <v>2324</v>
      </c>
      <c r="C282" s="35" t="s">
        <v>2325</v>
      </c>
      <c r="D282" s="36" t="s">
        <v>2326</v>
      </c>
      <c r="E282" s="36" t="s">
        <v>36</v>
      </c>
      <c r="F282" s="34" t="s">
        <v>2327</v>
      </c>
      <c r="G282" s="37" t="s">
        <v>73</v>
      </c>
      <c r="H282" s="37" t="s">
        <v>73</v>
      </c>
      <c r="I282" s="34" t="s">
        <v>2328</v>
      </c>
      <c r="J282" s="34" t="s">
        <v>2329</v>
      </c>
      <c r="K282" s="39" t="s">
        <v>42</v>
      </c>
      <c r="L282" s="120">
        <v>42254</v>
      </c>
      <c r="M282" s="41" t="s">
        <v>179</v>
      </c>
      <c r="N282" s="41" t="s">
        <v>179</v>
      </c>
      <c r="O282" s="41"/>
      <c r="P282" s="41">
        <v>5</v>
      </c>
      <c r="Q282" s="41" t="s">
        <v>942</v>
      </c>
      <c r="R282" s="41"/>
      <c r="S282" s="41"/>
      <c r="T282" s="41"/>
      <c r="U282" s="41"/>
      <c r="V282" s="41"/>
      <c r="W282" s="41"/>
      <c r="X282" s="42" t="s">
        <v>2330</v>
      </c>
      <c r="Y282" s="58" t="s">
        <v>2331</v>
      </c>
      <c r="Z282" s="44"/>
      <c r="AA282" s="45" t="s">
        <v>47</v>
      </c>
      <c r="AB282" s="101"/>
      <c r="AC282" s="36" t="s">
        <v>26</v>
      </c>
      <c r="AD282" s="47" t="s">
        <v>49</v>
      </c>
      <c r="AE282" s="48" t="s">
        <v>49</v>
      </c>
      <c r="AF282" s="48" t="s">
        <v>41</v>
      </c>
      <c r="AG282" s="48" t="s">
        <v>41</v>
      </c>
      <c r="AH282" s="48" t="s">
        <v>41</v>
      </c>
      <c r="AI282" s="48" t="s">
        <v>41</v>
      </c>
      <c r="AJ282" s="49" t="s">
        <v>41</v>
      </c>
      <c r="AK282" s="48" t="s">
        <v>41</v>
      </c>
      <c r="AL282" s="62" t="s">
        <v>4587</v>
      </c>
      <c r="AM282" s="59"/>
      <c r="AN282" s="10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1"/>
    </row>
    <row r="283" spans="1:51" x14ac:dyDescent="0.2">
      <c r="A283" s="33">
        <f t="shared" si="5"/>
        <v>278</v>
      </c>
      <c r="B283" s="34" t="s">
        <v>2332</v>
      </c>
      <c r="C283" s="35" t="s">
        <v>2333</v>
      </c>
      <c r="D283" s="36" t="s">
        <v>2334</v>
      </c>
      <c r="E283" s="36" t="s">
        <v>54</v>
      </c>
      <c r="F283" s="34" t="s">
        <v>2335</v>
      </c>
      <c r="G283" s="37" t="s">
        <v>38</v>
      </c>
      <c r="H283" s="37" t="s">
        <v>39</v>
      </c>
      <c r="I283" s="34" t="s">
        <v>2336</v>
      </c>
      <c r="J283" s="34" t="s">
        <v>41</v>
      </c>
      <c r="K283" s="39" t="s">
        <v>42</v>
      </c>
      <c r="L283" s="99" t="s">
        <v>2337</v>
      </c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2" t="s">
        <v>2338</v>
      </c>
      <c r="Y283" s="43" t="s">
        <v>2339</v>
      </c>
      <c r="Z283" s="44" t="s">
        <v>61</v>
      </c>
      <c r="AA283" s="45">
        <v>37877</v>
      </c>
      <c r="AB283" s="101" t="s">
        <v>30</v>
      </c>
      <c r="AC283" s="36" t="s">
        <v>26</v>
      </c>
      <c r="AD283" s="47" t="s">
        <v>49</v>
      </c>
      <c r="AE283" s="48" t="s">
        <v>49</v>
      </c>
      <c r="AF283" s="48" t="s">
        <v>49</v>
      </c>
      <c r="AG283" s="48" t="s">
        <v>49</v>
      </c>
      <c r="AH283" s="48" t="s">
        <v>49</v>
      </c>
      <c r="AI283" s="48" t="s">
        <v>49</v>
      </c>
      <c r="AJ283" s="49" t="s">
        <v>49</v>
      </c>
      <c r="AK283" s="48" t="s">
        <v>41</v>
      </c>
      <c r="AL283" s="65" t="s">
        <v>148</v>
      </c>
      <c r="AM283" s="59"/>
      <c r="AN283" s="10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1"/>
    </row>
    <row r="284" spans="1:51" x14ac:dyDescent="0.2">
      <c r="A284" s="33">
        <f t="shared" si="5"/>
        <v>279</v>
      </c>
      <c r="B284" s="34" t="s">
        <v>2340</v>
      </c>
      <c r="C284" s="35" t="s">
        <v>2341</v>
      </c>
      <c r="D284" s="36" t="s">
        <v>2342</v>
      </c>
      <c r="E284" s="36" t="s">
        <v>54</v>
      </c>
      <c r="F284" s="34" t="s">
        <v>2343</v>
      </c>
      <c r="G284" s="37" t="s">
        <v>38</v>
      </c>
      <c r="H284" s="37" t="s">
        <v>39</v>
      </c>
      <c r="I284" s="34" t="s">
        <v>2344</v>
      </c>
      <c r="J284" s="34" t="s">
        <v>41</v>
      </c>
      <c r="K284" s="39" t="s">
        <v>42</v>
      </c>
      <c r="L284" s="120">
        <v>37598</v>
      </c>
      <c r="M284" s="41"/>
      <c r="N284" s="111"/>
      <c r="O284" s="112"/>
      <c r="P284" s="111"/>
      <c r="Q284" s="112"/>
      <c r="R284" s="112"/>
      <c r="S284" s="112"/>
      <c r="T284" s="41"/>
      <c r="U284" s="41"/>
      <c r="V284" s="41"/>
      <c r="W284" s="41"/>
      <c r="X284" s="42" t="s">
        <v>2345</v>
      </c>
      <c r="Y284" s="69" t="s">
        <v>2346</v>
      </c>
      <c r="Z284" s="44" t="s">
        <v>61</v>
      </c>
      <c r="AA284" s="45">
        <v>37877</v>
      </c>
      <c r="AB284" s="101" t="s">
        <v>30</v>
      </c>
      <c r="AC284" s="36" t="s">
        <v>26</v>
      </c>
      <c r="AD284" s="47" t="s">
        <v>49</v>
      </c>
      <c r="AE284" s="48" t="s">
        <v>49</v>
      </c>
      <c r="AF284" s="48" t="s">
        <v>49</v>
      </c>
      <c r="AG284" s="48" t="s">
        <v>49</v>
      </c>
      <c r="AH284" s="48" t="s">
        <v>49</v>
      </c>
      <c r="AI284" s="48" t="s">
        <v>49</v>
      </c>
      <c r="AJ284" s="49" t="s">
        <v>49</v>
      </c>
      <c r="AK284" s="48" t="s">
        <v>49</v>
      </c>
      <c r="AL284" s="62" t="s">
        <v>32</v>
      </c>
      <c r="AM284" s="59"/>
      <c r="AN284" s="10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1"/>
    </row>
    <row r="285" spans="1:51" x14ac:dyDescent="0.2">
      <c r="A285" s="33">
        <f t="shared" si="5"/>
        <v>280</v>
      </c>
      <c r="B285" s="34" t="s">
        <v>2347</v>
      </c>
      <c r="C285" s="35" t="s">
        <v>2348</v>
      </c>
      <c r="D285" s="36" t="s">
        <v>2349</v>
      </c>
      <c r="E285" s="36" t="s">
        <v>54</v>
      </c>
      <c r="F285" s="98" t="s">
        <v>2350</v>
      </c>
      <c r="G285" s="37" t="s">
        <v>398</v>
      </c>
      <c r="H285" s="37" t="s">
        <v>205</v>
      </c>
      <c r="I285" s="34" t="s">
        <v>2351</v>
      </c>
      <c r="J285" s="34" t="s">
        <v>41</v>
      </c>
      <c r="K285" s="39" t="s">
        <v>42</v>
      </c>
      <c r="L285" s="99" t="s">
        <v>2352</v>
      </c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2" t="s">
        <v>2353</v>
      </c>
      <c r="Y285" s="52" t="s">
        <v>2354</v>
      </c>
      <c r="Z285" s="44" t="s">
        <v>61</v>
      </c>
      <c r="AA285" s="45">
        <v>36641</v>
      </c>
      <c r="AB285" s="101" t="s">
        <v>30</v>
      </c>
      <c r="AC285" s="36" t="s">
        <v>26</v>
      </c>
      <c r="AD285" s="47" t="s">
        <v>49</v>
      </c>
      <c r="AE285" s="48" t="s">
        <v>49</v>
      </c>
      <c r="AF285" s="48" t="s">
        <v>49</v>
      </c>
      <c r="AG285" s="48" t="s">
        <v>49</v>
      </c>
      <c r="AH285" s="48" t="s">
        <v>49</v>
      </c>
      <c r="AI285" s="48" t="s">
        <v>49</v>
      </c>
      <c r="AJ285" s="49" t="s">
        <v>49</v>
      </c>
      <c r="AK285" s="48" t="s">
        <v>41</v>
      </c>
      <c r="AL285" s="62" t="s">
        <v>148</v>
      </c>
      <c r="AM285" s="59"/>
      <c r="AN285" s="10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1"/>
    </row>
    <row r="286" spans="1:51" x14ac:dyDescent="0.2">
      <c r="A286" s="33">
        <f t="shared" si="5"/>
        <v>281</v>
      </c>
      <c r="B286" s="34" t="s">
        <v>2355</v>
      </c>
      <c r="C286" s="35" t="s">
        <v>2356</v>
      </c>
      <c r="D286" s="36" t="s">
        <v>2357</v>
      </c>
      <c r="E286" s="36" t="s">
        <v>36</v>
      </c>
      <c r="F286" s="98" t="s">
        <v>2358</v>
      </c>
      <c r="G286" s="37" t="s">
        <v>73</v>
      </c>
      <c r="H286" s="37" t="s">
        <v>73</v>
      </c>
      <c r="I286" s="219" t="s">
        <v>2359</v>
      </c>
      <c r="J286" s="34"/>
      <c r="K286" s="39" t="s">
        <v>42</v>
      </c>
      <c r="L286" s="120">
        <v>45883</v>
      </c>
      <c r="M286" s="41"/>
      <c r="N286" s="41"/>
      <c r="O286" s="41"/>
      <c r="P286" s="41"/>
      <c r="Q286" s="41"/>
      <c r="R286" s="41"/>
      <c r="S286" s="41"/>
      <c r="T286" s="41"/>
      <c r="U286" s="41"/>
      <c r="V286" s="41" t="s">
        <v>44</v>
      </c>
      <c r="W286" s="41"/>
      <c r="X286" s="42" t="s">
        <v>2360</v>
      </c>
      <c r="Y286" s="43" t="s">
        <v>2361</v>
      </c>
      <c r="Z286" s="44"/>
      <c r="AA286" s="45"/>
      <c r="AB286" s="101"/>
      <c r="AC286" s="36"/>
      <c r="AD286" s="47" t="s">
        <v>49</v>
      </c>
      <c r="AE286" s="48" t="s">
        <v>41</v>
      </c>
      <c r="AF286" s="48" t="s">
        <v>41</v>
      </c>
      <c r="AG286" s="48" t="s">
        <v>41</v>
      </c>
      <c r="AH286" s="48" t="s">
        <v>41</v>
      </c>
      <c r="AI286" s="48" t="s">
        <v>41</v>
      </c>
      <c r="AJ286" s="49" t="s">
        <v>49</v>
      </c>
      <c r="AK286" s="48" t="s">
        <v>41</v>
      </c>
      <c r="AL286" s="62" t="s">
        <v>148</v>
      </c>
      <c r="AM286" s="59"/>
      <c r="AN286" s="10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1"/>
    </row>
    <row r="287" spans="1:51" x14ac:dyDescent="0.2">
      <c r="A287" s="33">
        <f t="shared" si="5"/>
        <v>282</v>
      </c>
      <c r="B287" s="34" t="s">
        <v>2363</v>
      </c>
      <c r="C287" s="35" t="s">
        <v>2364</v>
      </c>
      <c r="D287" s="36" t="s">
        <v>2365</v>
      </c>
      <c r="E287" s="36" t="s">
        <v>241</v>
      </c>
      <c r="F287" s="34" t="s">
        <v>2366</v>
      </c>
      <c r="G287" s="37" t="s">
        <v>73</v>
      </c>
      <c r="H287" s="37" t="s">
        <v>73</v>
      </c>
      <c r="I287" s="34" t="s">
        <v>2367</v>
      </c>
      <c r="J287" s="34" t="s">
        <v>41</v>
      </c>
      <c r="K287" s="39" t="s">
        <v>42</v>
      </c>
      <c r="L287" s="120">
        <v>35040</v>
      </c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2" t="s">
        <v>2368</v>
      </c>
      <c r="Y287" s="69" t="s">
        <v>2369</v>
      </c>
      <c r="Z287" s="44" t="s">
        <v>61</v>
      </c>
      <c r="AA287" s="45">
        <v>36641</v>
      </c>
      <c r="AB287" s="101" t="s">
        <v>30</v>
      </c>
      <c r="AC287" s="36" t="s">
        <v>26</v>
      </c>
      <c r="AD287" s="47" t="s">
        <v>49</v>
      </c>
      <c r="AE287" s="48" t="s">
        <v>49</v>
      </c>
      <c r="AF287" s="48" t="s">
        <v>49</v>
      </c>
      <c r="AG287" s="48" t="s">
        <v>49</v>
      </c>
      <c r="AH287" s="48" t="s">
        <v>49</v>
      </c>
      <c r="AI287" s="48" t="s">
        <v>49</v>
      </c>
      <c r="AJ287" s="49" t="s">
        <v>49</v>
      </c>
      <c r="AK287" s="48" t="s">
        <v>49</v>
      </c>
      <c r="AL287" s="62" t="s">
        <v>32</v>
      </c>
      <c r="AM287" s="59"/>
      <c r="AN287" s="10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1"/>
    </row>
    <row r="288" spans="1:51" x14ac:dyDescent="0.2">
      <c r="A288" s="33">
        <f t="shared" si="5"/>
        <v>283</v>
      </c>
      <c r="B288" s="108" t="s">
        <v>2370</v>
      </c>
      <c r="C288" s="35" t="s">
        <v>2371</v>
      </c>
      <c r="D288" s="174" t="s">
        <v>2372</v>
      </c>
      <c r="E288" s="36" t="s">
        <v>54</v>
      </c>
      <c r="F288" s="108" t="s">
        <v>2373</v>
      </c>
      <c r="G288" s="37" t="s">
        <v>456</v>
      </c>
      <c r="H288" s="37" t="s">
        <v>187</v>
      </c>
      <c r="I288" s="108" t="s">
        <v>2374</v>
      </c>
      <c r="J288" s="108" t="s">
        <v>2374</v>
      </c>
      <c r="K288" s="39" t="s">
        <v>42</v>
      </c>
      <c r="L288" s="120" t="s">
        <v>2375</v>
      </c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42" t="s">
        <v>2376</v>
      </c>
      <c r="Y288" s="52" t="s">
        <v>2377</v>
      </c>
      <c r="Z288" s="44" t="s">
        <v>2378</v>
      </c>
      <c r="AA288" s="45">
        <v>42935</v>
      </c>
      <c r="AB288" s="101" t="s">
        <v>30</v>
      </c>
      <c r="AC288" s="109" t="s">
        <v>26</v>
      </c>
      <c r="AD288" s="47" t="s">
        <v>49</v>
      </c>
      <c r="AE288" s="48" t="s">
        <v>49</v>
      </c>
      <c r="AF288" s="48" t="s">
        <v>49</v>
      </c>
      <c r="AG288" s="48" t="s">
        <v>49</v>
      </c>
      <c r="AH288" s="48" t="s">
        <v>49</v>
      </c>
      <c r="AI288" s="48" t="s">
        <v>49</v>
      </c>
      <c r="AJ288" s="49" t="s">
        <v>49</v>
      </c>
      <c r="AK288" s="48" t="s">
        <v>49</v>
      </c>
      <c r="AL288" s="65" t="s">
        <v>32</v>
      </c>
      <c r="AM288" s="59"/>
      <c r="AN288" s="10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1"/>
    </row>
    <row r="289" spans="1:51" x14ac:dyDescent="0.2">
      <c r="A289" s="33">
        <f t="shared" si="5"/>
        <v>284</v>
      </c>
      <c r="B289" s="139" t="s">
        <v>4643</v>
      </c>
      <c r="C289" s="35" t="s">
        <v>4644</v>
      </c>
      <c r="D289" s="174" t="s">
        <v>4645</v>
      </c>
      <c r="E289" s="36" t="s">
        <v>54</v>
      </c>
      <c r="F289" s="185" t="s">
        <v>4646</v>
      </c>
      <c r="G289" s="37" t="s">
        <v>176</v>
      </c>
      <c r="H289" s="37" t="s">
        <v>39</v>
      </c>
      <c r="I289" s="140" t="s">
        <v>4647</v>
      </c>
      <c r="J289" s="139" t="s">
        <v>41</v>
      </c>
      <c r="K289" s="39" t="s">
        <v>42</v>
      </c>
      <c r="L289" s="120">
        <v>42456</v>
      </c>
      <c r="M289" s="56" t="s">
        <v>179</v>
      </c>
      <c r="N289" s="56" t="s">
        <v>179</v>
      </c>
      <c r="O289" s="56"/>
      <c r="P289" s="56"/>
      <c r="Q289" s="56" t="s">
        <v>179</v>
      </c>
      <c r="R289" s="56"/>
      <c r="S289" s="56"/>
      <c r="T289" s="56"/>
      <c r="U289" s="56"/>
      <c r="V289" s="56"/>
      <c r="W289" s="56" t="s">
        <v>44</v>
      </c>
      <c r="X289" s="42" t="s">
        <v>4648</v>
      </c>
      <c r="Y289" s="312" t="s">
        <v>4649</v>
      </c>
      <c r="Z289" s="44"/>
      <c r="AA289" s="45"/>
      <c r="AB289" s="101"/>
      <c r="AC289" s="109"/>
      <c r="AD289" s="47" t="s">
        <v>49</v>
      </c>
      <c r="AE289" s="48" t="s">
        <v>41</v>
      </c>
      <c r="AF289" s="48" t="s">
        <v>41</v>
      </c>
      <c r="AG289" s="48" t="s">
        <v>41</v>
      </c>
      <c r="AH289" s="48" t="s">
        <v>41</v>
      </c>
      <c r="AI289" s="48" t="s">
        <v>41</v>
      </c>
      <c r="AJ289" s="48" t="s">
        <v>41</v>
      </c>
      <c r="AK289" s="48" t="s">
        <v>49</v>
      </c>
      <c r="AL289" s="65" t="s">
        <v>32</v>
      </c>
      <c r="AM289" s="59"/>
      <c r="AN289" s="10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1"/>
    </row>
    <row r="290" spans="1:51" x14ac:dyDescent="0.2">
      <c r="A290" s="33">
        <f t="shared" si="5"/>
        <v>285</v>
      </c>
      <c r="B290" s="108" t="s">
        <v>2379</v>
      </c>
      <c r="C290" s="35" t="s">
        <v>2380</v>
      </c>
      <c r="D290" s="174" t="s">
        <v>2381</v>
      </c>
      <c r="E290" s="36" t="s">
        <v>36</v>
      </c>
      <c r="F290" s="185" t="s">
        <v>2382</v>
      </c>
      <c r="G290" s="37" t="s">
        <v>176</v>
      </c>
      <c r="H290" s="37" t="s">
        <v>39</v>
      </c>
      <c r="I290" s="140" t="s">
        <v>2383</v>
      </c>
      <c r="J290" s="139" t="s">
        <v>41</v>
      </c>
      <c r="K290" s="39" t="s">
        <v>42</v>
      </c>
      <c r="L290" s="120">
        <v>45079</v>
      </c>
      <c r="M290" s="56" t="s">
        <v>179</v>
      </c>
      <c r="N290" s="56" t="s">
        <v>179</v>
      </c>
      <c r="O290" s="56"/>
      <c r="P290" s="56">
        <v>2</v>
      </c>
      <c r="Q290" s="56" t="s">
        <v>942</v>
      </c>
      <c r="R290" s="56"/>
      <c r="S290" s="56"/>
      <c r="T290" s="56" t="s">
        <v>44</v>
      </c>
      <c r="U290" s="56"/>
      <c r="V290" s="56"/>
      <c r="W290" s="56"/>
      <c r="X290" s="42" t="s">
        <v>2384</v>
      </c>
      <c r="Y290" s="55" t="s">
        <v>2385</v>
      </c>
      <c r="Z290" s="55"/>
      <c r="AA290" s="55" t="s">
        <v>47</v>
      </c>
      <c r="AB290" s="101"/>
      <c r="AC290" s="109"/>
      <c r="AD290" s="47" t="s">
        <v>49</v>
      </c>
      <c r="AE290" s="48" t="s">
        <v>41</v>
      </c>
      <c r="AF290" s="48" t="s">
        <v>41</v>
      </c>
      <c r="AG290" s="48" t="s">
        <v>41</v>
      </c>
      <c r="AH290" s="48" t="s">
        <v>49</v>
      </c>
      <c r="AI290" s="48" t="s">
        <v>41</v>
      </c>
      <c r="AJ290" s="49" t="s">
        <v>41</v>
      </c>
      <c r="AK290" s="48" t="s">
        <v>41</v>
      </c>
      <c r="AL290" s="62" t="s">
        <v>4589</v>
      </c>
      <c r="AM290" s="59"/>
      <c r="AN290" s="10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1"/>
    </row>
    <row r="291" spans="1:51" x14ac:dyDescent="0.2">
      <c r="A291" s="33">
        <f t="shared" si="5"/>
        <v>286</v>
      </c>
      <c r="B291" s="108" t="s">
        <v>2386</v>
      </c>
      <c r="C291" s="35" t="s">
        <v>2387</v>
      </c>
      <c r="D291" s="174" t="s">
        <v>2388</v>
      </c>
      <c r="E291" s="36" t="s">
        <v>54</v>
      </c>
      <c r="F291" s="108" t="s">
        <v>2389</v>
      </c>
      <c r="G291" s="37" t="s">
        <v>73</v>
      </c>
      <c r="H291" s="37" t="s">
        <v>73</v>
      </c>
      <c r="I291" s="145" t="s">
        <v>2390</v>
      </c>
      <c r="J291" s="108" t="s">
        <v>41</v>
      </c>
      <c r="K291" s="39" t="s">
        <v>42</v>
      </c>
      <c r="L291" s="120">
        <v>45852</v>
      </c>
      <c r="M291" s="56"/>
      <c r="N291" s="56"/>
      <c r="O291" s="56"/>
      <c r="P291" s="56"/>
      <c r="Q291" s="56"/>
      <c r="R291" s="56"/>
      <c r="S291" s="56"/>
      <c r="T291" s="56"/>
      <c r="U291" s="56"/>
      <c r="V291" s="56" t="s">
        <v>44</v>
      </c>
      <c r="W291" s="56"/>
      <c r="X291" s="42" t="s">
        <v>2391</v>
      </c>
      <c r="Y291" s="43" t="s">
        <v>2392</v>
      </c>
      <c r="Z291" s="55"/>
      <c r="AA291" s="55"/>
      <c r="AB291" s="101"/>
      <c r="AC291" s="109"/>
      <c r="AD291" s="47" t="s">
        <v>49</v>
      </c>
      <c r="AE291" s="48" t="s">
        <v>41</v>
      </c>
      <c r="AF291" s="48" t="s">
        <v>41</v>
      </c>
      <c r="AG291" s="48" t="s">
        <v>41</v>
      </c>
      <c r="AH291" s="48" t="s">
        <v>41</v>
      </c>
      <c r="AI291" s="48" t="s">
        <v>41</v>
      </c>
      <c r="AJ291" s="49" t="s">
        <v>49</v>
      </c>
      <c r="AK291" s="48" t="s">
        <v>41</v>
      </c>
      <c r="AL291" s="62" t="s">
        <v>148</v>
      </c>
      <c r="AM291" s="59"/>
      <c r="AN291" s="10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1"/>
    </row>
    <row r="292" spans="1:51" x14ac:dyDescent="0.2">
      <c r="A292" s="33">
        <f t="shared" si="5"/>
        <v>287</v>
      </c>
      <c r="B292" s="107" t="s">
        <v>2393</v>
      </c>
      <c r="C292" s="35" t="s">
        <v>2394</v>
      </c>
      <c r="D292" s="36" t="s">
        <v>2395</v>
      </c>
      <c r="E292" s="36" t="s">
        <v>54</v>
      </c>
      <c r="F292" s="98" t="s">
        <v>2396</v>
      </c>
      <c r="G292" s="37" t="s">
        <v>56</v>
      </c>
      <c r="H292" s="37" t="s">
        <v>57</v>
      </c>
      <c r="I292" s="54" t="s">
        <v>2397</v>
      </c>
      <c r="J292" s="183" t="s">
        <v>41</v>
      </c>
      <c r="K292" s="39" t="s">
        <v>42</v>
      </c>
      <c r="L292" s="120" t="s">
        <v>390</v>
      </c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42" t="s">
        <v>2398</v>
      </c>
      <c r="Y292" s="69" t="s">
        <v>2399</v>
      </c>
      <c r="Z292" s="44" t="s">
        <v>2400</v>
      </c>
      <c r="AA292" s="45">
        <v>43200</v>
      </c>
      <c r="AB292" s="101" t="s">
        <v>30</v>
      </c>
      <c r="AC292" s="73"/>
      <c r="AD292" s="47" t="s">
        <v>49</v>
      </c>
      <c r="AE292" s="48" t="s">
        <v>41</v>
      </c>
      <c r="AF292" s="48" t="s">
        <v>41</v>
      </c>
      <c r="AG292" s="48" t="s">
        <v>41</v>
      </c>
      <c r="AH292" s="48" t="s">
        <v>41</v>
      </c>
      <c r="AI292" s="48" t="s">
        <v>41</v>
      </c>
      <c r="AJ292" s="49" t="s">
        <v>41</v>
      </c>
      <c r="AK292" s="48" t="s">
        <v>41</v>
      </c>
      <c r="AL292" s="65" t="s">
        <v>4592</v>
      </c>
      <c r="AM292" s="59"/>
      <c r="AN292" s="10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1"/>
    </row>
    <row r="293" spans="1:51" x14ac:dyDescent="0.2">
      <c r="A293" s="33">
        <f t="shared" si="5"/>
        <v>288</v>
      </c>
      <c r="B293" s="34" t="s">
        <v>2401</v>
      </c>
      <c r="C293" s="35" t="s">
        <v>2402</v>
      </c>
      <c r="D293" s="36" t="s">
        <v>2403</v>
      </c>
      <c r="E293" s="36" t="s">
        <v>54</v>
      </c>
      <c r="F293" s="98" t="s">
        <v>2404</v>
      </c>
      <c r="G293" s="37" t="s">
        <v>214</v>
      </c>
      <c r="H293" s="37" t="s">
        <v>205</v>
      </c>
      <c r="I293" s="42" t="s">
        <v>2405</v>
      </c>
      <c r="J293" s="38" t="s">
        <v>41</v>
      </c>
      <c r="K293" s="39" t="s">
        <v>42</v>
      </c>
      <c r="L293" s="120">
        <v>42223</v>
      </c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42" t="s">
        <v>2405</v>
      </c>
      <c r="Y293" s="69" t="s">
        <v>2406</v>
      </c>
      <c r="Z293" s="44" t="s">
        <v>2407</v>
      </c>
      <c r="AA293" s="45">
        <v>42325</v>
      </c>
      <c r="AB293" s="101" t="s">
        <v>30</v>
      </c>
      <c r="AC293" s="73" t="s">
        <v>26</v>
      </c>
      <c r="AD293" s="47" t="s">
        <v>49</v>
      </c>
      <c r="AE293" s="48" t="s">
        <v>49</v>
      </c>
      <c r="AF293" s="48" t="s">
        <v>49</v>
      </c>
      <c r="AG293" s="48" t="s">
        <v>49</v>
      </c>
      <c r="AH293" s="48" t="s">
        <v>49</v>
      </c>
      <c r="AI293" s="48" t="s">
        <v>49</v>
      </c>
      <c r="AJ293" s="49" t="s">
        <v>41</v>
      </c>
      <c r="AK293" s="48" t="s">
        <v>41</v>
      </c>
      <c r="AL293" s="62" t="s">
        <v>276</v>
      </c>
      <c r="AM293" s="59"/>
      <c r="AN293" s="10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1"/>
    </row>
    <row r="294" spans="1:51" x14ac:dyDescent="0.2">
      <c r="A294" s="33">
        <f t="shared" si="5"/>
        <v>289</v>
      </c>
      <c r="B294" s="34" t="s">
        <v>2408</v>
      </c>
      <c r="C294" s="35" t="s">
        <v>2409</v>
      </c>
      <c r="D294" s="36" t="s">
        <v>2410</v>
      </c>
      <c r="E294" s="36" t="s">
        <v>36</v>
      </c>
      <c r="F294" s="34" t="s">
        <v>2411</v>
      </c>
      <c r="G294" s="37" t="s">
        <v>349</v>
      </c>
      <c r="H294" s="37" t="s">
        <v>350</v>
      </c>
      <c r="I294" s="34" t="s">
        <v>2412</v>
      </c>
      <c r="J294" s="34" t="s">
        <v>41</v>
      </c>
      <c r="K294" s="39" t="s">
        <v>42</v>
      </c>
      <c r="L294" s="99" t="s">
        <v>2413</v>
      </c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42" t="s">
        <v>2414</v>
      </c>
      <c r="Y294" s="58" t="s">
        <v>2415</v>
      </c>
      <c r="Z294" s="44" t="s">
        <v>2416</v>
      </c>
      <c r="AA294" s="45">
        <v>41793</v>
      </c>
      <c r="AB294" s="101" t="s">
        <v>30</v>
      </c>
      <c r="AC294" s="36"/>
      <c r="AD294" s="47" t="s">
        <v>49</v>
      </c>
      <c r="AE294" s="48" t="s">
        <v>41</v>
      </c>
      <c r="AF294" s="48" t="s">
        <v>41</v>
      </c>
      <c r="AG294" s="48" t="s">
        <v>41</v>
      </c>
      <c r="AH294" s="48" t="s">
        <v>41</v>
      </c>
      <c r="AI294" s="48" t="s">
        <v>41</v>
      </c>
      <c r="AJ294" s="49" t="s">
        <v>41</v>
      </c>
      <c r="AK294" s="48" t="s">
        <v>41</v>
      </c>
      <c r="AL294" s="65" t="s">
        <v>4588</v>
      </c>
      <c r="AM294" s="59"/>
      <c r="AN294" s="117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1"/>
    </row>
    <row r="295" spans="1:51" x14ac:dyDescent="0.2">
      <c r="A295" s="33">
        <f t="shared" si="5"/>
        <v>290</v>
      </c>
      <c r="B295" s="34" t="s">
        <v>2417</v>
      </c>
      <c r="C295" s="35" t="s">
        <v>2418</v>
      </c>
      <c r="D295" s="36" t="s">
        <v>2419</v>
      </c>
      <c r="E295" s="36" t="s">
        <v>54</v>
      </c>
      <c r="F295" s="34" t="s">
        <v>2420</v>
      </c>
      <c r="G295" s="37" t="s">
        <v>243</v>
      </c>
      <c r="H295" s="37" t="s">
        <v>205</v>
      </c>
      <c r="I295" s="38" t="s">
        <v>2421</v>
      </c>
      <c r="J295" s="34" t="s">
        <v>41</v>
      </c>
      <c r="K295" s="39" t="s">
        <v>42</v>
      </c>
      <c r="L295" s="120">
        <v>45052</v>
      </c>
      <c r="M295" s="56"/>
      <c r="N295" s="56"/>
      <c r="O295" s="56"/>
      <c r="P295" s="56"/>
      <c r="Q295" s="56"/>
      <c r="R295" s="56"/>
      <c r="S295" s="56"/>
      <c r="T295" s="56" t="s">
        <v>44</v>
      </c>
      <c r="U295" s="56"/>
      <c r="V295" s="56"/>
      <c r="W295" s="56"/>
      <c r="X295" s="42" t="s">
        <v>2422</v>
      </c>
      <c r="Y295" s="58" t="s">
        <v>2423</v>
      </c>
      <c r="Z295" s="44"/>
      <c r="AA295" s="45">
        <v>45642</v>
      </c>
      <c r="AB295" s="101"/>
      <c r="AC295" s="36"/>
      <c r="AD295" s="47" t="s">
        <v>49</v>
      </c>
      <c r="AE295" s="48" t="s">
        <v>41</v>
      </c>
      <c r="AF295" s="48" t="s">
        <v>41</v>
      </c>
      <c r="AG295" s="48" t="s">
        <v>41</v>
      </c>
      <c r="AH295" s="48" t="s">
        <v>49</v>
      </c>
      <c r="AI295" s="48" t="s">
        <v>49</v>
      </c>
      <c r="AJ295" s="49" t="s">
        <v>49</v>
      </c>
      <c r="AK295" s="48" t="s">
        <v>49</v>
      </c>
      <c r="AL295" s="62" t="s">
        <v>32</v>
      </c>
      <c r="AM295" s="59"/>
      <c r="AN295" s="10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1"/>
    </row>
    <row r="296" spans="1:51" x14ac:dyDescent="0.2">
      <c r="A296" s="33">
        <f t="shared" si="5"/>
        <v>291</v>
      </c>
      <c r="B296" s="34" t="s">
        <v>2424</v>
      </c>
      <c r="C296" s="35" t="s">
        <v>2425</v>
      </c>
      <c r="D296" s="36" t="s">
        <v>2426</v>
      </c>
      <c r="E296" s="36" t="s">
        <v>54</v>
      </c>
      <c r="F296" s="34" t="s">
        <v>2427</v>
      </c>
      <c r="G296" s="37" t="s">
        <v>349</v>
      </c>
      <c r="H296" s="37" t="s">
        <v>350</v>
      </c>
      <c r="I296" s="38" t="s">
        <v>2428</v>
      </c>
      <c r="J296" s="34" t="s">
        <v>41</v>
      </c>
      <c r="K296" s="39" t="s">
        <v>42</v>
      </c>
      <c r="L296" s="120">
        <v>40853</v>
      </c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2" t="s">
        <v>2429</v>
      </c>
      <c r="Y296" s="69" t="s">
        <v>2430</v>
      </c>
      <c r="Z296" s="44" t="s">
        <v>2431</v>
      </c>
      <c r="AA296" s="45">
        <v>41803</v>
      </c>
      <c r="AB296" s="101" t="s">
        <v>30</v>
      </c>
      <c r="AC296" s="36" t="s">
        <v>26</v>
      </c>
      <c r="AD296" s="47" t="s">
        <v>49</v>
      </c>
      <c r="AE296" s="48" t="s">
        <v>49</v>
      </c>
      <c r="AF296" s="48" t="s">
        <v>49</v>
      </c>
      <c r="AG296" s="48" t="s">
        <v>49</v>
      </c>
      <c r="AH296" s="48" t="s">
        <v>49</v>
      </c>
      <c r="AI296" s="48" t="s">
        <v>49</v>
      </c>
      <c r="AJ296" s="49" t="s">
        <v>49</v>
      </c>
      <c r="AK296" s="48" t="s">
        <v>49</v>
      </c>
      <c r="AL296" s="62" t="s">
        <v>32</v>
      </c>
      <c r="AM296" s="59"/>
      <c r="AN296" s="10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1"/>
    </row>
    <row r="297" spans="1:51" x14ac:dyDescent="0.2">
      <c r="A297" s="33">
        <f t="shared" si="5"/>
        <v>292</v>
      </c>
      <c r="B297" s="34" t="s">
        <v>2432</v>
      </c>
      <c r="C297" s="35" t="s">
        <v>2433</v>
      </c>
      <c r="D297" s="36" t="s">
        <v>2434</v>
      </c>
      <c r="E297" s="36" t="s">
        <v>54</v>
      </c>
      <c r="F297" s="34" t="s">
        <v>2435</v>
      </c>
      <c r="G297" s="37" t="s">
        <v>1285</v>
      </c>
      <c r="H297" s="37" t="s">
        <v>350</v>
      </c>
      <c r="I297" s="34" t="s">
        <v>2436</v>
      </c>
      <c r="J297" s="34" t="s">
        <v>41</v>
      </c>
      <c r="K297" s="39" t="s">
        <v>42</v>
      </c>
      <c r="L297" s="99" t="s">
        <v>2437</v>
      </c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2" t="s">
        <v>2438</v>
      </c>
      <c r="Y297" s="69" t="s">
        <v>2439</v>
      </c>
      <c r="Z297" s="119" t="s">
        <v>61</v>
      </c>
      <c r="AA297" s="45">
        <v>38593</v>
      </c>
      <c r="AB297" s="101" t="s">
        <v>30</v>
      </c>
      <c r="AC297" s="73" t="s">
        <v>26</v>
      </c>
      <c r="AD297" s="47" t="s">
        <v>49</v>
      </c>
      <c r="AE297" s="48" t="s">
        <v>49</v>
      </c>
      <c r="AF297" s="48" t="s">
        <v>41</v>
      </c>
      <c r="AG297" s="48" t="s">
        <v>41</v>
      </c>
      <c r="AH297" s="48" t="s">
        <v>41</v>
      </c>
      <c r="AI297" s="48" t="s">
        <v>41</v>
      </c>
      <c r="AJ297" s="49" t="s">
        <v>41</v>
      </c>
      <c r="AK297" s="48" t="s">
        <v>41</v>
      </c>
      <c r="AL297" s="65" t="s">
        <v>4587</v>
      </c>
      <c r="AM297" s="59"/>
      <c r="AN297" s="10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1"/>
    </row>
    <row r="298" spans="1:51" x14ac:dyDescent="0.2">
      <c r="A298" s="33">
        <f t="shared" si="5"/>
        <v>293</v>
      </c>
      <c r="B298" s="34" t="s">
        <v>2440</v>
      </c>
      <c r="C298" s="35" t="s">
        <v>2441</v>
      </c>
      <c r="D298" s="36" t="s">
        <v>2442</v>
      </c>
      <c r="E298" s="36" t="s">
        <v>54</v>
      </c>
      <c r="F298" s="98" t="s">
        <v>2443</v>
      </c>
      <c r="G298" s="37" t="s">
        <v>73</v>
      </c>
      <c r="H298" s="37" t="s">
        <v>73</v>
      </c>
      <c r="I298" s="34" t="s">
        <v>2444</v>
      </c>
      <c r="J298" s="34" t="s">
        <v>41</v>
      </c>
      <c r="K298" s="39" t="s">
        <v>42</v>
      </c>
      <c r="L298" s="120">
        <v>44354</v>
      </c>
      <c r="M298" s="56"/>
      <c r="N298" s="56"/>
      <c r="O298" s="56"/>
      <c r="P298" s="56"/>
      <c r="Q298" s="56"/>
      <c r="R298" s="56" t="s">
        <v>44</v>
      </c>
      <c r="S298" s="56"/>
      <c r="T298" s="56"/>
      <c r="U298" s="56"/>
      <c r="V298" s="56"/>
      <c r="W298" s="56"/>
      <c r="X298" s="42" t="s">
        <v>2445</v>
      </c>
      <c r="Y298" s="58" t="s">
        <v>2446</v>
      </c>
      <c r="Z298" s="84" t="s">
        <v>2447</v>
      </c>
      <c r="AA298" s="45">
        <v>44650</v>
      </c>
      <c r="AB298" s="101" t="s">
        <v>30</v>
      </c>
      <c r="AC298" s="73"/>
      <c r="AD298" s="64" t="s">
        <v>120</v>
      </c>
      <c r="AE298" s="48" t="s">
        <v>41</v>
      </c>
      <c r="AF298" s="48" t="s">
        <v>120</v>
      </c>
      <c r="AG298" s="48" t="s">
        <v>120</v>
      </c>
      <c r="AH298" s="48" t="s">
        <v>120</v>
      </c>
      <c r="AI298" s="48" t="s">
        <v>120</v>
      </c>
      <c r="AJ298" s="49" t="s">
        <v>120</v>
      </c>
      <c r="AK298" s="48" t="s">
        <v>120</v>
      </c>
      <c r="AL298" s="62" t="s">
        <v>32</v>
      </c>
      <c r="AM298" s="59"/>
      <c r="AN298" s="10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1"/>
    </row>
    <row r="299" spans="1:51" x14ac:dyDescent="0.2">
      <c r="A299" s="33">
        <f t="shared" si="5"/>
        <v>294</v>
      </c>
      <c r="B299" s="34" t="s">
        <v>2448</v>
      </c>
      <c r="C299" s="35" t="s">
        <v>2449</v>
      </c>
      <c r="D299" s="36" t="s">
        <v>2450</v>
      </c>
      <c r="E299" s="36" t="s">
        <v>54</v>
      </c>
      <c r="F299" s="98" t="s">
        <v>4576</v>
      </c>
      <c r="G299" s="37" t="s">
        <v>73</v>
      </c>
      <c r="H299" s="37" t="s">
        <v>73</v>
      </c>
      <c r="I299" s="34" t="s">
        <v>2444</v>
      </c>
      <c r="J299" s="34" t="s">
        <v>2451</v>
      </c>
      <c r="K299" s="39" t="s">
        <v>42</v>
      </c>
      <c r="L299" s="120">
        <v>32913</v>
      </c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42" t="s">
        <v>2452</v>
      </c>
      <c r="Y299" s="58" t="s">
        <v>2453</v>
      </c>
      <c r="Z299" s="121" t="s">
        <v>2454</v>
      </c>
      <c r="AA299" s="45">
        <v>44650</v>
      </c>
      <c r="AB299" s="101" t="s">
        <v>30</v>
      </c>
      <c r="AC299" s="73" t="s">
        <v>26</v>
      </c>
      <c r="AD299" s="64" t="s">
        <v>120</v>
      </c>
      <c r="AE299" s="48" t="s">
        <v>120</v>
      </c>
      <c r="AF299" s="48" t="s">
        <v>120</v>
      </c>
      <c r="AG299" s="48" t="s">
        <v>120</v>
      </c>
      <c r="AH299" s="48" t="s">
        <v>120</v>
      </c>
      <c r="AI299" s="48" t="s">
        <v>120</v>
      </c>
      <c r="AJ299" s="49" t="s">
        <v>120</v>
      </c>
      <c r="AK299" s="48" t="s">
        <v>120</v>
      </c>
      <c r="AL299" s="62" t="s">
        <v>32</v>
      </c>
      <c r="AM299" s="59"/>
      <c r="AN299" s="102"/>
      <c r="AO299" s="32"/>
      <c r="AP299" s="220"/>
      <c r="AQ299" s="32"/>
      <c r="AR299" s="32"/>
      <c r="AS299" s="32"/>
      <c r="AT299" s="32"/>
      <c r="AU299" s="32"/>
      <c r="AV299" s="32"/>
      <c r="AW299" s="32"/>
      <c r="AX299" s="32"/>
      <c r="AY299" s="31"/>
    </row>
    <row r="300" spans="1:51" x14ac:dyDescent="0.2">
      <c r="A300" s="33">
        <f t="shared" si="5"/>
        <v>295</v>
      </c>
      <c r="B300" s="34" t="s">
        <v>2455</v>
      </c>
      <c r="C300" s="35" t="s">
        <v>2456</v>
      </c>
      <c r="D300" s="36" t="s">
        <v>2457</v>
      </c>
      <c r="E300" s="36" t="s">
        <v>54</v>
      </c>
      <c r="F300" s="34" t="s">
        <v>2458</v>
      </c>
      <c r="G300" s="37" t="s">
        <v>73</v>
      </c>
      <c r="H300" s="37" t="s">
        <v>73</v>
      </c>
      <c r="I300" s="34" t="s">
        <v>2459</v>
      </c>
      <c r="J300" s="34" t="s">
        <v>41</v>
      </c>
      <c r="K300" s="39" t="s">
        <v>42</v>
      </c>
      <c r="L300" s="99" t="s">
        <v>2460</v>
      </c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42" t="s">
        <v>2461</v>
      </c>
      <c r="Y300" s="52" t="s">
        <v>2462</v>
      </c>
      <c r="Z300" s="44" t="s">
        <v>2463</v>
      </c>
      <c r="AA300" s="45">
        <v>41793</v>
      </c>
      <c r="AB300" s="101" t="s">
        <v>30</v>
      </c>
      <c r="AC300" s="36" t="s">
        <v>26</v>
      </c>
      <c r="AD300" s="47" t="s">
        <v>49</v>
      </c>
      <c r="AE300" s="48" t="s">
        <v>49</v>
      </c>
      <c r="AF300" s="48" t="s">
        <v>49</v>
      </c>
      <c r="AG300" s="48" t="s">
        <v>49</v>
      </c>
      <c r="AH300" s="48" t="s">
        <v>49</v>
      </c>
      <c r="AI300" s="48" t="s">
        <v>49</v>
      </c>
      <c r="AJ300" s="49" t="s">
        <v>49</v>
      </c>
      <c r="AK300" s="48" t="s">
        <v>49</v>
      </c>
      <c r="AL300" s="62" t="s">
        <v>32</v>
      </c>
      <c r="AM300" s="59"/>
      <c r="AN300" s="10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1"/>
    </row>
    <row r="301" spans="1:51" x14ac:dyDescent="0.2">
      <c r="A301" s="33">
        <f t="shared" si="5"/>
        <v>296</v>
      </c>
      <c r="B301" s="34" t="s">
        <v>2464</v>
      </c>
      <c r="C301" s="35" t="s">
        <v>2465</v>
      </c>
      <c r="D301" s="36" t="s">
        <v>2466</v>
      </c>
      <c r="E301" s="36" t="s">
        <v>54</v>
      </c>
      <c r="F301" s="34" t="s">
        <v>2467</v>
      </c>
      <c r="G301" s="37" t="s">
        <v>243</v>
      </c>
      <c r="H301" s="37" t="s">
        <v>205</v>
      </c>
      <c r="I301" s="34" t="s">
        <v>2468</v>
      </c>
      <c r="J301" s="34" t="s">
        <v>41</v>
      </c>
      <c r="K301" s="39" t="s">
        <v>42</v>
      </c>
      <c r="L301" s="120">
        <v>36749</v>
      </c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2" t="s">
        <v>2469</v>
      </c>
      <c r="Y301" s="58" t="s">
        <v>2470</v>
      </c>
      <c r="Z301" s="44" t="s">
        <v>61</v>
      </c>
      <c r="AA301" s="45">
        <v>37877</v>
      </c>
      <c r="AB301" s="101" t="s">
        <v>30</v>
      </c>
      <c r="AC301" s="36" t="s">
        <v>26</v>
      </c>
      <c r="AD301" s="47" t="s">
        <v>49</v>
      </c>
      <c r="AE301" s="48" t="s">
        <v>49</v>
      </c>
      <c r="AF301" s="48" t="s">
        <v>49</v>
      </c>
      <c r="AG301" s="48" t="s">
        <v>49</v>
      </c>
      <c r="AH301" s="48" t="s">
        <v>49</v>
      </c>
      <c r="AI301" s="48" t="s">
        <v>49</v>
      </c>
      <c r="AJ301" s="49" t="s">
        <v>41</v>
      </c>
      <c r="AK301" s="48" t="s">
        <v>41</v>
      </c>
      <c r="AL301" s="62" t="s">
        <v>276</v>
      </c>
      <c r="AM301" s="59"/>
      <c r="AN301" s="10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1"/>
    </row>
    <row r="302" spans="1:51" x14ac:dyDescent="0.2">
      <c r="A302" s="33">
        <f t="shared" si="5"/>
        <v>297</v>
      </c>
      <c r="B302" s="34" t="s">
        <v>2471</v>
      </c>
      <c r="C302" s="35" t="s">
        <v>2472</v>
      </c>
      <c r="D302" s="36" t="s">
        <v>2473</v>
      </c>
      <c r="E302" s="36" t="s">
        <v>54</v>
      </c>
      <c r="F302" s="34" t="s">
        <v>2474</v>
      </c>
      <c r="G302" s="37" t="s">
        <v>958</v>
      </c>
      <c r="H302" s="37" t="s">
        <v>187</v>
      </c>
      <c r="I302" s="38" t="s">
        <v>2475</v>
      </c>
      <c r="J302" s="34" t="s">
        <v>41</v>
      </c>
      <c r="K302" s="39" t="s">
        <v>42</v>
      </c>
      <c r="L302" s="120" t="s">
        <v>2476</v>
      </c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42" t="s">
        <v>2477</v>
      </c>
      <c r="Y302" s="100" t="s">
        <v>2478</v>
      </c>
      <c r="Z302" s="44" t="s">
        <v>2479</v>
      </c>
      <c r="AA302" s="45">
        <v>44041</v>
      </c>
      <c r="AB302" s="101" t="s">
        <v>30</v>
      </c>
      <c r="AC302" s="36" t="s">
        <v>26</v>
      </c>
      <c r="AD302" s="61" t="s">
        <v>49</v>
      </c>
      <c r="AE302" s="48" t="s">
        <v>49</v>
      </c>
      <c r="AF302" s="48" t="s">
        <v>49</v>
      </c>
      <c r="AG302" s="48" t="s">
        <v>49</v>
      </c>
      <c r="AH302" s="48" t="s">
        <v>49</v>
      </c>
      <c r="AI302" s="48" t="s">
        <v>49</v>
      </c>
      <c r="AJ302" s="49" t="s">
        <v>49</v>
      </c>
      <c r="AK302" s="48" t="s">
        <v>49</v>
      </c>
      <c r="AL302" s="65" t="s">
        <v>32</v>
      </c>
      <c r="AM302" s="59"/>
      <c r="AN302" s="10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1"/>
    </row>
    <row r="303" spans="1:51" x14ac:dyDescent="0.2">
      <c r="A303" s="33">
        <f t="shared" si="5"/>
        <v>298</v>
      </c>
      <c r="B303" s="34" t="s">
        <v>2480</v>
      </c>
      <c r="C303" s="35" t="s">
        <v>2481</v>
      </c>
      <c r="D303" s="36" t="s">
        <v>2482</v>
      </c>
      <c r="E303" s="36" t="s">
        <v>36</v>
      </c>
      <c r="F303" s="34" t="s">
        <v>2483</v>
      </c>
      <c r="G303" s="37" t="s">
        <v>205</v>
      </c>
      <c r="H303" s="37" t="s">
        <v>205</v>
      </c>
      <c r="I303" s="38" t="s">
        <v>2484</v>
      </c>
      <c r="J303" s="34" t="s">
        <v>41</v>
      </c>
      <c r="K303" s="39" t="s">
        <v>42</v>
      </c>
      <c r="L303" s="120">
        <v>44137</v>
      </c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42" t="s">
        <v>2485</v>
      </c>
      <c r="Y303" s="100" t="s">
        <v>2486</v>
      </c>
      <c r="Z303" s="44" t="s">
        <v>2487</v>
      </c>
      <c r="AA303" s="45">
        <v>44041</v>
      </c>
      <c r="AB303" s="101" t="s">
        <v>30</v>
      </c>
      <c r="AC303" s="36" t="s">
        <v>26</v>
      </c>
      <c r="AD303" s="61" t="s">
        <v>49</v>
      </c>
      <c r="AE303" s="48" t="s">
        <v>49</v>
      </c>
      <c r="AF303" s="48" t="s">
        <v>49</v>
      </c>
      <c r="AG303" s="48" t="s">
        <v>49</v>
      </c>
      <c r="AH303" s="48" t="s">
        <v>49</v>
      </c>
      <c r="AI303" s="48" t="s">
        <v>49</v>
      </c>
      <c r="AJ303" s="49" t="s">
        <v>49</v>
      </c>
      <c r="AK303" s="48" t="s">
        <v>49</v>
      </c>
      <c r="AL303" s="62" t="s">
        <v>32</v>
      </c>
      <c r="AM303" s="59"/>
      <c r="AN303" s="10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1"/>
    </row>
    <row r="304" spans="1:51" x14ac:dyDescent="0.2">
      <c r="A304" s="33">
        <f t="shared" si="5"/>
        <v>299</v>
      </c>
      <c r="B304" s="34" t="s">
        <v>2488</v>
      </c>
      <c r="C304" s="35" t="s">
        <v>2489</v>
      </c>
      <c r="D304" s="36" t="s">
        <v>2490</v>
      </c>
      <c r="E304" s="36" t="s">
        <v>36</v>
      </c>
      <c r="F304" s="34" t="s">
        <v>2491</v>
      </c>
      <c r="G304" s="37" t="s">
        <v>73</v>
      </c>
      <c r="H304" s="37" t="s">
        <v>73</v>
      </c>
      <c r="I304" s="34" t="s">
        <v>2492</v>
      </c>
      <c r="J304" s="34" t="s">
        <v>2492</v>
      </c>
      <c r="K304" s="39" t="s">
        <v>42</v>
      </c>
      <c r="L304" s="99" t="s">
        <v>2493</v>
      </c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42" t="s">
        <v>2494</v>
      </c>
      <c r="Y304" s="100" t="s">
        <v>2495</v>
      </c>
      <c r="Z304" s="44" t="s">
        <v>61</v>
      </c>
      <c r="AA304" s="45">
        <v>36641</v>
      </c>
      <c r="AB304" s="101" t="s">
        <v>30</v>
      </c>
      <c r="AC304" s="36" t="s">
        <v>26</v>
      </c>
      <c r="AD304" s="61" t="s">
        <v>49</v>
      </c>
      <c r="AE304" s="48" t="s">
        <v>49</v>
      </c>
      <c r="AF304" s="48" t="s">
        <v>49</v>
      </c>
      <c r="AG304" s="48" t="s">
        <v>49</v>
      </c>
      <c r="AH304" s="48" t="s">
        <v>41</v>
      </c>
      <c r="AI304" s="48" t="s">
        <v>41</v>
      </c>
      <c r="AJ304" s="49" t="s">
        <v>41</v>
      </c>
      <c r="AK304" s="48" t="s">
        <v>41</v>
      </c>
      <c r="AL304" s="62" t="s">
        <v>139</v>
      </c>
      <c r="AM304" s="59"/>
      <c r="AN304" s="10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1"/>
    </row>
    <row r="305" spans="1:51" x14ac:dyDescent="0.2">
      <c r="A305" s="33">
        <f t="shared" si="5"/>
        <v>300</v>
      </c>
      <c r="B305" s="34" t="s">
        <v>2496</v>
      </c>
      <c r="C305" s="35" t="s">
        <v>2497</v>
      </c>
      <c r="D305" s="36" t="s">
        <v>2498</v>
      </c>
      <c r="E305" s="36" t="s">
        <v>36</v>
      </c>
      <c r="F305" s="34" t="s">
        <v>2499</v>
      </c>
      <c r="G305" s="37" t="s">
        <v>73</v>
      </c>
      <c r="H305" s="37" t="s">
        <v>73</v>
      </c>
      <c r="I305" s="38" t="s">
        <v>2500</v>
      </c>
      <c r="J305" s="34" t="s">
        <v>41</v>
      </c>
      <c r="K305" s="39" t="s">
        <v>42</v>
      </c>
      <c r="L305" s="120">
        <v>45209</v>
      </c>
      <c r="M305" s="56" t="s">
        <v>179</v>
      </c>
      <c r="N305" s="56" t="s">
        <v>179</v>
      </c>
      <c r="O305" s="56" t="s">
        <v>514</v>
      </c>
      <c r="P305" s="56">
        <v>1</v>
      </c>
      <c r="Q305" s="56"/>
      <c r="R305" s="56"/>
      <c r="S305" s="56"/>
      <c r="T305" s="56" t="s">
        <v>44</v>
      </c>
      <c r="U305" s="56"/>
      <c r="V305" s="56"/>
      <c r="W305" s="56"/>
      <c r="X305" s="38" t="s">
        <v>2501</v>
      </c>
      <c r="Y305" s="146" t="s">
        <v>2502</v>
      </c>
      <c r="Z305" s="146"/>
      <c r="AA305" s="45">
        <v>45642</v>
      </c>
      <c r="AB305" s="101"/>
      <c r="AC305" s="36"/>
      <c r="AD305" s="61" t="s">
        <v>49</v>
      </c>
      <c r="AE305" s="48" t="s">
        <v>41</v>
      </c>
      <c r="AF305" s="48" t="s">
        <v>41</v>
      </c>
      <c r="AG305" s="48" t="s">
        <v>41</v>
      </c>
      <c r="AH305" s="48" t="s">
        <v>49</v>
      </c>
      <c r="AI305" s="48" t="s">
        <v>49</v>
      </c>
      <c r="AJ305" s="49" t="s">
        <v>49</v>
      </c>
      <c r="AK305" s="48" t="s">
        <v>41</v>
      </c>
      <c r="AL305" s="65" t="s">
        <v>148</v>
      </c>
      <c r="AM305" s="59"/>
      <c r="AN305" s="10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1"/>
    </row>
    <row r="306" spans="1:51" x14ac:dyDescent="0.2">
      <c r="A306" s="33">
        <f t="shared" si="5"/>
        <v>301</v>
      </c>
      <c r="B306" s="34" t="s">
        <v>2503</v>
      </c>
      <c r="C306" s="35" t="s">
        <v>2504</v>
      </c>
      <c r="D306" s="36" t="s">
        <v>2505</v>
      </c>
      <c r="E306" s="36" t="s">
        <v>54</v>
      </c>
      <c r="F306" s="34" t="s">
        <v>2506</v>
      </c>
      <c r="G306" s="37" t="s">
        <v>176</v>
      </c>
      <c r="H306" s="37" t="s">
        <v>39</v>
      </c>
      <c r="I306" s="38" t="s">
        <v>2507</v>
      </c>
      <c r="J306" s="34" t="s">
        <v>41</v>
      </c>
      <c r="K306" s="39" t="s">
        <v>42</v>
      </c>
      <c r="L306" s="99" t="s">
        <v>2508</v>
      </c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42" t="s">
        <v>2509</v>
      </c>
      <c r="Y306" s="69" t="s">
        <v>2510</v>
      </c>
      <c r="Z306" s="44" t="s">
        <v>2511</v>
      </c>
      <c r="AA306" s="45">
        <v>42935</v>
      </c>
      <c r="AB306" s="101" t="s">
        <v>30</v>
      </c>
      <c r="AC306" s="36" t="s">
        <v>26</v>
      </c>
      <c r="AD306" s="47" t="s">
        <v>49</v>
      </c>
      <c r="AE306" s="48" t="s">
        <v>49</v>
      </c>
      <c r="AF306" s="48" t="s">
        <v>49</v>
      </c>
      <c r="AG306" s="48" t="s">
        <v>49</v>
      </c>
      <c r="AH306" s="48" t="s">
        <v>49</v>
      </c>
      <c r="AI306" s="48" t="s">
        <v>49</v>
      </c>
      <c r="AJ306" s="49" t="s">
        <v>49</v>
      </c>
      <c r="AK306" s="48" t="s">
        <v>49</v>
      </c>
      <c r="AL306" s="65" t="s">
        <v>32</v>
      </c>
      <c r="AM306" s="59"/>
      <c r="AN306" s="10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1"/>
    </row>
    <row r="307" spans="1:51" x14ac:dyDescent="0.2">
      <c r="A307" s="33">
        <f t="shared" si="5"/>
        <v>302</v>
      </c>
      <c r="B307" s="34" t="s">
        <v>2512</v>
      </c>
      <c r="C307" s="35" t="s">
        <v>2513</v>
      </c>
      <c r="D307" s="36" t="s">
        <v>2514</v>
      </c>
      <c r="E307" s="36" t="s">
        <v>54</v>
      </c>
      <c r="F307" s="34" t="s">
        <v>2515</v>
      </c>
      <c r="G307" s="37" t="s">
        <v>350</v>
      </c>
      <c r="H307" s="37" t="s">
        <v>350</v>
      </c>
      <c r="I307" s="38" t="s">
        <v>2516</v>
      </c>
      <c r="J307" s="38" t="s">
        <v>2516</v>
      </c>
      <c r="K307" s="39" t="s">
        <v>42</v>
      </c>
      <c r="L307" s="99" t="s">
        <v>2517</v>
      </c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42" t="s">
        <v>2518</v>
      </c>
      <c r="Y307" s="52" t="s">
        <v>2519</v>
      </c>
      <c r="Z307" s="44" t="s">
        <v>61</v>
      </c>
      <c r="AA307" s="45">
        <v>38593</v>
      </c>
      <c r="AB307" s="101" t="s">
        <v>30</v>
      </c>
      <c r="AC307" s="36" t="s">
        <v>26</v>
      </c>
      <c r="AD307" s="47" t="s">
        <v>49</v>
      </c>
      <c r="AE307" s="48" t="s">
        <v>49</v>
      </c>
      <c r="AF307" s="48" t="s">
        <v>49</v>
      </c>
      <c r="AG307" s="48" t="s">
        <v>49</v>
      </c>
      <c r="AH307" s="48" t="s">
        <v>49</v>
      </c>
      <c r="AI307" s="48" t="s">
        <v>49</v>
      </c>
      <c r="AJ307" s="49" t="s">
        <v>49</v>
      </c>
      <c r="AK307" s="48" t="s">
        <v>41</v>
      </c>
      <c r="AL307" s="65" t="s">
        <v>148</v>
      </c>
      <c r="AM307" s="59"/>
      <c r="AN307" s="10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1"/>
    </row>
    <row r="308" spans="1:51" x14ac:dyDescent="0.2">
      <c r="A308" s="33">
        <f t="shared" si="5"/>
        <v>303</v>
      </c>
      <c r="B308" s="34" t="s">
        <v>2520</v>
      </c>
      <c r="C308" s="35" t="s">
        <v>2521</v>
      </c>
      <c r="D308" s="36" t="s">
        <v>2522</v>
      </c>
      <c r="E308" s="36" t="s">
        <v>54</v>
      </c>
      <c r="F308" s="98" t="s">
        <v>2523</v>
      </c>
      <c r="G308" s="37" t="s">
        <v>252</v>
      </c>
      <c r="H308" s="37" t="s">
        <v>57</v>
      </c>
      <c r="I308" s="34" t="s">
        <v>2524</v>
      </c>
      <c r="J308" s="34" t="s">
        <v>41</v>
      </c>
      <c r="K308" s="39" t="s">
        <v>42</v>
      </c>
      <c r="L308" s="99" t="s">
        <v>2525</v>
      </c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42" t="s">
        <v>2526</v>
      </c>
      <c r="Y308" s="58" t="s">
        <v>2527</v>
      </c>
      <c r="Z308" s="44" t="s">
        <v>2528</v>
      </c>
      <c r="AA308" s="45">
        <v>44041</v>
      </c>
      <c r="AB308" s="101" t="s">
        <v>30</v>
      </c>
      <c r="AC308" s="36" t="s">
        <v>26</v>
      </c>
      <c r="AD308" s="47" t="s">
        <v>49</v>
      </c>
      <c r="AE308" s="48" t="s">
        <v>49</v>
      </c>
      <c r="AF308" s="48" t="s">
        <v>49</v>
      </c>
      <c r="AG308" s="48" t="s">
        <v>49</v>
      </c>
      <c r="AH308" s="48" t="s">
        <v>49</v>
      </c>
      <c r="AI308" s="48" t="s">
        <v>49</v>
      </c>
      <c r="AJ308" s="49" t="s">
        <v>49</v>
      </c>
      <c r="AK308" s="48" t="s">
        <v>49</v>
      </c>
      <c r="AL308" s="62" t="s">
        <v>32</v>
      </c>
      <c r="AM308" s="59"/>
      <c r="AN308" s="10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1"/>
    </row>
    <row r="309" spans="1:51" x14ac:dyDescent="0.2">
      <c r="A309" s="33">
        <f t="shared" si="5"/>
        <v>304</v>
      </c>
      <c r="B309" s="34" t="s">
        <v>2529</v>
      </c>
      <c r="C309" s="35" t="s">
        <v>2530</v>
      </c>
      <c r="D309" s="36" t="s">
        <v>2531</v>
      </c>
      <c r="E309" s="36" t="s">
        <v>36</v>
      </c>
      <c r="F309" s="98" t="s">
        <v>2532</v>
      </c>
      <c r="G309" s="37" t="s">
        <v>1285</v>
      </c>
      <c r="H309" s="37" t="s">
        <v>350</v>
      </c>
      <c r="I309" s="38" t="s">
        <v>2533</v>
      </c>
      <c r="J309" s="34" t="s">
        <v>41</v>
      </c>
      <c r="K309" s="39" t="s">
        <v>42</v>
      </c>
      <c r="L309" s="120">
        <v>45516</v>
      </c>
      <c r="M309" s="56" t="s">
        <v>179</v>
      </c>
      <c r="N309" s="56"/>
      <c r="O309" s="56"/>
      <c r="P309" s="56"/>
      <c r="Q309" s="56" t="s">
        <v>179</v>
      </c>
      <c r="R309" s="56"/>
      <c r="S309" s="56"/>
      <c r="T309" s="56"/>
      <c r="U309" s="56" t="s">
        <v>44</v>
      </c>
      <c r="V309" s="56"/>
      <c r="W309" s="56"/>
      <c r="X309" s="42" t="s">
        <v>2534</v>
      </c>
      <c r="Y309" s="58" t="s">
        <v>2535</v>
      </c>
      <c r="Z309" s="44"/>
      <c r="AA309" s="45"/>
      <c r="AB309" s="101"/>
      <c r="AC309" s="36"/>
      <c r="AD309" s="47" t="s">
        <v>49</v>
      </c>
      <c r="AE309" s="48" t="s">
        <v>41</v>
      </c>
      <c r="AF309" s="48" t="s">
        <v>41</v>
      </c>
      <c r="AG309" s="48" t="s">
        <v>41</v>
      </c>
      <c r="AH309" s="48" t="s">
        <v>41</v>
      </c>
      <c r="AI309" s="48" t="s">
        <v>49</v>
      </c>
      <c r="AJ309" s="49" t="s">
        <v>49</v>
      </c>
      <c r="AK309" s="48" t="s">
        <v>49</v>
      </c>
      <c r="AL309" s="62" t="s">
        <v>32</v>
      </c>
      <c r="AM309" s="59"/>
      <c r="AN309" s="10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1"/>
    </row>
    <row r="310" spans="1:51" x14ac:dyDescent="0.2">
      <c r="A310" s="33">
        <f t="shared" si="5"/>
        <v>305</v>
      </c>
      <c r="B310" s="34" t="s">
        <v>2536</v>
      </c>
      <c r="C310" s="35" t="s">
        <v>2537</v>
      </c>
      <c r="D310" s="36" t="s">
        <v>2538</v>
      </c>
      <c r="E310" s="36" t="s">
        <v>54</v>
      </c>
      <c r="F310" s="98" t="s">
        <v>2539</v>
      </c>
      <c r="G310" s="37" t="s">
        <v>73</v>
      </c>
      <c r="H310" s="37" t="s">
        <v>73</v>
      </c>
      <c r="I310" s="38" t="s">
        <v>2540</v>
      </c>
      <c r="J310" s="34" t="s">
        <v>41</v>
      </c>
      <c r="K310" s="39" t="s">
        <v>42</v>
      </c>
      <c r="L310" s="99" t="s">
        <v>2541</v>
      </c>
      <c r="M310" s="56" t="s">
        <v>179</v>
      </c>
      <c r="N310" s="56"/>
      <c r="O310" s="56"/>
      <c r="P310" s="56"/>
      <c r="Q310" s="56" t="s">
        <v>1041</v>
      </c>
      <c r="R310" s="56" t="s">
        <v>44</v>
      </c>
      <c r="S310" s="56"/>
      <c r="T310" s="56"/>
      <c r="U310" s="56"/>
      <c r="V310" s="56"/>
      <c r="W310" s="56"/>
      <c r="X310" s="42" t="s">
        <v>2542</v>
      </c>
      <c r="Y310" s="58" t="s">
        <v>2543</v>
      </c>
      <c r="Z310" s="44"/>
      <c r="AA310" s="45" t="s">
        <v>47</v>
      </c>
      <c r="AB310" s="101"/>
      <c r="AC310" s="36"/>
      <c r="AD310" s="47" t="s">
        <v>49</v>
      </c>
      <c r="AE310" s="48" t="s">
        <v>41</v>
      </c>
      <c r="AF310" s="48" t="s">
        <v>49</v>
      </c>
      <c r="AG310" s="48" t="s">
        <v>41</v>
      </c>
      <c r="AH310" s="48" t="s">
        <v>41</v>
      </c>
      <c r="AI310" s="48" t="s">
        <v>41</v>
      </c>
      <c r="AJ310" s="49" t="s">
        <v>41</v>
      </c>
      <c r="AK310" s="48" t="s">
        <v>41</v>
      </c>
      <c r="AL310" s="62" t="s">
        <v>110</v>
      </c>
      <c r="AM310" s="59"/>
      <c r="AN310" s="10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1"/>
    </row>
    <row r="311" spans="1:51" x14ac:dyDescent="0.2">
      <c r="A311" s="33">
        <f t="shared" si="5"/>
        <v>306</v>
      </c>
      <c r="B311" s="34" t="s">
        <v>2544</v>
      </c>
      <c r="C311" s="35" t="s">
        <v>2545</v>
      </c>
      <c r="D311" s="73" t="s">
        <v>2546</v>
      </c>
      <c r="E311" s="36" t="s">
        <v>36</v>
      </c>
      <c r="F311" s="98" t="s">
        <v>2547</v>
      </c>
      <c r="G311" s="37" t="s">
        <v>350</v>
      </c>
      <c r="H311" s="37" t="s">
        <v>350</v>
      </c>
      <c r="I311" s="34" t="s">
        <v>2548</v>
      </c>
      <c r="J311" s="34" t="s">
        <v>2548</v>
      </c>
      <c r="K311" s="39" t="s">
        <v>42</v>
      </c>
      <c r="L311" s="99" t="s">
        <v>2549</v>
      </c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42" t="s">
        <v>2550</v>
      </c>
      <c r="Y311" s="58" t="s">
        <v>2551</v>
      </c>
      <c r="Z311" s="44" t="s">
        <v>61</v>
      </c>
      <c r="AA311" s="45">
        <v>37877</v>
      </c>
      <c r="AB311" s="101" t="s">
        <v>30</v>
      </c>
      <c r="AC311" s="73" t="s">
        <v>26</v>
      </c>
      <c r="AD311" s="47" t="s">
        <v>49</v>
      </c>
      <c r="AE311" s="48" t="s">
        <v>49</v>
      </c>
      <c r="AF311" s="48" t="s">
        <v>49</v>
      </c>
      <c r="AG311" s="48" t="s">
        <v>41</v>
      </c>
      <c r="AH311" s="48" t="s">
        <v>41</v>
      </c>
      <c r="AI311" s="48" t="s">
        <v>41</v>
      </c>
      <c r="AJ311" s="49" t="s">
        <v>41</v>
      </c>
      <c r="AK311" s="48" t="s">
        <v>41</v>
      </c>
      <c r="AL311" s="62" t="s">
        <v>110</v>
      </c>
      <c r="AM311" s="59"/>
      <c r="AN311" s="10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1"/>
    </row>
    <row r="312" spans="1:51" x14ac:dyDescent="0.2">
      <c r="A312" s="33">
        <f t="shared" si="5"/>
        <v>307</v>
      </c>
      <c r="B312" s="34" t="s">
        <v>2552</v>
      </c>
      <c r="C312" s="35" t="s">
        <v>2553</v>
      </c>
      <c r="D312" s="36" t="s">
        <v>2554</v>
      </c>
      <c r="E312" s="36" t="s">
        <v>36</v>
      </c>
      <c r="F312" s="34" t="s">
        <v>2555</v>
      </c>
      <c r="G312" s="37" t="s">
        <v>73</v>
      </c>
      <c r="H312" s="37" t="s">
        <v>73</v>
      </c>
      <c r="I312" s="34" t="s">
        <v>2556</v>
      </c>
      <c r="J312" s="34" t="s">
        <v>2556</v>
      </c>
      <c r="K312" s="39" t="s">
        <v>42</v>
      </c>
      <c r="L312" s="99" t="s">
        <v>2557</v>
      </c>
      <c r="M312" s="56" t="s">
        <v>179</v>
      </c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42" t="s">
        <v>2558</v>
      </c>
      <c r="Y312" s="52" t="s">
        <v>2559</v>
      </c>
      <c r="Z312" s="44" t="s">
        <v>2560</v>
      </c>
      <c r="AA312" s="45">
        <v>42935</v>
      </c>
      <c r="AB312" s="101" t="s">
        <v>129</v>
      </c>
      <c r="AC312" s="36" t="s">
        <v>26</v>
      </c>
      <c r="AD312" s="66" t="s">
        <v>130</v>
      </c>
      <c r="AE312" s="48" t="s">
        <v>130</v>
      </c>
      <c r="AF312" s="48" t="s">
        <v>130</v>
      </c>
      <c r="AG312" s="48" t="s">
        <v>130</v>
      </c>
      <c r="AH312" s="48" t="s">
        <v>130</v>
      </c>
      <c r="AI312" s="48" t="s">
        <v>130</v>
      </c>
      <c r="AJ312" s="49" t="s">
        <v>130</v>
      </c>
      <c r="AK312" s="48" t="s">
        <v>130</v>
      </c>
      <c r="AL312" s="62" t="s">
        <v>32</v>
      </c>
      <c r="AM312" s="59"/>
      <c r="AN312" s="10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1"/>
    </row>
    <row r="313" spans="1:51" x14ac:dyDescent="0.2">
      <c r="A313" s="33">
        <f t="shared" si="5"/>
        <v>308</v>
      </c>
      <c r="B313" s="221" t="s">
        <v>2561</v>
      </c>
      <c r="C313" s="35" t="s">
        <v>2562</v>
      </c>
      <c r="D313" s="36" t="s">
        <v>2563</v>
      </c>
      <c r="E313" s="36" t="s">
        <v>36</v>
      </c>
      <c r="F313" s="34" t="s">
        <v>2564</v>
      </c>
      <c r="G313" s="37" t="s">
        <v>56</v>
      </c>
      <c r="H313" s="37" t="s">
        <v>57</v>
      </c>
      <c r="I313" s="34" t="s">
        <v>2565</v>
      </c>
      <c r="J313" s="34" t="s">
        <v>41</v>
      </c>
      <c r="K313" s="39" t="s">
        <v>42</v>
      </c>
      <c r="L313" s="120">
        <v>39855</v>
      </c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2" t="s">
        <v>2566</v>
      </c>
      <c r="Y313" s="52" t="s">
        <v>2567</v>
      </c>
      <c r="Z313" s="84" t="s">
        <v>2568</v>
      </c>
      <c r="AA313" s="45">
        <v>44650</v>
      </c>
      <c r="AB313" s="101" t="s">
        <v>30</v>
      </c>
      <c r="AC313" s="36" t="s">
        <v>26</v>
      </c>
      <c r="AD313" s="47" t="s">
        <v>49</v>
      </c>
      <c r="AE313" s="48" t="s">
        <v>49</v>
      </c>
      <c r="AF313" s="48" t="s">
        <v>49</v>
      </c>
      <c r="AG313" s="48" t="s">
        <v>49</v>
      </c>
      <c r="AH313" s="48" t="s">
        <v>49</v>
      </c>
      <c r="AI313" s="48" t="s">
        <v>49</v>
      </c>
      <c r="AJ313" s="49" t="s">
        <v>49</v>
      </c>
      <c r="AK313" s="48" t="s">
        <v>49</v>
      </c>
      <c r="AL313" s="65" t="s">
        <v>32</v>
      </c>
      <c r="AM313" s="59"/>
      <c r="AN313" s="102" t="s">
        <v>2569</v>
      </c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1"/>
    </row>
    <row r="314" spans="1:51" x14ac:dyDescent="0.2">
      <c r="A314" s="33">
        <f t="shared" si="5"/>
        <v>309</v>
      </c>
      <c r="B314" s="221" t="s">
        <v>2570</v>
      </c>
      <c r="C314" s="35" t="s">
        <v>2571</v>
      </c>
      <c r="D314" s="36" t="s">
        <v>2572</v>
      </c>
      <c r="E314" s="36" t="s">
        <v>54</v>
      </c>
      <c r="F314" s="34" t="s">
        <v>2573</v>
      </c>
      <c r="G314" s="37" t="s">
        <v>1285</v>
      </c>
      <c r="H314" s="37" t="s">
        <v>350</v>
      </c>
      <c r="I314" s="38" t="s">
        <v>2574</v>
      </c>
      <c r="J314" s="34"/>
      <c r="K314" s="39" t="s">
        <v>42</v>
      </c>
      <c r="L314" s="120">
        <v>45670</v>
      </c>
      <c r="M314" s="41"/>
      <c r="N314" s="41"/>
      <c r="O314" s="41"/>
      <c r="P314" s="41"/>
      <c r="Q314" s="41"/>
      <c r="R314" s="41"/>
      <c r="S314" s="41"/>
      <c r="T314" s="41"/>
      <c r="U314" s="41"/>
      <c r="V314" s="41" t="s">
        <v>44</v>
      </c>
      <c r="W314" s="41"/>
      <c r="X314" s="42" t="s">
        <v>2575</v>
      </c>
      <c r="Y314" s="43" t="s">
        <v>2576</v>
      </c>
      <c r="Z314" s="144"/>
      <c r="AA314" s="45"/>
      <c r="AB314" s="101"/>
      <c r="AC314" s="36"/>
      <c r="AD314" s="47" t="s">
        <v>49</v>
      </c>
      <c r="AE314" s="48" t="s">
        <v>41</v>
      </c>
      <c r="AF314" s="48" t="s">
        <v>41</v>
      </c>
      <c r="AG314" s="48" t="s">
        <v>41</v>
      </c>
      <c r="AH314" s="48" t="s">
        <v>41</v>
      </c>
      <c r="AI314" s="48" t="s">
        <v>41</v>
      </c>
      <c r="AJ314" s="49" t="s">
        <v>49</v>
      </c>
      <c r="AK314" s="48" t="s">
        <v>49</v>
      </c>
      <c r="AL314" s="62" t="s">
        <v>32</v>
      </c>
      <c r="AM314" s="59"/>
      <c r="AN314" s="10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1"/>
    </row>
    <row r="315" spans="1:51" x14ac:dyDescent="0.2">
      <c r="A315" s="33">
        <f t="shared" si="5"/>
        <v>310</v>
      </c>
      <c r="B315" s="34" t="s">
        <v>2577</v>
      </c>
      <c r="C315" s="35" t="s">
        <v>2578</v>
      </c>
      <c r="D315" s="36" t="s">
        <v>2579</v>
      </c>
      <c r="E315" s="36" t="s">
        <v>54</v>
      </c>
      <c r="F315" s="34" t="s">
        <v>2580</v>
      </c>
      <c r="G315" s="37" t="s">
        <v>1417</v>
      </c>
      <c r="H315" s="37" t="s">
        <v>187</v>
      </c>
      <c r="I315" s="34" t="s">
        <v>2581</v>
      </c>
      <c r="J315" s="34" t="s">
        <v>41</v>
      </c>
      <c r="K315" s="39" t="s">
        <v>42</v>
      </c>
      <c r="L315" s="99" t="s">
        <v>1347</v>
      </c>
      <c r="M315" s="115"/>
      <c r="N315" s="115"/>
      <c r="O315" s="115"/>
      <c r="P315" s="115"/>
      <c r="Q315" s="115"/>
      <c r="R315" s="115"/>
      <c r="S315" s="115"/>
      <c r="T315" s="56"/>
      <c r="U315" s="56"/>
      <c r="V315" s="56"/>
      <c r="W315" s="56"/>
      <c r="X315" s="42" t="s">
        <v>2582</v>
      </c>
      <c r="Y315" s="69" t="s">
        <v>2583</v>
      </c>
      <c r="Z315" s="44" t="s">
        <v>2584</v>
      </c>
      <c r="AA315" s="45">
        <v>42935</v>
      </c>
      <c r="AB315" s="101" t="s">
        <v>30</v>
      </c>
      <c r="AC315" s="36" t="s">
        <v>26</v>
      </c>
      <c r="AD315" s="61" t="s">
        <v>49</v>
      </c>
      <c r="AE315" s="48" t="s">
        <v>49</v>
      </c>
      <c r="AF315" s="48" t="s">
        <v>49</v>
      </c>
      <c r="AG315" s="48" t="s">
        <v>49</v>
      </c>
      <c r="AH315" s="48" t="s">
        <v>49</v>
      </c>
      <c r="AI315" s="48" t="s">
        <v>49</v>
      </c>
      <c r="AJ315" s="49" t="s">
        <v>49</v>
      </c>
      <c r="AK315" s="48" t="s">
        <v>41</v>
      </c>
      <c r="AL315" s="62" t="s">
        <v>148</v>
      </c>
      <c r="AM315" s="59"/>
      <c r="AN315" s="10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1"/>
    </row>
    <row r="316" spans="1:51" x14ac:dyDescent="0.2">
      <c r="A316" s="33">
        <f t="shared" si="5"/>
        <v>311</v>
      </c>
      <c r="B316" s="122" t="s">
        <v>2585</v>
      </c>
      <c r="C316" s="123" t="s">
        <v>2586</v>
      </c>
      <c r="D316" s="202" t="s">
        <v>2587</v>
      </c>
      <c r="E316" s="36" t="s">
        <v>54</v>
      </c>
      <c r="F316" s="122" t="s">
        <v>2588</v>
      </c>
      <c r="G316" s="126" t="s">
        <v>252</v>
      </c>
      <c r="H316" s="126" t="s">
        <v>57</v>
      </c>
      <c r="I316" s="127" t="s">
        <v>2589</v>
      </c>
      <c r="J316" s="122"/>
      <c r="K316" s="128" t="s">
        <v>42</v>
      </c>
      <c r="L316" s="120">
        <v>45581</v>
      </c>
      <c r="M316" s="130"/>
      <c r="N316" s="130"/>
      <c r="O316" s="130"/>
      <c r="P316" s="130"/>
      <c r="Q316" s="130"/>
      <c r="R316" s="130"/>
      <c r="S316" s="130"/>
      <c r="T316" s="130"/>
      <c r="U316" s="130" t="s">
        <v>44</v>
      </c>
      <c r="V316" s="130"/>
      <c r="W316" s="130"/>
      <c r="X316" s="127" t="s">
        <v>2590</v>
      </c>
      <c r="Y316" s="83" t="s">
        <v>2591</v>
      </c>
      <c r="Z316" s="44"/>
      <c r="AA316" s="131"/>
      <c r="AB316" s="164"/>
      <c r="AC316" s="36"/>
      <c r="AD316" s="222" t="s">
        <v>49</v>
      </c>
      <c r="AE316" s="48" t="s">
        <v>41</v>
      </c>
      <c r="AF316" s="48" t="s">
        <v>41</v>
      </c>
      <c r="AG316" s="48" t="s">
        <v>41</v>
      </c>
      <c r="AH316" s="48" t="s">
        <v>41</v>
      </c>
      <c r="AI316" s="48" t="s">
        <v>49</v>
      </c>
      <c r="AJ316" s="49" t="s">
        <v>49</v>
      </c>
      <c r="AK316" s="48" t="s">
        <v>49</v>
      </c>
      <c r="AL316" s="65" t="s">
        <v>32</v>
      </c>
      <c r="AM316" s="134"/>
      <c r="AN316" s="10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1"/>
    </row>
    <row r="317" spans="1:51" x14ac:dyDescent="0.2">
      <c r="A317" s="33">
        <f t="shared" si="5"/>
        <v>312</v>
      </c>
      <c r="B317" s="122" t="s">
        <v>2592</v>
      </c>
      <c r="C317" s="123" t="s">
        <v>2593</v>
      </c>
      <c r="D317" s="124" t="s">
        <v>2594</v>
      </c>
      <c r="E317" s="36" t="s">
        <v>36</v>
      </c>
      <c r="F317" s="122" t="s">
        <v>2595</v>
      </c>
      <c r="G317" s="126" t="s">
        <v>176</v>
      </c>
      <c r="H317" s="126" t="s">
        <v>39</v>
      </c>
      <c r="I317" s="127" t="s">
        <v>2596</v>
      </c>
      <c r="J317" s="122" t="s">
        <v>41</v>
      </c>
      <c r="K317" s="128" t="s">
        <v>42</v>
      </c>
      <c r="L317" s="165">
        <v>44443</v>
      </c>
      <c r="M317" s="130"/>
      <c r="N317" s="130"/>
      <c r="O317" s="130"/>
      <c r="P317" s="130"/>
      <c r="Q317" s="130"/>
      <c r="R317" s="130" t="s">
        <v>44</v>
      </c>
      <c r="S317" s="130"/>
      <c r="T317" s="130"/>
      <c r="U317" s="130"/>
      <c r="V317" s="130"/>
      <c r="W317" s="130"/>
      <c r="X317" s="42" t="s">
        <v>2597</v>
      </c>
      <c r="Y317" s="58" t="s">
        <v>2598</v>
      </c>
      <c r="Z317" s="121" t="s">
        <v>2599</v>
      </c>
      <c r="AA317" s="131">
        <v>44650</v>
      </c>
      <c r="AB317" s="164" t="s">
        <v>30</v>
      </c>
      <c r="AC317" s="36"/>
      <c r="AD317" s="222" t="s">
        <v>49</v>
      </c>
      <c r="AE317" s="48" t="s">
        <v>41</v>
      </c>
      <c r="AF317" s="48" t="s">
        <v>49</v>
      </c>
      <c r="AG317" s="48" t="s">
        <v>49</v>
      </c>
      <c r="AH317" s="48" t="s">
        <v>49</v>
      </c>
      <c r="AI317" s="48" t="s">
        <v>49</v>
      </c>
      <c r="AJ317" s="49" t="s">
        <v>49</v>
      </c>
      <c r="AK317" s="48" t="s">
        <v>41</v>
      </c>
      <c r="AL317" s="65" t="s">
        <v>148</v>
      </c>
      <c r="AM317" s="134"/>
      <c r="AN317" s="10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1"/>
    </row>
    <row r="318" spans="1:51" x14ac:dyDescent="0.2">
      <c r="A318" s="33">
        <f t="shared" si="5"/>
        <v>313</v>
      </c>
      <c r="B318" s="122" t="s">
        <v>2600</v>
      </c>
      <c r="C318" s="123" t="s">
        <v>2601</v>
      </c>
      <c r="D318" s="202" t="s">
        <v>2602</v>
      </c>
      <c r="E318" s="36" t="s">
        <v>36</v>
      </c>
      <c r="F318" s="122" t="s">
        <v>2603</v>
      </c>
      <c r="G318" s="126" t="s">
        <v>398</v>
      </c>
      <c r="H318" s="126" t="s">
        <v>205</v>
      </c>
      <c r="I318" s="127" t="s">
        <v>2604</v>
      </c>
      <c r="J318" s="122" t="s">
        <v>41</v>
      </c>
      <c r="K318" s="128" t="s">
        <v>42</v>
      </c>
      <c r="L318" s="165">
        <v>45302</v>
      </c>
      <c r="M318" s="130" t="s">
        <v>179</v>
      </c>
      <c r="N318" s="130"/>
      <c r="O318" s="130"/>
      <c r="P318" s="130"/>
      <c r="Q318" s="130"/>
      <c r="R318" s="130"/>
      <c r="S318" s="130"/>
      <c r="T318" s="130"/>
      <c r="U318" s="130" t="s">
        <v>44</v>
      </c>
      <c r="V318" s="130"/>
      <c r="W318" s="130"/>
      <c r="X318" s="42" t="s">
        <v>2605</v>
      </c>
      <c r="Y318" s="58" t="s">
        <v>2606</v>
      </c>
      <c r="Z318" s="44"/>
      <c r="AA318" s="131"/>
      <c r="AB318" s="164"/>
      <c r="AC318" s="36"/>
      <c r="AD318" s="222" t="s">
        <v>49</v>
      </c>
      <c r="AE318" s="48" t="s">
        <v>41</v>
      </c>
      <c r="AF318" s="48" t="s">
        <v>41</v>
      </c>
      <c r="AG318" s="48" t="s">
        <v>41</v>
      </c>
      <c r="AH318" s="48" t="s">
        <v>41</v>
      </c>
      <c r="AI318" s="48" t="s">
        <v>49</v>
      </c>
      <c r="AJ318" s="49" t="s">
        <v>49</v>
      </c>
      <c r="AK318" s="48" t="s">
        <v>49</v>
      </c>
      <c r="AL318" s="62" t="s">
        <v>32</v>
      </c>
      <c r="AM318" s="134"/>
      <c r="AN318" s="10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1"/>
    </row>
    <row r="319" spans="1:51" x14ac:dyDescent="0.2">
      <c r="A319" s="33">
        <f t="shared" si="5"/>
        <v>314</v>
      </c>
      <c r="B319" s="122" t="s">
        <v>2607</v>
      </c>
      <c r="C319" s="123" t="s">
        <v>2608</v>
      </c>
      <c r="D319" s="36" t="s">
        <v>2609</v>
      </c>
      <c r="E319" s="36" t="s">
        <v>54</v>
      </c>
      <c r="F319" s="122" t="s">
        <v>2610</v>
      </c>
      <c r="G319" s="126" t="s">
        <v>73</v>
      </c>
      <c r="H319" s="126" t="s">
        <v>73</v>
      </c>
      <c r="I319" s="122" t="s">
        <v>2611</v>
      </c>
      <c r="J319" s="122" t="s">
        <v>2611</v>
      </c>
      <c r="K319" s="128" t="s">
        <v>42</v>
      </c>
      <c r="L319" s="165">
        <v>30353</v>
      </c>
      <c r="M319" s="130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42" t="s">
        <v>2612</v>
      </c>
      <c r="Y319" s="58" t="s">
        <v>2613</v>
      </c>
      <c r="Z319" s="119" t="s">
        <v>2614</v>
      </c>
      <c r="AA319" s="131">
        <v>42935</v>
      </c>
      <c r="AB319" s="164" t="s">
        <v>30</v>
      </c>
      <c r="AC319" s="36" t="s">
        <v>26</v>
      </c>
      <c r="AD319" s="222" t="s">
        <v>49</v>
      </c>
      <c r="AE319" s="48" t="s">
        <v>49</v>
      </c>
      <c r="AF319" s="48" t="s">
        <v>49</v>
      </c>
      <c r="AG319" s="48" t="s">
        <v>49</v>
      </c>
      <c r="AH319" s="48" t="s">
        <v>49</v>
      </c>
      <c r="AI319" s="48" t="s">
        <v>49</v>
      </c>
      <c r="AJ319" s="49" t="s">
        <v>49</v>
      </c>
      <c r="AK319" s="48" t="s">
        <v>49</v>
      </c>
      <c r="AL319" s="65" t="s">
        <v>32</v>
      </c>
      <c r="AM319" s="134"/>
      <c r="AN319" s="10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1"/>
    </row>
    <row r="320" spans="1:51" x14ac:dyDescent="0.2">
      <c r="A320" s="33">
        <f t="shared" si="5"/>
        <v>315</v>
      </c>
      <c r="B320" s="122" t="s">
        <v>2615</v>
      </c>
      <c r="C320" s="123" t="s">
        <v>2616</v>
      </c>
      <c r="D320" s="73" t="s">
        <v>2617</v>
      </c>
      <c r="E320" s="36" t="s">
        <v>54</v>
      </c>
      <c r="F320" s="122" t="s">
        <v>2618</v>
      </c>
      <c r="G320" s="126" t="s">
        <v>73</v>
      </c>
      <c r="H320" s="126" t="s">
        <v>73</v>
      </c>
      <c r="I320" s="127" t="s">
        <v>2619</v>
      </c>
      <c r="J320" s="122"/>
      <c r="K320" s="128" t="s">
        <v>42</v>
      </c>
      <c r="L320" s="165">
        <v>45114</v>
      </c>
      <c r="M320" s="130"/>
      <c r="N320" s="130"/>
      <c r="O320" s="130"/>
      <c r="P320" s="130"/>
      <c r="Q320" s="130"/>
      <c r="R320" s="130"/>
      <c r="S320" s="130"/>
      <c r="T320" s="130" t="s">
        <v>44</v>
      </c>
      <c r="U320" s="130"/>
      <c r="V320" s="130"/>
      <c r="W320" s="130"/>
      <c r="X320" s="42" t="s">
        <v>2620</v>
      </c>
      <c r="Y320" s="83" t="s">
        <v>2621</v>
      </c>
      <c r="Z320" s="223"/>
      <c r="AA320" s="45"/>
      <c r="AB320" s="164"/>
      <c r="AC320" s="36"/>
      <c r="AD320" s="222" t="s">
        <v>49</v>
      </c>
      <c r="AE320" s="48" t="s">
        <v>41</v>
      </c>
      <c r="AF320" s="48" t="s">
        <v>41</v>
      </c>
      <c r="AG320" s="48" t="s">
        <v>41</v>
      </c>
      <c r="AH320" s="48" t="s">
        <v>49</v>
      </c>
      <c r="AI320" s="48" t="s">
        <v>49</v>
      </c>
      <c r="AJ320" s="49" t="s">
        <v>41</v>
      </c>
      <c r="AK320" s="48" t="s">
        <v>41</v>
      </c>
      <c r="AL320" s="62" t="s">
        <v>276</v>
      </c>
      <c r="AM320" s="59"/>
      <c r="AN320" s="10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1"/>
    </row>
    <row r="321" spans="1:51" x14ac:dyDescent="0.2">
      <c r="A321" s="33">
        <f t="shared" si="5"/>
        <v>316</v>
      </c>
      <c r="B321" s="34" t="s">
        <v>2622</v>
      </c>
      <c r="C321" s="35" t="s">
        <v>2623</v>
      </c>
      <c r="D321" s="36" t="s">
        <v>2624</v>
      </c>
      <c r="E321" s="36" t="s">
        <v>54</v>
      </c>
      <c r="F321" s="34" t="s">
        <v>2625</v>
      </c>
      <c r="G321" s="37" t="s">
        <v>73</v>
      </c>
      <c r="H321" s="37" t="s">
        <v>73</v>
      </c>
      <c r="I321" s="34" t="s">
        <v>1649</v>
      </c>
      <c r="J321" s="34" t="s">
        <v>1649</v>
      </c>
      <c r="K321" s="39" t="s">
        <v>42</v>
      </c>
      <c r="L321" s="99" t="s">
        <v>1496</v>
      </c>
      <c r="M321" s="41"/>
      <c r="N321" s="41"/>
      <c r="O321" s="41"/>
      <c r="P321" s="41"/>
      <c r="Q321" s="41" t="s">
        <v>2626</v>
      </c>
      <c r="R321" s="41"/>
      <c r="S321" s="41"/>
      <c r="T321" s="41"/>
      <c r="U321" s="41"/>
      <c r="V321" s="41"/>
      <c r="W321" s="41"/>
      <c r="X321" s="42" t="s">
        <v>2627</v>
      </c>
      <c r="Y321" s="69" t="s">
        <v>2628</v>
      </c>
      <c r="Z321" s="44" t="s">
        <v>61</v>
      </c>
      <c r="AA321" s="45">
        <v>36641</v>
      </c>
      <c r="AB321" s="101" t="s">
        <v>30</v>
      </c>
      <c r="AC321" s="36" t="s">
        <v>26</v>
      </c>
      <c r="AD321" s="47" t="s">
        <v>49</v>
      </c>
      <c r="AE321" s="48" t="s">
        <v>49</v>
      </c>
      <c r="AF321" s="48" t="s">
        <v>49</v>
      </c>
      <c r="AG321" s="48" t="s">
        <v>49</v>
      </c>
      <c r="AH321" s="48" t="s">
        <v>49</v>
      </c>
      <c r="AI321" s="48" t="s">
        <v>49</v>
      </c>
      <c r="AJ321" s="49" t="s">
        <v>49</v>
      </c>
      <c r="AK321" s="48" t="s">
        <v>49</v>
      </c>
      <c r="AL321" s="62" t="s">
        <v>32</v>
      </c>
      <c r="AM321" s="59"/>
      <c r="AN321" s="10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1"/>
    </row>
    <row r="322" spans="1:51" x14ac:dyDescent="0.2">
      <c r="A322" s="33">
        <f t="shared" si="5"/>
        <v>317</v>
      </c>
      <c r="B322" s="34" t="s">
        <v>2629</v>
      </c>
      <c r="C322" s="35" t="s">
        <v>2630</v>
      </c>
      <c r="D322" s="36" t="s">
        <v>2631</v>
      </c>
      <c r="E322" s="36" t="s">
        <v>54</v>
      </c>
      <c r="F322" s="34" t="s">
        <v>2632</v>
      </c>
      <c r="G322" s="37" t="s">
        <v>73</v>
      </c>
      <c r="H322" s="37" t="s">
        <v>73</v>
      </c>
      <c r="I322" s="34" t="s">
        <v>2633</v>
      </c>
      <c r="J322" s="34" t="s">
        <v>41</v>
      </c>
      <c r="K322" s="39" t="s">
        <v>42</v>
      </c>
      <c r="L322" s="99" t="s">
        <v>1022</v>
      </c>
      <c r="M322" s="41" t="s">
        <v>179</v>
      </c>
      <c r="N322" s="41" t="s">
        <v>514</v>
      </c>
      <c r="O322" s="41"/>
      <c r="P322" s="41"/>
      <c r="Q322" s="41"/>
      <c r="R322" s="41"/>
      <c r="S322" s="41" t="s">
        <v>44</v>
      </c>
      <c r="T322" s="41"/>
      <c r="U322" s="41"/>
      <c r="V322" s="41"/>
      <c r="W322" s="41"/>
      <c r="X322" s="42" t="s">
        <v>2634</v>
      </c>
      <c r="Y322" s="83" t="s">
        <v>2635</v>
      </c>
      <c r="Z322" s="44"/>
      <c r="AA322" s="45">
        <v>45642</v>
      </c>
      <c r="AB322" s="101"/>
      <c r="AC322" s="36"/>
      <c r="AD322" s="47" t="s">
        <v>49</v>
      </c>
      <c r="AE322" s="48" t="s">
        <v>41</v>
      </c>
      <c r="AF322" s="48" t="s">
        <v>41</v>
      </c>
      <c r="AG322" s="48" t="s">
        <v>49</v>
      </c>
      <c r="AH322" s="48" t="s">
        <v>49</v>
      </c>
      <c r="AI322" s="48" t="s">
        <v>49</v>
      </c>
      <c r="AJ322" s="49" t="s">
        <v>41</v>
      </c>
      <c r="AK322" s="48" t="s">
        <v>41</v>
      </c>
      <c r="AL322" s="62" t="s">
        <v>276</v>
      </c>
      <c r="AM322" s="59"/>
      <c r="AN322" s="10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1"/>
    </row>
    <row r="323" spans="1:51" ht="19.5" customHeight="1" x14ac:dyDescent="0.2">
      <c r="A323" s="33">
        <f t="shared" si="5"/>
        <v>318</v>
      </c>
      <c r="B323" s="34" t="s">
        <v>2636</v>
      </c>
      <c r="C323" s="35" t="s">
        <v>2637</v>
      </c>
      <c r="D323" s="36" t="s">
        <v>2638</v>
      </c>
      <c r="E323" s="36" t="s">
        <v>54</v>
      </c>
      <c r="F323" s="34" t="s">
        <v>2639</v>
      </c>
      <c r="G323" s="37" t="s">
        <v>73</v>
      </c>
      <c r="H323" s="37" t="s">
        <v>73</v>
      </c>
      <c r="I323" s="38" t="s">
        <v>2640</v>
      </c>
      <c r="J323" s="34"/>
      <c r="K323" s="39" t="s">
        <v>42</v>
      </c>
      <c r="L323" s="120">
        <v>42106</v>
      </c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2" t="s">
        <v>2641</v>
      </c>
      <c r="Y323" s="52" t="s">
        <v>2642</v>
      </c>
      <c r="Z323" s="211" t="s">
        <v>2643</v>
      </c>
      <c r="AA323" s="45">
        <v>44944</v>
      </c>
      <c r="AB323" s="101" t="s">
        <v>30</v>
      </c>
      <c r="AC323" s="36" t="s">
        <v>26</v>
      </c>
      <c r="AD323" s="47" t="s">
        <v>49</v>
      </c>
      <c r="AE323" s="48" t="s">
        <v>49</v>
      </c>
      <c r="AF323" s="48" t="s">
        <v>49</v>
      </c>
      <c r="AG323" s="48" t="s">
        <v>49</v>
      </c>
      <c r="AH323" s="48" t="s">
        <v>49</v>
      </c>
      <c r="AI323" s="48" t="s">
        <v>49</v>
      </c>
      <c r="AJ323" s="49" t="s">
        <v>49</v>
      </c>
      <c r="AK323" s="48" t="s">
        <v>49</v>
      </c>
      <c r="AL323" s="65" t="s">
        <v>32</v>
      </c>
      <c r="AM323" s="59"/>
      <c r="AN323" s="10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1"/>
    </row>
    <row r="324" spans="1:51" x14ac:dyDescent="0.2">
      <c r="A324" s="33">
        <f t="shared" si="5"/>
        <v>319</v>
      </c>
      <c r="B324" s="34" t="s">
        <v>2644</v>
      </c>
      <c r="C324" s="35" t="s">
        <v>2645</v>
      </c>
      <c r="D324" s="36" t="s">
        <v>2646</v>
      </c>
      <c r="E324" s="36" t="s">
        <v>36</v>
      </c>
      <c r="F324" s="34" t="s">
        <v>2647</v>
      </c>
      <c r="G324" s="37" t="s">
        <v>176</v>
      </c>
      <c r="H324" s="37" t="s">
        <v>39</v>
      </c>
      <c r="I324" s="38" t="s">
        <v>2648</v>
      </c>
      <c r="J324" s="34" t="s">
        <v>41</v>
      </c>
      <c r="K324" s="39" t="s">
        <v>42</v>
      </c>
      <c r="L324" s="120" t="s">
        <v>2649</v>
      </c>
      <c r="M324" s="56"/>
      <c r="N324" s="56"/>
      <c r="O324" s="56"/>
      <c r="P324" s="56"/>
      <c r="Q324" s="56"/>
      <c r="R324" s="56"/>
      <c r="S324" s="56"/>
      <c r="T324" s="56" t="s">
        <v>732</v>
      </c>
      <c r="U324" s="56"/>
      <c r="V324" s="56"/>
      <c r="W324" s="56"/>
      <c r="X324" s="42" t="s">
        <v>2650</v>
      </c>
      <c r="Y324" s="58" t="s">
        <v>2651</v>
      </c>
      <c r="Z324" s="44"/>
      <c r="AA324" s="45" t="s">
        <v>47</v>
      </c>
      <c r="AB324" s="101"/>
      <c r="AC324" s="36" t="s">
        <v>26</v>
      </c>
      <c r="AD324" s="47" t="s">
        <v>49</v>
      </c>
      <c r="AE324" s="48" t="s">
        <v>49</v>
      </c>
      <c r="AF324" s="48" t="s">
        <v>49</v>
      </c>
      <c r="AG324" s="48" t="s">
        <v>49</v>
      </c>
      <c r="AH324" s="48" t="s">
        <v>49</v>
      </c>
      <c r="AI324" s="48" t="s">
        <v>49</v>
      </c>
      <c r="AJ324" s="49" t="s">
        <v>49</v>
      </c>
      <c r="AK324" s="48" t="s">
        <v>41</v>
      </c>
      <c r="AL324" s="65" t="s">
        <v>148</v>
      </c>
      <c r="AM324" s="59"/>
      <c r="AN324" s="10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1"/>
    </row>
    <row r="325" spans="1:51" x14ac:dyDescent="0.2">
      <c r="A325" s="33">
        <f t="shared" si="5"/>
        <v>320</v>
      </c>
      <c r="B325" s="34" t="s">
        <v>2652</v>
      </c>
      <c r="C325" s="35" t="s">
        <v>2653</v>
      </c>
      <c r="D325" s="73" t="s">
        <v>2654</v>
      </c>
      <c r="E325" s="36" t="s">
        <v>54</v>
      </c>
      <c r="F325" s="98" t="s">
        <v>2655</v>
      </c>
      <c r="G325" s="37" t="s">
        <v>214</v>
      </c>
      <c r="H325" s="37" t="s">
        <v>205</v>
      </c>
      <c r="I325" s="34" t="s">
        <v>2656</v>
      </c>
      <c r="J325" s="34" t="s">
        <v>41</v>
      </c>
      <c r="K325" s="39" t="s">
        <v>42</v>
      </c>
      <c r="L325" s="99" t="s">
        <v>2657</v>
      </c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42" t="s">
        <v>2658</v>
      </c>
      <c r="Y325" s="58" t="s">
        <v>2659</v>
      </c>
      <c r="Z325" s="44" t="s">
        <v>61</v>
      </c>
      <c r="AA325" s="45">
        <v>37877</v>
      </c>
      <c r="AB325" s="101" t="s">
        <v>30</v>
      </c>
      <c r="AC325" s="73"/>
      <c r="AD325" s="47" t="s">
        <v>49</v>
      </c>
      <c r="AE325" s="48" t="s">
        <v>41</v>
      </c>
      <c r="AF325" s="48" t="s">
        <v>41</v>
      </c>
      <c r="AG325" s="48" t="s">
        <v>41</v>
      </c>
      <c r="AH325" s="48" t="s">
        <v>41</v>
      </c>
      <c r="AI325" s="48" t="s">
        <v>41</v>
      </c>
      <c r="AJ325" s="49" t="s">
        <v>41</v>
      </c>
      <c r="AK325" s="48" t="s">
        <v>41</v>
      </c>
      <c r="AL325" s="65" t="s">
        <v>4588</v>
      </c>
      <c r="AM325" s="59" t="s">
        <v>460</v>
      </c>
      <c r="AN325" s="117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1"/>
    </row>
    <row r="326" spans="1:51" x14ac:dyDescent="0.2">
      <c r="A326" s="33">
        <f t="shared" si="5"/>
        <v>321</v>
      </c>
      <c r="B326" s="107" t="s">
        <v>2660</v>
      </c>
      <c r="C326" s="35" t="s">
        <v>2661</v>
      </c>
      <c r="D326" s="36" t="s">
        <v>2662</v>
      </c>
      <c r="E326" s="36" t="s">
        <v>54</v>
      </c>
      <c r="F326" s="87" t="s">
        <v>2663</v>
      </c>
      <c r="G326" s="37" t="s">
        <v>350</v>
      </c>
      <c r="H326" s="37" t="s">
        <v>350</v>
      </c>
      <c r="I326" s="34" t="s">
        <v>2664</v>
      </c>
      <c r="J326" s="34"/>
      <c r="K326" s="39" t="s">
        <v>42</v>
      </c>
      <c r="L326" s="99" t="s">
        <v>2139</v>
      </c>
      <c r="M326" s="56" t="s">
        <v>179</v>
      </c>
      <c r="N326" s="56" t="s">
        <v>1878</v>
      </c>
      <c r="O326" s="56"/>
      <c r="P326" s="56">
        <v>2</v>
      </c>
      <c r="Q326" s="56"/>
      <c r="R326" s="56"/>
      <c r="S326" s="56"/>
      <c r="T326" s="56" t="s">
        <v>732</v>
      </c>
      <c r="U326" s="56"/>
      <c r="V326" s="56"/>
      <c r="W326" s="56"/>
      <c r="X326" s="42" t="s">
        <v>2665</v>
      </c>
      <c r="Y326" s="58" t="s">
        <v>2666</v>
      </c>
      <c r="Z326" s="224"/>
      <c r="AA326" s="45" t="s">
        <v>47</v>
      </c>
      <c r="AB326" s="101" t="s">
        <v>342</v>
      </c>
      <c r="AC326" s="36" t="s">
        <v>26</v>
      </c>
      <c r="AD326" s="47" t="s">
        <v>49</v>
      </c>
      <c r="AE326" s="48" t="s">
        <v>49</v>
      </c>
      <c r="AF326" s="48" t="s">
        <v>49</v>
      </c>
      <c r="AG326" s="48" t="s">
        <v>49</v>
      </c>
      <c r="AH326" s="48" t="s">
        <v>49</v>
      </c>
      <c r="AI326" s="48" t="s">
        <v>49</v>
      </c>
      <c r="AJ326" s="49" t="s">
        <v>49</v>
      </c>
      <c r="AK326" s="48" t="s">
        <v>49</v>
      </c>
      <c r="AL326" s="62" t="s">
        <v>32</v>
      </c>
      <c r="AM326" s="59"/>
      <c r="AN326" s="10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1"/>
    </row>
    <row r="327" spans="1:51" x14ac:dyDescent="0.2">
      <c r="A327" s="33">
        <f t="shared" si="5"/>
        <v>322</v>
      </c>
      <c r="B327" s="107" t="s">
        <v>2667</v>
      </c>
      <c r="C327" s="35" t="s">
        <v>2668</v>
      </c>
      <c r="D327" s="36" t="s">
        <v>2669</v>
      </c>
      <c r="E327" s="36" t="s">
        <v>54</v>
      </c>
      <c r="F327" s="34" t="s">
        <v>2670</v>
      </c>
      <c r="G327" s="37" t="s">
        <v>73</v>
      </c>
      <c r="H327" s="37" t="s">
        <v>73</v>
      </c>
      <c r="I327" s="34" t="s">
        <v>2671</v>
      </c>
      <c r="J327" s="34"/>
      <c r="K327" s="39" t="s">
        <v>42</v>
      </c>
      <c r="L327" s="99" t="s">
        <v>2672</v>
      </c>
      <c r="M327" s="56"/>
      <c r="N327" s="56"/>
      <c r="O327" s="56"/>
      <c r="P327" s="56"/>
      <c r="Q327" s="56"/>
      <c r="R327" s="56"/>
      <c r="S327" s="56"/>
      <c r="T327" s="56" t="s">
        <v>44</v>
      </c>
      <c r="U327" s="56"/>
      <c r="V327" s="56"/>
      <c r="W327" s="56"/>
      <c r="X327" s="42" t="s">
        <v>2673</v>
      </c>
      <c r="Y327" s="58" t="s">
        <v>2674</v>
      </c>
      <c r="Z327" s="44"/>
      <c r="AA327" s="45">
        <v>45642</v>
      </c>
      <c r="AB327" s="101"/>
      <c r="AC327" s="36"/>
      <c r="AD327" s="47" t="s">
        <v>49</v>
      </c>
      <c r="AE327" s="48" t="s">
        <v>41</v>
      </c>
      <c r="AF327" s="48" t="s">
        <v>41</v>
      </c>
      <c r="AG327" s="48" t="s">
        <v>41</v>
      </c>
      <c r="AH327" s="48" t="s">
        <v>49</v>
      </c>
      <c r="AI327" s="48" t="s">
        <v>49</v>
      </c>
      <c r="AJ327" s="49" t="s">
        <v>49</v>
      </c>
      <c r="AK327" s="48" t="s">
        <v>41</v>
      </c>
      <c r="AL327" s="62" t="s">
        <v>148</v>
      </c>
      <c r="AM327" s="59"/>
      <c r="AN327" s="117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1"/>
    </row>
    <row r="328" spans="1:51" x14ac:dyDescent="0.2">
      <c r="A328" s="33">
        <f t="shared" si="5"/>
        <v>323</v>
      </c>
      <c r="B328" s="34" t="s">
        <v>2675</v>
      </c>
      <c r="C328" s="35" t="s">
        <v>2676</v>
      </c>
      <c r="D328" s="36" t="s">
        <v>2677</v>
      </c>
      <c r="E328" s="36" t="s">
        <v>54</v>
      </c>
      <c r="F328" s="34" t="s">
        <v>2678</v>
      </c>
      <c r="G328" s="37" t="s">
        <v>73</v>
      </c>
      <c r="H328" s="37" t="s">
        <v>73</v>
      </c>
      <c r="I328" s="34" t="s">
        <v>2679</v>
      </c>
      <c r="J328" s="34" t="s">
        <v>2680</v>
      </c>
      <c r="K328" s="39" t="s">
        <v>42</v>
      </c>
      <c r="L328" s="120">
        <v>35617</v>
      </c>
      <c r="M328" s="41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42" t="s">
        <v>2681</v>
      </c>
      <c r="Y328" s="58" t="s">
        <v>2682</v>
      </c>
      <c r="Z328" s="44" t="s">
        <v>61</v>
      </c>
      <c r="AA328" s="45">
        <v>36803</v>
      </c>
      <c r="AB328" s="101" t="s">
        <v>30</v>
      </c>
      <c r="AC328" s="36" t="s">
        <v>26</v>
      </c>
      <c r="AD328" s="47" t="s">
        <v>49</v>
      </c>
      <c r="AE328" s="48" t="s">
        <v>49</v>
      </c>
      <c r="AF328" s="48" t="s">
        <v>49</v>
      </c>
      <c r="AG328" s="48" t="s">
        <v>49</v>
      </c>
      <c r="AH328" s="48" t="s">
        <v>49</v>
      </c>
      <c r="AI328" s="48" t="s">
        <v>49</v>
      </c>
      <c r="AJ328" s="49" t="s">
        <v>49</v>
      </c>
      <c r="AK328" s="48" t="s">
        <v>49</v>
      </c>
      <c r="AL328" s="62" t="s">
        <v>32</v>
      </c>
      <c r="AM328" s="59"/>
      <c r="AN328" s="10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1"/>
    </row>
    <row r="329" spans="1:51" x14ac:dyDescent="0.2">
      <c r="A329" s="33">
        <f t="shared" si="5"/>
        <v>324</v>
      </c>
      <c r="B329" s="34" t="s">
        <v>2683</v>
      </c>
      <c r="C329" s="35" t="s">
        <v>2684</v>
      </c>
      <c r="D329" s="36" t="s">
        <v>2685</v>
      </c>
      <c r="E329" s="36" t="s">
        <v>54</v>
      </c>
      <c r="F329" s="34" t="s">
        <v>2686</v>
      </c>
      <c r="G329" s="37" t="s">
        <v>73</v>
      </c>
      <c r="H329" s="37" t="s">
        <v>73</v>
      </c>
      <c r="I329" s="34" t="s">
        <v>2687</v>
      </c>
      <c r="J329" s="34" t="s">
        <v>2688</v>
      </c>
      <c r="K329" s="39" t="s">
        <v>42</v>
      </c>
      <c r="L329" s="99" t="s">
        <v>273</v>
      </c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2" t="s">
        <v>2689</v>
      </c>
      <c r="Y329" s="52" t="s">
        <v>2690</v>
      </c>
      <c r="Z329" s="44" t="s">
        <v>2691</v>
      </c>
      <c r="AA329" s="45">
        <v>43200</v>
      </c>
      <c r="AB329" s="101" t="s">
        <v>30</v>
      </c>
      <c r="AC329" s="36" t="s">
        <v>26</v>
      </c>
      <c r="AD329" s="47" t="s">
        <v>49</v>
      </c>
      <c r="AE329" s="48" t="s">
        <v>49</v>
      </c>
      <c r="AF329" s="48" t="s">
        <v>49</v>
      </c>
      <c r="AG329" s="48" t="s">
        <v>49</v>
      </c>
      <c r="AH329" s="48" t="s">
        <v>49</v>
      </c>
      <c r="AI329" s="48" t="s">
        <v>49</v>
      </c>
      <c r="AJ329" s="49" t="s">
        <v>49</v>
      </c>
      <c r="AK329" s="48" t="s">
        <v>49</v>
      </c>
      <c r="AL329" s="62" t="s">
        <v>32</v>
      </c>
      <c r="AM329" s="59"/>
      <c r="AN329" s="10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1"/>
    </row>
    <row r="330" spans="1:51" x14ac:dyDescent="0.2">
      <c r="A330" s="33">
        <f t="shared" si="5"/>
        <v>325</v>
      </c>
      <c r="B330" s="34" t="s">
        <v>2692</v>
      </c>
      <c r="C330" s="35" t="s">
        <v>2693</v>
      </c>
      <c r="D330" s="36" t="s">
        <v>2694</v>
      </c>
      <c r="E330" s="36" t="s">
        <v>54</v>
      </c>
      <c r="F330" s="34" t="s">
        <v>2695</v>
      </c>
      <c r="G330" s="37" t="s">
        <v>73</v>
      </c>
      <c r="H330" s="37" t="s">
        <v>73</v>
      </c>
      <c r="I330" s="34" t="s">
        <v>2696</v>
      </c>
      <c r="J330" s="34" t="s">
        <v>2687</v>
      </c>
      <c r="K330" s="39" t="s">
        <v>42</v>
      </c>
      <c r="L330" s="120">
        <v>37715</v>
      </c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2" t="s">
        <v>2697</v>
      </c>
      <c r="Y330" s="43" t="s">
        <v>2698</v>
      </c>
      <c r="Z330" s="44" t="s">
        <v>61</v>
      </c>
      <c r="AA330" s="45">
        <v>37877</v>
      </c>
      <c r="AB330" s="101" t="s">
        <v>30</v>
      </c>
      <c r="AC330" s="36" t="s">
        <v>26</v>
      </c>
      <c r="AD330" s="47" t="s">
        <v>49</v>
      </c>
      <c r="AE330" s="48" t="s">
        <v>49</v>
      </c>
      <c r="AF330" s="48" t="s">
        <v>49</v>
      </c>
      <c r="AG330" s="48" t="s">
        <v>49</v>
      </c>
      <c r="AH330" s="48" t="s">
        <v>49</v>
      </c>
      <c r="AI330" s="48" t="s">
        <v>49</v>
      </c>
      <c r="AJ330" s="49" t="s">
        <v>49</v>
      </c>
      <c r="AK330" s="48" t="s">
        <v>49</v>
      </c>
      <c r="AL330" s="62" t="s">
        <v>32</v>
      </c>
      <c r="AM330" s="59"/>
      <c r="AN330" s="10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1"/>
    </row>
    <row r="331" spans="1:51" x14ac:dyDescent="0.2">
      <c r="A331" s="33">
        <f t="shared" ref="A331:A394" si="6">+A330+1</f>
        <v>326</v>
      </c>
      <c r="B331" s="34" t="s">
        <v>2699</v>
      </c>
      <c r="C331" s="35" t="s">
        <v>2700</v>
      </c>
      <c r="D331" s="36" t="s">
        <v>2701</v>
      </c>
      <c r="E331" s="36" t="s">
        <v>54</v>
      </c>
      <c r="F331" s="34" t="s">
        <v>2702</v>
      </c>
      <c r="G331" s="37" t="s">
        <v>243</v>
      </c>
      <c r="H331" s="37" t="s">
        <v>205</v>
      </c>
      <c r="I331" s="38" t="s">
        <v>2703</v>
      </c>
      <c r="J331" s="34"/>
      <c r="K331" s="39" t="s">
        <v>42</v>
      </c>
      <c r="L331" s="120" t="s">
        <v>2704</v>
      </c>
      <c r="M331" s="41"/>
      <c r="N331" s="41"/>
      <c r="O331" s="41"/>
      <c r="P331" s="41"/>
      <c r="Q331" s="41"/>
      <c r="R331" s="41"/>
      <c r="S331" s="41" t="s">
        <v>44</v>
      </c>
      <c r="T331" s="41"/>
      <c r="U331" s="41"/>
      <c r="V331" s="41"/>
      <c r="W331" s="41"/>
      <c r="X331" s="42" t="s">
        <v>2705</v>
      </c>
      <c r="Y331" s="43" t="s">
        <v>2706</v>
      </c>
      <c r="Z331" s="84" t="s">
        <v>2707</v>
      </c>
      <c r="AA331" s="45">
        <v>44650</v>
      </c>
      <c r="AB331" s="101" t="s">
        <v>30</v>
      </c>
      <c r="AC331" s="36"/>
      <c r="AD331" s="47" t="s">
        <v>49</v>
      </c>
      <c r="AE331" s="48" t="s">
        <v>41</v>
      </c>
      <c r="AF331" s="48" t="s">
        <v>41</v>
      </c>
      <c r="AG331" s="48" t="s">
        <v>49</v>
      </c>
      <c r="AH331" s="48" t="s">
        <v>49</v>
      </c>
      <c r="AI331" s="48" t="s">
        <v>49</v>
      </c>
      <c r="AJ331" s="49" t="s">
        <v>49</v>
      </c>
      <c r="AK331" s="48" t="s">
        <v>41</v>
      </c>
      <c r="AL331" s="62" t="s">
        <v>148</v>
      </c>
      <c r="AM331" s="59"/>
      <c r="AN331" s="10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1"/>
    </row>
    <row r="332" spans="1:51" x14ac:dyDescent="0.2">
      <c r="A332" s="33">
        <f t="shared" si="6"/>
        <v>327</v>
      </c>
      <c r="B332" s="34" t="s">
        <v>2708</v>
      </c>
      <c r="C332" s="35" t="s">
        <v>2709</v>
      </c>
      <c r="D332" s="36" t="s">
        <v>2710</v>
      </c>
      <c r="E332" s="36" t="s">
        <v>54</v>
      </c>
      <c r="F332" s="34" t="s">
        <v>2711</v>
      </c>
      <c r="G332" s="37" t="s">
        <v>323</v>
      </c>
      <c r="H332" s="37" t="s">
        <v>39</v>
      </c>
      <c r="I332" s="38" t="s">
        <v>2712</v>
      </c>
      <c r="J332" s="34" t="s">
        <v>41</v>
      </c>
      <c r="K332" s="39" t="s">
        <v>42</v>
      </c>
      <c r="L332" s="120">
        <v>45643</v>
      </c>
      <c r="M332" s="41"/>
      <c r="N332" s="41"/>
      <c r="O332" s="41"/>
      <c r="P332" s="41"/>
      <c r="Q332" s="41"/>
      <c r="R332" s="41"/>
      <c r="S332" s="41"/>
      <c r="T332" s="41"/>
      <c r="U332" s="41" t="s">
        <v>44</v>
      </c>
      <c r="V332" s="41"/>
      <c r="W332" s="41"/>
      <c r="X332" s="38" t="s">
        <v>2713</v>
      </c>
      <c r="Y332" s="43" t="s">
        <v>2714</v>
      </c>
      <c r="Z332" s="144"/>
      <c r="AA332" s="45"/>
      <c r="AB332" s="101"/>
      <c r="AC332" s="36"/>
      <c r="AD332" s="47" t="s">
        <v>49</v>
      </c>
      <c r="AE332" s="48" t="s">
        <v>41</v>
      </c>
      <c r="AF332" s="48" t="s">
        <v>41</v>
      </c>
      <c r="AG332" s="48" t="s">
        <v>41</v>
      </c>
      <c r="AH332" s="48" t="s">
        <v>41</v>
      </c>
      <c r="AI332" s="48" t="s">
        <v>49</v>
      </c>
      <c r="AJ332" s="49" t="s">
        <v>49</v>
      </c>
      <c r="AK332" s="48" t="s">
        <v>41</v>
      </c>
      <c r="AL332" s="62" t="s">
        <v>148</v>
      </c>
      <c r="AM332" s="59"/>
      <c r="AN332" s="10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1"/>
    </row>
    <row r="333" spans="1:51" x14ac:dyDescent="0.2">
      <c r="A333" s="33">
        <f t="shared" si="6"/>
        <v>328</v>
      </c>
      <c r="B333" s="34" t="s">
        <v>2715</v>
      </c>
      <c r="C333" s="35" t="s">
        <v>2716</v>
      </c>
      <c r="D333" s="36" t="s">
        <v>2717</v>
      </c>
      <c r="E333" s="36" t="s">
        <v>36</v>
      </c>
      <c r="F333" s="34" t="s">
        <v>2718</v>
      </c>
      <c r="G333" s="37" t="s">
        <v>73</v>
      </c>
      <c r="H333" s="37" t="s">
        <v>73</v>
      </c>
      <c r="I333" s="34" t="s">
        <v>2719</v>
      </c>
      <c r="J333" s="34" t="s">
        <v>41</v>
      </c>
      <c r="K333" s="39" t="s">
        <v>42</v>
      </c>
      <c r="L333" s="99" t="s">
        <v>2720</v>
      </c>
      <c r="M333" s="56"/>
      <c r="N333" s="56"/>
      <c r="O333" s="56"/>
      <c r="P333" s="56"/>
      <c r="Q333" s="56"/>
      <c r="R333" s="56"/>
      <c r="S333" s="56" t="s">
        <v>732</v>
      </c>
      <c r="T333" s="56"/>
      <c r="U333" s="56"/>
      <c r="V333" s="56"/>
      <c r="W333" s="56"/>
      <c r="X333" s="42" t="s">
        <v>2721</v>
      </c>
      <c r="Y333" s="52" t="s">
        <v>2722</v>
      </c>
      <c r="Z333" s="44"/>
      <c r="AA333" s="45" t="s">
        <v>47</v>
      </c>
      <c r="AB333" s="101"/>
      <c r="AC333" s="36" t="s">
        <v>26</v>
      </c>
      <c r="AD333" s="47" t="s">
        <v>49</v>
      </c>
      <c r="AE333" s="48" t="s">
        <v>49</v>
      </c>
      <c r="AF333" s="48" t="s">
        <v>49</v>
      </c>
      <c r="AG333" s="48" t="s">
        <v>49</v>
      </c>
      <c r="AH333" s="48" t="s">
        <v>49</v>
      </c>
      <c r="AI333" s="48" t="s">
        <v>49</v>
      </c>
      <c r="AJ333" s="49" t="s">
        <v>49</v>
      </c>
      <c r="AK333" s="48" t="s">
        <v>49</v>
      </c>
      <c r="AL333" s="65" t="s">
        <v>32</v>
      </c>
      <c r="AM333" s="59"/>
      <c r="AN333" s="10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1"/>
    </row>
    <row r="334" spans="1:51" x14ac:dyDescent="0.2">
      <c r="A334" s="33">
        <f t="shared" si="6"/>
        <v>329</v>
      </c>
      <c r="B334" s="34" t="s">
        <v>2723</v>
      </c>
      <c r="C334" s="35" t="s">
        <v>2724</v>
      </c>
      <c r="D334" s="36" t="s">
        <v>2725</v>
      </c>
      <c r="E334" s="36" t="s">
        <v>54</v>
      </c>
      <c r="F334" s="34" t="s">
        <v>2726</v>
      </c>
      <c r="G334" s="37" t="s">
        <v>350</v>
      </c>
      <c r="H334" s="37" t="s">
        <v>350</v>
      </c>
      <c r="I334" s="38" t="s">
        <v>2727</v>
      </c>
      <c r="J334" s="34" t="s">
        <v>41</v>
      </c>
      <c r="K334" s="39" t="s">
        <v>42</v>
      </c>
      <c r="L334" s="120">
        <v>32513</v>
      </c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2" t="s">
        <v>2728</v>
      </c>
      <c r="Y334" s="58" t="s">
        <v>2729</v>
      </c>
      <c r="Z334" s="44" t="s">
        <v>61</v>
      </c>
      <c r="AA334" s="45">
        <v>37877</v>
      </c>
      <c r="AB334" s="101" t="s">
        <v>30</v>
      </c>
      <c r="AC334" s="36"/>
      <c r="AD334" s="47" t="s">
        <v>49</v>
      </c>
      <c r="AE334" s="48" t="s">
        <v>41</v>
      </c>
      <c r="AF334" s="48" t="s">
        <v>41</v>
      </c>
      <c r="AG334" s="48" t="s">
        <v>41</v>
      </c>
      <c r="AH334" s="48" t="s">
        <v>41</v>
      </c>
      <c r="AI334" s="48" t="s">
        <v>41</v>
      </c>
      <c r="AJ334" s="49" t="s">
        <v>41</v>
      </c>
      <c r="AK334" s="48" t="s">
        <v>41</v>
      </c>
      <c r="AL334" s="65" t="s">
        <v>4592</v>
      </c>
      <c r="AM334" s="59"/>
      <c r="AN334" s="10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1"/>
    </row>
    <row r="335" spans="1:51" x14ac:dyDescent="0.2">
      <c r="A335" s="33">
        <f t="shared" si="6"/>
        <v>330</v>
      </c>
      <c r="B335" s="34" t="s">
        <v>2730</v>
      </c>
      <c r="C335" s="35" t="s">
        <v>2731</v>
      </c>
      <c r="D335" s="36" t="s">
        <v>2732</v>
      </c>
      <c r="E335" s="36" t="s">
        <v>54</v>
      </c>
      <c r="F335" s="34" t="s">
        <v>2733</v>
      </c>
      <c r="G335" s="37" t="s">
        <v>73</v>
      </c>
      <c r="H335" s="37" t="s">
        <v>73</v>
      </c>
      <c r="I335" s="34" t="s">
        <v>2734</v>
      </c>
      <c r="J335" s="34" t="s">
        <v>41</v>
      </c>
      <c r="K335" s="39" t="s">
        <v>42</v>
      </c>
      <c r="L335" s="120">
        <v>33762</v>
      </c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2" t="s">
        <v>2735</v>
      </c>
      <c r="Y335" s="58" t="s">
        <v>2736</v>
      </c>
      <c r="Z335" s="44" t="s">
        <v>61</v>
      </c>
      <c r="AA335" s="45">
        <v>34597</v>
      </c>
      <c r="AB335" s="101" t="s">
        <v>30</v>
      </c>
      <c r="AC335" s="36" t="s">
        <v>26</v>
      </c>
      <c r="AD335" s="64" t="s">
        <v>120</v>
      </c>
      <c r="AE335" s="48" t="s">
        <v>120</v>
      </c>
      <c r="AF335" s="48" t="s">
        <v>120</v>
      </c>
      <c r="AG335" s="48" t="s">
        <v>120</v>
      </c>
      <c r="AH335" s="48" t="s">
        <v>120</v>
      </c>
      <c r="AI335" s="48" t="s">
        <v>120</v>
      </c>
      <c r="AJ335" s="49" t="s">
        <v>120</v>
      </c>
      <c r="AK335" s="48" t="s">
        <v>120</v>
      </c>
      <c r="AL335" s="62" t="s">
        <v>32</v>
      </c>
      <c r="AM335" s="59"/>
      <c r="AN335" s="10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1"/>
    </row>
    <row r="336" spans="1:51" x14ac:dyDescent="0.2">
      <c r="A336" s="33">
        <f t="shared" si="6"/>
        <v>331</v>
      </c>
      <c r="B336" s="34" t="s">
        <v>2737</v>
      </c>
      <c r="C336" s="35" t="s">
        <v>2738</v>
      </c>
      <c r="D336" s="36" t="s">
        <v>2739</v>
      </c>
      <c r="E336" s="36" t="s">
        <v>36</v>
      </c>
      <c r="F336" s="34" t="s">
        <v>2740</v>
      </c>
      <c r="G336" s="37" t="s">
        <v>243</v>
      </c>
      <c r="H336" s="37" t="s">
        <v>205</v>
      </c>
      <c r="I336" s="34" t="s">
        <v>2741</v>
      </c>
      <c r="J336" s="34" t="s">
        <v>41</v>
      </c>
      <c r="K336" s="39" t="s">
        <v>42</v>
      </c>
      <c r="L336" s="99" t="s">
        <v>2742</v>
      </c>
      <c r="M336" s="56" t="s">
        <v>179</v>
      </c>
      <c r="N336" s="56"/>
      <c r="O336" s="56"/>
      <c r="P336" s="56"/>
      <c r="Q336" s="56"/>
      <c r="R336" s="56"/>
      <c r="S336" s="56"/>
      <c r="T336" s="56"/>
      <c r="U336" s="56"/>
      <c r="V336" s="56" t="s">
        <v>732</v>
      </c>
      <c r="W336" s="56"/>
      <c r="X336" s="42" t="s">
        <v>2743</v>
      </c>
      <c r="Y336" s="69" t="s">
        <v>2744</v>
      </c>
      <c r="Z336" s="44" t="s">
        <v>2745</v>
      </c>
      <c r="AA336" s="45">
        <v>41793</v>
      </c>
      <c r="AB336" s="101" t="s">
        <v>30</v>
      </c>
      <c r="AC336" s="36" t="s">
        <v>26</v>
      </c>
      <c r="AD336" s="47" t="s">
        <v>49</v>
      </c>
      <c r="AE336" s="48" t="s">
        <v>49</v>
      </c>
      <c r="AF336" s="48" t="s">
        <v>49</v>
      </c>
      <c r="AG336" s="48" t="s">
        <v>49</v>
      </c>
      <c r="AH336" s="48" t="s">
        <v>49</v>
      </c>
      <c r="AI336" s="48" t="s">
        <v>49</v>
      </c>
      <c r="AJ336" s="49" t="s">
        <v>49</v>
      </c>
      <c r="AK336" s="48" t="s">
        <v>49</v>
      </c>
      <c r="AL336" s="62" t="s">
        <v>32</v>
      </c>
      <c r="AM336" s="59"/>
      <c r="AN336" s="117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1"/>
    </row>
    <row r="337" spans="1:51" x14ac:dyDescent="0.2">
      <c r="A337" s="33">
        <f t="shared" si="6"/>
        <v>332</v>
      </c>
      <c r="B337" s="34" t="s">
        <v>2746</v>
      </c>
      <c r="C337" s="35" t="s">
        <v>2747</v>
      </c>
      <c r="D337" s="36" t="s">
        <v>2748</v>
      </c>
      <c r="E337" s="36" t="s">
        <v>54</v>
      </c>
      <c r="F337" s="34" t="s">
        <v>2749</v>
      </c>
      <c r="G337" s="37" t="s">
        <v>73</v>
      </c>
      <c r="H337" s="37" t="s">
        <v>73</v>
      </c>
      <c r="I337" s="38" t="s">
        <v>2750</v>
      </c>
      <c r="J337" s="34" t="s">
        <v>41</v>
      </c>
      <c r="K337" s="39" t="s">
        <v>42</v>
      </c>
      <c r="L337" s="99" t="s">
        <v>2751</v>
      </c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42" t="s">
        <v>2752</v>
      </c>
      <c r="Y337" s="69" t="s">
        <v>2753</v>
      </c>
      <c r="Z337" s="44" t="s">
        <v>2754</v>
      </c>
      <c r="AA337" s="45">
        <v>44041</v>
      </c>
      <c r="AB337" s="101" t="s">
        <v>30</v>
      </c>
      <c r="AC337" s="36"/>
      <c r="AD337" s="47" t="s">
        <v>49</v>
      </c>
      <c r="AE337" s="48" t="s">
        <v>41</v>
      </c>
      <c r="AF337" s="48" t="s">
        <v>41</v>
      </c>
      <c r="AG337" s="48" t="s">
        <v>41</v>
      </c>
      <c r="AH337" s="48" t="s">
        <v>41</v>
      </c>
      <c r="AI337" s="48" t="s">
        <v>41</v>
      </c>
      <c r="AJ337" s="49" t="s">
        <v>41</v>
      </c>
      <c r="AK337" s="48" t="s">
        <v>41</v>
      </c>
      <c r="AL337" s="65" t="s">
        <v>4590</v>
      </c>
      <c r="AM337" s="59" t="s">
        <v>1230</v>
      </c>
      <c r="AN337" s="10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1"/>
    </row>
    <row r="338" spans="1:51" ht="18.75" customHeight="1" x14ac:dyDescent="0.2">
      <c r="A338" s="33">
        <f t="shared" si="6"/>
        <v>333</v>
      </c>
      <c r="B338" s="34" t="s">
        <v>2755</v>
      </c>
      <c r="C338" s="35" t="s">
        <v>2756</v>
      </c>
      <c r="D338" s="36" t="s">
        <v>2757</v>
      </c>
      <c r="E338" s="36" t="s">
        <v>54</v>
      </c>
      <c r="F338" s="34" t="s">
        <v>2758</v>
      </c>
      <c r="G338" s="37" t="s">
        <v>73</v>
      </c>
      <c r="H338" s="37" t="s">
        <v>73</v>
      </c>
      <c r="I338" s="38" t="s">
        <v>2759</v>
      </c>
      <c r="J338" s="34"/>
      <c r="K338" s="39" t="s">
        <v>42</v>
      </c>
      <c r="L338" s="99" t="s">
        <v>2760</v>
      </c>
      <c r="M338" s="56"/>
      <c r="N338" s="137"/>
      <c r="O338" s="137"/>
      <c r="P338" s="137"/>
      <c r="Q338" s="137"/>
      <c r="R338" s="137" t="s">
        <v>44</v>
      </c>
      <c r="S338" s="137"/>
      <c r="T338" s="137"/>
      <c r="U338" s="137"/>
      <c r="V338" s="137"/>
      <c r="W338" s="137"/>
      <c r="X338" s="42" t="s">
        <v>2761</v>
      </c>
      <c r="Y338" s="58" t="s">
        <v>2762</v>
      </c>
      <c r="Z338" s="211" t="s">
        <v>2763</v>
      </c>
      <c r="AA338" s="45">
        <v>44944</v>
      </c>
      <c r="AB338" s="101" t="s">
        <v>30</v>
      </c>
      <c r="AC338" s="36"/>
      <c r="AD338" s="47" t="s">
        <v>49</v>
      </c>
      <c r="AE338" s="48" t="s">
        <v>41</v>
      </c>
      <c r="AF338" s="48" t="s">
        <v>49</v>
      </c>
      <c r="AG338" s="48" t="s">
        <v>49</v>
      </c>
      <c r="AH338" s="48" t="s">
        <v>49</v>
      </c>
      <c r="AI338" s="48" t="s">
        <v>49</v>
      </c>
      <c r="AJ338" s="49" t="s">
        <v>49</v>
      </c>
      <c r="AK338" s="48" t="s">
        <v>49</v>
      </c>
      <c r="AL338" s="62" t="s">
        <v>32</v>
      </c>
      <c r="AM338" s="59"/>
      <c r="AN338" s="10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1"/>
    </row>
    <row r="339" spans="1:51" ht="18.75" customHeight="1" x14ac:dyDescent="0.2">
      <c r="A339" s="33">
        <f t="shared" si="6"/>
        <v>334</v>
      </c>
      <c r="B339" s="34" t="s">
        <v>2764</v>
      </c>
      <c r="C339" s="35" t="s">
        <v>2765</v>
      </c>
      <c r="D339" s="36" t="s">
        <v>2766</v>
      </c>
      <c r="E339" s="36" t="s">
        <v>54</v>
      </c>
      <c r="F339" s="34" t="s">
        <v>2767</v>
      </c>
      <c r="G339" s="37" t="s">
        <v>205</v>
      </c>
      <c r="H339" s="37" t="s">
        <v>205</v>
      </c>
      <c r="I339" s="34" t="s">
        <v>2768</v>
      </c>
      <c r="J339" s="34" t="s">
        <v>41</v>
      </c>
      <c r="K339" s="39" t="s">
        <v>42</v>
      </c>
      <c r="L339" s="99" t="s">
        <v>2769</v>
      </c>
      <c r="M339" s="56"/>
      <c r="N339" s="56"/>
      <c r="O339" s="56"/>
      <c r="P339" s="56"/>
      <c r="Q339" s="115"/>
      <c r="R339" s="115"/>
      <c r="S339" s="115"/>
      <c r="T339" s="56"/>
      <c r="U339" s="56"/>
      <c r="V339" s="56"/>
      <c r="W339" s="56"/>
      <c r="X339" s="42" t="s">
        <v>2770</v>
      </c>
      <c r="Y339" s="58" t="s">
        <v>2771</v>
      </c>
      <c r="Z339" s="119" t="s">
        <v>61</v>
      </c>
      <c r="AA339" s="45">
        <v>40815</v>
      </c>
      <c r="AB339" s="101" t="s">
        <v>129</v>
      </c>
      <c r="AC339" s="36"/>
      <c r="AD339" s="47" t="s">
        <v>49</v>
      </c>
      <c r="AE339" s="48" t="s">
        <v>41</v>
      </c>
      <c r="AF339" s="48" t="s">
        <v>41</v>
      </c>
      <c r="AG339" s="48" t="s">
        <v>41</v>
      </c>
      <c r="AH339" s="48" t="s">
        <v>41</v>
      </c>
      <c r="AI339" s="48" t="s">
        <v>41</v>
      </c>
      <c r="AJ339" s="49" t="s">
        <v>41</v>
      </c>
      <c r="AK339" s="48" t="s">
        <v>41</v>
      </c>
      <c r="AL339" s="65" t="s">
        <v>4592</v>
      </c>
      <c r="AM339" s="59"/>
      <c r="AN339" s="10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1"/>
    </row>
    <row r="340" spans="1:51" ht="18.75" customHeight="1" x14ac:dyDescent="0.2">
      <c r="A340" s="33">
        <f t="shared" si="6"/>
        <v>335</v>
      </c>
      <c r="B340" s="34" t="s">
        <v>2772</v>
      </c>
      <c r="C340" s="35" t="s">
        <v>2773</v>
      </c>
      <c r="D340" s="36" t="s">
        <v>2774</v>
      </c>
      <c r="E340" s="36" t="s">
        <v>54</v>
      </c>
      <c r="F340" s="34" t="s">
        <v>2775</v>
      </c>
      <c r="G340" s="37" t="s">
        <v>73</v>
      </c>
      <c r="H340" s="37" t="s">
        <v>73</v>
      </c>
      <c r="I340" s="38" t="s">
        <v>2776</v>
      </c>
      <c r="J340" s="34" t="s">
        <v>41</v>
      </c>
      <c r="K340" s="39" t="s">
        <v>42</v>
      </c>
      <c r="L340" s="120">
        <v>44573</v>
      </c>
      <c r="M340" s="56"/>
      <c r="N340" s="56"/>
      <c r="O340" s="56"/>
      <c r="P340" s="56"/>
      <c r="Q340" s="115"/>
      <c r="R340" s="115"/>
      <c r="S340" s="115" t="s">
        <v>44</v>
      </c>
      <c r="T340" s="56"/>
      <c r="U340" s="56"/>
      <c r="V340" s="56"/>
      <c r="W340" s="56"/>
      <c r="X340" s="42" t="s">
        <v>2777</v>
      </c>
      <c r="Y340" s="58" t="s">
        <v>2778</v>
      </c>
      <c r="Z340" s="211" t="s">
        <v>2779</v>
      </c>
      <c r="AA340" s="45">
        <v>44944</v>
      </c>
      <c r="AB340" s="101" t="s">
        <v>30</v>
      </c>
      <c r="AC340" s="36"/>
      <c r="AD340" s="47" t="s">
        <v>49</v>
      </c>
      <c r="AE340" s="48" t="s">
        <v>41</v>
      </c>
      <c r="AF340" s="48" t="s">
        <v>41</v>
      </c>
      <c r="AG340" s="48" t="s">
        <v>49</v>
      </c>
      <c r="AH340" s="48" t="s">
        <v>49</v>
      </c>
      <c r="AI340" s="48" t="s">
        <v>49</v>
      </c>
      <c r="AJ340" s="49" t="s">
        <v>49</v>
      </c>
      <c r="AK340" s="48" t="s">
        <v>49</v>
      </c>
      <c r="AL340" s="65" t="s">
        <v>32</v>
      </c>
      <c r="AM340" s="59"/>
      <c r="AN340" s="10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1"/>
    </row>
    <row r="341" spans="1:51" ht="19.5" customHeight="1" x14ac:dyDescent="0.2">
      <c r="A341" s="33">
        <f t="shared" si="6"/>
        <v>336</v>
      </c>
      <c r="B341" s="34" t="s">
        <v>2780</v>
      </c>
      <c r="C341" s="35" t="s">
        <v>2781</v>
      </c>
      <c r="D341" s="36" t="s">
        <v>2782</v>
      </c>
      <c r="E341" s="36" t="s">
        <v>54</v>
      </c>
      <c r="F341" s="34" t="s">
        <v>2783</v>
      </c>
      <c r="G341" s="37" t="s">
        <v>205</v>
      </c>
      <c r="H341" s="37" t="s">
        <v>205</v>
      </c>
      <c r="I341" s="38" t="s">
        <v>2784</v>
      </c>
      <c r="J341" s="34"/>
      <c r="K341" s="39" t="s">
        <v>42</v>
      </c>
      <c r="L341" s="120">
        <v>44903</v>
      </c>
      <c r="M341" s="56"/>
      <c r="N341" s="56"/>
      <c r="O341" s="56"/>
      <c r="P341" s="56"/>
      <c r="Q341" s="115"/>
      <c r="R341" s="115"/>
      <c r="S341" s="115" t="s">
        <v>44</v>
      </c>
      <c r="T341" s="56"/>
      <c r="U341" s="56"/>
      <c r="V341" s="56"/>
      <c r="W341" s="56"/>
      <c r="X341" s="42" t="s">
        <v>2785</v>
      </c>
      <c r="Y341" s="58" t="s">
        <v>2786</v>
      </c>
      <c r="Z341" s="211" t="s">
        <v>2787</v>
      </c>
      <c r="AA341" s="45">
        <v>44944</v>
      </c>
      <c r="AB341" s="101" t="s">
        <v>30</v>
      </c>
      <c r="AC341" s="36"/>
      <c r="AD341" s="47" t="s">
        <v>49</v>
      </c>
      <c r="AE341" s="48" t="s">
        <v>41</v>
      </c>
      <c r="AF341" s="48" t="s">
        <v>41</v>
      </c>
      <c r="AG341" s="48" t="s">
        <v>49</v>
      </c>
      <c r="AH341" s="48" t="s">
        <v>49</v>
      </c>
      <c r="AI341" s="48" t="s">
        <v>49</v>
      </c>
      <c r="AJ341" s="49" t="s">
        <v>49</v>
      </c>
      <c r="AK341" s="48" t="s">
        <v>41</v>
      </c>
      <c r="AL341" s="62" t="s">
        <v>148</v>
      </c>
      <c r="AM341" s="59"/>
      <c r="AN341" s="10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1"/>
    </row>
    <row r="342" spans="1:51" ht="19.5" customHeight="1" x14ac:dyDescent="0.2">
      <c r="A342" s="33">
        <f t="shared" si="6"/>
        <v>337</v>
      </c>
      <c r="B342" s="34" t="s">
        <v>2788</v>
      </c>
      <c r="C342" s="35" t="s">
        <v>2789</v>
      </c>
      <c r="D342" s="36" t="s">
        <v>2790</v>
      </c>
      <c r="E342" s="36" t="s">
        <v>54</v>
      </c>
      <c r="F342" s="34" t="s">
        <v>2791</v>
      </c>
      <c r="G342" s="37" t="s">
        <v>73</v>
      </c>
      <c r="H342" s="37" t="s">
        <v>73</v>
      </c>
      <c r="I342" s="34" t="s">
        <v>1005</v>
      </c>
      <c r="J342" s="34"/>
      <c r="K342" s="39" t="s">
        <v>42</v>
      </c>
      <c r="L342" s="99" t="s">
        <v>2792</v>
      </c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42" t="s">
        <v>2793</v>
      </c>
      <c r="Y342" s="58" t="s">
        <v>2794</v>
      </c>
      <c r="Z342" s="44" t="s">
        <v>61</v>
      </c>
      <c r="AA342" s="45">
        <v>40876</v>
      </c>
      <c r="AB342" s="101" t="s">
        <v>30</v>
      </c>
      <c r="AC342" s="36" t="s">
        <v>26</v>
      </c>
      <c r="AD342" s="47" t="s">
        <v>49</v>
      </c>
      <c r="AE342" s="48" t="s">
        <v>49</v>
      </c>
      <c r="AF342" s="48" t="s">
        <v>49</v>
      </c>
      <c r="AG342" s="48" t="s">
        <v>49</v>
      </c>
      <c r="AH342" s="48" t="s">
        <v>49</v>
      </c>
      <c r="AI342" s="48" t="s">
        <v>49</v>
      </c>
      <c r="AJ342" s="49" t="s">
        <v>49</v>
      </c>
      <c r="AK342" s="48" t="s">
        <v>49</v>
      </c>
      <c r="AL342" s="62" t="s">
        <v>32</v>
      </c>
      <c r="AM342" s="59"/>
      <c r="AN342" s="10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1"/>
    </row>
    <row r="343" spans="1:51" ht="19.5" customHeight="1" x14ac:dyDescent="0.2">
      <c r="A343" s="33">
        <f t="shared" si="6"/>
        <v>338</v>
      </c>
      <c r="B343" s="34" t="s">
        <v>2795</v>
      </c>
      <c r="C343" s="35" t="s">
        <v>2796</v>
      </c>
      <c r="D343" s="36" t="s">
        <v>2797</v>
      </c>
      <c r="E343" s="36" t="s">
        <v>54</v>
      </c>
      <c r="F343" s="34" t="s">
        <v>2798</v>
      </c>
      <c r="G343" s="37" t="s">
        <v>73</v>
      </c>
      <c r="H343" s="37" t="s">
        <v>73</v>
      </c>
      <c r="I343" s="38" t="s">
        <v>2799</v>
      </c>
      <c r="J343" s="38" t="s">
        <v>2800</v>
      </c>
      <c r="K343" s="39" t="s">
        <v>42</v>
      </c>
      <c r="L343" s="99" t="s">
        <v>2493</v>
      </c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42" t="s">
        <v>2801</v>
      </c>
      <c r="Y343" s="58" t="s">
        <v>2802</v>
      </c>
      <c r="Z343" s="207" t="s">
        <v>2803</v>
      </c>
      <c r="AA343" s="45">
        <v>44944</v>
      </c>
      <c r="AB343" s="101" t="s">
        <v>30</v>
      </c>
      <c r="AC343" s="36" t="s">
        <v>26</v>
      </c>
      <c r="AD343" s="47" t="s">
        <v>49</v>
      </c>
      <c r="AE343" s="48" t="s">
        <v>49</v>
      </c>
      <c r="AF343" s="48" t="s">
        <v>49</v>
      </c>
      <c r="AG343" s="48" t="s">
        <v>49</v>
      </c>
      <c r="AH343" s="48" t="s">
        <v>49</v>
      </c>
      <c r="AI343" s="48" t="s">
        <v>49</v>
      </c>
      <c r="AJ343" s="49" t="s">
        <v>49</v>
      </c>
      <c r="AK343" s="48" t="s">
        <v>41</v>
      </c>
      <c r="AL343" s="62" t="s">
        <v>148</v>
      </c>
      <c r="AM343" s="59"/>
      <c r="AN343" s="10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1"/>
    </row>
    <row r="344" spans="1:51" x14ac:dyDescent="0.2">
      <c r="A344" s="33">
        <f t="shared" si="6"/>
        <v>339</v>
      </c>
      <c r="B344" s="34" t="s">
        <v>2804</v>
      </c>
      <c r="C344" s="35" t="s">
        <v>2805</v>
      </c>
      <c r="D344" s="36" t="s">
        <v>2806</v>
      </c>
      <c r="E344" s="36" t="s">
        <v>54</v>
      </c>
      <c r="F344" s="34" t="s">
        <v>2807</v>
      </c>
      <c r="G344" s="37" t="s">
        <v>323</v>
      </c>
      <c r="H344" s="37" t="s">
        <v>39</v>
      </c>
      <c r="I344" s="38" t="s">
        <v>2808</v>
      </c>
      <c r="J344" s="34" t="s">
        <v>41</v>
      </c>
      <c r="K344" s="39" t="s">
        <v>42</v>
      </c>
      <c r="L344" s="99" t="s">
        <v>1776</v>
      </c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42" t="s">
        <v>2809</v>
      </c>
      <c r="Y344" s="58" t="s">
        <v>2810</v>
      </c>
      <c r="Z344" s="44" t="s">
        <v>61</v>
      </c>
      <c r="AA344" s="45">
        <v>40876</v>
      </c>
      <c r="AB344" s="101" t="s">
        <v>30</v>
      </c>
      <c r="AC344" s="36" t="s">
        <v>26</v>
      </c>
      <c r="AD344" s="47" t="s">
        <v>49</v>
      </c>
      <c r="AE344" s="48" t="s">
        <v>49</v>
      </c>
      <c r="AF344" s="48" t="s">
        <v>49</v>
      </c>
      <c r="AG344" s="48" t="s">
        <v>49</v>
      </c>
      <c r="AH344" s="48" t="s">
        <v>49</v>
      </c>
      <c r="AI344" s="48" t="s">
        <v>49</v>
      </c>
      <c r="AJ344" s="49" t="s">
        <v>49</v>
      </c>
      <c r="AK344" s="48" t="s">
        <v>49</v>
      </c>
      <c r="AL344" s="62" t="s">
        <v>32</v>
      </c>
      <c r="AM344" s="59"/>
      <c r="AN344" s="10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1"/>
    </row>
    <row r="345" spans="1:51" x14ac:dyDescent="0.2">
      <c r="A345" s="33">
        <f t="shared" si="6"/>
        <v>340</v>
      </c>
      <c r="B345" s="107" t="s">
        <v>2811</v>
      </c>
      <c r="C345" s="35" t="s">
        <v>2812</v>
      </c>
      <c r="D345" s="36" t="s">
        <v>2813</v>
      </c>
      <c r="E345" s="36" t="s">
        <v>54</v>
      </c>
      <c r="F345" s="87" t="s">
        <v>2814</v>
      </c>
      <c r="G345" s="37" t="s">
        <v>73</v>
      </c>
      <c r="H345" s="37" t="s">
        <v>73</v>
      </c>
      <c r="I345" s="34" t="s">
        <v>2815</v>
      </c>
      <c r="J345" s="34" t="s">
        <v>2816</v>
      </c>
      <c r="K345" s="39" t="s">
        <v>42</v>
      </c>
      <c r="L345" s="99" t="s">
        <v>2817</v>
      </c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42" t="s">
        <v>2818</v>
      </c>
      <c r="Y345" s="58" t="s">
        <v>2819</v>
      </c>
      <c r="Z345" s="44" t="s">
        <v>61</v>
      </c>
      <c r="AA345" s="45">
        <v>40280</v>
      </c>
      <c r="AB345" s="101" t="s">
        <v>30</v>
      </c>
      <c r="AC345" s="36" t="s">
        <v>26</v>
      </c>
      <c r="AD345" s="47" t="s">
        <v>49</v>
      </c>
      <c r="AE345" s="48" t="s">
        <v>49</v>
      </c>
      <c r="AF345" s="48" t="s">
        <v>49</v>
      </c>
      <c r="AG345" s="48" t="s">
        <v>49</v>
      </c>
      <c r="AH345" s="48" t="s">
        <v>49</v>
      </c>
      <c r="AI345" s="48" t="s">
        <v>49</v>
      </c>
      <c r="AJ345" s="49" t="s">
        <v>49</v>
      </c>
      <c r="AK345" s="48" t="s">
        <v>49</v>
      </c>
      <c r="AL345" s="62" t="s">
        <v>32</v>
      </c>
      <c r="AM345" s="59"/>
      <c r="AN345" s="10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1"/>
    </row>
    <row r="346" spans="1:51" x14ac:dyDescent="0.2">
      <c r="A346" s="33">
        <f t="shared" si="6"/>
        <v>341</v>
      </c>
      <c r="B346" s="34" t="s">
        <v>2820</v>
      </c>
      <c r="C346" s="35" t="s">
        <v>2821</v>
      </c>
      <c r="D346" s="36" t="s">
        <v>2822</v>
      </c>
      <c r="E346" s="36" t="s">
        <v>54</v>
      </c>
      <c r="F346" s="34" t="s">
        <v>2823</v>
      </c>
      <c r="G346" s="37" t="s">
        <v>73</v>
      </c>
      <c r="H346" s="37" t="s">
        <v>73</v>
      </c>
      <c r="I346" s="34" t="s">
        <v>2824</v>
      </c>
      <c r="J346" s="34" t="s">
        <v>2824</v>
      </c>
      <c r="K346" s="39" t="s">
        <v>42</v>
      </c>
      <c r="L346" s="120">
        <v>30353</v>
      </c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2" t="s">
        <v>2825</v>
      </c>
      <c r="Y346" s="58" t="s">
        <v>2826</v>
      </c>
      <c r="Z346" s="44" t="s">
        <v>61</v>
      </c>
      <c r="AA346" s="45">
        <v>40280</v>
      </c>
      <c r="AB346" s="101" t="s">
        <v>30</v>
      </c>
      <c r="AC346" s="36" t="s">
        <v>26</v>
      </c>
      <c r="AD346" s="61" t="s">
        <v>49</v>
      </c>
      <c r="AE346" s="48" t="s">
        <v>49</v>
      </c>
      <c r="AF346" s="48" t="s">
        <v>41</v>
      </c>
      <c r="AG346" s="48" t="s">
        <v>41</v>
      </c>
      <c r="AH346" s="48" t="s">
        <v>41</v>
      </c>
      <c r="AI346" s="48" t="s">
        <v>41</v>
      </c>
      <c r="AJ346" s="49" t="s">
        <v>41</v>
      </c>
      <c r="AK346" s="48" t="s">
        <v>41</v>
      </c>
      <c r="AL346" s="62" t="s">
        <v>4587</v>
      </c>
      <c r="AM346" s="59"/>
      <c r="AN346" s="117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1"/>
    </row>
    <row r="347" spans="1:51" x14ac:dyDescent="0.2">
      <c r="A347" s="33">
        <f t="shared" si="6"/>
        <v>342</v>
      </c>
      <c r="B347" s="34" t="s">
        <v>2827</v>
      </c>
      <c r="C347" s="35" t="s">
        <v>2828</v>
      </c>
      <c r="D347" s="36" t="s">
        <v>2829</v>
      </c>
      <c r="E347" s="36" t="s">
        <v>36</v>
      </c>
      <c r="F347" s="34" t="s">
        <v>2830</v>
      </c>
      <c r="G347" s="37" t="s">
        <v>377</v>
      </c>
      <c r="H347" s="37" t="s">
        <v>378</v>
      </c>
      <c r="I347" s="34">
        <v>89508121544</v>
      </c>
      <c r="J347" s="34" t="s">
        <v>41</v>
      </c>
      <c r="K347" s="39" t="s">
        <v>42</v>
      </c>
      <c r="L347" s="120">
        <v>44776</v>
      </c>
      <c r="M347" s="41"/>
      <c r="N347" s="41"/>
      <c r="O347" s="41"/>
      <c r="P347" s="41"/>
      <c r="Q347" s="41"/>
      <c r="R347" s="41"/>
      <c r="S347" s="41" t="s">
        <v>44</v>
      </c>
      <c r="T347" s="41"/>
      <c r="U347" s="41"/>
      <c r="V347" s="41"/>
      <c r="W347" s="41"/>
      <c r="X347" s="42" t="s">
        <v>2831</v>
      </c>
      <c r="Y347" s="58" t="s">
        <v>2832</v>
      </c>
      <c r="Z347" s="84" t="s">
        <v>2833</v>
      </c>
      <c r="AA347" s="45">
        <v>44650</v>
      </c>
      <c r="AB347" s="101" t="s">
        <v>30</v>
      </c>
      <c r="AC347" s="36"/>
      <c r="AD347" s="61" t="s">
        <v>49</v>
      </c>
      <c r="AE347" s="48" t="s">
        <v>41</v>
      </c>
      <c r="AF347" s="48" t="s">
        <v>41</v>
      </c>
      <c r="AG347" s="48" t="s">
        <v>49</v>
      </c>
      <c r="AH347" s="48" t="s">
        <v>41</v>
      </c>
      <c r="AI347" s="48" t="s">
        <v>41</v>
      </c>
      <c r="AJ347" s="49" t="s">
        <v>41</v>
      </c>
      <c r="AK347" s="48" t="s">
        <v>41</v>
      </c>
      <c r="AL347" s="62" t="s">
        <v>139</v>
      </c>
      <c r="AM347" s="59"/>
      <c r="AN347" s="10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1"/>
    </row>
    <row r="348" spans="1:51" x14ac:dyDescent="0.2">
      <c r="A348" s="33">
        <f t="shared" si="6"/>
        <v>343</v>
      </c>
      <c r="B348" s="34" t="s">
        <v>2834</v>
      </c>
      <c r="C348" s="35" t="s">
        <v>2835</v>
      </c>
      <c r="D348" s="36" t="s">
        <v>2836</v>
      </c>
      <c r="E348" s="36" t="s">
        <v>54</v>
      </c>
      <c r="F348" s="34" t="s">
        <v>2837</v>
      </c>
      <c r="G348" s="37" t="s">
        <v>858</v>
      </c>
      <c r="H348" s="37" t="s">
        <v>57</v>
      </c>
      <c r="I348" s="38" t="s">
        <v>2838</v>
      </c>
      <c r="J348" s="34" t="s">
        <v>41</v>
      </c>
      <c r="K348" s="39" t="s">
        <v>42</v>
      </c>
      <c r="L348" s="120" t="s">
        <v>2839</v>
      </c>
      <c r="M348" s="41"/>
      <c r="N348" s="41"/>
      <c r="O348" s="41"/>
      <c r="P348" s="41"/>
      <c r="Q348" s="41"/>
      <c r="R348" s="41" t="s">
        <v>44</v>
      </c>
      <c r="S348" s="41"/>
      <c r="T348" s="41"/>
      <c r="U348" s="41"/>
      <c r="V348" s="41"/>
      <c r="W348" s="41"/>
      <c r="X348" s="42" t="s">
        <v>2840</v>
      </c>
      <c r="Y348" s="58" t="s">
        <v>2841</v>
      </c>
      <c r="Z348" s="84" t="s">
        <v>2842</v>
      </c>
      <c r="AA348" s="45">
        <v>44650</v>
      </c>
      <c r="AB348" s="101" t="s">
        <v>30</v>
      </c>
      <c r="AC348" s="36"/>
      <c r="AD348" s="61" t="s">
        <v>49</v>
      </c>
      <c r="AE348" s="48" t="s">
        <v>41</v>
      </c>
      <c r="AF348" s="48" t="s">
        <v>41</v>
      </c>
      <c r="AG348" s="48" t="s">
        <v>49</v>
      </c>
      <c r="AH348" s="48" t="s">
        <v>49</v>
      </c>
      <c r="AI348" s="48" t="s">
        <v>49</v>
      </c>
      <c r="AJ348" s="49" t="s">
        <v>49</v>
      </c>
      <c r="AK348" s="48" t="s">
        <v>49</v>
      </c>
      <c r="AL348" s="65" t="s">
        <v>32</v>
      </c>
      <c r="AM348" s="59"/>
      <c r="AN348" s="117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1"/>
    </row>
    <row r="349" spans="1:51" x14ac:dyDescent="0.2">
      <c r="A349" s="33">
        <f t="shared" si="6"/>
        <v>344</v>
      </c>
      <c r="B349" s="34" t="s">
        <v>2843</v>
      </c>
      <c r="C349" s="35" t="s">
        <v>2844</v>
      </c>
      <c r="D349" s="36" t="s">
        <v>2845</v>
      </c>
      <c r="E349" s="36" t="s">
        <v>54</v>
      </c>
      <c r="F349" s="34" t="s">
        <v>2846</v>
      </c>
      <c r="G349" s="37" t="s">
        <v>252</v>
      </c>
      <c r="H349" s="37" t="s">
        <v>57</v>
      </c>
      <c r="I349" s="38" t="s">
        <v>2847</v>
      </c>
      <c r="J349" s="34" t="s">
        <v>41</v>
      </c>
      <c r="K349" s="39" t="s">
        <v>42</v>
      </c>
      <c r="L349" s="120">
        <v>37441</v>
      </c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2" t="s">
        <v>2848</v>
      </c>
      <c r="Y349" s="58" t="s">
        <v>2849</v>
      </c>
      <c r="Z349" s="44" t="s">
        <v>61</v>
      </c>
      <c r="AA349" s="45">
        <v>37877</v>
      </c>
      <c r="AB349" s="101" t="s">
        <v>30</v>
      </c>
      <c r="AC349" s="36" t="s">
        <v>26</v>
      </c>
      <c r="AD349" s="47" t="s">
        <v>49</v>
      </c>
      <c r="AE349" s="48" t="s">
        <v>49</v>
      </c>
      <c r="AF349" s="48" t="s">
        <v>49</v>
      </c>
      <c r="AG349" s="48" t="s">
        <v>49</v>
      </c>
      <c r="AH349" s="48" t="s">
        <v>49</v>
      </c>
      <c r="AI349" s="48" t="s">
        <v>49</v>
      </c>
      <c r="AJ349" s="49" t="s">
        <v>49</v>
      </c>
      <c r="AK349" s="48" t="s">
        <v>49</v>
      </c>
      <c r="AL349" s="62" t="s">
        <v>32</v>
      </c>
      <c r="AM349" s="59"/>
      <c r="AN349" s="117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1"/>
    </row>
    <row r="350" spans="1:51" x14ac:dyDescent="0.2">
      <c r="A350" s="33">
        <f t="shared" si="6"/>
        <v>345</v>
      </c>
      <c r="B350" s="34" t="s">
        <v>2850</v>
      </c>
      <c r="C350" s="35" t="s">
        <v>2851</v>
      </c>
      <c r="D350" s="36" t="s">
        <v>2852</v>
      </c>
      <c r="E350" s="36" t="s">
        <v>54</v>
      </c>
      <c r="F350" s="34" t="s">
        <v>2853</v>
      </c>
      <c r="G350" s="37" t="s">
        <v>176</v>
      </c>
      <c r="H350" s="37" t="s">
        <v>39</v>
      </c>
      <c r="I350" s="38" t="s">
        <v>2854</v>
      </c>
      <c r="J350" s="34" t="s">
        <v>41</v>
      </c>
      <c r="K350" s="39" t="s">
        <v>42</v>
      </c>
      <c r="L350" s="120">
        <v>45726</v>
      </c>
      <c r="M350" s="41"/>
      <c r="N350" s="41"/>
      <c r="O350" s="41"/>
      <c r="P350" s="41"/>
      <c r="Q350" s="41"/>
      <c r="R350" s="41"/>
      <c r="S350" s="41"/>
      <c r="T350" s="41"/>
      <c r="U350" s="41"/>
      <c r="V350" s="41" t="s">
        <v>44</v>
      </c>
      <c r="W350" s="41"/>
      <c r="X350" s="38" t="s">
        <v>2855</v>
      </c>
      <c r="Y350" s="58" t="s">
        <v>2856</v>
      </c>
      <c r="Z350" s="44"/>
      <c r="AA350" s="45"/>
      <c r="AB350" s="101"/>
      <c r="AC350" s="36"/>
      <c r="AD350" s="47" t="s">
        <v>49</v>
      </c>
      <c r="AE350" s="48" t="s">
        <v>41</v>
      </c>
      <c r="AF350" s="48" t="s">
        <v>41</v>
      </c>
      <c r="AG350" s="48" t="s">
        <v>41</v>
      </c>
      <c r="AH350" s="48" t="s">
        <v>41</v>
      </c>
      <c r="AI350" s="48" t="s">
        <v>41</v>
      </c>
      <c r="AJ350" s="49" t="s">
        <v>49</v>
      </c>
      <c r="AK350" s="48" t="s">
        <v>49</v>
      </c>
      <c r="AL350" s="62" t="s">
        <v>32</v>
      </c>
      <c r="AM350" s="59"/>
      <c r="AN350" s="117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1"/>
    </row>
    <row r="351" spans="1:51" x14ac:dyDescent="0.2">
      <c r="A351" s="33">
        <f t="shared" si="6"/>
        <v>346</v>
      </c>
      <c r="B351" s="34" t="s">
        <v>2857</v>
      </c>
      <c r="C351" s="35" t="s">
        <v>2858</v>
      </c>
      <c r="D351" s="36" t="s">
        <v>2859</v>
      </c>
      <c r="E351" s="36" t="s">
        <v>54</v>
      </c>
      <c r="F351" s="34" t="s">
        <v>2860</v>
      </c>
      <c r="G351" s="37" t="s">
        <v>252</v>
      </c>
      <c r="H351" s="37" t="s">
        <v>57</v>
      </c>
      <c r="I351" s="34" t="s">
        <v>2861</v>
      </c>
      <c r="J351" s="34" t="s">
        <v>41</v>
      </c>
      <c r="K351" s="39" t="s">
        <v>42</v>
      </c>
      <c r="L351" s="120" t="s">
        <v>2862</v>
      </c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42" t="s">
        <v>2863</v>
      </c>
      <c r="Y351" s="43" t="s">
        <v>2864</v>
      </c>
      <c r="Z351" s="44" t="s">
        <v>61</v>
      </c>
      <c r="AA351" s="45">
        <v>40280</v>
      </c>
      <c r="AB351" s="101" t="s">
        <v>30</v>
      </c>
      <c r="AC351" s="36" t="s">
        <v>26</v>
      </c>
      <c r="AD351" s="47" t="s">
        <v>49</v>
      </c>
      <c r="AE351" s="48" t="s">
        <v>49</v>
      </c>
      <c r="AF351" s="48" t="s">
        <v>49</v>
      </c>
      <c r="AG351" s="48" t="s">
        <v>49</v>
      </c>
      <c r="AH351" s="48" t="s">
        <v>49</v>
      </c>
      <c r="AI351" s="48" t="s">
        <v>49</v>
      </c>
      <c r="AJ351" s="49" t="s">
        <v>49</v>
      </c>
      <c r="AK351" s="48" t="s">
        <v>49</v>
      </c>
      <c r="AL351" s="62" t="s">
        <v>32</v>
      </c>
      <c r="AM351" s="59"/>
      <c r="AN351" s="10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1"/>
    </row>
    <row r="352" spans="1:51" x14ac:dyDescent="0.2">
      <c r="A352" s="33">
        <f t="shared" si="6"/>
        <v>347</v>
      </c>
      <c r="B352" s="34" t="s">
        <v>2865</v>
      </c>
      <c r="C352" s="35" t="s">
        <v>2866</v>
      </c>
      <c r="D352" s="36" t="s">
        <v>2867</v>
      </c>
      <c r="E352" s="36" t="s">
        <v>54</v>
      </c>
      <c r="F352" s="34" t="s">
        <v>2868</v>
      </c>
      <c r="G352" s="37" t="s">
        <v>73</v>
      </c>
      <c r="H352" s="37" t="s">
        <v>73</v>
      </c>
      <c r="I352" s="139" t="s">
        <v>2869</v>
      </c>
      <c r="J352" s="34" t="s">
        <v>41</v>
      </c>
      <c r="K352" s="39" t="s">
        <v>42</v>
      </c>
      <c r="L352" s="99" t="s">
        <v>273</v>
      </c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2" t="s">
        <v>2870</v>
      </c>
      <c r="Y352" s="52" t="s">
        <v>2871</v>
      </c>
      <c r="Z352" s="119" t="s">
        <v>2872</v>
      </c>
      <c r="AA352" s="45">
        <v>41793</v>
      </c>
      <c r="AB352" s="101" t="s">
        <v>129</v>
      </c>
      <c r="AC352" s="36" t="s">
        <v>26</v>
      </c>
      <c r="AD352" s="47" t="s">
        <v>120</v>
      </c>
      <c r="AE352" s="48" t="s">
        <v>49</v>
      </c>
      <c r="AF352" s="48" t="s">
        <v>49</v>
      </c>
      <c r="AG352" s="48" t="s">
        <v>49</v>
      </c>
      <c r="AH352" s="48" t="s">
        <v>49</v>
      </c>
      <c r="AI352" s="48" t="s">
        <v>49</v>
      </c>
      <c r="AJ352" s="49" t="s">
        <v>49</v>
      </c>
      <c r="AK352" s="48" t="s">
        <v>120</v>
      </c>
      <c r="AL352" s="62" t="s">
        <v>32</v>
      </c>
      <c r="AM352" s="59"/>
      <c r="AN352" s="10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1"/>
    </row>
    <row r="353" spans="1:51" x14ac:dyDescent="0.2">
      <c r="A353" s="33">
        <f t="shared" si="6"/>
        <v>348</v>
      </c>
      <c r="B353" s="34" t="s">
        <v>2873</v>
      </c>
      <c r="C353" s="35" t="s">
        <v>2874</v>
      </c>
      <c r="D353" s="36" t="s">
        <v>2875</v>
      </c>
      <c r="E353" s="36" t="s">
        <v>54</v>
      </c>
      <c r="F353" s="34" t="s">
        <v>2876</v>
      </c>
      <c r="G353" s="37" t="s">
        <v>1285</v>
      </c>
      <c r="H353" s="37" t="s">
        <v>350</v>
      </c>
      <c r="I353" s="183" t="s">
        <v>2877</v>
      </c>
      <c r="J353" s="34" t="s">
        <v>41</v>
      </c>
      <c r="K353" s="39" t="s">
        <v>42</v>
      </c>
      <c r="L353" s="120" t="s">
        <v>1236</v>
      </c>
      <c r="M353" s="56"/>
      <c r="N353" s="56"/>
      <c r="O353" s="56"/>
      <c r="P353" s="56"/>
      <c r="Q353" s="56"/>
      <c r="R353" s="56"/>
      <c r="S353" s="56" t="s">
        <v>44</v>
      </c>
      <c r="T353" s="56"/>
      <c r="U353" s="56"/>
      <c r="V353" s="56"/>
      <c r="W353" s="56"/>
      <c r="X353" s="42" t="s">
        <v>2878</v>
      </c>
      <c r="Y353" s="43" t="s">
        <v>2879</v>
      </c>
      <c r="Z353" s="121" t="s">
        <v>2880</v>
      </c>
      <c r="AA353" s="45">
        <v>44650</v>
      </c>
      <c r="AB353" s="101" t="s">
        <v>30</v>
      </c>
      <c r="AC353" s="36"/>
      <c r="AD353" s="47" t="s">
        <v>49</v>
      </c>
      <c r="AE353" s="48" t="s">
        <v>41</v>
      </c>
      <c r="AF353" s="48" t="s">
        <v>41</v>
      </c>
      <c r="AG353" s="48" t="s">
        <v>49</v>
      </c>
      <c r="AH353" s="48" t="s">
        <v>49</v>
      </c>
      <c r="AI353" s="48" t="s">
        <v>49</v>
      </c>
      <c r="AJ353" s="49" t="s">
        <v>49</v>
      </c>
      <c r="AK353" s="48" t="s">
        <v>49</v>
      </c>
      <c r="AL353" s="62" t="s">
        <v>32</v>
      </c>
      <c r="AM353" s="59"/>
      <c r="AN353" s="10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1"/>
    </row>
    <row r="354" spans="1:51" x14ac:dyDescent="0.2">
      <c r="A354" s="33">
        <f t="shared" si="6"/>
        <v>349</v>
      </c>
      <c r="B354" s="34" t="s">
        <v>2881</v>
      </c>
      <c r="C354" s="35" t="s">
        <v>2882</v>
      </c>
      <c r="D354" s="36" t="s">
        <v>2883</v>
      </c>
      <c r="E354" s="36" t="s">
        <v>54</v>
      </c>
      <c r="F354" s="34" t="s">
        <v>2884</v>
      </c>
      <c r="G354" s="37" t="s">
        <v>73</v>
      </c>
      <c r="H354" s="37" t="s">
        <v>73</v>
      </c>
      <c r="I354" s="201" t="s">
        <v>2885</v>
      </c>
      <c r="J354" s="34" t="s">
        <v>41</v>
      </c>
      <c r="K354" s="39" t="s">
        <v>42</v>
      </c>
      <c r="L354" s="120">
        <v>43962</v>
      </c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42" t="s">
        <v>2886</v>
      </c>
      <c r="Y354" s="58" t="s">
        <v>2887</v>
      </c>
      <c r="Z354" s="121" t="s">
        <v>2888</v>
      </c>
      <c r="AA354" s="45">
        <v>44650</v>
      </c>
      <c r="AB354" s="101" t="s">
        <v>30</v>
      </c>
      <c r="AC354" s="36" t="s">
        <v>26</v>
      </c>
      <c r="AD354" s="61" t="s">
        <v>49</v>
      </c>
      <c r="AE354" s="48" t="s">
        <v>49</v>
      </c>
      <c r="AF354" s="48" t="s">
        <v>49</v>
      </c>
      <c r="AG354" s="48" t="s">
        <v>49</v>
      </c>
      <c r="AH354" s="48" t="s">
        <v>49</v>
      </c>
      <c r="AI354" s="48" t="s">
        <v>49</v>
      </c>
      <c r="AJ354" s="49" t="s">
        <v>49</v>
      </c>
      <c r="AK354" s="48" t="s">
        <v>41</v>
      </c>
      <c r="AL354" s="65" t="s">
        <v>148</v>
      </c>
      <c r="AM354" s="225"/>
      <c r="AN354" s="10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1"/>
    </row>
    <row r="355" spans="1:51" x14ac:dyDescent="0.2">
      <c r="A355" s="33">
        <f t="shared" si="6"/>
        <v>350</v>
      </c>
      <c r="B355" s="34" t="s">
        <v>2889</v>
      </c>
      <c r="C355" s="35" t="s">
        <v>2890</v>
      </c>
      <c r="D355" s="36" t="s">
        <v>2891</v>
      </c>
      <c r="E355" s="36" t="s">
        <v>36</v>
      </c>
      <c r="F355" s="34" t="s">
        <v>2892</v>
      </c>
      <c r="G355" s="37" t="s">
        <v>323</v>
      </c>
      <c r="H355" s="37" t="s">
        <v>39</v>
      </c>
      <c r="I355" s="201" t="s">
        <v>2893</v>
      </c>
      <c r="J355" s="34" t="s">
        <v>41</v>
      </c>
      <c r="K355" s="39" t="s">
        <v>42</v>
      </c>
      <c r="L355" s="120">
        <v>41585</v>
      </c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42" t="s">
        <v>2894</v>
      </c>
      <c r="Y355" s="83" t="s">
        <v>2895</v>
      </c>
      <c r="Z355" s="119" t="s">
        <v>2896</v>
      </c>
      <c r="AA355" s="45">
        <v>41793</v>
      </c>
      <c r="AB355" s="101" t="s">
        <v>30</v>
      </c>
      <c r="AC355" s="36" t="s">
        <v>26</v>
      </c>
      <c r="AD355" s="47" t="s">
        <v>49</v>
      </c>
      <c r="AE355" s="48" t="s">
        <v>49</v>
      </c>
      <c r="AF355" s="48" t="s">
        <v>49</v>
      </c>
      <c r="AG355" s="48" t="s">
        <v>49</v>
      </c>
      <c r="AH355" s="48" t="s">
        <v>49</v>
      </c>
      <c r="AI355" s="48" t="s">
        <v>49</v>
      </c>
      <c r="AJ355" s="49" t="s">
        <v>49</v>
      </c>
      <c r="AK355" s="48" t="s">
        <v>41</v>
      </c>
      <c r="AL355" s="62" t="s">
        <v>148</v>
      </c>
      <c r="AM355" s="59"/>
      <c r="AN355" s="10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1"/>
    </row>
    <row r="356" spans="1:51" x14ac:dyDescent="0.2">
      <c r="A356" s="33">
        <f t="shared" si="6"/>
        <v>351</v>
      </c>
      <c r="B356" s="34" t="s">
        <v>2897</v>
      </c>
      <c r="C356" s="35" t="s">
        <v>2898</v>
      </c>
      <c r="D356" s="36" t="s">
        <v>2899</v>
      </c>
      <c r="E356" s="36" t="s">
        <v>54</v>
      </c>
      <c r="F356" s="226" t="s">
        <v>2900</v>
      </c>
      <c r="G356" s="37" t="s">
        <v>377</v>
      </c>
      <c r="H356" s="37" t="s">
        <v>378</v>
      </c>
      <c r="I356" s="34" t="s">
        <v>2901</v>
      </c>
      <c r="J356" s="34" t="s">
        <v>41</v>
      </c>
      <c r="K356" s="39" t="s">
        <v>42</v>
      </c>
      <c r="L356" s="99" t="s">
        <v>2902</v>
      </c>
      <c r="M356" s="115"/>
      <c r="N356" s="115"/>
      <c r="O356" s="115"/>
      <c r="P356" s="115"/>
      <c r="Q356" s="115"/>
      <c r="R356" s="115"/>
      <c r="S356" s="115"/>
      <c r="T356" s="56"/>
      <c r="U356" s="56"/>
      <c r="V356" s="56"/>
      <c r="W356" s="56"/>
      <c r="X356" s="42" t="s">
        <v>2903</v>
      </c>
      <c r="Y356" s="58" t="s">
        <v>2904</v>
      </c>
      <c r="Z356" s="44" t="s">
        <v>61</v>
      </c>
      <c r="AA356" s="45">
        <v>40280</v>
      </c>
      <c r="AB356" s="101" t="s">
        <v>30</v>
      </c>
      <c r="AC356" s="36" t="s">
        <v>26</v>
      </c>
      <c r="AD356" s="47" t="s">
        <v>49</v>
      </c>
      <c r="AE356" s="48" t="s">
        <v>49</v>
      </c>
      <c r="AF356" s="48" t="s">
        <v>49</v>
      </c>
      <c r="AG356" s="48" t="s">
        <v>49</v>
      </c>
      <c r="AH356" s="48" t="s">
        <v>49</v>
      </c>
      <c r="AI356" s="48" t="s">
        <v>49</v>
      </c>
      <c r="AJ356" s="49" t="s">
        <v>49</v>
      </c>
      <c r="AK356" s="48" t="s">
        <v>49</v>
      </c>
      <c r="AL356" s="65" t="s">
        <v>32</v>
      </c>
      <c r="AM356" s="59"/>
      <c r="AN356" s="117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1"/>
    </row>
    <row r="357" spans="1:51" x14ac:dyDescent="0.2">
      <c r="A357" s="33">
        <f t="shared" si="6"/>
        <v>352</v>
      </c>
      <c r="B357" s="122" t="s">
        <v>2905</v>
      </c>
      <c r="C357" s="123" t="s">
        <v>2906</v>
      </c>
      <c r="D357" s="202" t="s">
        <v>2907</v>
      </c>
      <c r="E357" s="36" t="s">
        <v>54</v>
      </c>
      <c r="F357" s="125" t="s">
        <v>2908</v>
      </c>
      <c r="G357" s="126" t="s">
        <v>4605</v>
      </c>
      <c r="H357" s="126" t="s">
        <v>205</v>
      </c>
      <c r="I357" s="127" t="s">
        <v>2909</v>
      </c>
      <c r="J357" s="122" t="s">
        <v>41</v>
      </c>
      <c r="K357" s="128" t="s">
        <v>42</v>
      </c>
      <c r="L357" s="163" t="s">
        <v>2910</v>
      </c>
      <c r="M357" s="130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42" t="s">
        <v>2911</v>
      </c>
      <c r="Y357" s="52" t="s">
        <v>2912</v>
      </c>
      <c r="Z357" s="44" t="s">
        <v>2913</v>
      </c>
      <c r="AA357" s="131">
        <v>42325</v>
      </c>
      <c r="AB357" s="164" t="s">
        <v>30</v>
      </c>
      <c r="AC357" s="36" t="s">
        <v>26</v>
      </c>
      <c r="AD357" s="133" t="s">
        <v>49</v>
      </c>
      <c r="AE357" s="48" t="s">
        <v>49</v>
      </c>
      <c r="AF357" s="48" t="s">
        <v>49</v>
      </c>
      <c r="AG357" s="48" t="s">
        <v>49</v>
      </c>
      <c r="AH357" s="48" t="s">
        <v>49</v>
      </c>
      <c r="AI357" s="48" t="s">
        <v>49</v>
      </c>
      <c r="AJ357" s="49" t="s">
        <v>49</v>
      </c>
      <c r="AK357" s="48" t="s">
        <v>49</v>
      </c>
      <c r="AL357" s="65" t="s">
        <v>32</v>
      </c>
      <c r="AM357" s="59"/>
      <c r="AN357" s="117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1"/>
    </row>
    <row r="358" spans="1:51" x14ac:dyDescent="0.2">
      <c r="A358" s="33">
        <f t="shared" si="6"/>
        <v>353</v>
      </c>
      <c r="B358" s="122" t="s">
        <v>2914</v>
      </c>
      <c r="C358" s="123" t="s">
        <v>2915</v>
      </c>
      <c r="D358" s="202" t="s">
        <v>2916</v>
      </c>
      <c r="E358" s="36" t="s">
        <v>54</v>
      </c>
      <c r="F358" s="122" t="s">
        <v>2917</v>
      </c>
      <c r="G358" s="126" t="s">
        <v>252</v>
      </c>
      <c r="H358" s="126" t="s">
        <v>57</v>
      </c>
      <c r="I358" s="122" t="s">
        <v>2918</v>
      </c>
      <c r="J358" s="122" t="s">
        <v>41</v>
      </c>
      <c r="K358" s="128" t="s">
        <v>42</v>
      </c>
      <c r="L358" s="163" t="s">
        <v>2437</v>
      </c>
      <c r="M358" s="130"/>
      <c r="N358" s="130"/>
      <c r="O358" s="130"/>
      <c r="P358" s="130"/>
      <c r="Q358" s="130"/>
      <c r="R358" s="130"/>
      <c r="S358" s="130"/>
      <c r="T358" s="130"/>
      <c r="U358" s="130" t="s">
        <v>732</v>
      </c>
      <c r="V358" s="130"/>
      <c r="W358" s="130"/>
      <c r="X358" s="42" t="s">
        <v>2919</v>
      </c>
      <c r="Y358" s="52" t="s">
        <v>2920</v>
      </c>
      <c r="Z358" s="44" t="s">
        <v>61</v>
      </c>
      <c r="AA358" s="131">
        <v>40815</v>
      </c>
      <c r="AB358" s="164" t="s">
        <v>30</v>
      </c>
      <c r="AC358" s="36" t="s">
        <v>26</v>
      </c>
      <c r="AD358" s="133" t="s">
        <v>49</v>
      </c>
      <c r="AE358" s="48" t="s">
        <v>49</v>
      </c>
      <c r="AF358" s="48" t="s">
        <v>49</v>
      </c>
      <c r="AG358" s="48" t="s">
        <v>49</v>
      </c>
      <c r="AH358" s="48" t="s">
        <v>49</v>
      </c>
      <c r="AI358" s="48" t="s">
        <v>49</v>
      </c>
      <c r="AJ358" s="49" t="s">
        <v>49</v>
      </c>
      <c r="AK358" s="48" t="s">
        <v>49</v>
      </c>
      <c r="AL358" s="62" t="s">
        <v>32</v>
      </c>
      <c r="AM358" s="134"/>
      <c r="AN358" s="10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1"/>
    </row>
    <row r="359" spans="1:51" ht="18.75" customHeight="1" x14ac:dyDescent="0.2">
      <c r="A359" s="33">
        <f t="shared" si="6"/>
        <v>354</v>
      </c>
      <c r="B359" s="122" t="s">
        <v>2921</v>
      </c>
      <c r="C359" s="123" t="s">
        <v>2922</v>
      </c>
      <c r="D359" s="202" t="s">
        <v>2923</v>
      </c>
      <c r="E359" s="36" t="s">
        <v>54</v>
      </c>
      <c r="F359" s="122" t="s">
        <v>2924</v>
      </c>
      <c r="G359" s="126" t="s">
        <v>39</v>
      </c>
      <c r="H359" s="126" t="s">
        <v>39</v>
      </c>
      <c r="I359" s="122" t="s">
        <v>2925</v>
      </c>
      <c r="J359" s="122" t="s">
        <v>41</v>
      </c>
      <c r="K359" s="128" t="s">
        <v>42</v>
      </c>
      <c r="L359" s="163" t="s">
        <v>1218</v>
      </c>
      <c r="M359" s="130"/>
      <c r="N359" s="130"/>
      <c r="O359" s="130"/>
      <c r="P359" s="130"/>
      <c r="Q359" s="130"/>
      <c r="R359" s="130" t="s">
        <v>44</v>
      </c>
      <c r="S359" s="130"/>
      <c r="T359" s="130"/>
      <c r="U359" s="130"/>
      <c r="V359" s="130"/>
      <c r="W359" s="130"/>
      <c r="X359" s="42" t="s">
        <v>2926</v>
      </c>
      <c r="Y359" s="43" t="s">
        <v>2927</v>
      </c>
      <c r="Z359" s="211" t="s">
        <v>2928</v>
      </c>
      <c r="AA359" s="45">
        <v>44944</v>
      </c>
      <c r="AB359" s="164" t="s">
        <v>30</v>
      </c>
      <c r="AC359" s="36"/>
      <c r="AD359" s="133" t="s">
        <v>49</v>
      </c>
      <c r="AE359" s="48" t="s">
        <v>41</v>
      </c>
      <c r="AF359" s="48" t="s">
        <v>49</v>
      </c>
      <c r="AG359" s="48" t="s">
        <v>49</v>
      </c>
      <c r="AH359" s="48" t="s">
        <v>49</v>
      </c>
      <c r="AI359" s="48" t="s">
        <v>49</v>
      </c>
      <c r="AJ359" s="49" t="s">
        <v>41</v>
      </c>
      <c r="AK359" s="48" t="s">
        <v>41</v>
      </c>
      <c r="AL359" s="62" t="s">
        <v>276</v>
      </c>
      <c r="AM359" s="134"/>
      <c r="AN359" s="10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2"/>
      <c r="AY359" s="31"/>
    </row>
    <row r="360" spans="1:51" x14ac:dyDescent="0.2">
      <c r="A360" s="33">
        <f t="shared" si="6"/>
        <v>355</v>
      </c>
      <c r="B360" s="34" t="s">
        <v>2929</v>
      </c>
      <c r="C360" s="35" t="s">
        <v>2930</v>
      </c>
      <c r="D360" s="36" t="s">
        <v>2931</v>
      </c>
      <c r="E360" s="36" t="s">
        <v>54</v>
      </c>
      <c r="F360" s="34" t="s">
        <v>2932</v>
      </c>
      <c r="G360" s="37" t="s">
        <v>73</v>
      </c>
      <c r="H360" s="37" t="s">
        <v>73</v>
      </c>
      <c r="I360" s="34" t="s">
        <v>2933</v>
      </c>
      <c r="J360" s="34" t="s">
        <v>2933</v>
      </c>
      <c r="K360" s="39" t="s">
        <v>42</v>
      </c>
      <c r="L360" s="120">
        <v>31054</v>
      </c>
      <c r="M360" s="41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42" t="s">
        <v>2934</v>
      </c>
      <c r="Y360" s="69" t="s">
        <v>2935</v>
      </c>
      <c r="Z360" s="44" t="s">
        <v>61</v>
      </c>
      <c r="AA360" s="45">
        <v>42325</v>
      </c>
      <c r="AB360" s="101" t="s">
        <v>30</v>
      </c>
      <c r="AC360" s="36" t="s">
        <v>26</v>
      </c>
      <c r="AD360" s="47" t="s">
        <v>49</v>
      </c>
      <c r="AE360" s="48" t="s">
        <v>49</v>
      </c>
      <c r="AF360" s="48" t="s">
        <v>49</v>
      </c>
      <c r="AG360" s="48" t="s">
        <v>49</v>
      </c>
      <c r="AH360" s="48" t="s">
        <v>49</v>
      </c>
      <c r="AI360" s="48" t="s">
        <v>49</v>
      </c>
      <c r="AJ360" s="49" t="s">
        <v>49</v>
      </c>
      <c r="AK360" s="48" t="s">
        <v>49</v>
      </c>
      <c r="AL360" s="62" t="s">
        <v>32</v>
      </c>
      <c r="AM360" s="59"/>
      <c r="AN360" s="10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1"/>
    </row>
    <row r="361" spans="1:51" x14ac:dyDescent="0.2">
      <c r="A361" s="33">
        <f t="shared" si="6"/>
        <v>356</v>
      </c>
      <c r="B361" s="34" t="s">
        <v>2936</v>
      </c>
      <c r="C361" s="35" t="s">
        <v>2937</v>
      </c>
      <c r="D361" s="36" t="s">
        <v>2938</v>
      </c>
      <c r="E361" s="36" t="s">
        <v>36</v>
      </c>
      <c r="F361" s="34" t="s">
        <v>2939</v>
      </c>
      <c r="G361" s="37" t="s">
        <v>39</v>
      </c>
      <c r="H361" s="37" t="s">
        <v>39</v>
      </c>
      <c r="I361" s="38" t="s">
        <v>2940</v>
      </c>
      <c r="J361" s="34" t="s">
        <v>41</v>
      </c>
      <c r="K361" s="39" t="s">
        <v>42</v>
      </c>
      <c r="L361" s="120" t="s">
        <v>2941</v>
      </c>
      <c r="M361" s="41"/>
      <c r="N361" s="41"/>
      <c r="O361" s="41"/>
      <c r="P361" s="41"/>
      <c r="Q361" s="112"/>
      <c r="R361" s="112" t="s">
        <v>44</v>
      </c>
      <c r="S361" s="112"/>
      <c r="T361" s="41"/>
      <c r="U361" s="41"/>
      <c r="V361" s="41"/>
      <c r="W361" s="41"/>
      <c r="X361" s="42" t="s">
        <v>2942</v>
      </c>
      <c r="Y361" s="83" t="s">
        <v>2943</v>
      </c>
      <c r="Z361" s="84" t="s">
        <v>2944</v>
      </c>
      <c r="AA361" s="45">
        <v>44650</v>
      </c>
      <c r="AB361" s="101" t="s">
        <v>30</v>
      </c>
      <c r="AC361" s="36"/>
      <c r="AD361" s="47" t="s">
        <v>49</v>
      </c>
      <c r="AE361" s="48" t="s">
        <v>41</v>
      </c>
      <c r="AF361" s="48" t="s">
        <v>49</v>
      </c>
      <c r="AG361" s="48" t="s">
        <v>49</v>
      </c>
      <c r="AH361" s="48" t="s">
        <v>49</v>
      </c>
      <c r="AI361" s="48" t="s">
        <v>49</v>
      </c>
      <c r="AJ361" s="49" t="s">
        <v>49</v>
      </c>
      <c r="AK361" s="48" t="s">
        <v>49</v>
      </c>
      <c r="AL361" s="62" t="s">
        <v>32</v>
      </c>
      <c r="AM361" s="59"/>
      <c r="AN361" s="10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1"/>
    </row>
    <row r="362" spans="1:51" x14ac:dyDescent="0.2">
      <c r="A362" s="33">
        <f t="shared" si="6"/>
        <v>357</v>
      </c>
      <c r="B362" s="34" t="s">
        <v>2945</v>
      </c>
      <c r="C362" s="35" t="s">
        <v>2946</v>
      </c>
      <c r="D362" s="36" t="s">
        <v>2947</v>
      </c>
      <c r="E362" s="36" t="s">
        <v>54</v>
      </c>
      <c r="F362" s="34" t="s">
        <v>2948</v>
      </c>
      <c r="G362" s="37" t="s">
        <v>39</v>
      </c>
      <c r="H362" s="37" t="s">
        <v>39</v>
      </c>
      <c r="I362" s="107">
        <v>8562651324</v>
      </c>
      <c r="J362" s="34" t="s">
        <v>41</v>
      </c>
      <c r="K362" s="39" t="s">
        <v>42</v>
      </c>
      <c r="L362" s="99" t="s">
        <v>2742</v>
      </c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42" t="s">
        <v>2949</v>
      </c>
      <c r="Y362" s="52" t="s">
        <v>2950</v>
      </c>
      <c r="Z362" s="44" t="s">
        <v>2951</v>
      </c>
      <c r="AA362" s="45">
        <v>42935</v>
      </c>
      <c r="AB362" s="101" t="s">
        <v>30</v>
      </c>
      <c r="AC362" s="36" t="s">
        <v>26</v>
      </c>
      <c r="AD362" s="47" t="s">
        <v>49</v>
      </c>
      <c r="AE362" s="48" t="s">
        <v>49</v>
      </c>
      <c r="AF362" s="48" t="s">
        <v>49</v>
      </c>
      <c r="AG362" s="48" t="s">
        <v>49</v>
      </c>
      <c r="AH362" s="48" t="s">
        <v>49</v>
      </c>
      <c r="AI362" s="48" t="s">
        <v>49</v>
      </c>
      <c r="AJ362" s="49" t="s">
        <v>49</v>
      </c>
      <c r="AK362" s="48" t="s">
        <v>49</v>
      </c>
      <c r="AL362" s="62" t="s">
        <v>32</v>
      </c>
      <c r="AM362" s="59"/>
      <c r="AN362" s="10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1"/>
    </row>
    <row r="363" spans="1:51" x14ac:dyDescent="0.2">
      <c r="A363" s="33">
        <f t="shared" si="6"/>
        <v>358</v>
      </c>
      <c r="B363" s="34" t="s">
        <v>2952</v>
      </c>
      <c r="C363" s="35" t="s">
        <v>2953</v>
      </c>
      <c r="D363" s="36" t="s">
        <v>2954</v>
      </c>
      <c r="E363" s="36" t="s">
        <v>36</v>
      </c>
      <c r="F363" s="108" t="s">
        <v>2955</v>
      </c>
      <c r="G363" s="37" t="s">
        <v>73</v>
      </c>
      <c r="H363" s="37" t="s">
        <v>73</v>
      </c>
      <c r="I363" s="108" t="s">
        <v>2956</v>
      </c>
      <c r="J363" s="108" t="s">
        <v>41</v>
      </c>
      <c r="K363" s="39" t="s">
        <v>42</v>
      </c>
      <c r="L363" s="99" t="s">
        <v>2957</v>
      </c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42" t="s">
        <v>2958</v>
      </c>
      <c r="Y363" s="43" t="s">
        <v>2959</v>
      </c>
      <c r="Z363" s="43"/>
      <c r="AA363" s="43" t="s">
        <v>47</v>
      </c>
      <c r="AB363" s="101"/>
      <c r="AC363" s="36"/>
      <c r="AD363" s="47" t="s">
        <v>49</v>
      </c>
      <c r="AE363" s="48" t="s">
        <v>49</v>
      </c>
      <c r="AF363" s="48" t="s">
        <v>49</v>
      </c>
      <c r="AG363" s="48" t="s">
        <v>49</v>
      </c>
      <c r="AH363" s="48" t="s">
        <v>41</v>
      </c>
      <c r="AI363" s="48" t="s">
        <v>41</v>
      </c>
      <c r="AJ363" s="49" t="s">
        <v>41</v>
      </c>
      <c r="AK363" s="48" t="s">
        <v>41</v>
      </c>
      <c r="AL363" s="62" t="s">
        <v>139</v>
      </c>
      <c r="AM363" s="59"/>
      <c r="AN363" s="10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1"/>
    </row>
    <row r="364" spans="1:51" x14ac:dyDescent="0.2">
      <c r="A364" s="33">
        <f t="shared" si="6"/>
        <v>359</v>
      </c>
      <c r="B364" s="34" t="s">
        <v>2960</v>
      </c>
      <c r="C364" s="35" t="s">
        <v>2961</v>
      </c>
      <c r="D364" s="36" t="s">
        <v>2962</v>
      </c>
      <c r="E364" s="36" t="s">
        <v>36</v>
      </c>
      <c r="F364" s="34" t="s">
        <v>2963</v>
      </c>
      <c r="G364" s="37" t="s">
        <v>73</v>
      </c>
      <c r="H364" s="37" t="s">
        <v>73</v>
      </c>
      <c r="I364" s="38" t="s">
        <v>2964</v>
      </c>
      <c r="J364" s="34" t="s">
        <v>41</v>
      </c>
      <c r="K364" s="39" t="s">
        <v>42</v>
      </c>
      <c r="L364" s="120">
        <v>44812</v>
      </c>
      <c r="M364" s="56" t="s">
        <v>179</v>
      </c>
      <c r="N364" s="56" t="s">
        <v>179</v>
      </c>
      <c r="O364" s="56"/>
      <c r="P364" s="56">
        <v>2</v>
      </c>
      <c r="Q364" s="56"/>
      <c r="R364" s="56"/>
      <c r="S364" s="56" t="s">
        <v>44</v>
      </c>
      <c r="T364" s="56"/>
      <c r="U364" s="56"/>
      <c r="V364" s="56"/>
      <c r="W364" s="56"/>
      <c r="X364" s="38" t="s">
        <v>2965</v>
      </c>
      <c r="Y364" s="43" t="s">
        <v>2966</v>
      </c>
      <c r="Z364" s="44"/>
      <c r="AA364" s="45"/>
      <c r="AB364" s="101"/>
      <c r="AC364" s="36"/>
      <c r="AD364" s="47" t="s">
        <v>49</v>
      </c>
      <c r="AE364" s="48" t="s">
        <v>41</v>
      </c>
      <c r="AF364" s="48" t="s">
        <v>41</v>
      </c>
      <c r="AG364" s="48" t="s">
        <v>49</v>
      </c>
      <c r="AH364" s="48" t="s">
        <v>49</v>
      </c>
      <c r="AI364" s="48" t="s">
        <v>49</v>
      </c>
      <c r="AJ364" s="49" t="s">
        <v>49</v>
      </c>
      <c r="AK364" s="48" t="s">
        <v>41</v>
      </c>
      <c r="AL364" s="62" t="s">
        <v>148</v>
      </c>
      <c r="AM364" s="59"/>
      <c r="AN364" s="10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1"/>
    </row>
    <row r="365" spans="1:51" x14ac:dyDescent="0.2">
      <c r="A365" s="33">
        <f t="shared" si="6"/>
        <v>360</v>
      </c>
      <c r="B365" s="34" t="s">
        <v>2967</v>
      </c>
      <c r="C365" s="35" t="s">
        <v>2968</v>
      </c>
      <c r="D365" s="36" t="s">
        <v>2969</v>
      </c>
      <c r="E365" s="36" t="s">
        <v>54</v>
      </c>
      <c r="F365" s="34" t="s">
        <v>2970</v>
      </c>
      <c r="G365" s="37" t="s">
        <v>73</v>
      </c>
      <c r="H365" s="37" t="s">
        <v>73</v>
      </c>
      <c r="I365" s="38" t="s">
        <v>2971</v>
      </c>
      <c r="J365" s="34" t="s">
        <v>41</v>
      </c>
      <c r="K365" s="39" t="s">
        <v>42</v>
      </c>
      <c r="L365" s="120">
        <v>43687</v>
      </c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42" t="s">
        <v>2972</v>
      </c>
      <c r="Y365" s="58" t="s">
        <v>2973</v>
      </c>
      <c r="Z365" s="44" t="s">
        <v>2974</v>
      </c>
      <c r="AA365" s="45">
        <v>44041</v>
      </c>
      <c r="AB365" s="101" t="s">
        <v>30</v>
      </c>
      <c r="AC365" s="36"/>
      <c r="AD365" s="47" t="s">
        <v>49</v>
      </c>
      <c r="AE365" s="48" t="s">
        <v>41</v>
      </c>
      <c r="AF365" s="48" t="s">
        <v>49</v>
      </c>
      <c r="AG365" s="48" t="s">
        <v>49</v>
      </c>
      <c r="AH365" s="48" t="s">
        <v>49</v>
      </c>
      <c r="AI365" s="48" t="s">
        <v>49</v>
      </c>
      <c r="AJ365" s="49" t="s">
        <v>49</v>
      </c>
      <c r="AK365" s="48" t="s">
        <v>49</v>
      </c>
      <c r="AL365" s="65" t="s">
        <v>32</v>
      </c>
      <c r="AM365" s="59"/>
      <c r="AN365" s="10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1"/>
    </row>
    <row r="366" spans="1:51" x14ac:dyDescent="0.2">
      <c r="A366" s="33">
        <f t="shared" si="6"/>
        <v>361</v>
      </c>
      <c r="B366" s="34" t="s">
        <v>2975</v>
      </c>
      <c r="C366" s="35" t="s">
        <v>2976</v>
      </c>
      <c r="D366" s="36" t="s">
        <v>2977</v>
      </c>
      <c r="E366" s="36" t="s">
        <v>54</v>
      </c>
      <c r="F366" s="34" t="s">
        <v>2978</v>
      </c>
      <c r="G366" s="37" t="s">
        <v>39</v>
      </c>
      <c r="H366" s="37" t="s">
        <v>39</v>
      </c>
      <c r="I366" s="34" t="s">
        <v>2979</v>
      </c>
      <c r="J366" s="34" t="s">
        <v>41</v>
      </c>
      <c r="K366" s="39" t="s">
        <v>42</v>
      </c>
      <c r="L366" s="99" t="s">
        <v>273</v>
      </c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42" t="s">
        <v>2980</v>
      </c>
      <c r="Y366" s="69" t="s">
        <v>2981</v>
      </c>
      <c r="Z366" s="44" t="s">
        <v>61</v>
      </c>
      <c r="AA366" s="45">
        <v>40280</v>
      </c>
      <c r="AB366" s="101" t="s">
        <v>30</v>
      </c>
      <c r="AC366" s="36" t="s">
        <v>26</v>
      </c>
      <c r="AD366" s="47" t="s">
        <v>49</v>
      </c>
      <c r="AE366" s="48" t="s">
        <v>49</v>
      </c>
      <c r="AF366" s="48" t="s">
        <v>49</v>
      </c>
      <c r="AG366" s="48" t="s">
        <v>49</v>
      </c>
      <c r="AH366" s="48" t="s">
        <v>49</v>
      </c>
      <c r="AI366" s="48" t="s">
        <v>49</v>
      </c>
      <c r="AJ366" s="49" t="s">
        <v>49</v>
      </c>
      <c r="AK366" s="48" t="s">
        <v>49</v>
      </c>
      <c r="AL366" s="62" t="s">
        <v>32</v>
      </c>
      <c r="AM366" s="59"/>
      <c r="AN366" s="10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1"/>
    </row>
    <row r="367" spans="1:51" x14ac:dyDescent="0.2">
      <c r="A367" s="33">
        <f t="shared" si="6"/>
        <v>362</v>
      </c>
      <c r="B367" s="34" t="s">
        <v>2982</v>
      </c>
      <c r="C367" s="35" t="s">
        <v>2983</v>
      </c>
      <c r="D367" s="36" t="s">
        <v>2984</v>
      </c>
      <c r="E367" s="36" t="s">
        <v>54</v>
      </c>
      <c r="F367" s="34" t="s">
        <v>2985</v>
      </c>
      <c r="G367" s="37" t="s">
        <v>73</v>
      </c>
      <c r="H367" s="37" t="s">
        <v>73</v>
      </c>
      <c r="I367" s="38" t="s">
        <v>2986</v>
      </c>
      <c r="J367" s="34" t="s">
        <v>41</v>
      </c>
      <c r="K367" s="39" t="s">
        <v>42</v>
      </c>
      <c r="L367" s="99" t="s">
        <v>2987</v>
      </c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42" t="s">
        <v>2988</v>
      </c>
      <c r="Y367" s="69" t="s">
        <v>2989</v>
      </c>
      <c r="Z367" s="44" t="s">
        <v>2990</v>
      </c>
      <c r="AA367" s="45">
        <v>43200</v>
      </c>
      <c r="AB367" s="101" t="s">
        <v>30</v>
      </c>
      <c r="AC367" s="36" t="s">
        <v>26</v>
      </c>
      <c r="AD367" s="47" t="s">
        <v>49</v>
      </c>
      <c r="AE367" s="48" t="s">
        <v>49</v>
      </c>
      <c r="AF367" s="48" t="s">
        <v>49</v>
      </c>
      <c r="AG367" s="48" t="s">
        <v>49</v>
      </c>
      <c r="AH367" s="48" t="s">
        <v>49</v>
      </c>
      <c r="AI367" s="48" t="s">
        <v>49</v>
      </c>
      <c r="AJ367" s="49" t="s">
        <v>49</v>
      </c>
      <c r="AK367" s="48" t="s">
        <v>49</v>
      </c>
      <c r="AL367" s="62" t="s">
        <v>32</v>
      </c>
      <c r="AM367" s="59"/>
      <c r="AN367" s="10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1"/>
    </row>
    <row r="368" spans="1:51" x14ac:dyDescent="0.2">
      <c r="A368" s="33">
        <f t="shared" si="6"/>
        <v>363</v>
      </c>
      <c r="B368" s="34" t="s">
        <v>2991</v>
      </c>
      <c r="C368" s="35" t="s">
        <v>2992</v>
      </c>
      <c r="D368" s="36" t="s">
        <v>2993</v>
      </c>
      <c r="E368" s="36" t="s">
        <v>54</v>
      </c>
      <c r="F368" s="34" t="s">
        <v>2994</v>
      </c>
      <c r="G368" s="37" t="s">
        <v>252</v>
      </c>
      <c r="H368" s="37" t="s">
        <v>57</v>
      </c>
      <c r="I368" s="38" t="s">
        <v>2995</v>
      </c>
      <c r="J368" s="34" t="s">
        <v>41</v>
      </c>
      <c r="K368" s="39" t="s">
        <v>42</v>
      </c>
      <c r="L368" s="120">
        <v>45330</v>
      </c>
      <c r="M368" s="115"/>
      <c r="N368" s="115"/>
      <c r="O368" s="115"/>
      <c r="P368" s="115"/>
      <c r="Q368" s="115"/>
      <c r="R368" s="115"/>
      <c r="S368" s="115"/>
      <c r="T368" s="56"/>
      <c r="U368" s="56" t="s">
        <v>44</v>
      </c>
      <c r="V368" s="56"/>
      <c r="W368" s="56"/>
      <c r="X368" s="42" t="s">
        <v>2996</v>
      </c>
      <c r="Y368" s="58" t="s">
        <v>2997</v>
      </c>
      <c r="Z368" s="44"/>
      <c r="AA368" s="45"/>
      <c r="AB368" s="101"/>
      <c r="AC368" s="36"/>
      <c r="AD368" s="47" t="s">
        <v>49</v>
      </c>
      <c r="AE368" s="48" t="s">
        <v>41</v>
      </c>
      <c r="AF368" s="48" t="s">
        <v>41</v>
      </c>
      <c r="AG368" s="48" t="s">
        <v>41</v>
      </c>
      <c r="AH368" s="48" t="s">
        <v>41</v>
      </c>
      <c r="AI368" s="48" t="s">
        <v>49</v>
      </c>
      <c r="AJ368" s="49" t="s">
        <v>49</v>
      </c>
      <c r="AK368" s="48" t="s">
        <v>49</v>
      </c>
      <c r="AL368" s="62" t="s">
        <v>32</v>
      </c>
      <c r="AM368" s="59"/>
      <c r="AN368" s="10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1"/>
    </row>
    <row r="369" spans="1:51" ht="17.25" customHeight="1" x14ac:dyDescent="0.2">
      <c r="A369" s="33">
        <f t="shared" si="6"/>
        <v>364</v>
      </c>
      <c r="B369" s="34" t="s">
        <v>2998</v>
      </c>
      <c r="C369" s="35" t="s">
        <v>2999</v>
      </c>
      <c r="D369" s="36" t="s">
        <v>3000</v>
      </c>
      <c r="E369" s="36" t="s">
        <v>54</v>
      </c>
      <c r="F369" s="34" t="s">
        <v>3001</v>
      </c>
      <c r="G369" s="37" t="s">
        <v>398</v>
      </c>
      <c r="H369" s="37" t="s">
        <v>205</v>
      </c>
      <c r="I369" s="34" t="s">
        <v>3002</v>
      </c>
      <c r="J369" s="34" t="s">
        <v>41</v>
      </c>
      <c r="K369" s="39" t="s">
        <v>42</v>
      </c>
      <c r="L369" s="99" t="s">
        <v>3003</v>
      </c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42" t="s">
        <v>3004</v>
      </c>
      <c r="Y369" s="58" t="s">
        <v>3005</v>
      </c>
      <c r="Z369" s="44" t="s">
        <v>61</v>
      </c>
      <c r="AA369" s="45">
        <v>40278</v>
      </c>
      <c r="AB369" s="101" t="s">
        <v>30</v>
      </c>
      <c r="AC369" s="36" t="s">
        <v>26</v>
      </c>
      <c r="AD369" s="47" t="s">
        <v>49</v>
      </c>
      <c r="AE369" s="48" t="s">
        <v>49</v>
      </c>
      <c r="AF369" s="48" t="s">
        <v>49</v>
      </c>
      <c r="AG369" s="48" t="s">
        <v>49</v>
      </c>
      <c r="AH369" s="48" t="s">
        <v>49</v>
      </c>
      <c r="AI369" s="48" t="s">
        <v>49</v>
      </c>
      <c r="AJ369" s="49" t="s">
        <v>49</v>
      </c>
      <c r="AK369" s="48" t="s">
        <v>49</v>
      </c>
      <c r="AL369" s="65" t="s">
        <v>32</v>
      </c>
      <c r="AM369" s="103"/>
      <c r="AN369" s="10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1"/>
    </row>
    <row r="370" spans="1:51" ht="17.25" customHeight="1" x14ac:dyDescent="0.2">
      <c r="A370" s="33">
        <f t="shared" si="6"/>
        <v>365</v>
      </c>
      <c r="B370" s="34" t="s">
        <v>3006</v>
      </c>
      <c r="C370" s="35" t="s">
        <v>3007</v>
      </c>
      <c r="D370" s="36" t="s">
        <v>3008</v>
      </c>
      <c r="E370" s="36" t="s">
        <v>54</v>
      </c>
      <c r="F370" s="226" t="s">
        <v>3009</v>
      </c>
      <c r="G370" s="37" t="s">
        <v>73</v>
      </c>
      <c r="H370" s="37" t="s">
        <v>73</v>
      </c>
      <c r="I370" s="34" t="s">
        <v>3010</v>
      </c>
      <c r="J370" s="34" t="s">
        <v>3011</v>
      </c>
      <c r="K370" s="39" t="s">
        <v>42</v>
      </c>
      <c r="L370" s="99" t="s">
        <v>3012</v>
      </c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42" t="s">
        <v>3013</v>
      </c>
      <c r="Y370" s="58" t="s">
        <v>3014</v>
      </c>
      <c r="Z370" s="119" t="s">
        <v>61</v>
      </c>
      <c r="AA370" s="45" t="s">
        <v>3015</v>
      </c>
      <c r="AB370" s="101" t="s">
        <v>30</v>
      </c>
      <c r="AC370" s="36"/>
      <c r="AD370" s="47" t="s">
        <v>49</v>
      </c>
      <c r="AE370" s="48" t="s">
        <v>41</v>
      </c>
      <c r="AF370" s="48" t="s">
        <v>41</v>
      </c>
      <c r="AG370" s="48" t="s">
        <v>41</v>
      </c>
      <c r="AH370" s="48" t="s">
        <v>41</v>
      </c>
      <c r="AI370" s="48" t="s">
        <v>41</v>
      </c>
      <c r="AJ370" s="49" t="s">
        <v>41</v>
      </c>
      <c r="AK370" s="48" t="s">
        <v>41</v>
      </c>
      <c r="AL370" s="65" t="s">
        <v>4588</v>
      </c>
      <c r="AM370" s="59"/>
      <c r="AN370" s="10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1"/>
    </row>
    <row r="371" spans="1:51" ht="17.25" customHeight="1" x14ac:dyDescent="0.2">
      <c r="A371" s="33">
        <f t="shared" si="6"/>
        <v>366</v>
      </c>
      <c r="B371" s="34" t="s">
        <v>3016</v>
      </c>
      <c r="C371" s="35" t="s">
        <v>3017</v>
      </c>
      <c r="D371" s="36" t="s">
        <v>3018</v>
      </c>
      <c r="E371" s="36" t="s">
        <v>36</v>
      </c>
      <c r="F371" s="226" t="s">
        <v>3019</v>
      </c>
      <c r="G371" s="37" t="s">
        <v>350</v>
      </c>
      <c r="H371" s="37" t="s">
        <v>350</v>
      </c>
      <c r="I371" s="38" t="s">
        <v>3020</v>
      </c>
      <c r="J371" s="34" t="s">
        <v>41</v>
      </c>
      <c r="K371" s="39" t="s">
        <v>42</v>
      </c>
      <c r="L371" s="120">
        <v>44573</v>
      </c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42" t="s">
        <v>3021</v>
      </c>
      <c r="Y371" s="58" t="s">
        <v>3022</v>
      </c>
      <c r="Z371" s="207" t="s">
        <v>3023</v>
      </c>
      <c r="AA371" s="45">
        <v>44944</v>
      </c>
      <c r="AB371" s="101" t="s">
        <v>30</v>
      </c>
      <c r="AC371" s="36"/>
      <c r="AD371" s="47" t="s">
        <v>49</v>
      </c>
      <c r="AE371" s="48" t="s">
        <v>41</v>
      </c>
      <c r="AF371" s="48" t="s">
        <v>41</v>
      </c>
      <c r="AG371" s="48" t="s">
        <v>49</v>
      </c>
      <c r="AH371" s="48" t="s">
        <v>49</v>
      </c>
      <c r="AI371" s="48" t="s">
        <v>41</v>
      </c>
      <c r="AJ371" s="49" t="s">
        <v>41</v>
      </c>
      <c r="AK371" s="48" t="s">
        <v>41</v>
      </c>
      <c r="AL371" s="65" t="s">
        <v>4589</v>
      </c>
      <c r="AM371" s="59"/>
      <c r="AN371" s="10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1"/>
    </row>
    <row r="372" spans="1:51" ht="17.25" customHeight="1" x14ac:dyDescent="0.2">
      <c r="A372" s="33">
        <f t="shared" si="6"/>
        <v>367</v>
      </c>
      <c r="B372" s="34" t="s">
        <v>3024</v>
      </c>
      <c r="C372" s="35" t="s">
        <v>3025</v>
      </c>
      <c r="D372" s="36" t="s">
        <v>3026</v>
      </c>
      <c r="E372" s="36" t="s">
        <v>54</v>
      </c>
      <c r="F372" s="34" t="s">
        <v>3027</v>
      </c>
      <c r="G372" s="37" t="s">
        <v>252</v>
      </c>
      <c r="H372" s="37" t="s">
        <v>57</v>
      </c>
      <c r="I372" s="34" t="s">
        <v>3028</v>
      </c>
      <c r="J372" s="34" t="s">
        <v>3028</v>
      </c>
      <c r="K372" s="39" t="s">
        <v>42</v>
      </c>
      <c r="L372" s="99" t="s">
        <v>3029</v>
      </c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2" t="s">
        <v>3030</v>
      </c>
      <c r="Y372" s="58" t="s">
        <v>3031</v>
      </c>
      <c r="Z372" s="119" t="s">
        <v>61</v>
      </c>
      <c r="AA372" s="45">
        <v>40815</v>
      </c>
      <c r="AB372" s="101" t="s">
        <v>30</v>
      </c>
      <c r="AC372" s="36" t="s">
        <v>26</v>
      </c>
      <c r="AD372" s="47" t="s">
        <v>49</v>
      </c>
      <c r="AE372" s="48" t="s">
        <v>49</v>
      </c>
      <c r="AF372" s="48" t="s">
        <v>49</v>
      </c>
      <c r="AG372" s="48" t="s">
        <v>49</v>
      </c>
      <c r="AH372" s="48" t="s">
        <v>49</v>
      </c>
      <c r="AI372" s="48" t="s">
        <v>49</v>
      </c>
      <c r="AJ372" s="49" t="s">
        <v>49</v>
      </c>
      <c r="AK372" s="48" t="s">
        <v>49</v>
      </c>
      <c r="AL372" s="62" t="s">
        <v>32</v>
      </c>
      <c r="AM372" s="59"/>
      <c r="AN372" s="10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1"/>
    </row>
    <row r="373" spans="1:51" x14ac:dyDescent="0.2">
      <c r="A373" s="33">
        <f t="shared" si="6"/>
        <v>368</v>
      </c>
      <c r="B373" s="34" t="s">
        <v>3032</v>
      </c>
      <c r="C373" s="35" t="s">
        <v>3033</v>
      </c>
      <c r="D373" s="36" t="s">
        <v>3034</v>
      </c>
      <c r="E373" s="36" t="s">
        <v>54</v>
      </c>
      <c r="F373" s="34" t="s">
        <v>3035</v>
      </c>
      <c r="G373" s="37" t="s">
        <v>747</v>
      </c>
      <c r="H373" s="37" t="s">
        <v>378</v>
      </c>
      <c r="I373" s="38" t="s">
        <v>3036</v>
      </c>
      <c r="J373" s="34" t="s">
        <v>41</v>
      </c>
      <c r="K373" s="39" t="s">
        <v>42</v>
      </c>
      <c r="L373" s="120">
        <v>45798</v>
      </c>
      <c r="M373" s="41"/>
      <c r="N373" s="41"/>
      <c r="O373" s="41"/>
      <c r="P373" s="41"/>
      <c r="Q373" s="41"/>
      <c r="R373" s="41"/>
      <c r="S373" s="41"/>
      <c r="T373" s="41"/>
      <c r="U373" s="41"/>
      <c r="V373" s="41" t="s">
        <v>44</v>
      </c>
      <c r="W373" s="41"/>
      <c r="X373" s="38" t="s">
        <v>3037</v>
      </c>
      <c r="Y373" s="58" t="s">
        <v>3038</v>
      </c>
      <c r="Z373" s="224"/>
      <c r="AA373" s="45"/>
      <c r="AB373" s="101"/>
      <c r="AC373" s="36"/>
      <c r="AD373" s="47" t="s">
        <v>49</v>
      </c>
      <c r="AE373" s="48" t="s">
        <v>41</v>
      </c>
      <c r="AF373" s="48" t="s">
        <v>41</v>
      </c>
      <c r="AG373" s="48" t="s">
        <v>41</v>
      </c>
      <c r="AH373" s="48" t="s">
        <v>41</v>
      </c>
      <c r="AI373" s="48" t="s">
        <v>41</v>
      </c>
      <c r="AJ373" s="49" t="s">
        <v>49</v>
      </c>
      <c r="AK373" s="48" t="s">
        <v>49</v>
      </c>
      <c r="AL373" s="62" t="s">
        <v>32</v>
      </c>
      <c r="AM373" s="59"/>
      <c r="AN373" s="10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1"/>
    </row>
    <row r="374" spans="1:51" x14ac:dyDescent="0.2">
      <c r="A374" s="33">
        <f t="shared" si="6"/>
        <v>369</v>
      </c>
      <c r="B374" s="34" t="s">
        <v>3039</v>
      </c>
      <c r="C374" s="35" t="s">
        <v>3040</v>
      </c>
      <c r="D374" s="36" t="s">
        <v>3041</v>
      </c>
      <c r="E374" s="36" t="s">
        <v>36</v>
      </c>
      <c r="F374" s="87" t="s">
        <v>3042</v>
      </c>
      <c r="G374" s="37" t="s">
        <v>56</v>
      </c>
      <c r="H374" s="37" t="s">
        <v>57</v>
      </c>
      <c r="I374" s="183" t="s">
        <v>3043</v>
      </c>
      <c r="J374" s="34"/>
      <c r="K374" s="39" t="s">
        <v>42</v>
      </c>
      <c r="L374" s="99" t="s">
        <v>3044</v>
      </c>
      <c r="M374" s="41"/>
      <c r="N374" s="41"/>
      <c r="O374" s="41"/>
      <c r="P374" s="41"/>
      <c r="Q374" s="41"/>
      <c r="R374" s="41"/>
      <c r="S374" s="41" t="s">
        <v>44</v>
      </c>
      <c r="T374" s="41"/>
      <c r="U374" s="41"/>
      <c r="V374" s="41"/>
      <c r="W374" s="41"/>
      <c r="X374" s="42" t="s">
        <v>3045</v>
      </c>
      <c r="Y374" s="58" t="s">
        <v>3046</v>
      </c>
      <c r="Z374" s="121" t="s">
        <v>3047</v>
      </c>
      <c r="AA374" s="45">
        <v>44650</v>
      </c>
      <c r="AB374" s="101" t="s">
        <v>30</v>
      </c>
      <c r="AC374" s="36"/>
      <c r="AD374" s="47" t="s">
        <v>49</v>
      </c>
      <c r="AE374" s="48" t="s">
        <v>41</v>
      </c>
      <c r="AF374" s="48" t="s">
        <v>41</v>
      </c>
      <c r="AG374" s="48" t="s">
        <v>49</v>
      </c>
      <c r="AH374" s="48" t="s">
        <v>49</v>
      </c>
      <c r="AI374" s="48" t="s">
        <v>49</v>
      </c>
      <c r="AJ374" s="49" t="s">
        <v>49</v>
      </c>
      <c r="AK374" s="48" t="s">
        <v>49</v>
      </c>
      <c r="AL374" s="62" t="s">
        <v>32</v>
      </c>
      <c r="AM374" s="59"/>
      <c r="AN374" s="10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1"/>
    </row>
    <row r="375" spans="1:51" x14ac:dyDescent="0.2">
      <c r="A375" s="33">
        <f t="shared" si="6"/>
        <v>370</v>
      </c>
      <c r="B375" s="52" t="s">
        <v>3048</v>
      </c>
      <c r="C375" s="150" t="s">
        <v>3049</v>
      </c>
      <c r="D375" s="73" t="s">
        <v>3050</v>
      </c>
      <c r="E375" s="36" t="s">
        <v>54</v>
      </c>
      <c r="F375" s="52" t="s">
        <v>3051</v>
      </c>
      <c r="G375" s="37" t="s">
        <v>456</v>
      </c>
      <c r="H375" s="37" t="s">
        <v>187</v>
      </c>
      <c r="I375" s="52" t="s">
        <v>3052</v>
      </c>
      <c r="J375" s="34" t="s">
        <v>41</v>
      </c>
      <c r="K375" s="39" t="s">
        <v>42</v>
      </c>
      <c r="L375" s="227" t="s">
        <v>3053</v>
      </c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42" t="s">
        <v>3054</v>
      </c>
      <c r="Y375" s="58" t="s">
        <v>3055</v>
      </c>
      <c r="Z375" s="44" t="s">
        <v>3056</v>
      </c>
      <c r="AA375" s="153">
        <v>43200</v>
      </c>
      <c r="AB375" s="101" t="s">
        <v>30</v>
      </c>
      <c r="AC375" s="73" t="s">
        <v>26</v>
      </c>
      <c r="AD375" s="47" t="s">
        <v>49</v>
      </c>
      <c r="AE375" s="48" t="s">
        <v>49</v>
      </c>
      <c r="AF375" s="48" t="s">
        <v>49</v>
      </c>
      <c r="AG375" s="48" t="s">
        <v>49</v>
      </c>
      <c r="AH375" s="48" t="s">
        <v>49</v>
      </c>
      <c r="AI375" s="48" t="s">
        <v>49</v>
      </c>
      <c r="AJ375" s="49" t="s">
        <v>49</v>
      </c>
      <c r="AK375" s="48" t="s">
        <v>49</v>
      </c>
      <c r="AL375" s="62" t="s">
        <v>32</v>
      </c>
      <c r="AM375" s="59"/>
      <c r="AN375" s="10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1"/>
    </row>
    <row r="376" spans="1:51" x14ac:dyDescent="0.2">
      <c r="A376" s="33">
        <f t="shared" si="6"/>
        <v>371</v>
      </c>
      <c r="B376" s="34" t="s">
        <v>3057</v>
      </c>
      <c r="C376" s="35" t="s">
        <v>3058</v>
      </c>
      <c r="D376" s="36" t="s">
        <v>3059</v>
      </c>
      <c r="E376" s="36" t="s">
        <v>54</v>
      </c>
      <c r="F376" s="34" t="s">
        <v>3060</v>
      </c>
      <c r="G376" s="37" t="s">
        <v>252</v>
      </c>
      <c r="H376" s="37" t="s">
        <v>57</v>
      </c>
      <c r="I376" s="34" t="s">
        <v>3061</v>
      </c>
      <c r="J376" s="34" t="s">
        <v>41</v>
      </c>
      <c r="K376" s="39" t="s">
        <v>42</v>
      </c>
      <c r="L376" s="99" t="s">
        <v>2437</v>
      </c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42" t="s">
        <v>1896</v>
      </c>
      <c r="Y376" s="58" t="s">
        <v>3062</v>
      </c>
      <c r="Z376" s="44" t="s">
        <v>61</v>
      </c>
      <c r="AA376" s="45">
        <v>40815</v>
      </c>
      <c r="AB376" s="101" t="s">
        <v>30</v>
      </c>
      <c r="AC376" s="36" t="s">
        <v>26</v>
      </c>
      <c r="AD376" s="47" t="s">
        <v>49</v>
      </c>
      <c r="AE376" s="48" t="s">
        <v>49</v>
      </c>
      <c r="AF376" s="48" t="s">
        <v>49</v>
      </c>
      <c r="AG376" s="48" t="s">
        <v>49</v>
      </c>
      <c r="AH376" s="48" t="s">
        <v>49</v>
      </c>
      <c r="AI376" s="48" t="s">
        <v>49</v>
      </c>
      <c r="AJ376" s="49" t="s">
        <v>49</v>
      </c>
      <c r="AK376" s="48" t="s">
        <v>41</v>
      </c>
      <c r="AL376" s="62" t="s">
        <v>148</v>
      </c>
      <c r="AM376" s="59"/>
      <c r="AN376" s="10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1"/>
    </row>
    <row r="377" spans="1:51" x14ac:dyDescent="0.2">
      <c r="A377" s="33">
        <f t="shared" si="6"/>
        <v>372</v>
      </c>
      <c r="B377" s="34" t="s">
        <v>3063</v>
      </c>
      <c r="C377" s="35" t="s">
        <v>3064</v>
      </c>
      <c r="D377" s="36" t="s">
        <v>3065</v>
      </c>
      <c r="E377" s="36" t="s">
        <v>54</v>
      </c>
      <c r="F377" s="34" t="s">
        <v>3066</v>
      </c>
      <c r="G377" s="37" t="s">
        <v>38</v>
      </c>
      <c r="H377" s="37" t="s">
        <v>39</v>
      </c>
      <c r="I377" s="38" t="s">
        <v>3067</v>
      </c>
      <c r="J377" s="34" t="s">
        <v>41</v>
      </c>
      <c r="K377" s="39" t="s">
        <v>42</v>
      </c>
      <c r="L377" s="99" t="s">
        <v>1869</v>
      </c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42" t="s">
        <v>3068</v>
      </c>
      <c r="Y377" s="52" t="s">
        <v>3069</v>
      </c>
      <c r="Z377" s="44" t="s">
        <v>61</v>
      </c>
      <c r="AA377" s="45">
        <v>39286</v>
      </c>
      <c r="AB377" s="101" t="s">
        <v>30</v>
      </c>
      <c r="AC377" s="36" t="s">
        <v>26</v>
      </c>
      <c r="AD377" s="47" t="s">
        <v>49</v>
      </c>
      <c r="AE377" s="48" t="s">
        <v>49</v>
      </c>
      <c r="AF377" s="48" t="s">
        <v>49</v>
      </c>
      <c r="AG377" s="48" t="s">
        <v>49</v>
      </c>
      <c r="AH377" s="48" t="s">
        <v>49</v>
      </c>
      <c r="AI377" s="48" t="s">
        <v>49</v>
      </c>
      <c r="AJ377" s="49" t="s">
        <v>49</v>
      </c>
      <c r="AK377" s="48" t="s">
        <v>49</v>
      </c>
      <c r="AL377" s="62" t="s">
        <v>32</v>
      </c>
      <c r="AM377" s="59"/>
      <c r="AN377" s="10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1"/>
    </row>
    <row r="378" spans="1:51" x14ac:dyDescent="0.2">
      <c r="A378" s="33">
        <f t="shared" si="6"/>
        <v>373</v>
      </c>
      <c r="B378" s="34" t="s">
        <v>3070</v>
      </c>
      <c r="C378" s="35" t="s">
        <v>3071</v>
      </c>
      <c r="D378" s="36" t="s">
        <v>3072</v>
      </c>
      <c r="E378" s="36" t="s">
        <v>54</v>
      </c>
      <c r="F378" s="34" t="s">
        <v>3073</v>
      </c>
      <c r="G378" s="37" t="s">
        <v>39</v>
      </c>
      <c r="H378" s="37" t="s">
        <v>39</v>
      </c>
      <c r="I378" s="34" t="s">
        <v>3074</v>
      </c>
      <c r="J378" s="34" t="s">
        <v>3075</v>
      </c>
      <c r="K378" s="39" t="s">
        <v>42</v>
      </c>
      <c r="L378" s="99" t="s">
        <v>3076</v>
      </c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42" t="s">
        <v>3077</v>
      </c>
      <c r="Y378" s="58" t="s">
        <v>3078</v>
      </c>
      <c r="Z378" s="44" t="s">
        <v>3079</v>
      </c>
      <c r="AA378" s="45">
        <v>42325</v>
      </c>
      <c r="AB378" s="101" t="s">
        <v>30</v>
      </c>
      <c r="AC378" s="36" t="s">
        <v>26</v>
      </c>
      <c r="AD378" s="47" t="s">
        <v>49</v>
      </c>
      <c r="AE378" s="48" t="s">
        <v>49</v>
      </c>
      <c r="AF378" s="48" t="s">
        <v>49</v>
      </c>
      <c r="AG378" s="48" t="s">
        <v>49</v>
      </c>
      <c r="AH378" s="48" t="s">
        <v>41</v>
      </c>
      <c r="AI378" s="48" t="s">
        <v>41</v>
      </c>
      <c r="AJ378" s="49" t="s">
        <v>41</v>
      </c>
      <c r="AK378" s="48" t="s">
        <v>41</v>
      </c>
      <c r="AL378" s="65" t="s">
        <v>139</v>
      </c>
      <c r="AM378" s="59"/>
      <c r="AN378" s="10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1"/>
    </row>
    <row r="379" spans="1:51" x14ac:dyDescent="0.2">
      <c r="A379" s="33">
        <f t="shared" si="6"/>
        <v>374</v>
      </c>
      <c r="B379" s="34" t="s">
        <v>3080</v>
      </c>
      <c r="C379" s="35" t="s">
        <v>3081</v>
      </c>
      <c r="D379" s="36" t="s">
        <v>3082</v>
      </c>
      <c r="E379" s="36" t="s">
        <v>36</v>
      </c>
      <c r="F379" s="34" t="s">
        <v>3083</v>
      </c>
      <c r="G379" s="37" t="s">
        <v>73</v>
      </c>
      <c r="H379" s="37" t="s">
        <v>73</v>
      </c>
      <c r="I379" s="34" t="s">
        <v>3084</v>
      </c>
      <c r="J379" s="34" t="s">
        <v>3084</v>
      </c>
      <c r="K379" s="39" t="s">
        <v>42</v>
      </c>
      <c r="L379" s="99" t="s">
        <v>3085</v>
      </c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2" t="s">
        <v>3086</v>
      </c>
      <c r="Y379" s="58" t="s">
        <v>3087</v>
      </c>
      <c r="Z379" s="44" t="s">
        <v>61</v>
      </c>
      <c r="AA379" s="45">
        <v>36641</v>
      </c>
      <c r="AB379" s="101" t="s">
        <v>30</v>
      </c>
      <c r="AC379" s="36"/>
      <c r="AD379" s="47" t="s">
        <v>49</v>
      </c>
      <c r="AE379" s="48" t="s">
        <v>41</v>
      </c>
      <c r="AF379" s="48" t="s">
        <v>41</v>
      </c>
      <c r="AG379" s="48" t="s">
        <v>41</v>
      </c>
      <c r="AH379" s="48" t="s">
        <v>41</v>
      </c>
      <c r="AI379" s="48" t="s">
        <v>41</v>
      </c>
      <c r="AJ379" s="49" t="s">
        <v>41</v>
      </c>
      <c r="AK379" s="48" t="s">
        <v>41</v>
      </c>
      <c r="AL379" s="65" t="s">
        <v>4592</v>
      </c>
      <c r="AM379" s="59" t="s">
        <v>3088</v>
      </c>
      <c r="AN379" s="10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1"/>
    </row>
    <row r="380" spans="1:51" x14ac:dyDescent="0.2">
      <c r="A380" s="33">
        <f t="shared" si="6"/>
        <v>375</v>
      </c>
      <c r="B380" s="34" t="s">
        <v>3089</v>
      </c>
      <c r="C380" s="35" t="s">
        <v>3090</v>
      </c>
      <c r="D380" s="73" t="s">
        <v>3091</v>
      </c>
      <c r="E380" s="36" t="s">
        <v>54</v>
      </c>
      <c r="F380" s="98" t="s">
        <v>3092</v>
      </c>
      <c r="G380" s="37" t="s">
        <v>73</v>
      </c>
      <c r="H380" s="37" t="s">
        <v>73</v>
      </c>
      <c r="I380" s="34" t="s">
        <v>3093</v>
      </c>
      <c r="J380" s="34" t="s">
        <v>3093</v>
      </c>
      <c r="K380" s="39" t="s">
        <v>42</v>
      </c>
      <c r="L380" s="120">
        <v>30348</v>
      </c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2" t="s">
        <v>3094</v>
      </c>
      <c r="Y380" s="58" t="s">
        <v>3095</v>
      </c>
      <c r="Z380" s="44" t="s">
        <v>61</v>
      </c>
      <c r="AA380" s="45">
        <v>36641</v>
      </c>
      <c r="AB380" s="101" t="s">
        <v>30</v>
      </c>
      <c r="AC380" s="73"/>
      <c r="AD380" s="47" t="s">
        <v>49</v>
      </c>
      <c r="AE380" s="48" t="s">
        <v>41</v>
      </c>
      <c r="AF380" s="48" t="s">
        <v>41</v>
      </c>
      <c r="AG380" s="48" t="s">
        <v>41</v>
      </c>
      <c r="AH380" s="48" t="s">
        <v>41</v>
      </c>
      <c r="AI380" s="48" t="s">
        <v>41</v>
      </c>
      <c r="AJ380" s="49" t="s">
        <v>41</v>
      </c>
      <c r="AK380" s="48" t="s">
        <v>41</v>
      </c>
      <c r="AL380" s="65" t="s">
        <v>4591</v>
      </c>
      <c r="AM380" s="59" t="s">
        <v>2211</v>
      </c>
      <c r="AN380" s="10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1"/>
    </row>
    <row r="381" spans="1:51" x14ac:dyDescent="0.2">
      <c r="A381" s="33">
        <f t="shared" si="6"/>
        <v>376</v>
      </c>
      <c r="B381" s="72" t="s">
        <v>3096</v>
      </c>
      <c r="C381" s="35" t="s">
        <v>3097</v>
      </c>
      <c r="D381" s="154" t="s">
        <v>3098</v>
      </c>
      <c r="E381" s="36" t="s">
        <v>54</v>
      </c>
      <c r="F381" s="72" t="s">
        <v>3099</v>
      </c>
      <c r="G381" s="75" t="s">
        <v>73</v>
      </c>
      <c r="H381" s="75" t="s">
        <v>73</v>
      </c>
      <c r="I381" s="72" t="s">
        <v>3100</v>
      </c>
      <c r="J381" s="72" t="s">
        <v>41</v>
      </c>
      <c r="K381" s="77" t="s">
        <v>42</v>
      </c>
      <c r="L381" s="228" t="s">
        <v>59</v>
      </c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42" t="s">
        <v>3101</v>
      </c>
      <c r="Y381" s="58" t="s">
        <v>3102</v>
      </c>
      <c r="Z381" s="44" t="s">
        <v>3103</v>
      </c>
      <c r="AA381" s="45">
        <v>41793</v>
      </c>
      <c r="AB381" s="206" t="s">
        <v>30</v>
      </c>
      <c r="AC381" s="154" t="s">
        <v>26</v>
      </c>
      <c r="AD381" s="81" t="s">
        <v>49</v>
      </c>
      <c r="AE381" s="48" t="s">
        <v>49</v>
      </c>
      <c r="AF381" s="48" t="s">
        <v>49</v>
      </c>
      <c r="AG381" s="48" t="s">
        <v>49</v>
      </c>
      <c r="AH381" s="48" t="s">
        <v>49</v>
      </c>
      <c r="AI381" s="48" t="s">
        <v>49</v>
      </c>
      <c r="AJ381" s="49" t="s">
        <v>49</v>
      </c>
      <c r="AK381" s="48" t="s">
        <v>49</v>
      </c>
      <c r="AL381" s="62" t="s">
        <v>32</v>
      </c>
      <c r="AM381" s="59"/>
      <c r="AN381" s="10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1"/>
    </row>
    <row r="382" spans="1:51" x14ac:dyDescent="0.2">
      <c r="A382" s="33">
        <f t="shared" si="6"/>
        <v>377</v>
      </c>
      <c r="B382" s="34" t="s">
        <v>3104</v>
      </c>
      <c r="C382" s="35" t="s">
        <v>3105</v>
      </c>
      <c r="D382" s="36" t="s">
        <v>3106</v>
      </c>
      <c r="E382" s="36" t="s">
        <v>54</v>
      </c>
      <c r="F382" s="34" t="s">
        <v>3107</v>
      </c>
      <c r="G382" s="37" t="s">
        <v>73</v>
      </c>
      <c r="H382" s="37" t="s">
        <v>73</v>
      </c>
      <c r="I382" s="34" t="s">
        <v>3108</v>
      </c>
      <c r="J382" s="34" t="s">
        <v>41</v>
      </c>
      <c r="K382" s="39" t="s">
        <v>42</v>
      </c>
      <c r="L382" s="99" t="s">
        <v>3109</v>
      </c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2" t="s">
        <v>3110</v>
      </c>
      <c r="Y382" s="58" t="s">
        <v>3111</v>
      </c>
      <c r="Z382" s="44" t="s">
        <v>61</v>
      </c>
      <c r="AA382" s="45">
        <v>36641</v>
      </c>
      <c r="AB382" s="101" t="s">
        <v>30</v>
      </c>
      <c r="AC382" s="36" t="s">
        <v>26</v>
      </c>
      <c r="AD382" s="47" t="s">
        <v>49</v>
      </c>
      <c r="AE382" s="48" t="s">
        <v>49</v>
      </c>
      <c r="AF382" s="48" t="s">
        <v>49</v>
      </c>
      <c r="AG382" s="48" t="s">
        <v>49</v>
      </c>
      <c r="AH382" s="48" t="s">
        <v>49</v>
      </c>
      <c r="AI382" s="48" t="s">
        <v>49</v>
      </c>
      <c r="AJ382" s="49" t="s">
        <v>49</v>
      </c>
      <c r="AK382" s="48" t="s">
        <v>49</v>
      </c>
      <c r="AL382" s="62" t="s">
        <v>32</v>
      </c>
      <c r="AM382" s="59"/>
      <c r="AN382" s="10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1"/>
    </row>
    <row r="383" spans="1:51" x14ac:dyDescent="0.2">
      <c r="A383" s="33">
        <f t="shared" si="6"/>
        <v>378</v>
      </c>
      <c r="B383" s="34" t="s">
        <v>3112</v>
      </c>
      <c r="C383" s="35" t="s">
        <v>3113</v>
      </c>
      <c r="D383" s="36" t="s">
        <v>3114</v>
      </c>
      <c r="E383" s="36" t="s">
        <v>54</v>
      </c>
      <c r="F383" s="34" t="s">
        <v>3115</v>
      </c>
      <c r="G383" s="37" t="s">
        <v>73</v>
      </c>
      <c r="H383" s="37" t="s">
        <v>73</v>
      </c>
      <c r="I383" s="34" t="s">
        <v>3116</v>
      </c>
      <c r="J383" s="34" t="s">
        <v>3117</v>
      </c>
      <c r="K383" s="39" t="s">
        <v>42</v>
      </c>
      <c r="L383" s="99" t="s">
        <v>3118</v>
      </c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2" t="s">
        <v>3119</v>
      </c>
      <c r="Y383" s="58" t="s">
        <v>3120</v>
      </c>
      <c r="Z383" s="44" t="s">
        <v>61</v>
      </c>
      <c r="AA383" s="45">
        <v>36641</v>
      </c>
      <c r="AB383" s="101" t="s">
        <v>30</v>
      </c>
      <c r="AC383" s="36" t="s">
        <v>26</v>
      </c>
      <c r="AD383" s="61" t="s">
        <v>49</v>
      </c>
      <c r="AE383" s="48" t="s">
        <v>49</v>
      </c>
      <c r="AF383" s="48" t="s">
        <v>49</v>
      </c>
      <c r="AG383" s="48" t="s">
        <v>49</v>
      </c>
      <c r="AH383" s="48" t="s">
        <v>49</v>
      </c>
      <c r="AI383" s="48" t="s">
        <v>49</v>
      </c>
      <c r="AJ383" s="49" t="s">
        <v>49</v>
      </c>
      <c r="AK383" s="48" t="s">
        <v>49</v>
      </c>
      <c r="AL383" s="62" t="s">
        <v>32</v>
      </c>
      <c r="AM383" s="59"/>
      <c r="AN383" s="10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1"/>
    </row>
    <row r="384" spans="1:51" x14ac:dyDescent="0.2">
      <c r="A384" s="33">
        <f t="shared" si="6"/>
        <v>379</v>
      </c>
      <c r="B384" s="34" t="s">
        <v>3121</v>
      </c>
      <c r="C384" s="35" t="s">
        <v>3122</v>
      </c>
      <c r="D384" s="36" t="s">
        <v>3123</v>
      </c>
      <c r="E384" s="36" t="s">
        <v>54</v>
      </c>
      <c r="F384" s="34" t="s">
        <v>3124</v>
      </c>
      <c r="G384" s="37" t="s">
        <v>39</v>
      </c>
      <c r="H384" s="37" t="s">
        <v>39</v>
      </c>
      <c r="I384" s="34" t="s">
        <v>3125</v>
      </c>
      <c r="J384" s="34" t="s">
        <v>3126</v>
      </c>
      <c r="K384" s="39" t="s">
        <v>42</v>
      </c>
      <c r="L384" s="99" t="s">
        <v>1869</v>
      </c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2" t="s">
        <v>3127</v>
      </c>
      <c r="Y384" s="58" t="s">
        <v>3128</v>
      </c>
      <c r="Z384" s="44" t="s">
        <v>3129</v>
      </c>
      <c r="AA384" s="45">
        <v>42158</v>
      </c>
      <c r="AB384" s="101" t="s">
        <v>30</v>
      </c>
      <c r="AC384" s="36" t="s">
        <v>26</v>
      </c>
      <c r="AD384" s="47" t="s">
        <v>49</v>
      </c>
      <c r="AE384" s="48" t="s">
        <v>49</v>
      </c>
      <c r="AF384" s="48" t="s">
        <v>49</v>
      </c>
      <c r="AG384" s="48" t="s">
        <v>49</v>
      </c>
      <c r="AH384" s="48" t="s">
        <v>41</v>
      </c>
      <c r="AI384" s="48" t="s">
        <v>41</v>
      </c>
      <c r="AJ384" s="49" t="s">
        <v>41</v>
      </c>
      <c r="AK384" s="48" t="s">
        <v>41</v>
      </c>
      <c r="AL384" s="62" t="s">
        <v>139</v>
      </c>
      <c r="AM384" s="59"/>
      <c r="AN384" s="10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1"/>
    </row>
    <row r="385" spans="1:51" x14ac:dyDescent="0.2">
      <c r="A385" s="33">
        <f t="shared" si="6"/>
        <v>380</v>
      </c>
      <c r="B385" s="34" t="s">
        <v>3130</v>
      </c>
      <c r="C385" s="35" t="s">
        <v>3131</v>
      </c>
      <c r="D385" s="36" t="s">
        <v>3132</v>
      </c>
      <c r="E385" s="36" t="s">
        <v>54</v>
      </c>
      <c r="F385" s="34" t="s">
        <v>3133</v>
      </c>
      <c r="G385" s="37" t="s">
        <v>323</v>
      </c>
      <c r="H385" s="37" t="s">
        <v>39</v>
      </c>
      <c r="I385" s="38" t="s">
        <v>3134</v>
      </c>
      <c r="J385" s="34" t="s">
        <v>41</v>
      </c>
      <c r="K385" s="39" t="s">
        <v>42</v>
      </c>
      <c r="L385" s="120">
        <v>42249</v>
      </c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42" t="s">
        <v>3135</v>
      </c>
      <c r="Y385" s="52" t="s">
        <v>3136</v>
      </c>
      <c r="Z385" s="44" t="s">
        <v>3137</v>
      </c>
      <c r="AA385" s="45" t="s">
        <v>1130</v>
      </c>
      <c r="AB385" s="101" t="s">
        <v>30</v>
      </c>
      <c r="AC385" s="36" t="s">
        <v>26</v>
      </c>
      <c r="AD385" s="47" t="s">
        <v>49</v>
      </c>
      <c r="AE385" s="48" t="s">
        <v>49</v>
      </c>
      <c r="AF385" s="48" t="s">
        <v>49</v>
      </c>
      <c r="AG385" s="48" t="s">
        <v>49</v>
      </c>
      <c r="AH385" s="48" t="s">
        <v>49</v>
      </c>
      <c r="AI385" s="48" t="s">
        <v>49</v>
      </c>
      <c r="AJ385" s="49" t="s">
        <v>49</v>
      </c>
      <c r="AK385" s="48" t="s">
        <v>49</v>
      </c>
      <c r="AL385" s="62" t="s">
        <v>32</v>
      </c>
      <c r="AM385" s="59"/>
      <c r="AN385" s="10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1"/>
    </row>
    <row r="386" spans="1:51" x14ac:dyDescent="0.2">
      <c r="A386" s="33">
        <f t="shared" si="6"/>
        <v>381</v>
      </c>
      <c r="B386" s="34" t="s">
        <v>3138</v>
      </c>
      <c r="C386" s="35" t="s">
        <v>3139</v>
      </c>
      <c r="D386" s="36" t="s">
        <v>3140</v>
      </c>
      <c r="E386" s="36" t="s">
        <v>54</v>
      </c>
      <c r="F386" s="34" t="s">
        <v>3141</v>
      </c>
      <c r="G386" s="37" t="s">
        <v>38</v>
      </c>
      <c r="H386" s="37" t="s">
        <v>39</v>
      </c>
      <c r="I386" s="38" t="s">
        <v>3142</v>
      </c>
      <c r="J386" s="34" t="s">
        <v>41</v>
      </c>
      <c r="K386" s="39" t="s">
        <v>42</v>
      </c>
      <c r="L386" s="99" t="s">
        <v>3143</v>
      </c>
      <c r="M386" s="56"/>
      <c r="N386" s="56"/>
      <c r="O386" s="56"/>
      <c r="P386" s="56"/>
      <c r="Q386" s="56"/>
      <c r="R386" s="56"/>
      <c r="S386" s="56"/>
      <c r="T386" s="56"/>
      <c r="U386" s="56" t="s">
        <v>732</v>
      </c>
      <c r="V386" s="56"/>
      <c r="W386" s="56"/>
      <c r="X386" s="42" t="s">
        <v>3144</v>
      </c>
      <c r="Y386" s="58" t="s">
        <v>3145</v>
      </c>
      <c r="Z386" s="44" t="s">
        <v>61</v>
      </c>
      <c r="AA386" s="45">
        <v>36641</v>
      </c>
      <c r="AB386" s="101" t="s">
        <v>30</v>
      </c>
      <c r="AC386" s="36" t="s">
        <v>26</v>
      </c>
      <c r="AD386" s="47" t="s">
        <v>49</v>
      </c>
      <c r="AE386" s="48" t="s">
        <v>49</v>
      </c>
      <c r="AF386" s="48" t="s">
        <v>49</v>
      </c>
      <c r="AG386" s="48" t="s">
        <v>49</v>
      </c>
      <c r="AH386" s="48" t="s">
        <v>49</v>
      </c>
      <c r="AI386" s="48" t="s">
        <v>49</v>
      </c>
      <c r="AJ386" s="49" t="s">
        <v>49</v>
      </c>
      <c r="AK386" s="48" t="s">
        <v>49</v>
      </c>
      <c r="AL386" s="62" t="s">
        <v>32</v>
      </c>
      <c r="AM386" s="59"/>
      <c r="AN386" s="10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1"/>
    </row>
    <row r="387" spans="1:51" x14ac:dyDescent="0.2">
      <c r="A387" s="33">
        <f t="shared" si="6"/>
        <v>382</v>
      </c>
      <c r="B387" s="34" t="s">
        <v>3146</v>
      </c>
      <c r="C387" s="35" t="s">
        <v>3147</v>
      </c>
      <c r="D387" s="36" t="s">
        <v>3148</v>
      </c>
      <c r="E387" s="36" t="s">
        <v>36</v>
      </c>
      <c r="F387" s="34" t="s">
        <v>3149</v>
      </c>
      <c r="G387" s="37" t="s">
        <v>205</v>
      </c>
      <c r="H387" s="37" t="s">
        <v>205</v>
      </c>
      <c r="I387" s="38" t="s">
        <v>3150</v>
      </c>
      <c r="J387" s="107" t="s">
        <v>41</v>
      </c>
      <c r="K387" s="39" t="s">
        <v>42</v>
      </c>
      <c r="L387" s="120">
        <v>45805</v>
      </c>
      <c r="M387" s="56" t="s">
        <v>179</v>
      </c>
      <c r="N387" s="56"/>
      <c r="O387" s="56"/>
      <c r="P387" s="56"/>
      <c r="Q387" s="56" t="s">
        <v>179</v>
      </c>
      <c r="R387" s="56"/>
      <c r="S387" s="56"/>
      <c r="T387" s="56"/>
      <c r="U387" s="56"/>
      <c r="V387" s="56" t="s">
        <v>44</v>
      </c>
      <c r="W387" s="56"/>
      <c r="X387" s="38" t="s">
        <v>3151</v>
      </c>
      <c r="Y387" s="58" t="s">
        <v>3152</v>
      </c>
      <c r="Z387" s="44"/>
      <c r="AA387" s="45"/>
      <c r="AB387" s="101"/>
      <c r="AC387" s="36"/>
      <c r="AD387" s="47" t="s">
        <v>49</v>
      </c>
      <c r="AE387" s="48" t="s">
        <v>41</v>
      </c>
      <c r="AF387" s="48" t="s">
        <v>41</v>
      </c>
      <c r="AG387" s="48" t="s">
        <v>41</v>
      </c>
      <c r="AH387" s="48" t="s">
        <v>41</v>
      </c>
      <c r="AI387" s="48" t="s">
        <v>41</v>
      </c>
      <c r="AJ387" s="49" t="s">
        <v>49</v>
      </c>
      <c r="AK387" s="48" t="s">
        <v>41</v>
      </c>
      <c r="AL387" s="62" t="s">
        <v>148</v>
      </c>
      <c r="AM387" s="59"/>
      <c r="AN387" s="10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1"/>
    </row>
    <row r="388" spans="1:51" x14ac:dyDescent="0.2">
      <c r="A388" s="33">
        <f t="shared" si="6"/>
        <v>383</v>
      </c>
      <c r="B388" s="34" t="s">
        <v>3153</v>
      </c>
      <c r="C388" s="35" t="s">
        <v>3154</v>
      </c>
      <c r="D388" s="73" t="s">
        <v>3155</v>
      </c>
      <c r="E388" s="36" t="s">
        <v>36</v>
      </c>
      <c r="F388" s="98" t="s">
        <v>3156</v>
      </c>
      <c r="G388" s="37" t="s">
        <v>1417</v>
      </c>
      <c r="H388" s="37" t="s">
        <v>187</v>
      </c>
      <c r="I388" s="34" t="s">
        <v>3157</v>
      </c>
      <c r="J388" s="107"/>
      <c r="K388" s="39" t="s">
        <v>42</v>
      </c>
      <c r="L388" s="99" t="s">
        <v>3158</v>
      </c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229" t="s">
        <v>3159</v>
      </c>
      <c r="Y388" s="58" t="s">
        <v>3160</v>
      </c>
      <c r="Z388" s="44" t="s">
        <v>3161</v>
      </c>
      <c r="AA388" s="45">
        <v>41793</v>
      </c>
      <c r="AB388" s="101" t="s">
        <v>30</v>
      </c>
      <c r="AC388" s="73" t="s">
        <v>26</v>
      </c>
      <c r="AD388" s="47" t="s">
        <v>49</v>
      </c>
      <c r="AE388" s="48" t="s">
        <v>49</v>
      </c>
      <c r="AF388" s="48" t="s">
        <v>41</v>
      </c>
      <c r="AG388" s="48" t="s">
        <v>41</v>
      </c>
      <c r="AH388" s="48" t="s">
        <v>41</v>
      </c>
      <c r="AI388" s="48" t="s">
        <v>41</v>
      </c>
      <c r="AJ388" s="49" t="s">
        <v>41</v>
      </c>
      <c r="AK388" s="48" t="s">
        <v>41</v>
      </c>
      <c r="AL388" s="62" t="s">
        <v>4587</v>
      </c>
      <c r="AM388" s="59"/>
      <c r="AN388" s="117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1"/>
    </row>
    <row r="389" spans="1:51" x14ac:dyDescent="0.2">
      <c r="A389" s="33">
        <f t="shared" si="6"/>
        <v>384</v>
      </c>
      <c r="B389" s="34" t="s">
        <v>3162</v>
      </c>
      <c r="C389" s="35" t="s">
        <v>3163</v>
      </c>
      <c r="D389" s="73" t="s">
        <v>3164</v>
      </c>
      <c r="E389" s="36" t="s">
        <v>54</v>
      </c>
      <c r="F389" s="98" t="s">
        <v>3165</v>
      </c>
      <c r="G389" s="37" t="s">
        <v>73</v>
      </c>
      <c r="H389" s="37" t="s">
        <v>73</v>
      </c>
      <c r="I389" s="38" t="s">
        <v>3166</v>
      </c>
      <c r="J389" s="34"/>
      <c r="K389" s="39" t="s">
        <v>42</v>
      </c>
      <c r="L389" s="120">
        <v>45587</v>
      </c>
      <c r="M389" s="56"/>
      <c r="N389" s="56"/>
      <c r="O389" s="56"/>
      <c r="P389" s="56"/>
      <c r="Q389" s="56"/>
      <c r="R389" s="56"/>
      <c r="S389" s="56"/>
      <c r="T389" s="56"/>
      <c r="U389" s="56" t="s">
        <v>44</v>
      </c>
      <c r="V389" s="56"/>
      <c r="W389" s="56"/>
      <c r="X389" s="38" t="s">
        <v>3167</v>
      </c>
      <c r="Y389" s="58" t="s">
        <v>3168</v>
      </c>
      <c r="Z389" s="44"/>
      <c r="AA389" s="45"/>
      <c r="AB389" s="101"/>
      <c r="AC389" s="73"/>
      <c r="AD389" s="64" t="s">
        <v>120</v>
      </c>
      <c r="AE389" s="48" t="s">
        <v>41</v>
      </c>
      <c r="AF389" s="48" t="s">
        <v>41</v>
      </c>
      <c r="AG389" s="48" t="s">
        <v>41</v>
      </c>
      <c r="AH389" s="48" t="s">
        <v>41</v>
      </c>
      <c r="AI389" s="48" t="s">
        <v>41</v>
      </c>
      <c r="AJ389" s="49" t="s">
        <v>120</v>
      </c>
      <c r="AK389" s="48" t="s">
        <v>49</v>
      </c>
      <c r="AL389" s="62" t="s">
        <v>32</v>
      </c>
      <c r="AM389" s="59"/>
      <c r="AN389" s="117"/>
      <c r="AO389" s="3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1"/>
    </row>
    <row r="390" spans="1:51" x14ac:dyDescent="0.2">
      <c r="A390" s="33">
        <f t="shared" si="6"/>
        <v>385</v>
      </c>
      <c r="B390" s="34" t="s">
        <v>3169</v>
      </c>
      <c r="C390" s="35" t="s">
        <v>3170</v>
      </c>
      <c r="D390" s="36" t="s">
        <v>3171</v>
      </c>
      <c r="E390" s="36" t="s">
        <v>54</v>
      </c>
      <c r="F390" s="34" t="s">
        <v>3172</v>
      </c>
      <c r="G390" s="37" t="s">
        <v>323</v>
      </c>
      <c r="H390" s="37" t="s">
        <v>39</v>
      </c>
      <c r="I390" s="38" t="s">
        <v>3173</v>
      </c>
      <c r="J390" s="34" t="s">
        <v>41</v>
      </c>
      <c r="K390" s="39" t="s">
        <v>42</v>
      </c>
      <c r="L390" s="99" t="s">
        <v>3174</v>
      </c>
      <c r="M390" s="56"/>
      <c r="N390" s="56"/>
      <c r="O390" s="56"/>
      <c r="P390" s="56"/>
      <c r="Q390" s="56"/>
      <c r="R390" s="56"/>
      <c r="S390" s="56"/>
      <c r="T390" s="56" t="s">
        <v>44</v>
      </c>
      <c r="U390" s="56"/>
      <c r="V390" s="56"/>
      <c r="W390" s="56"/>
      <c r="X390" s="42" t="s">
        <v>3175</v>
      </c>
      <c r="Y390" s="83" t="s">
        <v>3176</v>
      </c>
      <c r="Z390" s="44"/>
      <c r="AA390" s="45">
        <v>45642</v>
      </c>
      <c r="AB390" s="101"/>
      <c r="AC390" s="36"/>
      <c r="AD390" s="47" t="s">
        <v>49</v>
      </c>
      <c r="AE390" s="48" t="s">
        <v>41</v>
      </c>
      <c r="AF390" s="48" t="s">
        <v>41</v>
      </c>
      <c r="AG390" s="48" t="s">
        <v>41</v>
      </c>
      <c r="AH390" s="48" t="s">
        <v>49</v>
      </c>
      <c r="AI390" s="48" t="s">
        <v>49</v>
      </c>
      <c r="AJ390" s="49" t="s">
        <v>49</v>
      </c>
      <c r="AK390" s="48" t="s">
        <v>49</v>
      </c>
      <c r="AL390" s="62" t="s">
        <v>32</v>
      </c>
      <c r="AM390" s="59"/>
      <c r="AN390" s="117"/>
      <c r="AO390" s="3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1"/>
    </row>
    <row r="391" spans="1:51" x14ac:dyDescent="0.2">
      <c r="A391" s="33">
        <f t="shared" si="6"/>
        <v>386</v>
      </c>
      <c r="B391" s="34" t="s">
        <v>3177</v>
      </c>
      <c r="C391" s="35" t="s">
        <v>3178</v>
      </c>
      <c r="D391" s="36" t="s">
        <v>3179</v>
      </c>
      <c r="E391" s="36" t="s">
        <v>54</v>
      </c>
      <c r="F391" s="87" t="s">
        <v>3180</v>
      </c>
      <c r="G391" s="37" t="s">
        <v>73</v>
      </c>
      <c r="H391" s="37" t="s">
        <v>73</v>
      </c>
      <c r="I391" s="38" t="s">
        <v>3181</v>
      </c>
      <c r="J391" s="113" t="s">
        <v>3182</v>
      </c>
      <c r="K391" s="39" t="s">
        <v>42</v>
      </c>
      <c r="L391" s="120">
        <v>34344</v>
      </c>
      <c r="M391" s="56"/>
      <c r="N391" s="56"/>
      <c r="O391" s="56"/>
      <c r="P391" s="56"/>
      <c r="Q391" s="56"/>
      <c r="R391" s="56"/>
      <c r="S391" s="56"/>
      <c r="T391" s="56" t="s">
        <v>732</v>
      </c>
      <c r="U391" s="56"/>
      <c r="V391" s="56"/>
      <c r="W391" s="56"/>
      <c r="X391" s="42" t="s">
        <v>3183</v>
      </c>
      <c r="Y391" s="100" t="s">
        <v>3184</v>
      </c>
      <c r="Z391" s="44"/>
      <c r="AA391" s="45" t="s">
        <v>47</v>
      </c>
      <c r="AB391" s="101"/>
      <c r="AC391" s="36" t="s">
        <v>26</v>
      </c>
      <c r="AD391" s="47" t="s">
        <v>49</v>
      </c>
      <c r="AE391" s="48" t="s">
        <v>49</v>
      </c>
      <c r="AF391" s="48" t="s">
        <v>49</v>
      </c>
      <c r="AG391" s="48" t="s">
        <v>49</v>
      </c>
      <c r="AH391" s="48" t="s">
        <v>49</v>
      </c>
      <c r="AI391" s="48" t="s">
        <v>49</v>
      </c>
      <c r="AJ391" s="49" t="s">
        <v>41</v>
      </c>
      <c r="AK391" s="48" t="s">
        <v>41</v>
      </c>
      <c r="AL391" s="62" t="s">
        <v>276</v>
      </c>
      <c r="AM391" s="59"/>
      <c r="AN391" s="10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1"/>
    </row>
    <row r="392" spans="1:51" x14ac:dyDescent="0.2">
      <c r="A392" s="33">
        <f t="shared" si="6"/>
        <v>387</v>
      </c>
      <c r="B392" s="34" t="s">
        <v>3185</v>
      </c>
      <c r="C392" s="35" t="s">
        <v>3186</v>
      </c>
      <c r="D392" s="36" t="s">
        <v>3187</v>
      </c>
      <c r="E392" s="36" t="s">
        <v>54</v>
      </c>
      <c r="F392" s="34" t="s">
        <v>3188</v>
      </c>
      <c r="G392" s="37" t="s">
        <v>398</v>
      </c>
      <c r="H392" s="37" t="s">
        <v>205</v>
      </c>
      <c r="I392" s="38" t="s">
        <v>3189</v>
      </c>
      <c r="J392" s="38" t="s">
        <v>3190</v>
      </c>
      <c r="K392" s="39" t="s">
        <v>42</v>
      </c>
      <c r="L392" s="120">
        <v>42499</v>
      </c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42" t="s">
        <v>3191</v>
      </c>
      <c r="Y392" s="100" t="s">
        <v>3192</v>
      </c>
      <c r="Z392" s="44" t="s">
        <v>3193</v>
      </c>
      <c r="AA392" s="45">
        <v>42935</v>
      </c>
      <c r="AB392" s="101" t="s">
        <v>30</v>
      </c>
      <c r="AC392" s="36" t="s">
        <v>26</v>
      </c>
      <c r="AD392" s="47" t="s">
        <v>49</v>
      </c>
      <c r="AE392" s="48" t="s">
        <v>49</v>
      </c>
      <c r="AF392" s="48" t="s">
        <v>49</v>
      </c>
      <c r="AG392" s="48" t="s">
        <v>49</v>
      </c>
      <c r="AH392" s="48" t="s">
        <v>49</v>
      </c>
      <c r="AI392" s="48" t="s">
        <v>41</v>
      </c>
      <c r="AJ392" s="49" t="s">
        <v>41</v>
      </c>
      <c r="AK392" s="48" t="s">
        <v>41</v>
      </c>
      <c r="AL392" s="62" t="s">
        <v>4589</v>
      </c>
      <c r="AM392" s="59"/>
      <c r="AN392" s="10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1"/>
    </row>
    <row r="393" spans="1:51" x14ac:dyDescent="0.2">
      <c r="A393" s="33">
        <f t="shared" si="6"/>
        <v>388</v>
      </c>
      <c r="B393" s="34" t="s">
        <v>3194</v>
      </c>
      <c r="C393" s="35" t="s">
        <v>3195</v>
      </c>
      <c r="D393" s="36" t="s">
        <v>3196</v>
      </c>
      <c r="E393" s="36" t="s">
        <v>54</v>
      </c>
      <c r="F393" s="108" t="s">
        <v>3197</v>
      </c>
      <c r="G393" s="37" t="s">
        <v>350</v>
      </c>
      <c r="H393" s="37" t="s">
        <v>350</v>
      </c>
      <c r="I393" s="38" t="s">
        <v>3198</v>
      </c>
      <c r="J393" s="34" t="s">
        <v>41</v>
      </c>
      <c r="K393" s="39" t="s">
        <v>42</v>
      </c>
      <c r="L393" s="99" t="s">
        <v>1254</v>
      </c>
      <c r="M393" s="56" t="s">
        <v>179</v>
      </c>
      <c r="N393" s="56"/>
      <c r="O393" s="56"/>
      <c r="P393" s="56">
        <v>5</v>
      </c>
      <c r="Q393" s="56"/>
      <c r="R393" s="56"/>
      <c r="S393" s="56"/>
      <c r="T393" s="56"/>
      <c r="U393" s="56"/>
      <c r="V393" s="56"/>
      <c r="W393" s="56"/>
      <c r="X393" s="42" t="s">
        <v>3199</v>
      </c>
      <c r="Y393" s="100" t="s">
        <v>3200</v>
      </c>
      <c r="Z393" s="44"/>
      <c r="AA393" s="45" t="s">
        <v>47</v>
      </c>
      <c r="AB393" s="101"/>
      <c r="AC393" s="36"/>
      <c r="AD393" s="47" t="s">
        <v>49</v>
      </c>
      <c r="AE393" s="48" t="s">
        <v>41</v>
      </c>
      <c r="AF393" s="48" t="s">
        <v>41</v>
      </c>
      <c r="AG393" s="48" t="s">
        <v>41</v>
      </c>
      <c r="AH393" s="48" t="s">
        <v>41</v>
      </c>
      <c r="AI393" s="48" t="s">
        <v>41</v>
      </c>
      <c r="AJ393" s="49" t="s">
        <v>41</v>
      </c>
      <c r="AK393" s="48" t="s">
        <v>41</v>
      </c>
      <c r="AL393" s="65" t="s">
        <v>4588</v>
      </c>
      <c r="AM393" s="59"/>
      <c r="AN393" s="10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1"/>
    </row>
    <row r="394" spans="1:51" x14ac:dyDescent="0.2">
      <c r="A394" s="33">
        <f t="shared" si="6"/>
        <v>389</v>
      </c>
      <c r="B394" s="34" t="s">
        <v>3201</v>
      </c>
      <c r="C394" s="35" t="s">
        <v>3202</v>
      </c>
      <c r="D394" s="73" t="s">
        <v>3203</v>
      </c>
      <c r="E394" s="36" t="s">
        <v>54</v>
      </c>
      <c r="F394" s="98" t="s">
        <v>3204</v>
      </c>
      <c r="G394" s="37" t="s">
        <v>252</v>
      </c>
      <c r="H394" s="37" t="s">
        <v>57</v>
      </c>
      <c r="I394" s="38" t="s">
        <v>3205</v>
      </c>
      <c r="J394" s="34"/>
      <c r="K394" s="39" t="s">
        <v>42</v>
      </c>
      <c r="L394" s="99" t="s">
        <v>3206</v>
      </c>
      <c r="M394" s="56"/>
      <c r="N394" s="56"/>
      <c r="O394" s="56"/>
      <c r="P394" s="56"/>
      <c r="Q394" s="56"/>
      <c r="R394" s="56"/>
      <c r="S394" s="56"/>
      <c r="T394" s="56" t="s">
        <v>44</v>
      </c>
      <c r="U394" s="56"/>
      <c r="V394" s="56"/>
      <c r="W394" s="56"/>
      <c r="X394" s="42" t="s">
        <v>3207</v>
      </c>
      <c r="Y394" s="58" t="s">
        <v>3208</v>
      </c>
      <c r="Z394" s="58"/>
      <c r="AA394" s="45">
        <v>45644</v>
      </c>
      <c r="AB394" s="101" t="s">
        <v>30</v>
      </c>
      <c r="AC394" s="73"/>
      <c r="AD394" s="47" t="s">
        <v>49</v>
      </c>
      <c r="AE394" s="48" t="s">
        <v>41</v>
      </c>
      <c r="AF394" s="48" t="s">
        <v>41</v>
      </c>
      <c r="AG394" s="48" t="s">
        <v>41</v>
      </c>
      <c r="AH394" s="48" t="s">
        <v>49</v>
      </c>
      <c r="AI394" s="48" t="s">
        <v>49</v>
      </c>
      <c r="AJ394" s="49" t="s">
        <v>49</v>
      </c>
      <c r="AK394" s="48" t="s">
        <v>41</v>
      </c>
      <c r="AL394" s="65" t="s">
        <v>148</v>
      </c>
      <c r="AM394" s="59"/>
      <c r="AN394" s="117"/>
      <c r="AO394" s="3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1"/>
    </row>
    <row r="395" spans="1:51" x14ac:dyDescent="0.2">
      <c r="A395" s="33">
        <f t="shared" ref="A395:A458" si="7">+A394+1</f>
        <v>390</v>
      </c>
      <c r="B395" s="34" t="s">
        <v>3209</v>
      </c>
      <c r="C395" s="35" t="s">
        <v>3210</v>
      </c>
      <c r="D395" s="36" t="s">
        <v>3211</v>
      </c>
      <c r="E395" s="36" t="s">
        <v>54</v>
      </c>
      <c r="F395" s="226" t="s">
        <v>3212</v>
      </c>
      <c r="G395" s="37" t="s">
        <v>39</v>
      </c>
      <c r="H395" s="37" t="s">
        <v>39</v>
      </c>
      <c r="I395" s="38" t="s">
        <v>3213</v>
      </c>
      <c r="J395" s="34" t="s">
        <v>41</v>
      </c>
      <c r="K395" s="39" t="s">
        <v>42</v>
      </c>
      <c r="L395" s="99" t="s">
        <v>1119</v>
      </c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42" t="s">
        <v>3214</v>
      </c>
      <c r="Y395" s="69" t="s">
        <v>3215</v>
      </c>
      <c r="Z395" s="44" t="s">
        <v>61</v>
      </c>
      <c r="AA395" s="45">
        <v>40280</v>
      </c>
      <c r="AB395" s="101" t="s">
        <v>30</v>
      </c>
      <c r="AC395" s="36" t="s">
        <v>26</v>
      </c>
      <c r="AD395" s="47" t="s">
        <v>49</v>
      </c>
      <c r="AE395" s="48" t="s">
        <v>49</v>
      </c>
      <c r="AF395" s="48" t="s">
        <v>49</v>
      </c>
      <c r="AG395" s="48" t="s">
        <v>49</v>
      </c>
      <c r="AH395" s="48" t="s">
        <v>49</v>
      </c>
      <c r="AI395" s="48" t="s">
        <v>49</v>
      </c>
      <c r="AJ395" s="49" t="s">
        <v>49</v>
      </c>
      <c r="AK395" s="48" t="s">
        <v>49</v>
      </c>
      <c r="AL395" s="62" t="s">
        <v>32</v>
      </c>
      <c r="AM395" s="103"/>
      <c r="AN395" s="10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1"/>
    </row>
    <row r="396" spans="1:51" x14ac:dyDescent="0.2">
      <c r="A396" s="33">
        <f t="shared" si="7"/>
        <v>391</v>
      </c>
      <c r="B396" s="34" t="s">
        <v>3216</v>
      </c>
      <c r="C396" s="35" t="s">
        <v>3217</v>
      </c>
      <c r="D396" s="36" t="s">
        <v>3218</v>
      </c>
      <c r="E396" s="36" t="s">
        <v>54</v>
      </c>
      <c r="F396" s="34" t="s">
        <v>3219</v>
      </c>
      <c r="G396" s="37" t="s">
        <v>323</v>
      </c>
      <c r="H396" s="37" t="s">
        <v>39</v>
      </c>
      <c r="I396" s="34" t="s">
        <v>3220</v>
      </c>
      <c r="J396" s="34" t="s">
        <v>41</v>
      </c>
      <c r="K396" s="39" t="s">
        <v>42</v>
      </c>
      <c r="L396" s="99" t="s">
        <v>3003</v>
      </c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2" t="s">
        <v>3221</v>
      </c>
      <c r="Y396" s="69" t="s">
        <v>3222</v>
      </c>
      <c r="Z396" s="44" t="s">
        <v>61</v>
      </c>
      <c r="AA396" s="45">
        <v>36803</v>
      </c>
      <c r="AB396" s="101" t="s">
        <v>30</v>
      </c>
      <c r="AC396" s="36" t="s">
        <v>26</v>
      </c>
      <c r="AD396" s="47" t="s">
        <v>49</v>
      </c>
      <c r="AE396" s="48" t="s">
        <v>49</v>
      </c>
      <c r="AF396" s="48" t="s">
        <v>49</v>
      </c>
      <c r="AG396" s="48" t="s">
        <v>49</v>
      </c>
      <c r="AH396" s="48" t="s">
        <v>49</v>
      </c>
      <c r="AI396" s="48" t="s">
        <v>49</v>
      </c>
      <c r="AJ396" s="49" t="s">
        <v>49</v>
      </c>
      <c r="AK396" s="48" t="s">
        <v>49</v>
      </c>
      <c r="AL396" s="62" t="s">
        <v>32</v>
      </c>
      <c r="AM396" s="59"/>
      <c r="AN396" s="10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1"/>
    </row>
    <row r="397" spans="1:51" x14ac:dyDescent="0.2">
      <c r="A397" s="33">
        <f t="shared" si="7"/>
        <v>392</v>
      </c>
      <c r="B397" s="34" t="s">
        <v>3223</v>
      </c>
      <c r="C397" s="35" t="s">
        <v>3224</v>
      </c>
      <c r="D397" s="36" t="s">
        <v>3225</v>
      </c>
      <c r="E397" s="36" t="s">
        <v>54</v>
      </c>
      <c r="F397" s="34" t="s">
        <v>3226</v>
      </c>
      <c r="G397" s="37" t="s">
        <v>73</v>
      </c>
      <c r="H397" s="37" t="s">
        <v>73</v>
      </c>
      <c r="I397" s="34" t="s">
        <v>3227</v>
      </c>
      <c r="J397" s="34" t="s">
        <v>3227</v>
      </c>
      <c r="K397" s="39" t="s">
        <v>42</v>
      </c>
      <c r="L397" s="120">
        <v>36594</v>
      </c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2" t="s">
        <v>3228</v>
      </c>
      <c r="Y397" s="100" t="s">
        <v>3229</v>
      </c>
      <c r="Z397" s="44" t="s">
        <v>61</v>
      </c>
      <c r="AA397" s="45">
        <v>36803</v>
      </c>
      <c r="AB397" s="101" t="s">
        <v>30</v>
      </c>
      <c r="AC397" s="36" t="s">
        <v>26</v>
      </c>
      <c r="AD397" s="47" t="s">
        <v>49</v>
      </c>
      <c r="AE397" s="48" t="s">
        <v>49</v>
      </c>
      <c r="AF397" s="48" t="s">
        <v>49</v>
      </c>
      <c r="AG397" s="48" t="s">
        <v>49</v>
      </c>
      <c r="AH397" s="48" t="s">
        <v>49</v>
      </c>
      <c r="AI397" s="48" t="s">
        <v>49</v>
      </c>
      <c r="AJ397" s="49" t="s">
        <v>49</v>
      </c>
      <c r="AK397" s="48" t="s">
        <v>49</v>
      </c>
      <c r="AL397" s="62" t="s">
        <v>32</v>
      </c>
      <c r="AM397" s="59"/>
      <c r="AN397" s="10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1"/>
    </row>
    <row r="398" spans="1:51" x14ac:dyDescent="0.2">
      <c r="A398" s="33">
        <f t="shared" si="7"/>
        <v>393</v>
      </c>
      <c r="B398" s="34" t="s">
        <v>3230</v>
      </c>
      <c r="C398" s="35" t="s">
        <v>3231</v>
      </c>
      <c r="D398" s="36" t="s">
        <v>3232</v>
      </c>
      <c r="E398" s="36" t="s">
        <v>54</v>
      </c>
      <c r="F398" s="34" t="s">
        <v>3233</v>
      </c>
      <c r="G398" s="37" t="s">
        <v>73</v>
      </c>
      <c r="H398" s="37" t="s">
        <v>73</v>
      </c>
      <c r="I398" s="34" t="s">
        <v>1679</v>
      </c>
      <c r="J398" s="34" t="s">
        <v>1877</v>
      </c>
      <c r="K398" s="39" t="s">
        <v>42</v>
      </c>
      <c r="L398" s="99" t="s">
        <v>3234</v>
      </c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42" t="s">
        <v>3235</v>
      </c>
      <c r="Y398" s="58" t="s">
        <v>3236</v>
      </c>
      <c r="Z398" s="44" t="s">
        <v>61</v>
      </c>
      <c r="AA398" s="45">
        <v>36803</v>
      </c>
      <c r="AB398" s="101" t="s">
        <v>30</v>
      </c>
      <c r="AC398" s="36" t="s">
        <v>26</v>
      </c>
      <c r="AD398" s="64" t="s">
        <v>120</v>
      </c>
      <c r="AE398" s="48" t="s">
        <v>120</v>
      </c>
      <c r="AF398" s="48" t="s">
        <v>120</v>
      </c>
      <c r="AG398" s="48" t="s">
        <v>120</v>
      </c>
      <c r="AH398" s="48" t="s">
        <v>120</v>
      </c>
      <c r="AI398" s="48" t="s">
        <v>120</v>
      </c>
      <c r="AJ398" s="49" t="s">
        <v>120</v>
      </c>
      <c r="AK398" s="48" t="s">
        <v>120</v>
      </c>
      <c r="AL398" s="65" t="s">
        <v>32</v>
      </c>
      <c r="AM398" s="59"/>
      <c r="AN398" s="10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1"/>
    </row>
    <row r="399" spans="1:51" x14ac:dyDescent="0.2">
      <c r="A399" s="33">
        <f t="shared" si="7"/>
        <v>394</v>
      </c>
      <c r="B399" s="34" t="s">
        <v>3237</v>
      </c>
      <c r="C399" s="35" t="s">
        <v>3238</v>
      </c>
      <c r="D399" s="36" t="s">
        <v>4607</v>
      </c>
      <c r="E399" s="36" t="s">
        <v>54</v>
      </c>
      <c r="F399" s="34" t="s">
        <v>4608</v>
      </c>
      <c r="G399" s="37" t="s">
        <v>73</v>
      </c>
      <c r="H399" s="37" t="s">
        <v>73</v>
      </c>
      <c r="I399" s="42" t="s">
        <v>4610</v>
      </c>
      <c r="J399" s="34" t="s">
        <v>41</v>
      </c>
      <c r="K399" s="39" t="s">
        <v>42</v>
      </c>
      <c r="L399" s="120">
        <v>37202</v>
      </c>
      <c r="M399" s="41" t="s">
        <v>179</v>
      </c>
      <c r="N399" s="41"/>
      <c r="O399" s="41"/>
      <c r="P399" s="41"/>
      <c r="Q399" s="41"/>
      <c r="R399" s="41"/>
      <c r="S399" s="41"/>
      <c r="T399" s="41"/>
      <c r="U399" s="41"/>
      <c r="V399" s="41"/>
      <c r="W399" s="41" t="s">
        <v>732</v>
      </c>
      <c r="X399" s="42" t="s">
        <v>4609</v>
      </c>
      <c r="Y399" s="58" t="s">
        <v>3239</v>
      </c>
      <c r="Z399" s="44" t="s">
        <v>61</v>
      </c>
      <c r="AA399" s="45">
        <v>40280</v>
      </c>
      <c r="AB399" s="101" t="s">
        <v>30</v>
      </c>
      <c r="AC399" s="36" t="s">
        <v>26</v>
      </c>
      <c r="AD399" s="47" t="s">
        <v>49</v>
      </c>
      <c r="AE399" s="48" t="s">
        <v>49</v>
      </c>
      <c r="AF399" s="48" t="s">
        <v>49</v>
      </c>
      <c r="AG399" s="48" t="s">
        <v>49</v>
      </c>
      <c r="AH399" s="48" t="s">
        <v>49</v>
      </c>
      <c r="AI399" s="48" t="s">
        <v>49</v>
      </c>
      <c r="AJ399" s="49" t="s">
        <v>49</v>
      </c>
      <c r="AK399" s="48" t="s">
        <v>49</v>
      </c>
      <c r="AL399" s="62" t="s">
        <v>32</v>
      </c>
      <c r="AM399" s="59"/>
      <c r="AN399" s="10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1"/>
    </row>
    <row r="400" spans="1:51" x14ac:dyDescent="0.2">
      <c r="A400" s="33">
        <f t="shared" si="7"/>
        <v>395</v>
      </c>
      <c r="B400" s="34" t="s">
        <v>3240</v>
      </c>
      <c r="C400" s="35" t="s">
        <v>3241</v>
      </c>
      <c r="D400" s="36" t="s">
        <v>3242</v>
      </c>
      <c r="E400" s="36" t="s">
        <v>36</v>
      </c>
      <c r="F400" s="34" t="s">
        <v>3243</v>
      </c>
      <c r="G400" s="37" t="s">
        <v>73</v>
      </c>
      <c r="H400" s="37" t="s">
        <v>73</v>
      </c>
      <c r="I400" s="34" t="s">
        <v>3244</v>
      </c>
      <c r="J400" s="34" t="s">
        <v>41</v>
      </c>
      <c r="K400" s="39" t="s">
        <v>42</v>
      </c>
      <c r="L400" s="120">
        <v>36895</v>
      </c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2" t="s">
        <v>3245</v>
      </c>
      <c r="Y400" s="52" t="s">
        <v>3246</v>
      </c>
      <c r="Z400" s="44" t="s">
        <v>61</v>
      </c>
      <c r="AA400" s="45">
        <v>36803</v>
      </c>
      <c r="AB400" s="101" t="s">
        <v>30</v>
      </c>
      <c r="AC400" s="36" t="s">
        <v>26</v>
      </c>
      <c r="AD400" s="47" t="s">
        <v>49</v>
      </c>
      <c r="AE400" s="48" t="s">
        <v>49</v>
      </c>
      <c r="AF400" s="48" t="s">
        <v>49</v>
      </c>
      <c r="AG400" s="48" t="s">
        <v>49</v>
      </c>
      <c r="AH400" s="48" t="s">
        <v>49</v>
      </c>
      <c r="AI400" s="48" t="s">
        <v>49</v>
      </c>
      <c r="AJ400" s="49" t="s">
        <v>49</v>
      </c>
      <c r="AK400" s="48" t="s">
        <v>49</v>
      </c>
      <c r="AL400" s="65" t="s">
        <v>32</v>
      </c>
      <c r="AM400" s="59"/>
      <c r="AN400" s="10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1"/>
    </row>
    <row r="401" spans="1:51" x14ac:dyDescent="0.2">
      <c r="A401" s="33">
        <f t="shared" si="7"/>
        <v>396</v>
      </c>
      <c r="B401" s="34" t="s">
        <v>3247</v>
      </c>
      <c r="C401" s="35" t="s">
        <v>3248</v>
      </c>
      <c r="D401" s="73" t="s">
        <v>3249</v>
      </c>
      <c r="E401" s="36" t="s">
        <v>54</v>
      </c>
      <c r="F401" s="98" t="s">
        <v>3250</v>
      </c>
      <c r="G401" s="37" t="s">
        <v>73</v>
      </c>
      <c r="H401" s="37" t="s">
        <v>73</v>
      </c>
      <c r="I401" s="34" t="s">
        <v>3251</v>
      </c>
      <c r="J401" s="34" t="s">
        <v>41</v>
      </c>
      <c r="K401" s="39" t="s">
        <v>42</v>
      </c>
      <c r="L401" s="120">
        <v>35681</v>
      </c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42" t="s">
        <v>3252</v>
      </c>
      <c r="Y401" s="58" t="s">
        <v>3253</v>
      </c>
      <c r="Z401" s="44" t="s">
        <v>3254</v>
      </c>
      <c r="AA401" s="45">
        <v>42325</v>
      </c>
      <c r="AB401" s="101" t="s">
        <v>30</v>
      </c>
      <c r="AC401" s="73"/>
      <c r="AD401" s="47" t="s">
        <v>49</v>
      </c>
      <c r="AE401" s="48" t="s">
        <v>41</v>
      </c>
      <c r="AF401" s="48" t="s">
        <v>41</v>
      </c>
      <c r="AG401" s="48" t="s">
        <v>41</v>
      </c>
      <c r="AH401" s="48" t="s">
        <v>41</v>
      </c>
      <c r="AI401" s="48" t="s">
        <v>41</v>
      </c>
      <c r="AJ401" s="49" t="s">
        <v>41</v>
      </c>
      <c r="AK401" s="48" t="s">
        <v>41</v>
      </c>
      <c r="AL401" s="65" t="s">
        <v>4590</v>
      </c>
      <c r="AM401" s="59"/>
      <c r="AN401" s="10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1"/>
    </row>
    <row r="402" spans="1:51" x14ac:dyDescent="0.2">
      <c r="A402" s="33">
        <f t="shared" si="7"/>
        <v>397</v>
      </c>
      <c r="B402" s="34" t="s">
        <v>3255</v>
      </c>
      <c r="C402" s="35" t="s">
        <v>3256</v>
      </c>
      <c r="D402" s="36" t="s">
        <v>3257</v>
      </c>
      <c r="E402" s="36" t="s">
        <v>36</v>
      </c>
      <c r="F402" s="34" t="s">
        <v>3258</v>
      </c>
      <c r="G402" s="37" t="s">
        <v>73</v>
      </c>
      <c r="H402" s="37" t="s">
        <v>73</v>
      </c>
      <c r="I402" s="34" t="s">
        <v>3259</v>
      </c>
      <c r="J402" s="34" t="s">
        <v>41</v>
      </c>
      <c r="K402" s="39" t="s">
        <v>42</v>
      </c>
      <c r="L402" s="120" t="s">
        <v>3260</v>
      </c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2" t="s">
        <v>3261</v>
      </c>
      <c r="Y402" s="58" t="s">
        <v>3262</v>
      </c>
      <c r="Z402" s="44" t="s">
        <v>3263</v>
      </c>
      <c r="AA402" s="45">
        <v>43200</v>
      </c>
      <c r="AB402" s="101" t="s">
        <v>30</v>
      </c>
      <c r="AC402" s="36" t="s">
        <v>26</v>
      </c>
      <c r="AD402" s="47" t="s">
        <v>49</v>
      </c>
      <c r="AE402" s="48" t="s">
        <v>49</v>
      </c>
      <c r="AF402" s="48" t="s">
        <v>49</v>
      </c>
      <c r="AG402" s="48" t="s">
        <v>49</v>
      </c>
      <c r="AH402" s="48" t="s">
        <v>49</v>
      </c>
      <c r="AI402" s="48" t="s">
        <v>49</v>
      </c>
      <c r="AJ402" s="49" t="s">
        <v>49</v>
      </c>
      <c r="AK402" s="48" t="s">
        <v>49</v>
      </c>
      <c r="AL402" s="65" t="s">
        <v>32</v>
      </c>
      <c r="AM402" s="59"/>
      <c r="AN402" s="10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1"/>
    </row>
    <row r="403" spans="1:51" x14ac:dyDescent="0.2">
      <c r="A403" s="33">
        <f t="shared" si="7"/>
        <v>398</v>
      </c>
      <c r="B403" s="34" t="s">
        <v>3264</v>
      </c>
      <c r="C403" s="35" t="s">
        <v>3265</v>
      </c>
      <c r="D403" s="36" t="s">
        <v>3266</v>
      </c>
      <c r="E403" s="36" t="s">
        <v>54</v>
      </c>
      <c r="F403" s="34" t="s">
        <v>3267</v>
      </c>
      <c r="G403" s="37" t="s">
        <v>73</v>
      </c>
      <c r="H403" s="37" t="s">
        <v>73</v>
      </c>
      <c r="I403" s="38" t="s">
        <v>3268</v>
      </c>
      <c r="J403" s="34" t="s">
        <v>41</v>
      </c>
      <c r="K403" s="39" t="s">
        <v>42</v>
      </c>
      <c r="L403" s="120" t="s">
        <v>3269</v>
      </c>
      <c r="M403" s="41"/>
      <c r="N403" s="41"/>
      <c r="O403" s="41"/>
      <c r="P403" s="41"/>
      <c r="Q403" s="41"/>
      <c r="R403" s="41"/>
      <c r="S403" s="41"/>
      <c r="T403" s="41" t="s">
        <v>44</v>
      </c>
      <c r="U403" s="41"/>
      <c r="V403" s="41"/>
      <c r="W403" s="41"/>
      <c r="X403" s="42" t="s">
        <v>3270</v>
      </c>
      <c r="Y403" s="83" t="s">
        <v>3271</v>
      </c>
      <c r="Z403" s="83"/>
      <c r="AA403" s="45">
        <v>45642</v>
      </c>
      <c r="AB403" s="101"/>
      <c r="AC403" s="36"/>
      <c r="AD403" s="47" t="s">
        <v>49</v>
      </c>
      <c r="AE403" s="48" t="s">
        <v>41</v>
      </c>
      <c r="AF403" s="48" t="s">
        <v>41</v>
      </c>
      <c r="AG403" s="48" t="s">
        <v>41</v>
      </c>
      <c r="AH403" s="48" t="s">
        <v>49</v>
      </c>
      <c r="AI403" s="48" t="s">
        <v>49</v>
      </c>
      <c r="AJ403" s="49" t="s">
        <v>49</v>
      </c>
      <c r="AK403" s="48" t="s">
        <v>41</v>
      </c>
      <c r="AL403" s="65" t="s">
        <v>148</v>
      </c>
      <c r="AM403" s="59"/>
      <c r="AN403" s="10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1"/>
    </row>
    <row r="404" spans="1:51" x14ac:dyDescent="0.2">
      <c r="A404" s="33">
        <f t="shared" si="7"/>
        <v>399</v>
      </c>
      <c r="B404" s="34" t="s">
        <v>3272</v>
      </c>
      <c r="C404" s="35" t="s">
        <v>3273</v>
      </c>
      <c r="D404" s="36" t="s">
        <v>3274</v>
      </c>
      <c r="E404" s="36" t="s">
        <v>54</v>
      </c>
      <c r="F404" s="34" t="s">
        <v>3275</v>
      </c>
      <c r="G404" s="37" t="s">
        <v>73</v>
      </c>
      <c r="H404" s="37" t="s">
        <v>73</v>
      </c>
      <c r="I404" s="34" t="s">
        <v>3276</v>
      </c>
      <c r="J404" s="34" t="s">
        <v>41</v>
      </c>
      <c r="K404" s="39" t="s">
        <v>42</v>
      </c>
      <c r="L404" s="120">
        <v>35531</v>
      </c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42" t="s">
        <v>3277</v>
      </c>
      <c r="Y404" s="100" t="s">
        <v>3278</v>
      </c>
      <c r="Z404" s="44" t="s">
        <v>3279</v>
      </c>
      <c r="AA404" s="45">
        <v>42935</v>
      </c>
      <c r="AB404" s="101" t="s">
        <v>30</v>
      </c>
      <c r="AC404" s="36" t="s">
        <v>26</v>
      </c>
      <c r="AD404" s="64" t="s">
        <v>120</v>
      </c>
      <c r="AE404" s="48" t="s">
        <v>120</v>
      </c>
      <c r="AF404" s="48" t="s">
        <v>120</v>
      </c>
      <c r="AG404" s="48" t="s">
        <v>120</v>
      </c>
      <c r="AH404" s="48" t="s">
        <v>120</v>
      </c>
      <c r="AI404" s="48" t="s">
        <v>120</v>
      </c>
      <c r="AJ404" s="49" t="s">
        <v>120</v>
      </c>
      <c r="AK404" s="48" t="s">
        <v>120</v>
      </c>
      <c r="AL404" s="65" t="s">
        <v>32</v>
      </c>
      <c r="AM404" s="59"/>
      <c r="AN404" s="10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1"/>
    </row>
    <row r="405" spans="1:51" x14ac:dyDescent="0.2">
      <c r="A405" s="33">
        <f t="shared" si="7"/>
        <v>400</v>
      </c>
      <c r="B405" s="34" t="s">
        <v>3280</v>
      </c>
      <c r="C405" s="35" t="s">
        <v>3281</v>
      </c>
      <c r="D405" s="36" t="s">
        <v>3282</v>
      </c>
      <c r="E405" s="36" t="s">
        <v>54</v>
      </c>
      <c r="F405" s="34" t="s">
        <v>3283</v>
      </c>
      <c r="G405" s="37" t="s">
        <v>73</v>
      </c>
      <c r="H405" s="37" t="s">
        <v>73</v>
      </c>
      <c r="I405" s="34" t="s">
        <v>3284</v>
      </c>
      <c r="J405" s="34" t="s">
        <v>41</v>
      </c>
      <c r="K405" s="39" t="s">
        <v>42</v>
      </c>
      <c r="L405" s="99" t="s">
        <v>3285</v>
      </c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42" t="s">
        <v>3286</v>
      </c>
      <c r="Y405" s="58" t="s">
        <v>3287</v>
      </c>
      <c r="Z405" s="44" t="s">
        <v>61</v>
      </c>
      <c r="AA405" s="45">
        <v>39286</v>
      </c>
      <c r="AB405" s="101" t="s">
        <v>30</v>
      </c>
      <c r="AC405" s="36"/>
      <c r="AD405" s="47" t="s">
        <v>49</v>
      </c>
      <c r="AE405" s="48" t="s">
        <v>41</v>
      </c>
      <c r="AF405" s="48" t="s">
        <v>41</v>
      </c>
      <c r="AG405" s="48" t="s">
        <v>41</v>
      </c>
      <c r="AH405" s="48" t="s">
        <v>41</v>
      </c>
      <c r="AI405" s="48" t="s">
        <v>41</v>
      </c>
      <c r="AJ405" s="49" t="s">
        <v>41</v>
      </c>
      <c r="AK405" s="48" t="s">
        <v>41</v>
      </c>
      <c r="AL405" s="65" t="s">
        <v>4588</v>
      </c>
      <c r="AM405" s="59"/>
      <c r="AN405" s="10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1"/>
    </row>
    <row r="406" spans="1:51" x14ac:dyDescent="0.2">
      <c r="A406" s="33">
        <f t="shared" si="7"/>
        <v>401</v>
      </c>
      <c r="B406" s="34" t="s">
        <v>3288</v>
      </c>
      <c r="C406" s="35" t="s">
        <v>3289</v>
      </c>
      <c r="D406" s="36" t="s">
        <v>3290</v>
      </c>
      <c r="E406" s="36" t="s">
        <v>241</v>
      </c>
      <c r="F406" s="34" t="s">
        <v>3291</v>
      </c>
      <c r="G406" s="37" t="s">
        <v>73</v>
      </c>
      <c r="H406" s="37" t="s">
        <v>73</v>
      </c>
      <c r="I406" s="34" t="s">
        <v>3292</v>
      </c>
      <c r="J406" s="34" t="s">
        <v>41</v>
      </c>
      <c r="K406" s="39" t="s">
        <v>42</v>
      </c>
      <c r="L406" s="99" t="s">
        <v>3293</v>
      </c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2" t="s">
        <v>3294</v>
      </c>
      <c r="Y406" s="58" t="s">
        <v>3295</v>
      </c>
      <c r="Z406" s="44" t="s">
        <v>61</v>
      </c>
      <c r="AA406" s="45">
        <v>34597</v>
      </c>
      <c r="AB406" s="101" t="s">
        <v>129</v>
      </c>
      <c r="AC406" s="36" t="s">
        <v>26</v>
      </c>
      <c r="AD406" s="47" t="s">
        <v>49</v>
      </c>
      <c r="AE406" s="48" t="s">
        <v>49</v>
      </c>
      <c r="AF406" s="48" t="s">
        <v>41</v>
      </c>
      <c r="AG406" s="48" t="s">
        <v>41</v>
      </c>
      <c r="AH406" s="48" t="s">
        <v>41</v>
      </c>
      <c r="AI406" s="48" t="s">
        <v>41</v>
      </c>
      <c r="AJ406" s="49" t="s">
        <v>41</v>
      </c>
      <c r="AK406" s="48" t="s">
        <v>41</v>
      </c>
      <c r="AL406" s="62" t="s">
        <v>4587</v>
      </c>
      <c r="AM406" s="59"/>
      <c r="AN406" s="117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1"/>
    </row>
    <row r="407" spans="1:51" x14ac:dyDescent="0.2">
      <c r="A407" s="33">
        <f t="shared" si="7"/>
        <v>402</v>
      </c>
      <c r="B407" s="108" t="s">
        <v>3296</v>
      </c>
      <c r="C407" s="35" t="s">
        <v>3297</v>
      </c>
      <c r="D407" s="73" t="s">
        <v>3298</v>
      </c>
      <c r="E407" s="36" t="s">
        <v>36</v>
      </c>
      <c r="F407" s="192" t="s">
        <v>3299</v>
      </c>
      <c r="G407" s="37" t="s">
        <v>398</v>
      </c>
      <c r="H407" s="37" t="s">
        <v>205</v>
      </c>
      <c r="I407" s="140" t="s">
        <v>3300</v>
      </c>
      <c r="J407" s="38" t="s">
        <v>41</v>
      </c>
      <c r="K407" s="39" t="s">
        <v>42</v>
      </c>
      <c r="L407" s="166" t="s">
        <v>3301</v>
      </c>
      <c r="M407" s="56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42" t="s">
        <v>3302</v>
      </c>
      <c r="Y407" s="58" t="s">
        <v>3303</v>
      </c>
      <c r="Z407" s="44" t="s">
        <v>3304</v>
      </c>
      <c r="AA407" s="45">
        <v>42325</v>
      </c>
      <c r="AB407" s="101" t="s">
        <v>30</v>
      </c>
      <c r="AC407" s="73" t="s">
        <v>26</v>
      </c>
      <c r="AD407" s="47" t="s">
        <v>49</v>
      </c>
      <c r="AE407" s="48" t="s">
        <v>49</v>
      </c>
      <c r="AF407" s="48" t="s">
        <v>49</v>
      </c>
      <c r="AG407" s="48" t="s">
        <v>49</v>
      </c>
      <c r="AH407" s="48" t="s">
        <v>49</v>
      </c>
      <c r="AI407" s="48" t="s">
        <v>49</v>
      </c>
      <c r="AJ407" s="49" t="s">
        <v>49</v>
      </c>
      <c r="AK407" s="48" t="s">
        <v>41</v>
      </c>
      <c r="AL407" s="65" t="s">
        <v>148</v>
      </c>
      <c r="AM407" s="59"/>
      <c r="AN407" s="10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1"/>
    </row>
    <row r="408" spans="1:51" x14ac:dyDescent="0.2">
      <c r="A408" s="33">
        <f t="shared" si="7"/>
        <v>403</v>
      </c>
      <c r="B408" s="34" t="s">
        <v>3305</v>
      </c>
      <c r="C408" s="35" t="s">
        <v>3306</v>
      </c>
      <c r="D408" s="36" t="s">
        <v>3307</v>
      </c>
      <c r="E408" s="36" t="s">
        <v>54</v>
      </c>
      <c r="F408" s="34" t="s">
        <v>3308</v>
      </c>
      <c r="G408" s="37" t="s">
        <v>73</v>
      </c>
      <c r="H408" s="37" t="s">
        <v>73</v>
      </c>
      <c r="I408" s="34" t="s">
        <v>3309</v>
      </c>
      <c r="J408" s="34" t="s">
        <v>41</v>
      </c>
      <c r="K408" s="39" t="s">
        <v>42</v>
      </c>
      <c r="L408" s="120">
        <v>36895</v>
      </c>
      <c r="M408" s="41"/>
      <c r="N408" s="177"/>
      <c r="O408" s="112"/>
      <c r="P408" s="177"/>
      <c r="Q408" s="112"/>
      <c r="R408" s="112"/>
      <c r="S408" s="112"/>
      <c r="T408" s="177"/>
      <c r="U408" s="112"/>
      <c r="V408" s="41"/>
      <c r="W408" s="41"/>
      <c r="X408" s="42" t="s">
        <v>3310</v>
      </c>
      <c r="Y408" s="52" t="s">
        <v>3311</v>
      </c>
      <c r="Z408" s="44" t="s">
        <v>61</v>
      </c>
      <c r="AA408" s="45">
        <v>39286</v>
      </c>
      <c r="AB408" s="101" t="s">
        <v>30</v>
      </c>
      <c r="AC408" s="36" t="s">
        <v>26</v>
      </c>
      <c r="AD408" s="61" t="s">
        <v>49</v>
      </c>
      <c r="AE408" s="48" t="s">
        <v>49</v>
      </c>
      <c r="AF408" s="48" t="s">
        <v>49</v>
      </c>
      <c r="AG408" s="48" t="s">
        <v>49</v>
      </c>
      <c r="AH408" s="48" t="s">
        <v>49</v>
      </c>
      <c r="AI408" s="48" t="s">
        <v>49</v>
      </c>
      <c r="AJ408" s="49" t="s">
        <v>49</v>
      </c>
      <c r="AK408" s="48" t="s">
        <v>41</v>
      </c>
      <c r="AL408" s="65" t="s">
        <v>148</v>
      </c>
      <c r="AM408" s="59"/>
      <c r="AN408" s="10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1"/>
    </row>
    <row r="409" spans="1:51" x14ac:dyDescent="0.2">
      <c r="A409" s="33">
        <f t="shared" si="7"/>
        <v>404</v>
      </c>
      <c r="B409" s="34" t="s">
        <v>3312</v>
      </c>
      <c r="C409" s="35" t="s">
        <v>3313</v>
      </c>
      <c r="D409" s="36" t="s">
        <v>3314</v>
      </c>
      <c r="E409" s="36" t="s">
        <v>54</v>
      </c>
      <c r="F409" s="87" t="s">
        <v>3315</v>
      </c>
      <c r="G409" s="37" t="s">
        <v>323</v>
      </c>
      <c r="H409" s="37" t="s">
        <v>39</v>
      </c>
      <c r="I409" s="34" t="s">
        <v>3316</v>
      </c>
      <c r="J409" s="34" t="s">
        <v>41</v>
      </c>
      <c r="K409" s="39" t="s">
        <v>42</v>
      </c>
      <c r="L409" s="120">
        <v>42254</v>
      </c>
      <c r="M409" s="56"/>
      <c r="N409" s="114"/>
      <c r="O409" s="115"/>
      <c r="P409" s="114"/>
      <c r="Q409" s="115"/>
      <c r="R409" s="115"/>
      <c r="S409" s="115"/>
      <c r="T409" s="114"/>
      <c r="U409" s="115"/>
      <c r="V409" s="56"/>
      <c r="W409" s="56"/>
      <c r="X409" s="42" t="s">
        <v>3317</v>
      </c>
      <c r="Y409" s="100" t="s">
        <v>3318</v>
      </c>
      <c r="Z409" s="44" t="s">
        <v>3319</v>
      </c>
      <c r="AA409" s="45">
        <v>42325</v>
      </c>
      <c r="AB409" s="101" t="s">
        <v>30</v>
      </c>
      <c r="AC409" s="36" t="s">
        <v>26</v>
      </c>
      <c r="AD409" s="47" t="s">
        <v>49</v>
      </c>
      <c r="AE409" s="48" t="s">
        <v>49</v>
      </c>
      <c r="AF409" s="48" t="s">
        <v>49</v>
      </c>
      <c r="AG409" s="48" t="s">
        <v>49</v>
      </c>
      <c r="AH409" s="48" t="s">
        <v>49</v>
      </c>
      <c r="AI409" s="48" t="s">
        <v>49</v>
      </c>
      <c r="AJ409" s="49" t="s">
        <v>49</v>
      </c>
      <c r="AK409" s="48" t="s">
        <v>49</v>
      </c>
      <c r="AL409" s="62" t="s">
        <v>32</v>
      </c>
      <c r="AM409" s="59"/>
      <c r="AN409" s="10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1"/>
    </row>
    <row r="410" spans="1:51" x14ac:dyDescent="0.2">
      <c r="A410" s="33">
        <f t="shared" si="7"/>
        <v>405</v>
      </c>
      <c r="B410" s="34" t="s">
        <v>3320</v>
      </c>
      <c r="C410" s="35" t="s">
        <v>3321</v>
      </c>
      <c r="D410" s="109" t="s">
        <v>3322</v>
      </c>
      <c r="E410" s="36" t="s">
        <v>54</v>
      </c>
      <c r="F410" s="108" t="s">
        <v>3323</v>
      </c>
      <c r="G410" s="37" t="s">
        <v>413</v>
      </c>
      <c r="H410" s="37" t="s">
        <v>378</v>
      </c>
      <c r="I410" s="108" t="s">
        <v>3324</v>
      </c>
      <c r="J410" s="38" t="s">
        <v>3325</v>
      </c>
      <c r="K410" s="39" t="s">
        <v>42</v>
      </c>
      <c r="L410" s="120">
        <v>40004</v>
      </c>
      <c r="M410" s="41"/>
      <c r="N410" s="111"/>
      <c r="O410" s="112"/>
      <c r="P410" s="111"/>
      <c r="Q410" s="112"/>
      <c r="R410" s="112"/>
      <c r="S410" s="112"/>
      <c r="T410" s="230"/>
      <c r="U410" s="112"/>
      <c r="V410" s="41"/>
      <c r="W410" s="41"/>
      <c r="X410" s="42" t="s">
        <v>3326</v>
      </c>
      <c r="Y410" s="52" t="s">
        <v>3327</v>
      </c>
      <c r="Z410" s="44" t="s">
        <v>61</v>
      </c>
      <c r="AA410" s="45">
        <v>39286</v>
      </c>
      <c r="AB410" s="101" t="s">
        <v>30</v>
      </c>
      <c r="AC410" s="36" t="s">
        <v>26</v>
      </c>
      <c r="AD410" s="47" t="s">
        <v>49</v>
      </c>
      <c r="AE410" s="48" t="s">
        <v>49</v>
      </c>
      <c r="AF410" s="48" t="s">
        <v>49</v>
      </c>
      <c r="AG410" s="48" t="s">
        <v>49</v>
      </c>
      <c r="AH410" s="48" t="s">
        <v>49</v>
      </c>
      <c r="AI410" s="48" t="s">
        <v>49</v>
      </c>
      <c r="AJ410" s="49" t="s">
        <v>49</v>
      </c>
      <c r="AK410" s="48" t="s">
        <v>41</v>
      </c>
      <c r="AL410" s="62" t="s">
        <v>148</v>
      </c>
      <c r="AM410" s="59"/>
      <c r="AN410" s="10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1"/>
    </row>
    <row r="411" spans="1:51" x14ac:dyDescent="0.2">
      <c r="A411" s="33">
        <f t="shared" si="7"/>
        <v>406</v>
      </c>
      <c r="B411" s="34" t="s">
        <v>3328</v>
      </c>
      <c r="C411" s="35" t="s">
        <v>3329</v>
      </c>
      <c r="D411" s="36" t="s">
        <v>3330</v>
      </c>
      <c r="E411" s="36" t="s">
        <v>54</v>
      </c>
      <c r="F411" s="34" t="s">
        <v>3331</v>
      </c>
      <c r="G411" s="37" t="s">
        <v>73</v>
      </c>
      <c r="H411" s="37" t="s">
        <v>73</v>
      </c>
      <c r="I411" s="34" t="s">
        <v>3332</v>
      </c>
      <c r="J411" s="34" t="s">
        <v>3333</v>
      </c>
      <c r="K411" s="39" t="s">
        <v>42</v>
      </c>
      <c r="L411" s="99" t="s">
        <v>3334</v>
      </c>
      <c r="M411" s="41"/>
      <c r="N411" s="41"/>
      <c r="O411" s="41"/>
      <c r="P411" s="41"/>
      <c r="Q411" s="112"/>
      <c r="R411" s="231"/>
      <c r="S411" s="112"/>
      <c r="T411" s="230"/>
      <c r="U411" s="112"/>
      <c r="V411" s="41"/>
      <c r="W411" s="41"/>
      <c r="X411" s="42" t="s">
        <v>3335</v>
      </c>
      <c r="Y411" s="43" t="s">
        <v>3336</v>
      </c>
      <c r="Z411" s="44" t="s">
        <v>61</v>
      </c>
      <c r="AA411" s="45">
        <v>34597</v>
      </c>
      <c r="AB411" s="101" t="s">
        <v>30</v>
      </c>
      <c r="AC411" s="36" t="s">
        <v>26</v>
      </c>
      <c r="AD411" s="47" t="s">
        <v>49</v>
      </c>
      <c r="AE411" s="48" t="s">
        <v>49</v>
      </c>
      <c r="AF411" s="48" t="s">
        <v>49</v>
      </c>
      <c r="AG411" s="48" t="s">
        <v>49</v>
      </c>
      <c r="AH411" s="48" t="s">
        <v>49</v>
      </c>
      <c r="AI411" s="48" t="s">
        <v>49</v>
      </c>
      <c r="AJ411" s="49" t="s">
        <v>49</v>
      </c>
      <c r="AK411" s="48" t="s">
        <v>49</v>
      </c>
      <c r="AL411" s="65" t="s">
        <v>32</v>
      </c>
      <c r="AM411" s="59"/>
      <c r="AN411" s="10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1"/>
    </row>
    <row r="412" spans="1:51" x14ac:dyDescent="0.2">
      <c r="A412" s="33">
        <f t="shared" si="7"/>
        <v>407</v>
      </c>
      <c r="B412" s="34" t="s">
        <v>3337</v>
      </c>
      <c r="C412" s="35" t="s">
        <v>3338</v>
      </c>
      <c r="D412" s="36" t="s">
        <v>3339</v>
      </c>
      <c r="E412" s="36" t="s">
        <v>54</v>
      </c>
      <c r="F412" s="34" t="s">
        <v>3340</v>
      </c>
      <c r="G412" s="37" t="s">
        <v>73</v>
      </c>
      <c r="H412" s="37" t="s">
        <v>73</v>
      </c>
      <c r="I412" s="34" t="s">
        <v>3341</v>
      </c>
      <c r="J412" s="34" t="s">
        <v>41</v>
      </c>
      <c r="K412" s="39" t="s">
        <v>42</v>
      </c>
      <c r="L412" s="99" t="s">
        <v>3342</v>
      </c>
      <c r="M412" s="41"/>
      <c r="N412" s="41"/>
      <c r="O412" s="41"/>
      <c r="P412" s="41"/>
      <c r="Q412" s="112"/>
      <c r="R412" s="231"/>
      <c r="S412" s="112"/>
      <c r="T412" s="177"/>
      <c r="U412" s="112"/>
      <c r="V412" s="41"/>
      <c r="W412" s="41"/>
      <c r="X412" s="42" t="s">
        <v>3343</v>
      </c>
      <c r="Y412" s="43" t="s">
        <v>3344</v>
      </c>
      <c r="Z412" s="84" t="s">
        <v>3345</v>
      </c>
      <c r="AA412" s="45">
        <v>44650</v>
      </c>
      <c r="AB412" s="101" t="s">
        <v>30</v>
      </c>
      <c r="AC412" s="36"/>
      <c r="AD412" s="47" t="s">
        <v>49</v>
      </c>
      <c r="AE412" s="48" t="s">
        <v>41</v>
      </c>
      <c r="AF412" s="48" t="s">
        <v>49</v>
      </c>
      <c r="AG412" s="48" t="s">
        <v>49</v>
      </c>
      <c r="AH412" s="48" t="s">
        <v>49</v>
      </c>
      <c r="AI412" s="48" t="s">
        <v>49</v>
      </c>
      <c r="AJ412" s="49" t="s">
        <v>49</v>
      </c>
      <c r="AK412" s="48" t="s">
        <v>49</v>
      </c>
      <c r="AL412" s="62" t="s">
        <v>32</v>
      </c>
      <c r="AM412" s="59"/>
      <c r="AN412" s="10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1"/>
    </row>
    <row r="413" spans="1:51" x14ac:dyDescent="0.2">
      <c r="A413" s="33">
        <f t="shared" si="7"/>
        <v>408</v>
      </c>
      <c r="B413" s="34" t="s">
        <v>3346</v>
      </c>
      <c r="C413" s="35" t="s">
        <v>3347</v>
      </c>
      <c r="D413" s="36" t="s">
        <v>3348</v>
      </c>
      <c r="E413" s="36" t="s">
        <v>54</v>
      </c>
      <c r="F413" s="34" t="s">
        <v>3349</v>
      </c>
      <c r="G413" s="37" t="s">
        <v>73</v>
      </c>
      <c r="H413" s="37" t="s">
        <v>73</v>
      </c>
      <c r="I413" s="38" t="s">
        <v>3350</v>
      </c>
      <c r="J413" s="34" t="s">
        <v>41</v>
      </c>
      <c r="K413" s="39" t="s">
        <v>42</v>
      </c>
      <c r="L413" s="99" t="s">
        <v>3351</v>
      </c>
      <c r="M413" s="41"/>
      <c r="N413" s="41"/>
      <c r="O413" s="41"/>
      <c r="P413" s="41"/>
      <c r="Q413" s="41"/>
      <c r="R413" s="41"/>
      <c r="S413" s="41"/>
      <c r="T413" s="177" t="s">
        <v>44</v>
      </c>
      <c r="U413" s="112" t="s">
        <v>732</v>
      </c>
      <c r="V413" s="41"/>
      <c r="W413" s="41"/>
      <c r="X413" s="42" t="s">
        <v>3352</v>
      </c>
      <c r="Y413" s="55" t="s">
        <v>3353</v>
      </c>
      <c r="Z413" s="44"/>
      <c r="AA413" s="45">
        <v>45642</v>
      </c>
      <c r="AB413" s="101"/>
      <c r="AC413" s="36"/>
      <c r="AD413" s="47" t="s">
        <v>49</v>
      </c>
      <c r="AE413" s="48" t="s">
        <v>41</v>
      </c>
      <c r="AF413" s="48" t="s">
        <v>41</v>
      </c>
      <c r="AG413" s="48" t="s">
        <v>41</v>
      </c>
      <c r="AH413" s="48" t="s">
        <v>49</v>
      </c>
      <c r="AI413" s="48" t="s">
        <v>49</v>
      </c>
      <c r="AJ413" s="49" t="s">
        <v>41</v>
      </c>
      <c r="AK413" s="48" t="s">
        <v>41</v>
      </c>
      <c r="AL413" s="62" t="s">
        <v>276</v>
      </c>
      <c r="AM413" s="59"/>
      <c r="AN413" s="10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1"/>
    </row>
    <row r="414" spans="1:51" x14ac:dyDescent="0.2">
      <c r="A414" s="33">
        <f t="shared" si="7"/>
        <v>409</v>
      </c>
      <c r="B414" s="34" t="s">
        <v>3354</v>
      </c>
      <c r="C414" s="35" t="s">
        <v>3355</v>
      </c>
      <c r="D414" s="36" t="s">
        <v>3356</v>
      </c>
      <c r="E414" s="36" t="s">
        <v>54</v>
      </c>
      <c r="F414" s="34" t="s">
        <v>3357</v>
      </c>
      <c r="G414" s="37" t="s">
        <v>73</v>
      </c>
      <c r="H414" s="37" t="s">
        <v>73</v>
      </c>
      <c r="I414" s="34" t="s">
        <v>3358</v>
      </c>
      <c r="J414" s="34" t="s">
        <v>41</v>
      </c>
      <c r="K414" s="39" t="s">
        <v>42</v>
      </c>
      <c r="L414" s="120">
        <v>40399</v>
      </c>
      <c r="M414" s="41"/>
      <c r="N414" s="41"/>
      <c r="O414" s="41"/>
      <c r="P414" s="41"/>
      <c r="Q414" s="41"/>
      <c r="R414" s="41"/>
      <c r="S414" s="41"/>
      <c r="T414" s="177"/>
      <c r="U414" s="112"/>
      <c r="V414" s="112"/>
      <c r="W414" s="112"/>
      <c r="X414" s="57" t="s">
        <v>3359</v>
      </c>
      <c r="Y414" s="69" t="s">
        <v>3360</v>
      </c>
      <c r="Z414" s="44" t="s">
        <v>3361</v>
      </c>
      <c r="AA414" s="45">
        <v>42936</v>
      </c>
      <c r="AB414" s="101" t="s">
        <v>30</v>
      </c>
      <c r="AC414" s="36" t="s">
        <v>26</v>
      </c>
      <c r="AD414" s="64" t="s">
        <v>120</v>
      </c>
      <c r="AE414" s="48" t="s">
        <v>120</v>
      </c>
      <c r="AF414" s="48" t="s">
        <v>120</v>
      </c>
      <c r="AG414" s="48" t="s">
        <v>120</v>
      </c>
      <c r="AH414" s="48" t="s">
        <v>41</v>
      </c>
      <c r="AI414" s="48" t="s">
        <v>41</v>
      </c>
      <c r="AJ414" s="49" t="s">
        <v>41</v>
      </c>
      <c r="AK414" s="48" t="s">
        <v>41</v>
      </c>
      <c r="AL414" s="62" t="s">
        <v>139</v>
      </c>
      <c r="AM414" s="59"/>
      <c r="AN414" s="10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1"/>
    </row>
    <row r="415" spans="1:51" x14ac:dyDescent="0.2">
      <c r="A415" s="33">
        <f t="shared" si="7"/>
        <v>410</v>
      </c>
      <c r="B415" s="34" t="s">
        <v>3362</v>
      </c>
      <c r="C415" s="35" t="s">
        <v>3363</v>
      </c>
      <c r="D415" s="36" t="s">
        <v>3364</v>
      </c>
      <c r="E415" s="36" t="s">
        <v>36</v>
      </c>
      <c r="F415" s="34" t="s">
        <v>3365</v>
      </c>
      <c r="G415" s="37" t="s">
        <v>73</v>
      </c>
      <c r="H415" s="37" t="s">
        <v>73</v>
      </c>
      <c r="I415" s="38" t="s">
        <v>3366</v>
      </c>
      <c r="J415" s="34" t="s">
        <v>41</v>
      </c>
      <c r="K415" s="39" t="s">
        <v>42</v>
      </c>
      <c r="L415" s="120">
        <v>43750</v>
      </c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42" t="s">
        <v>3367</v>
      </c>
      <c r="Y415" s="58" t="s">
        <v>3368</v>
      </c>
      <c r="Z415" s="44" t="s">
        <v>3369</v>
      </c>
      <c r="AA415" s="45">
        <v>44041</v>
      </c>
      <c r="AB415" s="101" t="s">
        <v>30</v>
      </c>
      <c r="AC415" s="36" t="s">
        <v>26</v>
      </c>
      <c r="AD415" s="47" t="s">
        <v>49</v>
      </c>
      <c r="AE415" s="48" t="s">
        <v>49</v>
      </c>
      <c r="AF415" s="48" t="s">
        <v>49</v>
      </c>
      <c r="AG415" s="48" t="s">
        <v>49</v>
      </c>
      <c r="AH415" s="48" t="s">
        <v>49</v>
      </c>
      <c r="AI415" s="48" t="s">
        <v>49</v>
      </c>
      <c r="AJ415" s="49" t="s">
        <v>49</v>
      </c>
      <c r="AK415" s="48" t="s">
        <v>49</v>
      </c>
      <c r="AL415" s="62" t="s">
        <v>32</v>
      </c>
      <c r="AM415" s="59"/>
      <c r="AN415" s="10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1"/>
    </row>
    <row r="416" spans="1:51" x14ac:dyDescent="0.2">
      <c r="A416" s="33">
        <f t="shared" si="7"/>
        <v>411</v>
      </c>
      <c r="B416" s="34" t="s">
        <v>3370</v>
      </c>
      <c r="C416" s="35" t="s">
        <v>3371</v>
      </c>
      <c r="D416" s="36" t="s">
        <v>3372</v>
      </c>
      <c r="E416" s="36" t="s">
        <v>54</v>
      </c>
      <c r="F416" s="34" t="s">
        <v>3373</v>
      </c>
      <c r="G416" s="37" t="s">
        <v>73</v>
      </c>
      <c r="H416" s="37" t="s">
        <v>73</v>
      </c>
      <c r="I416" s="34" t="s">
        <v>3374</v>
      </c>
      <c r="J416" s="34" t="s">
        <v>3375</v>
      </c>
      <c r="K416" s="39" t="s">
        <v>42</v>
      </c>
      <c r="L416" s="99" t="s">
        <v>3376</v>
      </c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2" t="s">
        <v>3377</v>
      </c>
      <c r="Y416" s="100" t="s">
        <v>3378</v>
      </c>
      <c r="Z416" s="44" t="s">
        <v>61</v>
      </c>
      <c r="AA416" s="45">
        <v>36641</v>
      </c>
      <c r="AB416" s="101" t="s">
        <v>30</v>
      </c>
      <c r="AC416" s="36" t="s">
        <v>26</v>
      </c>
      <c r="AD416" s="47" t="s">
        <v>49</v>
      </c>
      <c r="AE416" s="48" t="s">
        <v>49</v>
      </c>
      <c r="AF416" s="48" t="s">
        <v>49</v>
      </c>
      <c r="AG416" s="48" t="s">
        <v>49</v>
      </c>
      <c r="AH416" s="48" t="s">
        <v>49</v>
      </c>
      <c r="AI416" s="48" t="s">
        <v>49</v>
      </c>
      <c r="AJ416" s="49" t="s">
        <v>49</v>
      </c>
      <c r="AK416" s="48" t="s">
        <v>49</v>
      </c>
      <c r="AL416" s="65" t="s">
        <v>32</v>
      </c>
      <c r="AM416" s="59"/>
      <c r="AN416" s="10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1"/>
    </row>
    <row r="417" spans="1:51" x14ac:dyDescent="0.2">
      <c r="A417" s="33">
        <f t="shared" si="7"/>
        <v>412</v>
      </c>
      <c r="B417" s="34" t="s">
        <v>3379</v>
      </c>
      <c r="C417" s="35" t="s">
        <v>3380</v>
      </c>
      <c r="D417" s="36" t="s">
        <v>3381</v>
      </c>
      <c r="E417" s="36" t="s">
        <v>54</v>
      </c>
      <c r="F417" s="34" t="s">
        <v>3382</v>
      </c>
      <c r="G417" s="37" t="s">
        <v>456</v>
      </c>
      <c r="H417" s="37" t="s">
        <v>187</v>
      </c>
      <c r="I417" s="38" t="s">
        <v>3383</v>
      </c>
      <c r="J417" s="34" t="s">
        <v>41</v>
      </c>
      <c r="K417" s="39" t="s">
        <v>42</v>
      </c>
      <c r="L417" s="99" t="s">
        <v>3384</v>
      </c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7" t="s">
        <v>3385</v>
      </c>
      <c r="Y417" s="58" t="s">
        <v>3386</v>
      </c>
      <c r="Z417" s="44" t="s">
        <v>61</v>
      </c>
      <c r="AA417" s="45">
        <v>38593</v>
      </c>
      <c r="AB417" s="101" t="s">
        <v>30</v>
      </c>
      <c r="AC417" s="36" t="s">
        <v>26</v>
      </c>
      <c r="AD417" s="47" t="s">
        <v>49</v>
      </c>
      <c r="AE417" s="48" t="s">
        <v>49</v>
      </c>
      <c r="AF417" s="48" t="s">
        <v>49</v>
      </c>
      <c r="AG417" s="48" t="s">
        <v>49</v>
      </c>
      <c r="AH417" s="48" t="s">
        <v>49</v>
      </c>
      <c r="AI417" s="48" t="s">
        <v>49</v>
      </c>
      <c r="AJ417" s="49" t="s">
        <v>49</v>
      </c>
      <c r="AK417" s="48" t="s">
        <v>41</v>
      </c>
      <c r="AL417" s="65" t="s">
        <v>148</v>
      </c>
      <c r="AM417" s="59"/>
      <c r="AN417" s="10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1"/>
    </row>
    <row r="418" spans="1:51" x14ac:dyDescent="0.2">
      <c r="A418" s="33">
        <f t="shared" si="7"/>
        <v>413</v>
      </c>
      <c r="B418" s="34" t="s">
        <v>3387</v>
      </c>
      <c r="C418" s="35" t="s">
        <v>3388</v>
      </c>
      <c r="D418" s="36" t="s">
        <v>3389</v>
      </c>
      <c r="E418" s="36" t="s">
        <v>54</v>
      </c>
      <c r="F418" s="34" t="s">
        <v>3390</v>
      </c>
      <c r="G418" s="37" t="s">
        <v>176</v>
      </c>
      <c r="H418" s="37" t="s">
        <v>39</v>
      </c>
      <c r="I418" s="38" t="s">
        <v>3391</v>
      </c>
      <c r="J418" s="34"/>
      <c r="K418" s="39" t="s">
        <v>42</v>
      </c>
      <c r="L418" s="99" t="s">
        <v>3392</v>
      </c>
      <c r="M418" s="56"/>
      <c r="N418" s="56"/>
      <c r="O418" s="56"/>
      <c r="P418" s="56"/>
      <c r="Q418" s="56"/>
      <c r="R418" s="56"/>
      <c r="S418" s="56"/>
      <c r="T418" s="56" t="s">
        <v>44</v>
      </c>
      <c r="U418" s="56"/>
      <c r="V418" s="56"/>
      <c r="W418" s="56"/>
      <c r="X418" s="42" t="s">
        <v>3393</v>
      </c>
      <c r="Y418" s="58" t="s">
        <v>3394</v>
      </c>
      <c r="Z418" s="44"/>
      <c r="AA418" s="45">
        <v>45642</v>
      </c>
      <c r="AB418" s="101"/>
      <c r="AC418" s="36"/>
      <c r="AD418" s="47" t="s">
        <v>49</v>
      </c>
      <c r="AE418" s="48" t="s">
        <v>41</v>
      </c>
      <c r="AF418" s="48" t="s">
        <v>41</v>
      </c>
      <c r="AG418" s="48" t="s">
        <v>41</v>
      </c>
      <c r="AH418" s="48" t="s">
        <v>49</v>
      </c>
      <c r="AI418" s="48" t="s">
        <v>49</v>
      </c>
      <c r="AJ418" s="49" t="s">
        <v>49</v>
      </c>
      <c r="AK418" s="48" t="s">
        <v>49</v>
      </c>
      <c r="AL418" s="62" t="s">
        <v>32</v>
      </c>
      <c r="AM418" s="59"/>
      <c r="AN418" s="10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1"/>
    </row>
    <row r="419" spans="1:51" x14ac:dyDescent="0.2">
      <c r="A419" s="33">
        <f t="shared" si="7"/>
        <v>414</v>
      </c>
      <c r="B419" s="34" t="s">
        <v>3395</v>
      </c>
      <c r="C419" s="35" t="s">
        <v>3396</v>
      </c>
      <c r="D419" s="36" t="s">
        <v>3397</v>
      </c>
      <c r="E419" s="36" t="s">
        <v>54</v>
      </c>
      <c r="F419" s="34" t="s">
        <v>3398</v>
      </c>
      <c r="G419" s="37" t="s">
        <v>73</v>
      </c>
      <c r="H419" s="37" t="s">
        <v>73</v>
      </c>
      <c r="I419" s="38" t="s">
        <v>3399</v>
      </c>
      <c r="J419" s="34" t="s">
        <v>41</v>
      </c>
      <c r="K419" s="39" t="s">
        <v>42</v>
      </c>
      <c r="L419" s="120">
        <v>45355</v>
      </c>
      <c r="M419" s="41"/>
      <c r="N419" s="94"/>
      <c r="O419" s="94"/>
      <c r="P419" s="94"/>
      <c r="Q419" s="94"/>
      <c r="R419" s="94"/>
      <c r="S419" s="94"/>
      <c r="T419" s="94"/>
      <c r="U419" s="94" t="s">
        <v>44</v>
      </c>
      <c r="V419" s="94"/>
      <c r="W419" s="94"/>
      <c r="X419" s="54" t="s">
        <v>3400</v>
      </c>
      <c r="Y419" s="58" t="s">
        <v>3401</v>
      </c>
      <c r="Z419" s="44"/>
      <c r="AA419" s="45"/>
      <c r="AB419" s="101"/>
      <c r="AC419" s="36"/>
      <c r="AD419" s="61" t="s">
        <v>49</v>
      </c>
      <c r="AE419" s="48" t="s">
        <v>41</v>
      </c>
      <c r="AF419" s="48" t="s">
        <v>41</v>
      </c>
      <c r="AG419" s="48" t="s">
        <v>41</v>
      </c>
      <c r="AH419" s="48" t="s">
        <v>41</v>
      </c>
      <c r="AI419" s="48" t="s">
        <v>49</v>
      </c>
      <c r="AJ419" s="49" t="s">
        <v>41</v>
      </c>
      <c r="AK419" s="48" t="s">
        <v>41</v>
      </c>
      <c r="AL419" s="62" t="s">
        <v>276</v>
      </c>
      <c r="AM419" s="59"/>
      <c r="AN419" s="10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1"/>
    </row>
    <row r="420" spans="1:51" x14ac:dyDescent="0.2">
      <c r="A420" s="33">
        <f t="shared" si="7"/>
        <v>415</v>
      </c>
      <c r="B420" s="34" t="s">
        <v>3402</v>
      </c>
      <c r="C420" s="35" t="s">
        <v>3403</v>
      </c>
      <c r="D420" s="36" t="s">
        <v>3404</v>
      </c>
      <c r="E420" s="36" t="s">
        <v>54</v>
      </c>
      <c r="F420" s="34" t="s">
        <v>3405</v>
      </c>
      <c r="G420" s="37" t="s">
        <v>38</v>
      </c>
      <c r="H420" s="37" t="s">
        <v>39</v>
      </c>
      <c r="I420" s="38" t="s">
        <v>3325</v>
      </c>
      <c r="J420" s="34" t="s">
        <v>41</v>
      </c>
      <c r="K420" s="39" t="s">
        <v>42</v>
      </c>
      <c r="L420" s="99" t="s">
        <v>1824</v>
      </c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42" t="s">
        <v>3406</v>
      </c>
      <c r="Y420" s="58" t="s">
        <v>3407</v>
      </c>
      <c r="Z420" s="44" t="s">
        <v>61</v>
      </c>
      <c r="AA420" s="45">
        <v>39288</v>
      </c>
      <c r="AB420" s="101" t="s">
        <v>30</v>
      </c>
      <c r="AC420" s="36" t="s">
        <v>26</v>
      </c>
      <c r="AD420" s="47" t="s">
        <v>49</v>
      </c>
      <c r="AE420" s="48" t="s">
        <v>49</v>
      </c>
      <c r="AF420" s="48" t="s">
        <v>41</v>
      </c>
      <c r="AG420" s="48" t="s">
        <v>41</v>
      </c>
      <c r="AH420" s="48" t="s">
        <v>41</v>
      </c>
      <c r="AI420" s="48" t="s">
        <v>41</v>
      </c>
      <c r="AJ420" s="49" t="s">
        <v>41</v>
      </c>
      <c r="AK420" s="48" t="s">
        <v>41</v>
      </c>
      <c r="AL420" s="62" t="s">
        <v>4587</v>
      </c>
      <c r="AM420" s="59"/>
      <c r="AN420" s="10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1"/>
    </row>
    <row r="421" spans="1:51" x14ac:dyDescent="0.2">
      <c r="A421" s="33">
        <f t="shared" si="7"/>
        <v>416</v>
      </c>
      <c r="B421" s="34" t="s">
        <v>3408</v>
      </c>
      <c r="C421" s="35" t="s">
        <v>3409</v>
      </c>
      <c r="D421" s="36" t="s">
        <v>3410</v>
      </c>
      <c r="E421" s="36" t="s">
        <v>54</v>
      </c>
      <c r="F421" s="34" t="s">
        <v>3411</v>
      </c>
      <c r="G421" s="37" t="s">
        <v>73</v>
      </c>
      <c r="H421" s="37" t="s">
        <v>73</v>
      </c>
      <c r="I421" s="34" t="s">
        <v>3412</v>
      </c>
      <c r="J421" s="34" t="s">
        <v>3413</v>
      </c>
      <c r="K421" s="39" t="s">
        <v>42</v>
      </c>
      <c r="L421" s="120">
        <v>34761</v>
      </c>
      <c r="M421" s="41"/>
      <c r="N421" s="41"/>
      <c r="O421" s="41"/>
      <c r="P421" s="41"/>
      <c r="Q421" s="41"/>
      <c r="R421" s="41"/>
      <c r="S421" s="41"/>
      <c r="T421" s="41"/>
      <c r="U421" s="41" t="s">
        <v>732</v>
      </c>
      <c r="V421" s="41"/>
      <c r="W421" s="41"/>
      <c r="X421" s="42" t="s">
        <v>3414</v>
      </c>
      <c r="Y421" s="58" t="s">
        <v>3415</v>
      </c>
      <c r="Z421" s="44" t="s">
        <v>61</v>
      </c>
      <c r="AA421" s="45">
        <v>40815</v>
      </c>
      <c r="AB421" s="101" t="s">
        <v>30</v>
      </c>
      <c r="AC421" s="36" t="s">
        <v>26</v>
      </c>
      <c r="AD421" s="64" t="s">
        <v>120</v>
      </c>
      <c r="AE421" s="48" t="s">
        <v>120</v>
      </c>
      <c r="AF421" s="48" t="s">
        <v>120</v>
      </c>
      <c r="AG421" s="48" t="s">
        <v>120</v>
      </c>
      <c r="AH421" s="48" t="s">
        <v>120</v>
      </c>
      <c r="AI421" s="48" t="s">
        <v>120</v>
      </c>
      <c r="AJ421" s="49" t="s">
        <v>41</v>
      </c>
      <c r="AK421" s="48" t="s">
        <v>41</v>
      </c>
      <c r="AL421" s="62" t="s">
        <v>276</v>
      </c>
      <c r="AM421" s="59"/>
      <c r="AN421" s="10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1"/>
    </row>
    <row r="422" spans="1:51" x14ac:dyDescent="0.2">
      <c r="A422" s="33">
        <f t="shared" si="7"/>
        <v>417</v>
      </c>
      <c r="B422" s="34" t="s">
        <v>3416</v>
      </c>
      <c r="C422" s="35" t="s">
        <v>3417</v>
      </c>
      <c r="D422" s="36" t="s">
        <v>3418</v>
      </c>
      <c r="E422" s="36" t="s">
        <v>54</v>
      </c>
      <c r="F422" s="34" t="s">
        <v>3419</v>
      </c>
      <c r="G422" s="37" t="s">
        <v>176</v>
      </c>
      <c r="H422" s="37" t="s">
        <v>39</v>
      </c>
      <c r="I422" s="38" t="s">
        <v>3420</v>
      </c>
      <c r="J422" s="34" t="s">
        <v>41</v>
      </c>
      <c r="K422" s="39" t="s">
        <v>42</v>
      </c>
      <c r="L422" s="120">
        <v>45349</v>
      </c>
      <c r="M422" s="56"/>
      <c r="N422" s="56"/>
      <c r="O422" s="56"/>
      <c r="P422" s="56"/>
      <c r="Q422" s="56"/>
      <c r="R422" s="56"/>
      <c r="S422" s="56"/>
      <c r="T422" s="56"/>
      <c r="U422" s="56" t="s">
        <v>44</v>
      </c>
      <c r="V422" s="56"/>
      <c r="W422" s="56"/>
      <c r="X422" s="54" t="s">
        <v>3421</v>
      </c>
      <c r="Y422" s="83" t="s">
        <v>3422</v>
      </c>
      <c r="Z422" s="119"/>
      <c r="AA422" s="45"/>
      <c r="AB422" s="101"/>
      <c r="AC422" s="36"/>
      <c r="AD422" s="47" t="s">
        <v>49</v>
      </c>
      <c r="AE422" s="48" t="s">
        <v>41</v>
      </c>
      <c r="AF422" s="48" t="s">
        <v>41</v>
      </c>
      <c r="AG422" s="48" t="s">
        <v>41</v>
      </c>
      <c r="AH422" s="48" t="s">
        <v>41</v>
      </c>
      <c r="AI422" s="48" t="s">
        <v>49</v>
      </c>
      <c r="AJ422" s="49" t="s">
        <v>41</v>
      </c>
      <c r="AK422" s="48" t="s">
        <v>41</v>
      </c>
      <c r="AL422" s="62" t="s">
        <v>276</v>
      </c>
      <c r="AM422" s="59"/>
      <c r="AN422" s="10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1"/>
    </row>
    <row r="423" spans="1:51" x14ac:dyDescent="0.2">
      <c r="A423" s="33">
        <f t="shared" si="7"/>
        <v>418</v>
      </c>
      <c r="B423" s="34" t="s">
        <v>3423</v>
      </c>
      <c r="C423" s="35" t="s">
        <v>3424</v>
      </c>
      <c r="D423" s="36" t="s">
        <v>3425</v>
      </c>
      <c r="E423" s="36" t="s">
        <v>54</v>
      </c>
      <c r="F423" s="34" t="s">
        <v>3426</v>
      </c>
      <c r="G423" s="37" t="s">
        <v>176</v>
      </c>
      <c r="H423" s="37" t="s">
        <v>39</v>
      </c>
      <c r="I423" s="38" t="s">
        <v>3427</v>
      </c>
      <c r="J423" s="34" t="s">
        <v>41</v>
      </c>
      <c r="K423" s="39" t="s">
        <v>42</v>
      </c>
      <c r="L423" s="99" t="s">
        <v>3428</v>
      </c>
      <c r="M423" s="115"/>
      <c r="N423" s="115"/>
      <c r="O423" s="115"/>
      <c r="P423" s="115"/>
      <c r="Q423" s="115"/>
      <c r="R423" s="115"/>
      <c r="S423" s="115"/>
      <c r="T423" s="56"/>
      <c r="U423" s="56"/>
      <c r="V423" s="56"/>
      <c r="W423" s="56"/>
      <c r="X423" s="42" t="s">
        <v>3429</v>
      </c>
      <c r="Y423" s="58" t="s">
        <v>3430</v>
      </c>
      <c r="Z423" s="121" t="s">
        <v>3431</v>
      </c>
      <c r="AA423" s="45">
        <v>44650</v>
      </c>
      <c r="AB423" s="101" t="s">
        <v>30</v>
      </c>
      <c r="AC423" s="36" t="s">
        <v>26</v>
      </c>
      <c r="AD423" s="47" t="s">
        <v>49</v>
      </c>
      <c r="AE423" s="48" t="s">
        <v>49</v>
      </c>
      <c r="AF423" s="48" t="s">
        <v>49</v>
      </c>
      <c r="AG423" s="48" t="s">
        <v>49</v>
      </c>
      <c r="AH423" s="48" t="s">
        <v>49</v>
      </c>
      <c r="AI423" s="48" t="s">
        <v>49</v>
      </c>
      <c r="AJ423" s="49" t="s">
        <v>41</v>
      </c>
      <c r="AK423" s="48" t="s">
        <v>41</v>
      </c>
      <c r="AL423" s="62" t="s">
        <v>276</v>
      </c>
      <c r="AM423" s="59"/>
      <c r="AN423" s="10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1"/>
    </row>
    <row r="424" spans="1:51" x14ac:dyDescent="0.2">
      <c r="A424" s="33">
        <f t="shared" si="7"/>
        <v>419</v>
      </c>
      <c r="B424" s="34" t="s">
        <v>3432</v>
      </c>
      <c r="C424" s="35" t="s">
        <v>3433</v>
      </c>
      <c r="D424" s="36" t="s">
        <v>3434</v>
      </c>
      <c r="E424" s="36" t="s">
        <v>54</v>
      </c>
      <c r="F424" s="34" t="s">
        <v>3435</v>
      </c>
      <c r="G424" s="37" t="s">
        <v>205</v>
      </c>
      <c r="H424" s="37" t="s">
        <v>205</v>
      </c>
      <c r="I424" s="38" t="s">
        <v>3436</v>
      </c>
      <c r="J424" s="38" t="s">
        <v>3437</v>
      </c>
      <c r="K424" s="39" t="s">
        <v>42</v>
      </c>
      <c r="L424" s="99" t="s">
        <v>3438</v>
      </c>
      <c r="M424" s="115"/>
      <c r="N424" s="115"/>
      <c r="O424" s="115"/>
      <c r="P424" s="115"/>
      <c r="Q424" s="115"/>
      <c r="R424" s="115"/>
      <c r="S424" s="115"/>
      <c r="T424" s="56"/>
      <c r="U424" s="56"/>
      <c r="V424" s="56"/>
      <c r="W424" s="56"/>
      <c r="X424" s="42" t="s">
        <v>3439</v>
      </c>
      <c r="Y424" s="58" t="s">
        <v>3440</v>
      </c>
      <c r="Z424" s="44" t="s">
        <v>3441</v>
      </c>
      <c r="AA424" s="45">
        <v>44041</v>
      </c>
      <c r="AB424" s="101" t="s">
        <v>30</v>
      </c>
      <c r="AC424" s="36" t="s">
        <v>26</v>
      </c>
      <c r="AD424" s="47" t="s">
        <v>49</v>
      </c>
      <c r="AE424" s="48" t="s">
        <v>49</v>
      </c>
      <c r="AF424" s="48" t="s">
        <v>49</v>
      </c>
      <c r="AG424" s="48" t="s">
        <v>49</v>
      </c>
      <c r="AH424" s="48" t="s">
        <v>49</v>
      </c>
      <c r="AI424" s="48" t="s">
        <v>49</v>
      </c>
      <c r="AJ424" s="49" t="s">
        <v>49</v>
      </c>
      <c r="AK424" s="48" t="s">
        <v>49</v>
      </c>
      <c r="AL424" s="62" t="s">
        <v>32</v>
      </c>
      <c r="AM424" s="59"/>
      <c r="AN424" s="117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1"/>
    </row>
    <row r="425" spans="1:51" x14ac:dyDescent="0.2">
      <c r="A425" s="33">
        <f t="shared" si="7"/>
        <v>420</v>
      </c>
      <c r="B425" s="34" t="s">
        <v>3442</v>
      </c>
      <c r="C425" s="35" t="s">
        <v>3443</v>
      </c>
      <c r="D425" s="36" t="s">
        <v>3444</v>
      </c>
      <c r="E425" s="36" t="s">
        <v>36</v>
      </c>
      <c r="F425" s="34" t="s">
        <v>3445</v>
      </c>
      <c r="G425" s="37" t="s">
        <v>243</v>
      </c>
      <c r="H425" s="37" t="s">
        <v>205</v>
      </c>
      <c r="I425" s="38" t="s">
        <v>3446</v>
      </c>
      <c r="J425" s="38" t="s">
        <v>41</v>
      </c>
      <c r="K425" s="39" t="s">
        <v>42</v>
      </c>
      <c r="L425" s="99" t="s">
        <v>3447</v>
      </c>
      <c r="M425" s="115"/>
      <c r="N425" s="115"/>
      <c r="O425" s="115"/>
      <c r="P425" s="115"/>
      <c r="Q425" s="115"/>
      <c r="R425" s="115"/>
      <c r="S425" s="115" t="s">
        <v>44</v>
      </c>
      <c r="T425" s="56"/>
      <c r="U425" s="56"/>
      <c r="V425" s="56"/>
      <c r="W425" s="56"/>
      <c r="X425" s="42" t="s">
        <v>3448</v>
      </c>
      <c r="Y425" s="58" t="s">
        <v>3449</v>
      </c>
      <c r="Z425" s="58"/>
      <c r="AA425" s="223" t="s">
        <v>47</v>
      </c>
      <c r="AB425" s="101"/>
      <c r="AC425" s="36"/>
      <c r="AD425" s="47" t="s">
        <v>49</v>
      </c>
      <c r="AE425" s="48" t="s">
        <v>41</v>
      </c>
      <c r="AF425" s="48" t="s">
        <v>41</v>
      </c>
      <c r="AG425" s="48" t="s">
        <v>49</v>
      </c>
      <c r="AH425" s="48" t="s">
        <v>49</v>
      </c>
      <c r="AI425" s="48" t="s">
        <v>49</v>
      </c>
      <c r="AJ425" s="49" t="s">
        <v>49</v>
      </c>
      <c r="AK425" s="48" t="s">
        <v>41</v>
      </c>
      <c r="AL425" s="62" t="s">
        <v>148</v>
      </c>
      <c r="AM425" s="59"/>
      <c r="AN425" s="10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1"/>
    </row>
    <row r="426" spans="1:51" x14ac:dyDescent="0.2">
      <c r="A426" s="33">
        <f t="shared" si="7"/>
        <v>421</v>
      </c>
      <c r="B426" s="34" t="s">
        <v>3450</v>
      </c>
      <c r="C426" s="123" t="s">
        <v>3451</v>
      </c>
      <c r="D426" s="202" t="s">
        <v>3452</v>
      </c>
      <c r="E426" s="36" t="s">
        <v>54</v>
      </c>
      <c r="F426" s="34" t="s">
        <v>3453</v>
      </c>
      <c r="G426" s="126" t="s">
        <v>323</v>
      </c>
      <c r="H426" s="126" t="s">
        <v>39</v>
      </c>
      <c r="I426" s="34" t="s">
        <v>3454</v>
      </c>
      <c r="J426" s="34" t="s">
        <v>3455</v>
      </c>
      <c r="K426" s="128" t="s">
        <v>42</v>
      </c>
      <c r="L426" s="120">
        <v>37201</v>
      </c>
      <c r="M426" s="188"/>
      <c r="N426" s="188"/>
      <c r="O426" s="188"/>
      <c r="P426" s="188"/>
      <c r="Q426" s="188"/>
      <c r="R426" s="188"/>
      <c r="S426" s="188"/>
      <c r="T426" s="188"/>
      <c r="U426" s="188"/>
      <c r="V426" s="188"/>
      <c r="W426" s="188"/>
      <c r="X426" s="42" t="s">
        <v>3456</v>
      </c>
      <c r="Y426" s="100" t="s">
        <v>3457</v>
      </c>
      <c r="Z426" s="119" t="s">
        <v>61</v>
      </c>
      <c r="AA426" s="131">
        <v>39286</v>
      </c>
      <c r="AB426" s="164" t="s">
        <v>30</v>
      </c>
      <c r="AC426" s="36" t="s">
        <v>26</v>
      </c>
      <c r="AD426" s="133" t="s">
        <v>49</v>
      </c>
      <c r="AE426" s="48" t="s">
        <v>49</v>
      </c>
      <c r="AF426" s="48" t="s">
        <v>49</v>
      </c>
      <c r="AG426" s="48" t="s">
        <v>49</v>
      </c>
      <c r="AH426" s="48" t="s">
        <v>49</v>
      </c>
      <c r="AI426" s="48" t="s">
        <v>49</v>
      </c>
      <c r="AJ426" s="49" t="s">
        <v>49</v>
      </c>
      <c r="AK426" s="48" t="s">
        <v>49</v>
      </c>
      <c r="AL426" s="62" t="s">
        <v>32</v>
      </c>
      <c r="AM426" s="134"/>
      <c r="AN426" s="10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1"/>
    </row>
    <row r="427" spans="1:51" x14ac:dyDescent="0.2">
      <c r="A427" s="33">
        <f t="shared" si="7"/>
        <v>422</v>
      </c>
      <c r="B427" s="34" t="s">
        <v>3458</v>
      </c>
      <c r="C427" s="123" t="s">
        <v>3459</v>
      </c>
      <c r="D427" s="202" t="s">
        <v>3460</v>
      </c>
      <c r="E427" s="36" t="s">
        <v>54</v>
      </c>
      <c r="F427" s="34" t="s">
        <v>3461</v>
      </c>
      <c r="G427" s="126" t="s">
        <v>349</v>
      </c>
      <c r="H427" s="126" t="s">
        <v>350</v>
      </c>
      <c r="I427" s="38" t="s">
        <v>3462</v>
      </c>
      <c r="J427" s="34" t="s">
        <v>41</v>
      </c>
      <c r="K427" s="128" t="s">
        <v>42</v>
      </c>
      <c r="L427" s="163" t="s">
        <v>3463</v>
      </c>
      <c r="M427" s="130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42" t="s">
        <v>3464</v>
      </c>
      <c r="Y427" s="58" t="s">
        <v>3465</v>
      </c>
      <c r="Z427" s="44" t="s">
        <v>3466</v>
      </c>
      <c r="AA427" s="131">
        <v>42935</v>
      </c>
      <c r="AB427" s="101" t="s">
        <v>30</v>
      </c>
      <c r="AC427" s="36" t="s">
        <v>26</v>
      </c>
      <c r="AD427" s="133" t="s">
        <v>49</v>
      </c>
      <c r="AE427" s="48" t="s">
        <v>49</v>
      </c>
      <c r="AF427" s="48" t="s">
        <v>41</v>
      </c>
      <c r="AG427" s="48" t="s">
        <v>41</v>
      </c>
      <c r="AH427" s="48" t="s">
        <v>41</v>
      </c>
      <c r="AI427" s="48" t="s">
        <v>41</v>
      </c>
      <c r="AJ427" s="49" t="s">
        <v>41</v>
      </c>
      <c r="AK427" s="48" t="s">
        <v>41</v>
      </c>
      <c r="AL427" s="232" t="s">
        <v>4587</v>
      </c>
      <c r="AM427" s="134"/>
      <c r="AN427" s="117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1"/>
    </row>
    <row r="428" spans="1:51" x14ac:dyDescent="0.2">
      <c r="A428" s="33">
        <f t="shared" si="7"/>
        <v>423</v>
      </c>
      <c r="B428" s="122" t="s">
        <v>3467</v>
      </c>
      <c r="C428" s="123" t="s">
        <v>3468</v>
      </c>
      <c r="D428" s="202" t="s">
        <v>3469</v>
      </c>
      <c r="E428" s="36" t="s">
        <v>54</v>
      </c>
      <c r="F428" s="122" t="s">
        <v>3470</v>
      </c>
      <c r="G428" s="126" t="s">
        <v>73</v>
      </c>
      <c r="H428" s="126" t="s">
        <v>73</v>
      </c>
      <c r="I428" s="127" t="s">
        <v>3471</v>
      </c>
      <c r="J428" s="122"/>
      <c r="K428" s="128" t="s">
        <v>42</v>
      </c>
      <c r="L428" s="163" t="s">
        <v>3472</v>
      </c>
      <c r="M428" s="130" t="s">
        <v>179</v>
      </c>
      <c r="N428" s="130" t="s">
        <v>341</v>
      </c>
      <c r="O428" s="130" t="s">
        <v>3473</v>
      </c>
      <c r="P428" s="130">
        <v>2</v>
      </c>
      <c r="Q428" s="130"/>
      <c r="R428" s="130"/>
      <c r="S428" s="130" t="s">
        <v>44</v>
      </c>
      <c r="T428" s="130"/>
      <c r="U428" s="130"/>
      <c r="V428" s="130"/>
      <c r="W428" s="130"/>
      <c r="X428" s="42" t="s">
        <v>3474</v>
      </c>
      <c r="Y428" s="58" t="s">
        <v>3475</v>
      </c>
      <c r="Z428" s="121" t="s">
        <v>3476</v>
      </c>
      <c r="AA428" s="45">
        <v>44650</v>
      </c>
      <c r="AB428" s="101" t="s">
        <v>30</v>
      </c>
      <c r="AC428" s="36"/>
      <c r="AD428" s="133" t="s">
        <v>49</v>
      </c>
      <c r="AE428" s="48" t="s">
        <v>41</v>
      </c>
      <c r="AF428" s="48" t="s">
        <v>41</v>
      </c>
      <c r="AG428" s="48" t="s">
        <v>49</v>
      </c>
      <c r="AH428" s="48" t="s">
        <v>49</v>
      </c>
      <c r="AI428" s="48" t="s">
        <v>49</v>
      </c>
      <c r="AJ428" s="49" t="s">
        <v>49</v>
      </c>
      <c r="AK428" s="48" t="s">
        <v>49</v>
      </c>
      <c r="AL428" s="65" t="s">
        <v>32</v>
      </c>
      <c r="AM428" s="134"/>
      <c r="AN428" s="117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1"/>
    </row>
    <row r="429" spans="1:51" x14ac:dyDescent="0.2">
      <c r="A429" s="33">
        <f t="shared" si="7"/>
        <v>424</v>
      </c>
      <c r="B429" s="34" t="s">
        <v>3477</v>
      </c>
      <c r="C429" s="35" t="s">
        <v>3478</v>
      </c>
      <c r="D429" s="36" t="s">
        <v>3479</v>
      </c>
      <c r="E429" s="36" t="s">
        <v>36</v>
      </c>
      <c r="F429" s="34" t="s">
        <v>3480</v>
      </c>
      <c r="G429" s="37" t="s">
        <v>38</v>
      </c>
      <c r="H429" s="37" t="s">
        <v>39</v>
      </c>
      <c r="I429" s="38" t="s">
        <v>3481</v>
      </c>
      <c r="J429" s="34" t="s">
        <v>41</v>
      </c>
      <c r="K429" s="39" t="s">
        <v>42</v>
      </c>
      <c r="L429" s="120">
        <v>38295</v>
      </c>
      <c r="M429" s="56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42" t="s">
        <v>3482</v>
      </c>
      <c r="Y429" s="58" t="s">
        <v>3483</v>
      </c>
      <c r="Z429" s="44" t="s">
        <v>61</v>
      </c>
      <c r="AA429" s="45">
        <v>39286</v>
      </c>
      <c r="AB429" s="101" t="s">
        <v>30</v>
      </c>
      <c r="AC429" s="36"/>
      <c r="AD429" s="47" t="s">
        <v>49</v>
      </c>
      <c r="AE429" s="48" t="s">
        <v>41</v>
      </c>
      <c r="AF429" s="48" t="s">
        <v>41</v>
      </c>
      <c r="AG429" s="48" t="s">
        <v>41</v>
      </c>
      <c r="AH429" s="48" t="s">
        <v>41</v>
      </c>
      <c r="AI429" s="48" t="s">
        <v>41</v>
      </c>
      <c r="AJ429" s="49" t="s">
        <v>41</v>
      </c>
      <c r="AK429" s="48" t="s">
        <v>41</v>
      </c>
      <c r="AL429" s="65" t="s">
        <v>4588</v>
      </c>
      <c r="AM429" s="59" t="s">
        <v>451</v>
      </c>
      <c r="AN429" s="117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1"/>
    </row>
    <row r="430" spans="1:51" x14ac:dyDescent="0.2">
      <c r="A430" s="33">
        <f t="shared" si="7"/>
        <v>425</v>
      </c>
      <c r="B430" s="34" t="s">
        <v>3484</v>
      </c>
      <c r="C430" s="35" t="s">
        <v>3485</v>
      </c>
      <c r="D430" s="73" t="s">
        <v>3486</v>
      </c>
      <c r="E430" s="36" t="s">
        <v>54</v>
      </c>
      <c r="F430" s="98" t="s">
        <v>3487</v>
      </c>
      <c r="G430" s="37" t="s">
        <v>747</v>
      </c>
      <c r="H430" s="37" t="s">
        <v>378</v>
      </c>
      <c r="I430" s="34" t="s">
        <v>3488</v>
      </c>
      <c r="J430" s="34" t="s">
        <v>41</v>
      </c>
      <c r="K430" s="39" t="s">
        <v>42</v>
      </c>
      <c r="L430" s="120" t="s">
        <v>3489</v>
      </c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2" t="s">
        <v>3490</v>
      </c>
      <c r="Y430" s="58" t="s">
        <v>3491</v>
      </c>
      <c r="Z430" s="44" t="s">
        <v>61</v>
      </c>
      <c r="AA430" s="45">
        <v>36641</v>
      </c>
      <c r="AB430" s="101" t="s">
        <v>30</v>
      </c>
      <c r="AC430" s="73"/>
      <c r="AD430" s="47" t="s">
        <v>49</v>
      </c>
      <c r="AE430" s="48" t="s">
        <v>41</v>
      </c>
      <c r="AF430" s="48" t="s">
        <v>41</v>
      </c>
      <c r="AG430" s="48" t="s">
        <v>41</v>
      </c>
      <c r="AH430" s="48" t="s">
        <v>41</v>
      </c>
      <c r="AI430" s="48" t="s">
        <v>41</v>
      </c>
      <c r="AJ430" s="49" t="s">
        <v>41</v>
      </c>
      <c r="AK430" s="48" t="s">
        <v>41</v>
      </c>
      <c r="AL430" s="65" t="s">
        <v>4588</v>
      </c>
      <c r="AM430" s="59" t="s">
        <v>192</v>
      </c>
      <c r="AN430" s="117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1"/>
    </row>
    <row r="431" spans="1:51" x14ac:dyDescent="0.2">
      <c r="A431" s="33">
        <f t="shared" si="7"/>
        <v>426</v>
      </c>
      <c r="B431" s="34" t="s">
        <v>3492</v>
      </c>
      <c r="C431" s="35" t="s">
        <v>3493</v>
      </c>
      <c r="D431" s="36" t="s">
        <v>3494</v>
      </c>
      <c r="E431" s="36" t="s">
        <v>36</v>
      </c>
      <c r="F431" s="34" t="s">
        <v>3495</v>
      </c>
      <c r="G431" s="37" t="s">
        <v>39</v>
      </c>
      <c r="H431" s="37" t="s">
        <v>39</v>
      </c>
      <c r="I431" s="183" t="s">
        <v>3496</v>
      </c>
      <c r="J431" s="34" t="s">
        <v>41</v>
      </c>
      <c r="K431" s="39" t="s">
        <v>42</v>
      </c>
      <c r="L431" s="120" t="s">
        <v>3497</v>
      </c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2" t="s">
        <v>3498</v>
      </c>
      <c r="Y431" s="100" t="s">
        <v>3499</v>
      </c>
      <c r="Z431" s="44" t="s">
        <v>3500</v>
      </c>
      <c r="AA431" s="131">
        <v>44041</v>
      </c>
      <c r="AB431" s="101" t="s">
        <v>30</v>
      </c>
      <c r="AC431" s="36" t="s">
        <v>26</v>
      </c>
      <c r="AD431" s="47" t="s">
        <v>49</v>
      </c>
      <c r="AE431" s="48" t="s">
        <v>49</v>
      </c>
      <c r="AF431" s="48" t="s">
        <v>49</v>
      </c>
      <c r="AG431" s="48" t="s">
        <v>49</v>
      </c>
      <c r="AH431" s="48" t="s">
        <v>49</v>
      </c>
      <c r="AI431" s="48" t="s">
        <v>49</v>
      </c>
      <c r="AJ431" s="49" t="s">
        <v>49</v>
      </c>
      <c r="AK431" s="48" t="s">
        <v>49</v>
      </c>
      <c r="AL431" s="65" t="s">
        <v>32</v>
      </c>
      <c r="AM431" s="59"/>
      <c r="AN431" s="10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1"/>
    </row>
    <row r="432" spans="1:51" x14ac:dyDescent="0.2">
      <c r="A432" s="33">
        <f t="shared" si="7"/>
        <v>427</v>
      </c>
      <c r="B432" s="34" t="s">
        <v>3501</v>
      </c>
      <c r="C432" s="35" t="s">
        <v>3502</v>
      </c>
      <c r="D432" s="73" t="s">
        <v>3503</v>
      </c>
      <c r="E432" s="36" t="s">
        <v>54</v>
      </c>
      <c r="F432" s="226" t="s">
        <v>3504</v>
      </c>
      <c r="G432" s="37" t="s">
        <v>73</v>
      </c>
      <c r="H432" s="37" t="s">
        <v>73</v>
      </c>
      <c r="I432" s="108" t="s">
        <v>3505</v>
      </c>
      <c r="J432" s="34" t="s">
        <v>41</v>
      </c>
      <c r="K432" s="39" t="s">
        <v>42</v>
      </c>
      <c r="L432" s="99" t="s">
        <v>3506</v>
      </c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42" t="s">
        <v>3507</v>
      </c>
      <c r="Y432" s="58" t="s">
        <v>3508</v>
      </c>
      <c r="Z432" s="44" t="s">
        <v>61</v>
      </c>
      <c r="AA432" s="45">
        <v>38593</v>
      </c>
      <c r="AB432" s="101" t="s">
        <v>30</v>
      </c>
      <c r="AC432" s="73" t="s">
        <v>26</v>
      </c>
      <c r="AD432" s="47" t="s">
        <v>49</v>
      </c>
      <c r="AE432" s="48" t="s">
        <v>49</v>
      </c>
      <c r="AF432" s="48" t="s">
        <v>49</v>
      </c>
      <c r="AG432" s="48" t="s">
        <v>49</v>
      </c>
      <c r="AH432" s="48" t="s">
        <v>49</v>
      </c>
      <c r="AI432" s="48" t="s">
        <v>49</v>
      </c>
      <c r="AJ432" s="49" t="s">
        <v>49</v>
      </c>
      <c r="AK432" s="48" t="s">
        <v>49</v>
      </c>
      <c r="AL432" s="62" t="s">
        <v>32</v>
      </c>
      <c r="AM432" s="59"/>
      <c r="AN432" s="117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1"/>
    </row>
    <row r="433" spans="1:51" x14ac:dyDescent="0.2">
      <c r="A433" s="33">
        <f t="shared" si="7"/>
        <v>428</v>
      </c>
      <c r="B433" s="34" t="s">
        <v>3509</v>
      </c>
      <c r="C433" s="35" t="s">
        <v>3510</v>
      </c>
      <c r="D433" s="36" t="s">
        <v>3511</v>
      </c>
      <c r="E433" s="36" t="s">
        <v>54</v>
      </c>
      <c r="F433" s="34" t="s">
        <v>3512</v>
      </c>
      <c r="G433" s="37" t="s">
        <v>243</v>
      </c>
      <c r="H433" s="37" t="s">
        <v>205</v>
      </c>
      <c r="I433" s="34" t="s">
        <v>3513</v>
      </c>
      <c r="J433" s="34" t="s">
        <v>3514</v>
      </c>
      <c r="K433" s="39" t="s">
        <v>42</v>
      </c>
      <c r="L433" s="99" t="s">
        <v>3515</v>
      </c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2" t="s">
        <v>3516</v>
      </c>
      <c r="Y433" s="43" t="s">
        <v>3517</v>
      </c>
      <c r="Z433" s="44" t="s">
        <v>61</v>
      </c>
      <c r="AA433" s="45">
        <v>40280</v>
      </c>
      <c r="AB433" s="101" t="s">
        <v>30</v>
      </c>
      <c r="AC433" s="36" t="s">
        <v>26</v>
      </c>
      <c r="AD433" s="47" t="s">
        <v>49</v>
      </c>
      <c r="AE433" s="48" t="s">
        <v>49</v>
      </c>
      <c r="AF433" s="48" t="s">
        <v>49</v>
      </c>
      <c r="AG433" s="48" t="s">
        <v>49</v>
      </c>
      <c r="AH433" s="48" t="s">
        <v>49</v>
      </c>
      <c r="AI433" s="48" t="s">
        <v>49</v>
      </c>
      <c r="AJ433" s="49" t="s">
        <v>49</v>
      </c>
      <c r="AK433" s="48" t="s">
        <v>49</v>
      </c>
      <c r="AL433" s="65" t="s">
        <v>32</v>
      </c>
      <c r="AM433" s="59"/>
      <c r="AN433" s="117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1"/>
    </row>
    <row r="434" spans="1:51" x14ac:dyDescent="0.2">
      <c r="A434" s="33">
        <f t="shared" si="7"/>
        <v>429</v>
      </c>
      <c r="B434" s="34" t="s">
        <v>3518</v>
      </c>
      <c r="C434" s="35" t="s">
        <v>3519</v>
      </c>
      <c r="D434" s="36" t="s">
        <v>3520</v>
      </c>
      <c r="E434" s="36" t="s">
        <v>54</v>
      </c>
      <c r="F434" s="34" t="s">
        <v>3521</v>
      </c>
      <c r="G434" s="37" t="s">
        <v>39</v>
      </c>
      <c r="H434" s="37" t="s">
        <v>39</v>
      </c>
      <c r="I434" s="34" t="s">
        <v>3522</v>
      </c>
      <c r="J434" s="34" t="s">
        <v>3523</v>
      </c>
      <c r="K434" s="39" t="s">
        <v>42</v>
      </c>
      <c r="L434" s="120">
        <v>33918</v>
      </c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2" t="s">
        <v>3524</v>
      </c>
      <c r="Y434" s="58" t="s">
        <v>3525</v>
      </c>
      <c r="Z434" s="44" t="s">
        <v>61</v>
      </c>
      <c r="AA434" s="131">
        <v>39286</v>
      </c>
      <c r="AB434" s="101" t="s">
        <v>30</v>
      </c>
      <c r="AC434" s="36"/>
      <c r="AD434" s="47" t="s">
        <v>49</v>
      </c>
      <c r="AE434" s="48" t="s">
        <v>41</v>
      </c>
      <c r="AF434" s="48" t="s">
        <v>41</v>
      </c>
      <c r="AG434" s="48" t="s">
        <v>41</v>
      </c>
      <c r="AH434" s="48" t="s">
        <v>41</v>
      </c>
      <c r="AI434" s="48" t="s">
        <v>41</v>
      </c>
      <c r="AJ434" s="49" t="s">
        <v>41</v>
      </c>
      <c r="AK434" s="48" t="s">
        <v>41</v>
      </c>
      <c r="AL434" s="65" t="s">
        <v>4591</v>
      </c>
      <c r="AM434" s="59" t="s">
        <v>1230</v>
      </c>
      <c r="AN434" s="10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1"/>
    </row>
    <row r="435" spans="1:51" x14ac:dyDescent="0.2">
      <c r="A435" s="33">
        <f t="shared" si="7"/>
        <v>430</v>
      </c>
      <c r="B435" s="34" t="s">
        <v>3526</v>
      </c>
      <c r="C435" s="35" t="s">
        <v>3527</v>
      </c>
      <c r="D435" s="36" t="s">
        <v>3528</v>
      </c>
      <c r="E435" s="36" t="s">
        <v>54</v>
      </c>
      <c r="F435" s="34" t="s">
        <v>3529</v>
      </c>
      <c r="G435" s="37" t="s">
        <v>73</v>
      </c>
      <c r="H435" s="37" t="s">
        <v>73</v>
      </c>
      <c r="I435" s="34" t="s">
        <v>3530</v>
      </c>
      <c r="J435" s="34" t="s">
        <v>3531</v>
      </c>
      <c r="K435" s="39" t="s">
        <v>42</v>
      </c>
      <c r="L435" s="120" t="s">
        <v>2817</v>
      </c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2" t="s">
        <v>3532</v>
      </c>
      <c r="Y435" s="83" t="s">
        <v>3533</v>
      </c>
      <c r="Z435" s="44" t="s">
        <v>61</v>
      </c>
      <c r="AA435" s="45">
        <v>40280</v>
      </c>
      <c r="AB435" s="101" t="s">
        <v>30</v>
      </c>
      <c r="AC435" s="36" t="s">
        <v>26</v>
      </c>
      <c r="AD435" s="47" t="s">
        <v>49</v>
      </c>
      <c r="AE435" s="48" t="s">
        <v>49</v>
      </c>
      <c r="AF435" s="48" t="s">
        <v>49</v>
      </c>
      <c r="AG435" s="48" t="s">
        <v>49</v>
      </c>
      <c r="AH435" s="48" t="s">
        <v>49</v>
      </c>
      <c r="AI435" s="48" t="s">
        <v>49</v>
      </c>
      <c r="AJ435" s="49" t="s">
        <v>49</v>
      </c>
      <c r="AK435" s="48" t="s">
        <v>41</v>
      </c>
      <c r="AL435" s="62" t="s">
        <v>148</v>
      </c>
      <c r="AM435" s="59"/>
      <c r="AN435" s="10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1"/>
    </row>
    <row r="436" spans="1:51" x14ac:dyDescent="0.2">
      <c r="A436" s="33">
        <f t="shared" si="7"/>
        <v>431</v>
      </c>
      <c r="B436" s="34" t="s">
        <v>3534</v>
      </c>
      <c r="C436" s="35" t="s">
        <v>3535</v>
      </c>
      <c r="D436" s="36" t="s">
        <v>3536</v>
      </c>
      <c r="E436" s="36" t="s">
        <v>54</v>
      </c>
      <c r="F436" s="34" t="s">
        <v>3537</v>
      </c>
      <c r="G436" s="37" t="s">
        <v>205</v>
      </c>
      <c r="H436" s="37" t="s">
        <v>205</v>
      </c>
      <c r="I436" s="38" t="s">
        <v>3538</v>
      </c>
      <c r="J436" s="34" t="s">
        <v>41</v>
      </c>
      <c r="K436" s="39" t="s">
        <v>42</v>
      </c>
      <c r="L436" s="120">
        <v>44167</v>
      </c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2" t="s">
        <v>3539</v>
      </c>
      <c r="Y436" s="43" t="s">
        <v>3540</v>
      </c>
      <c r="Z436" s="44" t="s">
        <v>2487</v>
      </c>
      <c r="AA436" s="45">
        <v>44041</v>
      </c>
      <c r="AB436" s="101" t="s">
        <v>30</v>
      </c>
      <c r="AC436" s="36" t="s">
        <v>26</v>
      </c>
      <c r="AD436" s="47" t="s">
        <v>49</v>
      </c>
      <c r="AE436" s="48" t="s">
        <v>49</v>
      </c>
      <c r="AF436" s="48" t="s">
        <v>49</v>
      </c>
      <c r="AG436" s="48" t="s">
        <v>49</v>
      </c>
      <c r="AH436" s="48" t="s">
        <v>49</v>
      </c>
      <c r="AI436" s="48" t="s">
        <v>49</v>
      </c>
      <c r="AJ436" s="49" t="s">
        <v>49</v>
      </c>
      <c r="AK436" s="48" t="s">
        <v>49</v>
      </c>
      <c r="AL436" s="62" t="s">
        <v>32</v>
      </c>
      <c r="AM436" s="59"/>
      <c r="AN436" s="10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1"/>
    </row>
    <row r="437" spans="1:51" x14ac:dyDescent="0.2">
      <c r="A437" s="33">
        <f t="shared" si="7"/>
        <v>432</v>
      </c>
      <c r="B437" s="34" t="s">
        <v>3541</v>
      </c>
      <c r="C437" s="35" t="s">
        <v>3542</v>
      </c>
      <c r="D437" s="36" t="s">
        <v>3543</v>
      </c>
      <c r="E437" s="36" t="s">
        <v>36</v>
      </c>
      <c r="F437" s="87" t="s">
        <v>3544</v>
      </c>
      <c r="G437" s="37" t="s">
        <v>252</v>
      </c>
      <c r="H437" s="37" t="s">
        <v>57</v>
      </c>
      <c r="I437" s="34" t="s">
        <v>3545</v>
      </c>
      <c r="J437" s="107" t="s">
        <v>41</v>
      </c>
      <c r="K437" s="39" t="s">
        <v>42</v>
      </c>
      <c r="L437" s="120">
        <v>37381</v>
      </c>
      <c r="M437" s="41" t="s">
        <v>179</v>
      </c>
      <c r="N437" s="41" t="s">
        <v>3546</v>
      </c>
      <c r="O437" s="41"/>
      <c r="P437" s="41">
        <v>1</v>
      </c>
      <c r="Q437" s="41"/>
      <c r="R437" s="41"/>
      <c r="S437" s="41"/>
      <c r="T437" s="41"/>
      <c r="U437" s="41" t="s">
        <v>732</v>
      </c>
      <c r="V437" s="41"/>
      <c r="W437" s="41"/>
      <c r="X437" s="42" t="s">
        <v>3547</v>
      </c>
      <c r="Y437" s="58" t="s">
        <v>3548</v>
      </c>
      <c r="Z437" s="44"/>
      <c r="AA437" s="45" t="s">
        <v>47</v>
      </c>
      <c r="AB437" s="101"/>
      <c r="AC437" s="36" t="s">
        <v>26</v>
      </c>
      <c r="AD437" s="47" t="s">
        <v>49</v>
      </c>
      <c r="AE437" s="48" t="s">
        <v>49</v>
      </c>
      <c r="AF437" s="48" t="s">
        <v>49</v>
      </c>
      <c r="AG437" s="48" t="s">
        <v>49</v>
      </c>
      <c r="AH437" s="48" t="s">
        <v>49</v>
      </c>
      <c r="AI437" s="48" t="s">
        <v>49</v>
      </c>
      <c r="AJ437" s="49" t="s">
        <v>41</v>
      </c>
      <c r="AK437" s="48" t="s">
        <v>41</v>
      </c>
      <c r="AL437" s="62" t="s">
        <v>276</v>
      </c>
      <c r="AM437" s="59"/>
      <c r="AN437" s="10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1"/>
    </row>
    <row r="438" spans="1:51" x14ac:dyDescent="0.2">
      <c r="A438" s="33">
        <f t="shared" si="7"/>
        <v>433</v>
      </c>
      <c r="B438" s="34" t="s">
        <v>3549</v>
      </c>
      <c r="C438" s="35" t="s">
        <v>3550</v>
      </c>
      <c r="D438" s="36" t="s">
        <v>3551</v>
      </c>
      <c r="E438" s="36" t="s">
        <v>54</v>
      </c>
      <c r="F438" s="34" t="s">
        <v>3552</v>
      </c>
      <c r="G438" s="37" t="s">
        <v>73</v>
      </c>
      <c r="H438" s="37" t="s">
        <v>73</v>
      </c>
      <c r="I438" s="107" t="s">
        <v>3553</v>
      </c>
      <c r="J438" s="34" t="s">
        <v>3554</v>
      </c>
      <c r="K438" s="39" t="s">
        <v>42</v>
      </c>
      <c r="L438" s="120">
        <v>35952</v>
      </c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42" t="s">
        <v>3555</v>
      </c>
      <c r="Y438" s="52" t="s">
        <v>3556</v>
      </c>
      <c r="Z438" s="44" t="s">
        <v>3557</v>
      </c>
      <c r="AA438" s="45">
        <v>44041</v>
      </c>
      <c r="AB438" s="101" t="s">
        <v>30</v>
      </c>
      <c r="AC438" s="36" t="s">
        <v>26</v>
      </c>
      <c r="AD438" s="47" t="s">
        <v>49</v>
      </c>
      <c r="AE438" s="48" t="s">
        <v>49</v>
      </c>
      <c r="AF438" s="48" t="s">
        <v>49</v>
      </c>
      <c r="AG438" s="48" t="s">
        <v>49</v>
      </c>
      <c r="AH438" s="48" t="s">
        <v>49</v>
      </c>
      <c r="AI438" s="48" t="s">
        <v>49</v>
      </c>
      <c r="AJ438" s="49" t="s">
        <v>49</v>
      </c>
      <c r="AK438" s="48" t="s">
        <v>49</v>
      </c>
      <c r="AL438" s="62" t="s">
        <v>32</v>
      </c>
      <c r="AM438" s="59"/>
      <c r="AN438" s="10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1"/>
    </row>
    <row r="439" spans="1:51" ht="15" customHeight="1" x14ac:dyDescent="0.2">
      <c r="A439" s="33">
        <f t="shared" si="7"/>
        <v>434</v>
      </c>
      <c r="B439" s="34" t="s">
        <v>3558</v>
      </c>
      <c r="C439" s="35" t="s">
        <v>3559</v>
      </c>
      <c r="D439" s="36" t="s">
        <v>3560</v>
      </c>
      <c r="E439" s="36" t="s">
        <v>54</v>
      </c>
      <c r="F439" s="226" t="s">
        <v>3561</v>
      </c>
      <c r="G439" s="37" t="s">
        <v>186</v>
      </c>
      <c r="H439" s="37" t="s">
        <v>187</v>
      </c>
      <c r="I439" s="136" t="s">
        <v>3562</v>
      </c>
      <c r="J439" s="34" t="s">
        <v>41</v>
      </c>
      <c r="K439" s="39" t="s">
        <v>42</v>
      </c>
      <c r="L439" s="99" t="s">
        <v>3563</v>
      </c>
      <c r="M439" s="41"/>
      <c r="N439" s="41"/>
      <c r="O439" s="41"/>
      <c r="P439" s="41"/>
      <c r="Q439" s="41"/>
      <c r="R439" s="41"/>
      <c r="S439" s="41" t="s">
        <v>44</v>
      </c>
      <c r="T439" s="41"/>
      <c r="U439" s="41"/>
      <c r="V439" s="41"/>
      <c r="W439" s="41"/>
      <c r="X439" s="42" t="s">
        <v>3564</v>
      </c>
      <c r="Y439" s="43" t="s">
        <v>3565</v>
      </c>
      <c r="Z439" s="211" t="s">
        <v>3566</v>
      </c>
      <c r="AA439" s="45">
        <v>44944</v>
      </c>
      <c r="AB439" s="101" t="s">
        <v>30</v>
      </c>
      <c r="AC439" s="36"/>
      <c r="AD439" s="47" t="s">
        <v>49</v>
      </c>
      <c r="AE439" s="48" t="s">
        <v>41</v>
      </c>
      <c r="AF439" s="48" t="s">
        <v>41</v>
      </c>
      <c r="AG439" s="48" t="s">
        <v>49</v>
      </c>
      <c r="AH439" s="48" t="s">
        <v>41</v>
      </c>
      <c r="AI439" s="48" t="s">
        <v>41</v>
      </c>
      <c r="AJ439" s="49" t="s">
        <v>41</v>
      </c>
      <c r="AK439" s="48" t="s">
        <v>41</v>
      </c>
      <c r="AL439" s="62" t="s">
        <v>139</v>
      </c>
      <c r="AM439" s="59"/>
      <c r="AN439" s="10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1"/>
    </row>
    <row r="440" spans="1:51" ht="15" customHeight="1" x14ac:dyDescent="0.2">
      <c r="A440" s="33">
        <f t="shared" si="7"/>
        <v>435</v>
      </c>
      <c r="B440" s="34" t="s">
        <v>3567</v>
      </c>
      <c r="C440" s="35" t="s">
        <v>3568</v>
      </c>
      <c r="D440" s="36" t="s">
        <v>3569</v>
      </c>
      <c r="E440" s="36" t="s">
        <v>54</v>
      </c>
      <c r="F440" s="226" t="s">
        <v>3570</v>
      </c>
      <c r="G440" s="37" t="s">
        <v>360</v>
      </c>
      <c r="H440" s="37" t="s">
        <v>350</v>
      </c>
      <c r="I440" s="140" t="s">
        <v>3571</v>
      </c>
      <c r="J440" s="34" t="s">
        <v>41</v>
      </c>
      <c r="K440" s="39" t="s">
        <v>42</v>
      </c>
      <c r="L440" s="99" t="s">
        <v>1409</v>
      </c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2" t="s">
        <v>3572</v>
      </c>
      <c r="Y440" s="52" t="s">
        <v>3573</v>
      </c>
      <c r="Z440" s="119" t="s">
        <v>61</v>
      </c>
      <c r="AA440" s="45">
        <v>40280</v>
      </c>
      <c r="AB440" s="101" t="s">
        <v>30</v>
      </c>
      <c r="AC440" s="36" t="s">
        <v>26</v>
      </c>
      <c r="AD440" s="47" t="s">
        <v>49</v>
      </c>
      <c r="AE440" s="48" t="s">
        <v>49</v>
      </c>
      <c r="AF440" s="48" t="s">
        <v>41</v>
      </c>
      <c r="AG440" s="48" t="s">
        <v>41</v>
      </c>
      <c r="AH440" s="48" t="s">
        <v>41</v>
      </c>
      <c r="AI440" s="48" t="s">
        <v>41</v>
      </c>
      <c r="AJ440" s="49" t="s">
        <v>41</v>
      </c>
      <c r="AK440" s="48" t="s">
        <v>41</v>
      </c>
      <c r="AL440" s="62" t="s">
        <v>4587</v>
      </c>
      <c r="AM440" s="59"/>
      <c r="AN440" s="10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1"/>
    </row>
    <row r="441" spans="1:51" ht="15" customHeight="1" x14ac:dyDescent="0.2">
      <c r="A441" s="33">
        <f t="shared" si="7"/>
        <v>436</v>
      </c>
      <c r="B441" s="34" t="s">
        <v>3574</v>
      </c>
      <c r="C441" s="35" t="s">
        <v>3575</v>
      </c>
      <c r="D441" s="36" t="s">
        <v>3576</v>
      </c>
      <c r="E441" s="36" t="s">
        <v>36</v>
      </c>
      <c r="F441" s="226" t="s">
        <v>3577</v>
      </c>
      <c r="G441" s="37" t="s">
        <v>252</v>
      </c>
      <c r="H441" s="37" t="s">
        <v>57</v>
      </c>
      <c r="I441" s="140" t="s">
        <v>3578</v>
      </c>
      <c r="J441" s="34"/>
      <c r="K441" s="39" t="s">
        <v>42</v>
      </c>
      <c r="L441" s="120">
        <v>45699</v>
      </c>
      <c r="M441" s="41"/>
      <c r="N441" s="41"/>
      <c r="O441" s="41"/>
      <c r="P441" s="41"/>
      <c r="Q441" s="41"/>
      <c r="R441" s="41"/>
      <c r="S441" s="41"/>
      <c r="T441" s="41"/>
      <c r="U441" s="41"/>
      <c r="V441" s="41" t="s">
        <v>44</v>
      </c>
      <c r="W441" s="41"/>
      <c r="X441" s="140" t="s">
        <v>3579</v>
      </c>
      <c r="Y441" s="43" t="s">
        <v>3580</v>
      </c>
      <c r="Z441" s="119"/>
      <c r="AA441" s="45"/>
      <c r="AB441" s="101"/>
      <c r="AC441" s="36"/>
      <c r="AD441" s="47" t="s">
        <v>49</v>
      </c>
      <c r="AE441" s="48" t="s">
        <v>41</v>
      </c>
      <c r="AF441" s="48" t="s">
        <v>41</v>
      </c>
      <c r="AG441" s="48" t="s">
        <v>41</v>
      </c>
      <c r="AH441" s="48" t="s">
        <v>41</v>
      </c>
      <c r="AI441" s="48" t="s">
        <v>41</v>
      </c>
      <c r="AJ441" s="49" t="s">
        <v>49</v>
      </c>
      <c r="AK441" s="48" t="s">
        <v>41</v>
      </c>
      <c r="AL441" s="62" t="s">
        <v>148</v>
      </c>
      <c r="AM441" s="59"/>
      <c r="AN441" s="10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1"/>
    </row>
    <row r="442" spans="1:51" ht="15" customHeight="1" x14ac:dyDescent="0.2">
      <c r="A442" s="33">
        <f t="shared" si="7"/>
        <v>437</v>
      </c>
      <c r="B442" s="34" t="s">
        <v>3581</v>
      </c>
      <c r="C442" s="35" t="s">
        <v>3582</v>
      </c>
      <c r="D442" s="36" t="s">
        <v>3583</v>
      </c>
      <c r="E442" s="36" t="s">
        <v>54</v>
      </c>
      <c r="F442" s="226" t="s">
        <v>3584</v>
      </c>
      <c r="G442" s="37" t="s">
        <v>377</v>
      </c>
      <c r="H442" s="37" t="s">
        <v>378</v>
      </c>
      <c r="I442" s="140" t="s">
        <v>3585</v>
      </c>
      <c r="J442" s="34" t="s">
        <v>41</v>
      </c>
      <c r="K442" s="39" t="s">
        <v>42</v>
      </c>
      <c r="L442" s="99" t="s">
        <v>3586</v>
      </c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42" t="s">
        <v>3587</v>
      </c>
      <c r="Y442" s="52" t="s">
        <v>3588</v>
      </c>
      <c r="Z442" s="211" t="s">
        <v>3589</v>
      </c>
      <c r="AA442" s="45">
        <v>44944</v>
      </c>
      <c r="AB442" s="101" t="s">
        <v>30</v>
      </c>
      <c r="AC442" s="36" t="s">
        <v>26</v>
      </c>
      <c r="AD442" s="47" t="s">
        <v>49</v>
      </c>
      <c r="AE442" s="48" t="s">
        <v>49</v>
      </c>
      <c r="AF442" s="48" t="s">
        <v>49</v>
      </c>
      <c r="AG442" s="48" t="s">
        <v>49</v>
      </c>
      <c r="AH442" s="48" t="s">
        <v>49</v>
      </c>
      <c r="AI442" s="48" t="s">
        <v>49</v>
      </c>
      <c r="AJ442" s="49" t="s">
        <v>49</v>
      </c>
      <c r="AK442" s="48" t="s">
        <v>41</v>
      </c>
      <c r="AL442" s="62" t="s">
        <v>148</v>
      </c>
      <c r="AM442" s="59"/>
      <c r="AN442" s="10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1"/>
    </row>
    <row r="443" spans="1:51" ht="15" customHeight="1" x14ac:dyDescent="0.2">
      <c r="A443" s="33">
        <f t="shared" si="7"/>
        <v>438</v>
      </c>
      <c r="B443" s="34" t="s">
        <v>3590</v>
      </c>
      <c r="C443" s="35" t="s">
        <v>3591</v>
      </c>
      <c r="D443" s="36" t="s">
        <v>3592</v>
      </c>
      <c r="E443" s="36" t="s">
        <v>36</v>
      </c>
      <c r="F443" s="226" t="s">
        <v>3593</v>
      </c>
      <c r="G443" s="37" t="s">
        <v>1354</v>
      </c>
      <c r="H443" s="37" t="s">
        <v>57</v>
      </c>
      <c r="I443" s="140" t="s">
        <v>3594</v>
      </c>
      <c r="J443" s="34" t="s">
        <v>41</v>
      </c>
      <c r="K443" s="39" t="s">
        <v>42</v>
      </c>
      <c r="L443" s="120">
        <v>44689</v>
      </c>
      <c r="M443" s="115"/>
      <c r="N443" s="115"/>
      <c r="O443" s="115"/>
      <c r="P443" s="115"/>
      <c r="Q443" s="115"/>
      <c r="R443" s="115"/>
      <c r="S443" s="115" t="s">
        <v>44</v>
      </c>
      <c r="T443" s="56"/>
      <c r="U443" s="56"/>
      <c r="V443" s="56"/>
      <c r="W443" s="56"/>
      <c r="X443" s="42" t="s">
        <v>3595</v>
      </c>
      <c r="Y443" s="43" t="s">
        <v>3596</v>
      </c>
      <c r="Z443" s="207" t="s">
        <v>3597</v>
      </c>
      <c r="AA443" s="45">
        <v>44944</v>
      </c>
      <c r="AB443" s="101" t="s">
        <v>30</v>
      </c>
      <c r="AC443" s="36"/>
      <c r="AD443" s="47" t="s">
        <v>49</v>
      </c>
      <c r="AE443" s="48" t="s">
        <v>41</v>
      </c>
      <c r="AF443" s="48" t="s">
        <v>41</v>
      </c>
      <c r="AG443" s="48" t="s">
        <v>49</v>
      </c>
      <c r="AH443" s="48" t="s">
        <v>49</v>
      </c>
      <c r="AI443" s="48" t="s">
        <v>49</v>
      </c>
      <c r="AJ443" s="49" t="s">
        <v>49</v>
      </c>
      <c r="AK443" s="48" t="s">
        <v>49</v>
      </c>
      <c r="AL443" s="62" t="s">
        <v>32</v>
      </c>
      <c r="AM443" s="59"/>
      <c r="AN443" s="10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1"/>
    </row>
    <row r="444" spans="1:51" ht="15" customHeight="1" x14ac:dyDescent="0.2">
      <c r="A444" s="33">
        <f t="shared" si="7"/>
        <v>439</v>
      </c>
      <c r="B444" s="122" t="s">
        <v>3598</v>
      </c>
      <c r="C444" s="123" t="s">
        <v>3599</v>
      </c>
      <c r="D444" s="202" t="s">
        <v>3600</v>
      </c>
      <c r="E444" s="36" t="s">
        <v>54</v>
      </c>
      <c r="F444" s="122" t="s">
        <v>3601</v>
      </c>
      <c r="G444" s="126" t="s">
        <v>323</v>
      </c>
      <c r="H444" s="126" t="s">
        <v>39</v>
      </c>
      <c r="I444" s="122" t="s">
        <v>3602</v>
      </c>
      <c r="J444" s="122" t="s">
        <v>41</v>
      </c>
      <c r="K444" s="128" t="s">
        <v>42</v>
      </c>
      <c r="L444" s="163" t="s">
        <v>3603</v>
      </c>
      <c r="M444" s="112"/>
      <c r="N444" s="112"/>
      <c r="O444" s="112"/>
      <c r="P444" s="112"/>
      <c r="Q444" s="112"/>
      <c r="R444" s="112"/>
      <c r="S444" s="112"/>
      <c r="T444" s="41"/>
      <c r="U444" s="41"/>
      <c r="V444" s="41"/>
      <c r="W444" s="41"/>
      <c r="X444" s="42" t="s">
        <v>3604</v>
      </c>
      <c r="Y444" s="52" t="s">
        <v>3605</v>
      </c>
      <c r="Z444" s="233" t="s">
        <v>61</v>
      </c>
      <c r="AA444" s="45">
        <v>40280</v>
      </c>
      <c r="AB444" s="164" t="s">
        <v>30</v>
      </c>
      <c r="AC444" s="36" t="s">
        <v>26</v>
      </c>
      <c r="AD444" s="133" t="s">
        <v>49</v>
      </c>
      <c r="AE444" s="48" t="s">
        <v>49</v>
      </c>
      <c r="AF444" s="48" t="s">
        <v>49</v>
      </c>
      <c r="AG444" s="48" t="s">
        <v>49</v>
      </c>
      <c r="AH444" s="48" t="s">
        <v>49</v>
      </c>
      <c r="AI444" s="48" t="s">
        <v>49</v>
      </c>
      <c r="AJ444" s="49" t="s">
        <v>49</v>
      </c>
      <c r="AK444" s="48" t="s">
        <v>49</v>
      </c>
      <c r="AL444" s="62" t="s">
        <v>32</v>
      </c>
      <c r="AM444" s="134"/>
      <c r="AN444" s="10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1"/>
    </row>
    <row r="445" spans="1:51" ht="15" customHeight="1" x14ac:dyDescent="0.2">
      <c r="A445" s="33">
        <f t="shared" si="7"/>
        <v>440</v>
      </c>
      <c r="B445" s="122" t="s">
        <v>3606</v>
      </c>
      <c r="C445" s="123" t="s">
        <v>3607</v>
      </c>
      <c r="D445" s="202" t="s">
        <v>3608</v>
      </c>
      <c r="E445" s="36" t="s">
        <v>54</v>
      </c>
      <c r="F445" s="122" t="s">
        <v>3609</v>
      </c>
      <c r="G445" s="126" t="s">
        <v>747</v>
      </c>
      <c r="H445" s="126" t="s">
        <v>378</v>
      </c>
      <c r="I445" s="122" t="s">
        <v>3610</v>
      </c>
      <c r="J445" s="122" t="s">
        <v>3611</v>
      </c>
      <c r="K445" s="128" t="s">
        <v>42</v>
      </c>
      <c r="L445" s="163" t="s">
        <v>3612</v>
      </c>
      <c r="M445" s="41"/>
      <c r="N445" s="188"/>
      <c r="O445" s="188"/>
      <c r="P445" s="188"/>
      <c r="Q445" s="188"/>
      <c r="R445" s="188"/>
      <c r="S445" s="188"/>
      <c r="T445" s="188"/>
      <c r="U445" s="188"/>
      <c r="V445" s="188"/>
      <c r="W445" s="188"/>
      <c r="X445" s="42" t="s">
        <v>3613</v>
      </c>
      <c r="Y445" s="52" t="s">
        <v>3614</v>
      </c>
      <c r="Z445" s="44" t="s">
        <v>61</v>
      </c>
      <c r="AA445" s="45">
        <v>38593</v>
      </c>
      <c r="AB445" s="164" t="s">
        <v>30</v>
      </c>
      <c r="AC445" s="36" t="s">
        <v>26</v>
      </c>
      <c r="AD445" s="133" t="s">
        <v>49</v>
      </c>
      <c r="AE445" s="48" t="s">
        <v>49</v>
      </c>
      <c r="AF445" s="48" t="s">
        <v>49</v>
      </c>
      <c r="AG445" s="48" t="s">
        <v>49</v>
      </c>
      <c r="AH445" s="48" t="s">
        <v>49</v>
      </c>
      <c r="AI445" s="48" t="s">
        <v>49</v>
      </c>
      <c r="AJ445" s="49" t="s">
        <v>49</v>
      </c>
      <c r="AK445" s="48" t="s">
        <v>49</v>
      </c>
      <c r="AL445" s="62" t="s">
        <v>32</v>
      </c>
      <c r="AM445" s="134"/>
      <c r="AN445" s="10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1"/>
    </row>
    <row r="446" spans="1:51" ht="15" customHeight="1" x14ac:dyDescent="0.2">
      <c r="A446" s="33">
        <f t="shared" si="7"/>
        <v>441</v>
      </c>
      <c r="B446" s="34" t="s">
        <v>3615</v>
      </c>
      <c r="C446" s="35" t="s">
        <v>3616</v>
      </c>
      <c r="D446" s="36" t="s">
        <v>3617</v>
      </c>
      <c r="E446" s="36" t="s">
        <v>54</v>
      </c>
      <c r="F446" s="34" t="s">
        <v>3618</v>
      </c>
      <c r="G446" s="37" t="s">
        <v>186</v>
      </c>
      <c r="H446" s="37" t="s">
        <v>187</v>
      </c>
      <c r="I446" s="34" t="s">
        <v>3619</v>
      </c>
      <c r="J446" s="122" t="s">
        <v>41</v>
      </c>
      <c r="K446" s="39" t="s">
        <v>42</v>
      </c>
      <c r="L446" s="99" t="s">
        <v>3158</v>
      </c>
      <c r="M446" s="56"/>
      <c r="N446" s="137"/>
      <c r="O446" s="137"/>
      <c r="P446" s="137"/>
      <c r="Q446" s="137"/>
      <c r="R446" s="137"/>
      <c r="S446" s="137"/>
      <c r="T446" s="137" t="s">
        <v>732</v>
      </c>
      <c r="U446" s="137"/>
      <c r="V446" s="137"/>
      <c r="W446" s="137"/>
      <c r="X446" s="42" t="s">
        <v>3620</v>
      </c>
      <c r="Y446" s="58" t="s">
        <v>3621</v>
      </c>
      <c r="Z446" s="44"/>
      <c r="AA446" s="45">
        <v>45642</v>
      </c>
      <c r="AB446" s="101"/>
      <c r="AC446" s="36" t="s">
        <v>26</v>
      </c>
      <c r="AD446" s="47" t="s">
        <v>49</v>
      </c>
      <c r="AE446" s="48" t="s">
        <v>49</v>
      </c>
      <c r="AF446" s="48" t="s">
        <v>49</v>
      </c>
      <c r="AG446" s="48" t="s">
        <v>49</v>
      </c>
      <c r="AH446" s="48" t="s">
        <v>49</v>
      </c>
      <c r="AI446" s="48" t="s">
        <v>49</v>
      </c>
      <c r="AJ446" s="49" t="s">
        <v>49</v>
      </c>
      <c r="AK446" s="48" t="s">
        <v>49</v>
      </c>
      <c r="AL446" s="62" t="s">
        <v>32</v>
      </c>
      <c r="AM446" s="59"/>
      <c r="AN446" s="10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1"/>
    </row>
    <row r="447" spans="1:51" ht="15" customHeight="1" x14ac:dyDescent="0.2">
      <c r="A447" s="33">
        <f t="shared" si="7"/>
        <v>442</v>
      </c>
      <c r="B447" s="34" t="s">
        <v>3622</v>
      </c>
      <c r="C447" s="35" t="s">
        <v>3623</v>
      </c>
      <c r="D447" s="36" t="s">
        <v>3624</v>
      </c>
      <c r="E447" s="36" t="s">
        <v>54</v>
      </c>
      <c r="F447" s="34" t="s">
        <v>3625</v>
      </c>
      <c r="G447" s="37" t="s">
        <v>858</v>
      </c>
      <c r="H447" s="37" t="s">
        <v>57</v>
      </c>
      <c r="I447" s="34" t="s">
        <v>3626</v>
      </c>
      <c r="J447" s="34" t="s">
        <v>41</v>
      </c>
      <c r="K447" s="39" t="s">
        <v>42</v>
      </c>
      <c r="L447" s="120">
        <v>31057</v>
      </c>
      <c r="M447" s="56"/>
      <c r="N447" s="114"/>
      <c r="O447" s="115"/>
      <c r="P447" s="114"/>
      <c r="Q447" s="115"/>
      <c r="R447" s="115"/>
      <c r="S447" s="114"/>
      <c r="T447" s="115"/>
      <c r="U447" s="115"/>
      <c r="V447" s="115"/>
      <c r="W447" s="115"/>
      <c r="X447" s="57" t="s">
        <v>3627</v>
      </c>
      <c r="Y447" s="43" t="s">
        <v>3628</v>
      </c>
      <c r="Z447" s="44" t="s">
        <v>3629</v>
      </c>
      <c r="AA447" s="45">
        <v>42325</v>
      </c>
      <c r="AB447" s="101" t="s">
        <v>30</v>
      </c>
      <c r="AC447" s="36" t="s">
        <v>26</v>
      </c>
      <c r="AD447" s="47" t="s">
        <v>49</v>
      </c>
      <c r="AE447" s="48" t="s">
        <v>49</v>
      </c>
      <c r="AF447" s="48" t="s">
        <v>49</v>
      </c>
      <c r="AG447" s="48" t="s">
        <v>49</v>
      </c>
      <c r="AH447" s="48" t="s">
        <v>49</v>
      </c>
      <c r="AI447" s="48" t="s">
        <v>49</v>
      </c>
      <c r="AJ447" s="49" t="s">
        <v>49</v>
      </c>
      <c r="AK447" s="48" t="s">
        <v>41</v>
      </c>
      <c r="AL447" s="65" t="s">
        <v>148</v>
      </c>
      <c r="AM447" s="59"/>
      <c r="AN447" s="10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1"/>
    </row>
    <row r="448" spans="1:51" ht="15" customHeight="1" x14ac:dyDescent="0.2">
      <c r="A448" s="33">
        <f t="shared" si="7"/>
        <v>443</v>
      </c>
      <c r="B448" s="34" t="s">
        <v>3630</v>
      </c>
      <c r="C448" s="35" t="s">
        <v>3631</v>
      </c>
      <c r="D448" s="36" t="s">
        <v>3632</v>
      </c>
      <c r="E448" s="36" t="s">
        <v>241</v>
      </c>
      <c r="F448" s="34" t="s">
        <v>3633</v>
      </c>
      <c r="G448" s="37" t="s">
        <v>858</v>
      </c>
      <c r="H448" s="37" t="s">
        <v>57</v>
      </c>
      <c r="I448" s="34" t="s">
        <v>3634</v>
      </c>
      <c r="J448" s="38" t="s">
        <v>3635</v>
      </c>
      <c r="K448" s="39" t="s">
        <v>42</v>
      </c>
      <c r="L448" s="99" t="s">
        <v>3636</v>
      </c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2" t="s">
        <v>3637</v>
      </c>
      <c r="Y448" s="83" t="s">
        <v>3638</v>
      </c>
      <c r="Z448" s="44" t="s">
        <v>61</v>
      </c>
      <c r="AA448" s="131">
        <v>36803</v>
      </c>
      <c r="AB448" s="101" t="s">
        <v>30</v>
      </c>
      <c r="AC448" s="36" t="s">
        <v>26</v>
      </c>
      <c r="AD448" s="47" t="s">
        <v>49</v>
      </c>
      <c r="AE448" s="48" t="s">
        <v>49</v>
      </c>
      <c r="AF448" s="48" t="s">
        <v>49</v>
      </c>
      <c r="AG448" s="48" t="s">
        <v>49</v>
      </c>
      <c r="AH448" s="48" t="s">
        <v>49</v>
      </c>
      <c r="AI448" s="48" t="s">
        <v>49</v>
      </c>
      <c r="AJ448" s="49" t="s">
        <v>49</v>
      </c>
      <c r="AK448" s="48" t="s">
        <v>49</v>
      </c>
      <c r="AL448" s="62" t="s">
        <v>32</v>
      </c>
      <c r="AM448" s="59"/>
      <c r="AN448" s="10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1"/>
    </row>
    <row r="449" spans="1:51" ht="15" customHeight="1" x14ac:dyDescent="0.2">
      <c r="A449" s="33">
        <f t="shared" si="7"/>
        <v>444</v>
      </c>
      <c r="B449" s="34" t="s">
        <v>3639</v>
      </c>
      <c r="C449" s="35" t="s">
        <v>3640</v>
      </c>
      <c r="D449" s="36" t="s">
        <v>3641</v>
      </c>
      <c r="E449" s="36" t="s">
        <v>54</v>
      </c>
      <c r="F449" s="34" t="s">
        <v>3642</v>
      </c>
      <c r="G449" s="37" t="s">
        <v>73</v>
      </c>
      <c r="H449" s="37" t="s">
        <v>73</v>
      </c>
      <c r="I449" s="34" t="s">
        <v>3643</v>
      </c>
      <c r="J449" s="34" t="s">
        <v>3644</v>
      </c>
      <c r="K449" s="39" t="s">
        <v>42</v>
      </c>
      <c r="L449" s="99" t="s">
        <v>3645</v>
      </c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42" t="s">
        <v>3646</v>
      </c>
      <c r="Y449" s="100" t="s">
        <v>3647</v>
      </c>
      <c r="Z449" s="44" t="s">
        <v>61</v>
      </c>
      <c r="AA449" s="45">
        <v>38593</v>
      </c>
      <c r="AB449" s="101" t="s">
        <v>30</v>
      </c>
      <c r="AC449" s="36" t="s">
        <v>26</v>
      </c>
      <c r="AD449" s="47" t="s">
        <v>49</v>
      </c>
      <c r="AE449" s="48" t="s">
        <v>49</v>
      </c>
      <c r="AF449" s="48" t="s">
        <v>49</v>
      </c>
      <c r="AG449" s="48" t="s">
        <v>49</v>
      </c>
      <c r="AH449" s="48" t="s">
        <v>41</v>
      </c>
      <c r="AI449" s="48" t="s">
        <v>41</v>
      </c>
      <c r="AJ449" s="49" t="s">
        <v>41</v>
      </c>
      <c r="AK449" s="48" t="s">
        <v>41</v>
      </c>
      <c r="AL449" s="62" t="s">
        <v>139</v>
      </c>
      <c r="AM449" s="59"/>
      <c r="AN449" s="10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1"/>
    </row>
    <row r="450" spans="1:51" ht="15" customHeight="1" x14ac:dyDescent="0.2">
      <c r="A450" s="33">
        <f t="shared" si="7"/>
        <v>445</v>
      </c>
      <c r="B450" s="34" t="s">
        <v>3648</v>
      </c>
      <c r="C450" s="35" t="s">
        <v>3649</v>
      </c>
      <c r="D450" s="36" t="s">
        <v>3650</v>
      </c>
      <c r="E450" s="36" t="s">
        <v>54</v>
      </c>
      <c r="F450" s="34" t="s">
        <v>3651</v>
      </c>
      <c r="G450" s="37" t="s">
        <v>205</v>
      </c>
      <c r="H450" s="37" t="s">
        <v>205</v>
      </c>
      <c r="I450" s="38" t="s">
        <v>3652</v>
      </c>
      <c r="J450" s="34" t="s">
        <v>41</v>
      </c>
      <c r="K450" s="39" t="s">
        <v>42</v>
      </c>
      <c r="L450" s="120">
        <v>45803</v>
      </c>
      <c r="M450" s="56" t="s">
        <v>179</v>
      </c>
      <c r="N450" s="56"/>
      <c r="O450" s="56"/>
      <c r="P450" s="56"/>
      <c r="Q450" s="56"/>
      <c r="R450" s="56"/>
      <c r="S450" s="56"/>
      <c r="T450" s="56"/>
      <c r="U450" s="56"/>
      <c r="V450" s="56" t="s">
        <v>44</v>
      </c>
      <c r="W450" s="56"/>
      <c r="X450" s="38" t="s">
        <v>3653</v>
      </c>
      <c r="Y450" s="146" t="s">
        <v>3654</v>
      </c>
      <c r="Z450" s="224"/>
      <c r="AA450" s="45"/>
      <c r="AB450" s="101"/>
      <c r="AC450" s="36"/>
      <c r="AD450" s="47" t="s">
        <v>49</v>
      </c>
      <c r="AE450" s="48" t="s">
        <v>41</v>
      </c>
      <c r="AF450" s="48" t="s">
        <v>41</v>
      </c>
      <c r="AG450" s="48" t="s">
        <v>41</v>
      </c>
      <c r="AH450" s="48" t="s">
        <v>41</v>
      </c>
      <c r="AI450" s="48" t="s">
        <v>41</v>
      </c>
      <c r="AJ450" s="49" t="s">
        <v>49</v>
      </c>
      <c r="AK450" s="48" t="s">
        <v>41</v>
      </c>
      <c r="AL450" s="62" t="s">
        <v>148</v>
      </c>
      <c r="AM450" s="59"/>
      <c r="AN450" s="10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1"/>
    </row>
    <row r="451" spans="1:51" ht="15" customHeight="1" x14ac:dyDescent="0.2">
      <c r="A451" s="33">
        <f t="shared" si="7"/>
        <v>446</v>
      </c>
      <c r="B451" s="34" t="s">
        <v>3655</v>
      </c>
      <c r="C451" s="35" t="s">
        <v>3656</v>
      </c>
      <c r="D451" s="36" t="s">
        <v>3657</v>
      </c>
      <c r="E451" s="36" t="s">
        <v>54</v>
      </c>
      <c r="F451" s="34" t="s">
        <v>3658</v>
      </c>
      <c r="G451" s="37" t="s">
        <v>1285</v>
      </c>
      <c r="H451" s="37" t="s">
        <v>350</v>
      </c>
      <c r="I451" s="34" t="s">
        <v>3659</v>
      </c>
      <c r="J451" s="34" t="s">
        <v>41</v>
      </c>
      <c r="K451" s="39" t="s">
        <v>42</v>
      </c>
      <c r="L451" s="120">
        <v>36739</v>
      </c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2" t="s">
        <v>3660</v>
      </c>
      <c r="Y451" s="52" t="s">
        <v>3661</v>
      </c>
      <c r="Z451" s="119" t="s">
        <v>61</v>
      </c>
      <c r="AA451" s="45">
        <v>40280</v>
      </c>
      <c r="AB451" s="101" t="s">
        <v>30</v>
      </c>
      <c r="AC451" s="36" t="s">
        <v>26</v>
      </c>
      <c r="AD451" s="47" t="s">
        <v>49</v>
      </c>
      <c r="AE451" s="48" t="s">
        <v>49</v>
      </c>
      <c r="AF451" s="48" t="s">
        <v>49</v>
      </c>
      <c r="AG451" s="48" t="s">
        <v>49</v>
      </c>
      <c r="AH451" s="48" t="s">
        <v>49</v>
      </c>
      <c r="AI451" s="48" t="s">
        <v>49</v>
      </c>
      <c r="AJ451" s="49" t="s">
        <v>49</v>
      </c>
      <c r="AK451" s="48" t="s">
        <v>49</v>
      </c>
      <c r="AL451" s="62" t="s">
        <v>32</v>
      </c>
      <c r="AM451" s="59"/>
      <c r="AN451" s="10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1"/>
    </row>
    <row r="452" spans="1:51" ht="15" customHeight="1" x14ac:dyDescent="0.2">
      <c r="A452" s="33">
        <f t="shared" si="7"/>
        <v>447</v>
      </c>
      <c r="B452" s="34" t="s">
        <v>3662</v>
      </c>
      <c r="C452" s="35" t="s">
        <v>3663</v>
      </c>
      <c r="D452" s="36" t="s">
        <v>3664</v>
      </c>
      <c r="E452" s="36" t="s">
        <v>54</v>
      </c>
      <c r="F452" s="34" t="s">
        <v>3665</v>
      </c>
      <c r="G452" s="37" t="s">
        <v>350</v>
      </c>
      <c r="H452" s="37" t="s">
        <v>350</v>
      </c>
      <c r="I452" s="38" t="s">
        <v>3666</v>
      </c>
      <c r="J452" s="34" t="s">
        <v>41</v>
      </c>
      <c r="K452" s="39" t="s">
        <v>42</v>
      </c>
      <c r="L452" s="120" t="s">
        <v>3667</v>
      </c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2" t="s">
        <v>3668</v>
      </c>
      <c r="Y452" s="43" t="s">
        <v>3669</v>
      </c>
      <c r="Z452" s="84" t="s">
        <v>3670</v>
      </c>
      <c r="AA452" s="45">
        <v>44650</v>
      </c>
      <c r="AB452" s="101" t="s">
        <v>30</v>
      </c>
      <c r="AC452" s="36" t="s">
        <v>26</v>
      </c>
      <c r="AD452" s="47" t="s">
        <v>49</v>
      </c>
      <c r="AE452" s="48" t="s">
        <v>49</v>
      </c>
      <c r="AF452" s="48" t="s">
        <v>49</v>
      </c>
      <c r="AG452" s="48" t="s">
        <v>49</v>
      </c>
      <c r="AH452" s="48" t="s">
        <v>41</v>
      </c>
      <c r="AI452" s="48" t="s">
        <v>41</v>
      </c>
      <c r="AJ452" s="49" t="s">
        <v>41</v>
      </c>
      <c r="AK452" s="48" t="s">
        <v>41</v>
      </c>
      <c r="AL452" s="62" t="s">
        <v>139</v>
      </c>
      <c r="AM452" s="59"/>
      <c r="AN452" s="10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1"/>
    </row>
    <row r="453" spans="1:51" ht="15" customHeight="1" x14ac:dyDescent="0.2">
      <c r="A453" s="33">
        <f t="shared" si="7"/>
        <v>448</v>
      </c>
      <c r="B453" s="34" t="s">
        <v>3671</v>
      </c>
      <c r="C453" s="35" t="s">
        <v>3672</v>
      </c>
      <c r="D453" s="36" t="s">
        <v>3673</v>
      </c>
      <c r="E453" s="36" t="s">
        <v>54</v>
      </c>
      <c r="F453" s="34" t="s">
        <v>3674</v>
      </c>
      <c r="G453" s="37" t="s">
        <v>73</v>
      </c>
      <c r="H453" s="37" t="s">
        <v>73</v>
      </c>
      <c r="I453" s="38" t="s">
        <v>3675</v>
      </c>
      <c r="J453" s="34" t="s">
        <v>41</v>
      </c>
      <c r="K453" s="39" t="s">
        <v>42</v>
      </c>
      <c r="L453" s="120">
        <v>44844</v>
      </c>
      <c r="M453" s="41"/>
      <c r="N453" s="94"/>
      <c r="O453" s="94"/>
      <c r="P453" s="94"/>
      <c r="Q453" s="94"/>
      <c r="R453" s="94"/>
      <c r="S453" s="94" t="s">
        <v>44</v>
      </c>
      <c r="T453" s="94"/>
      <c r="U453" s="94"/>
      <c r="V453" s="94"/>
      <c r="W453" s="94"/>
      <c r="X453" s="42" t="s">
        <v>3676</v>
      </c>
      <c r="Y453" s="43" t="s">
        <v>3677</v>
      </c>
      <c r="Z453" s="207" t="s">
        <v>3678</v>
      </c>
      <c r="AA453" s="45">
        <v>44944</v>
      </c>
      <c r="AB453" s="101" t="s">
        <v>30</v>
      </c>
      <c r="AC453" s="36"/>
      <c r="AD453" s="47" t="s">
        <v>49</v>
      </c>
      <c r="AE453" s="48" t="s">
        <v>41</v>
      </c>
      <c r="AF453" s="48" t="s">
        <v>41</v>
      </c>
      <c r="AG453" s="48" t="s">
        <v>49</v>
      </c>
      <c r="AH453" s="48" t="s">
        <v>49</v>
      </c>
      <c r="AI453" s="48" t="s">
        <v>49</v>
      </c>
      <c r="AJ453" s="49" t="s">
        <v>41</v>
      </c>
      <c r="AK453" s="48" t="s">
        <v>41</v>
      </c>
      <c r="AL453" s="62" t="s">
        <v>276</v>
      </c>
      <c r="AM453" s="59"/>
      <c r="AN453" s="10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1"/>
    </row>
    <row r="454" spans="1:51" x14ac:dyDescent="0.2">
      <c r="A454" s="33">
        <f t="shared" si="7"/>
        <v>449</v>
      </c>
      <c r="B454" s="34" t="s">
        <v>3679</v>
      </c>
      <c r="C454" s="35" t="s">
        <v>3680</v>
      </c>
      <c r="D454" s="36" t="s">
        <v>3681</v>
      </c>
      <c r="E454" s="36" t="s">
        <v>54</v>
      </c>
      <c r="F454" s="34" t="s">
        <v>3682</v>
      </c>
      <c r="G454" s="37" t="s">
        <v>73</v>
      </c>
      <c r="H454" s="37" t="s">
        <v>73</v>
      </c>
      <c r="I454" s="34" t="s">
        <v>3683</v>
      </c>
      <c r="J454" s="34" t="s">
        <v>3683</v>
      </c>
      <c r="K454" s="39" t="s">
        <v>42</v>
      </c>
      <c r="L454" s="120" t="s">
        <v>3684</v>
      </c>
      <c r="M454" s="41"/>
      <c r="N454" s="41"/>
      <c r="O454" s="41"/>
      <c r="P454" s="41"/>
      <c r="Q454" s="112"/>
      <c r="R454" s="41"/>
      <c r="S454" s="41"/>
      <c r="T454" s="41"/>
      <c r="U454" s="41"/>
      <c r="V454" s="41"/>
      <c r="W454" s="41"/>
      <c r="X454" s="42" t="s">
        <v>3685</v>
      </c>
      <c r="Y454" s="58" t="s">
        <v>3686</v>
      </c>
      <c r="Z454" s="84" t="s">
        <v>3687</v>
      </c>
      <c r="AA454" s="45">
        <v>44650</v>
      </c>
      <c r="AB454" s="101" t="s">
        <v>30</v>
      </c>
      <c r="AC454" s="36" t="s">
        <v>26</v>
      </c>
      <c r="AD454" s="61" t="s">
        <v>49</v>
      </c>
      <c r="AE454" s="48" t="s">
        <v>49</v>
      </c>
      <c r="AF454" s="48" t="s">
        <v>49</v>
      </c>
      <c r="AG454" s="48" t="s">
        <v>49</v>
      </c>
      <c r="AH454" s="48" t="s">
        <v>49</v>
      </c>
      <c r="AI454" s="48" t="s">
        <v>49</v>
      </c>
      <c r="AJ454" s="49" t="s">
        <v>49</v>
      </c>
      <c r="AK454" s="48" t="s">
        <v>49</v>
      </c>
      <c r="AL454" s="62" t="s">
        <v>32</v>
      </c>
      <c r="AM454" s="59"/>
      <c r="AN454" s="10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1"/>
    </row>
    <row r="455" spans="1:51" x14ac:dyDescent="0.2">
      <c r="A455" s="33">
        <f t="shared" si="7"/>
        <v>450</v>
      </c>
      <c r="B455" s="34" t="s">
        <v>3688</v>
      </c>
      <c r="C455" s="35" t="s">
        <v>3689</v>
      </c>
      <c r="D455" s="36" t="s">
        <v>3690</v>
      </c>
      <c r="E455" s="36" t="s">
        <v>36</v>
      </c>
      <c r="F455" s="34" t="s">
        <v>3552</v>
      </c>
      <c r="G455" s="37" t="s">
        <v>73</v>
      </c>
      <c r="H455" s="37" t="s">
        <v>73</v>
      </c>
      <c r="I455" s="34" t="s">
        <v>3553</v>
      </c>
      <c r="J455" s="34" t="s">
        <v>3691</v>
      </c>
      <c r="K455" s="39" t="s">
        <v>42</v>
      </c>
      <c r="L455" s="120">
        <v>30353</v>
      </c>
      <c r="M455" s="41" t="s">
        <v>179</v>
      </c>
      <c r="N455" s="41"/>
      <c r="O455" s="41"/>
      <c r="P455" s="41">
        <v>1</v>
      </c>
      <c r="Q455" s="41"/>
      <c r="R455" s="41"/>
      <c r="S455" s="41"/>
      <c r="T455" s="41"/>
      <c r="U455" s="41" t="s">
        <v>732</v>
      </c>
      <c r="V455" s="41"/>
      <c r="W455" s="41"/>
      <c r="X455" s="42" t="s">
        <v>3692</v>
      </c>
      <c r="Y455" s="58" t="s">
        <v>3693</v>
      </c>
      <c r="Z455" s="44" t="s">
        <v>61</v>
      </c>
      <c r="AA455" s="45">
        <v>40815</v>
      </c>
      <c r="AB455" s="101" t="s">
        <v>30</v>
      </c>
      <c r="AC455" s="36" t="s">
        <v>26</v>
      </c>
      <c r="AD455" s="64" t="s">
        <v>120</v>
      </c>
      <c r="AE455" s="48" t="s">
        <v>120</v>
      </c>
      <c r="AF455" s="48" t="s">
        <v>130</v>
      </c>
      <c r="AG455" s="48" t="s">
        <v>120</v>
      </c>
      <c r="AH455" s="48" t="s">
        <v>120</v>
      </c>
      <c r="AI455" s="48" t="s">
        <v>120</v>
      </c>
      <c r="AJ455" s="49" t="s">
        <v>120</v>
      </c>
      <c r="AK455" s="48" t="s">
        <v>120</v>
      </c>
      <c r="AL455" s="62" t="s">
        <v>32</v>
      </c>
      <c r="AM455" s="59"/>
      <c r="AN455" s="10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1"/>
    </row>
    <row r="456" spans="1:51" x14ac:dyDescent="0.2">
      <c r="A456" s="33">
        <f t="shared" si="7"/>
        <v>451</v>
      </c>
      <c r="B456" s="34" t="s">
        <v>3694</v>
      </c>
      <c r="C456" s="35" t="s">
        <v>3695</v>
      </c>
      <c r="D456" s="36" t="s">
        <v>3696</v>
      </c>
      <c r="E456" s="36" t="s">
        <v>54</v>
      </c>
      <c r="F456" s="34" t="s">
        <v>3697</v>
      </c>
      <c r="G456" s="37" t="s">
        <v>39</v>
      </c>
      <c r="H456" s="37" t="s">
        <v>39</v>
      </c>
      <c r="I456" s="34" t="s">
        <v>3698</v>
      </c>
      <c r="J456" s="34" t="s">
        <v>3699</v>
      </c>
      <c r="K456" s="39" t="s">
        <v>42</v>
      </c>
      <c r="L456" s="120">
        <v>37439</v>
      </c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2" t="s">
        <v>3700</v>
      </c>
      <c r="Y456" s="58" t="s">
        <v>3701</v>
      </c>
      <c r="Z456" s="44" t="s">
        <v>61</v>
      </c>
      <c r="AA456" s="45">
        <v>37877</v>
      </c>
      <c r="AB456" s="101" t="s">
        <v>30</v>
      </c>
      <c r="AC456" s="36" t="s">
        <v>26</v>
      </c>
      <c r="AD456" s="47" t="s">
        <v>49</v>
      </c>
      <c r="AE456" s="48" t="s">
        <v>49</v>
      </c>
      <c r="AF456" s="48" t="s">
        <v>49</v>
      </c>
      <c r="AG456" s="48" t="s">
        <v>49</v>
      </c>
      <c r="AH456" s="48" t="s">
        <v>49</v>
      </c>
      <c r="AI456" s="48" t="s">
        <v>49</v>
      </c>
      <c r="AJ456" s="49" t="s">
        <v>41</v>
      </c>
      <c r="AK456" s="48" t="s">
        <v>41</v>
      </c>
      <c r="AL456" s="62" t="s">
        <v>276</v>
      </c>
      <c r="AM456" s="59"/>
      <c r="AN456" s="10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1"/>
    </row>
    <row r="457" spans="1:51" x14ac:dyDescent="0.2">
      <c r="A457" s="33">
        <f t="shared" si="7"/>
        <v>452</v>
      </c>
      <c r="B457" s="34" t="s">
        <v>3702</v>
      </c>
      <c r="C457" s="35" t="s">
        <v>3703</v>
      </c>
      <c r="D457" s="36" t="s">
        <v>3704</v>
      </c>
      <c r="E457" s="36" t="s">
        <v>54</v>
      </c>
      <c r="F457" s="34" t="s">
        <v>3705</v>
      </c>
      <c r="G457" s="37" t="s">
        <v>73</v>
      </c>
      <c r="H457" s="37" t="s">
        <v>73</v>
      </c>
      <c r="I457" s="34" t="s">
        <v>3292</v>
      </c>
      <c r="J457" s="34" t="s">
        <v>41</v>
      </c>
      <c r="K457" s="39" t="s">
        <v>42</v>
      </c>
      <c r="L457" s="99" t="s">
        <v>3706</v>
      </c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2" t="s">
        <v>3707</v>
      </c>
      <c r="Y457" s="58" t="s">
        <v>3708</v>
      </c>
      <c r="Z457" s="119" t="s">
        <v>61</v>
      </c>
      <c r="AA457" s="45">
        <v>34597</v>
      </c>
      <c r="AB457" s="101" t="s">
        <v>30</v>
      </c>
      <c r="AC457" s="36"/>
      <c r="AD457" s="47" t="s">
        <v>49</v>
      </c>
      <c r="AE457" s="48" t="s">
        <v>41</v>
      </c>
      <c r="AF457" s="48" t="s">
        <v>41</v>
      </c>
      <c r="AG457" s="48" t="s">
        <v>41</v>
      </c>
      <c r="AH457" s="48" t="s">
        <v>41</v>
      </c>
      <c r="AI457" s="48" t="s">
        <v>41</v>
      </c>
      <c r="AJ457" s="49" t="s">
        <v>41</v>
      </c>
      <c r="AK457" s="48" t="s">
        <v>41</v>
      </c>
      <c r="AL457" s="65" t="s">
        <v>4588</v>
      </c>
      <c r="AM457" s="59"/>
      <c r="AN457" s="117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1"/>
    </row>
    <row r="458" spans="1:51" x14ac:dyDescent="0.2">
      <c r="A458" s="33">
        <f t="shared" si="7"/>
        <v>453</v>
      </c>
      <c r="B458" s="34" t="s">
        <v>3709</v>
      </c>
      <c r="C458" s="35" t="s">
        <v>3710</v>
      </c>
      <c r="D458" s="36" t="s">
        <v>3711</v>
      </c>
      <c r="E458" s="36" t="s">
        <v>54</v>
      </c>
      <c r="F458" s="34" t="s">
        <v>3712</v>
      </c>
      <c r="G458" s="37" t="s">
        <v>528</v>
      </c>
      <c r="H458" s="37" t="s">
        <v>57</v>
      </c>
      <c r="I458" s="38" t="s">
        <v>3713</v>
      </c>
      <c r="J458" s="34" t="s">
        <v>41</v>
      </c>
      <c r="K458" s="39" t="s">
        <v>42</v>
      </c>
      <c r="L458" s="120">
        <v>44409</v>
      </c>
      <c r="M458" s="41"/>
      <c r="N458" s="41"/>
      <c r="O458" s="41"/>
      <c r="P458" s="41"/>
      <c r="Q458" s="112"/>
      <c r="R458" s="41" t="s">
        <v>44</v>
      </c>
      <c r="S458" s="41"/>
      <c r="T458" s="41"/>
      <c r="U458" s="41"/>
      <c r="V458" s="41"/>
      <c r="W458" s="41"/>
      <c r="X458" s="42" t="s">
        <v>3714</v>
      </c>
      <c r="Y458" s="58" t="s">
        <v>3715</v>
      </c>
      <c r="Z458" s="144" t="s">
        <v>3716</v>
      </c>
      <c r="AA458" s="45">
        <v>44650</v>
      </c>
      <c r="AB458" s="101" t="s">
        <v>30</v>
      </c>
      <c r="AC458" s="36"/>
      <c r="AD458" s="47" t="s">
        <v>49</v>
      </c>
      <c r="AE458" s="48" t="s">
        <v>41</v>
      </c>
      <c r="AF458" s="48" t="s">
        <v>49</v>
      </c>
      <c r="AG458" s="48" t="s">
        <v>41</v>
      </c>
      <c r="AH458" s="48" t="s">
        <v>41</v>
      </c>
      <c r="AI458" s="48" t="s">
        <v>41</v>
      </c>
      <c r="AJ458" s="49" t="s">
        <v>41</v>
      </c>
      <c r="AK458" s="48" t="s">
        <v>41</v>
      </c>
      <c r="AL458" s="62" t="s">
        <v>110</v>
      </c>
      <c r="AM458" s="59"/>
      <c r="AN458" s="117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1"/>
    </row>
    <row r="459" spans="1:51" x14ac:dyDescent="0.2">
      <c r="A459" s="33">
        <f t="shared" ref="A459:A522" si="8">+A458+1</f>
        <v>454</v>
      </c>
      <c r="B459" s="34" t="s">
        <v>3717</v>
      </c>
      <c r="C459" s="35" t="s">
        <v>3718</v>
      </c>
      <c r="D459" s="36" t="s">
        <v>3719</v>
      </c>
      <c r="E459" s="36" t="s">
        <v>54</v>
      </c>
      <c r="F459" s="34" t="s">
        <v>3720</v>
      </c>
      <c r="G459" s="37" t="s">
        <v>1285</v>
      </c>
      <c r="H459" s="37" t="s">
        <v>350</v>
      </c>
      <c r="I459" s="34" t="s">
        <v>3721</v>
      </c>
      <c r="J459" s="34" t="s">
        <v>41</v>
      </c>
      <c r="K459" s="39" t="s">
        <v>42</v>
      </c>
      <c r="L459" s="99" t="s">
        <v>3722</v>
      </c>
      <c r="M459" s="56"/>
      <c r="N459" s="186"/>
      <c r="O459" s="186"/>
      <c r="P459" s="186"/>
      <c r="Q459" s="115"/>
      <c r="R459" s="115"/>
      <c r="S459" s="115"/>
      <c r="T459" s="56"/>
      <c r="U459" s="56"/>
      <c r="V459" s="56"/>
      <c r="W459" s="56"/>
      <c r="X459" s="42" t="s">
        <v>3723</v>
      </c>
      <c r="Y459" s="69" t="s">
        <v>3724</v>
      </c>
      <c r="Z459" s="44" t="s">
        <v>61</v>
      </c>
      <c r="AA459" s="45">
        <v>36803</v>
      </c>
      <c r="AB459" s="101" t="s">
        <v>30</v>
      </c>
      <c r="AC459" s="36" t="s">
        <v>26</v>
      </c>
      <c r="AD459" s="47" t="s">
        <v>49</v>
      </c>
      <c r="AE459" s="48" t="s">
        <v>49</v>
      </c>
      <c r="AF459" s="48" t="s">
        <v>49</v>
      </c>
      <c r="AG459" s="48" t="s">
        <v>49</v>
      </c>
      <c r="AH459" s="48" t="s">
        <v>49</v>
      </c>
      <c r="AI459" s="48" t="s">
        <v>49</v>
      </c>
      <c r="AJ459" s="49" t="s">
        <v>49</v>
      </c>
      <c r="AK459" s="48" t="s">
        <v>49</v>
      </c>
      <c r="AL459" s="62" t="s">
        <v>32</v>
      </c>
      <c r="AM459" s="59"/>
      <c r="AN459" s="10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1"/>
    </row>
    <row r="460" spans="1:51" x14ac:dyDescent="0.2">
      <c r="A460" s="33">
        <f t="shared" si="8"/>
        <v>455</v>
      </c>
      <c r="B460" s="34" t="s">
        <v>3725</v>
      </c>
      <c r="C460" s="35" t="s">
        <v>3726</v>
      </c>
      <c r="D460" s="36" t="s">
        <v>3727</v>
      </c>
      <c r="E460" s="36" t="s">
        <v>36</v>
      </c>
      <c r="F460" s="34" t="s">
        <v>3728</v>
      </c>
      <c r="G460" s="37" t="s">
        <v>73</v>
      </c>
      <c r="H460" s="37" t="s">
        <v>73</v>
      </c>
      <c r="I460" s="34" t="s">
        <v>3729</v>
      </c>
      <c r="J460" s="34" t="s">
        <v>41</v>
      </c>
      <c r="K460" s="39" t="s">
        <v>42</v>
      </c>
      <c r="L460" s="120">
        <v>35106</v>
      </c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42" t="s">
        <v>3730</v>
      </c>
      <c r="Y460" s="52" t="s">
        <v>3731</v>
      </c>
      <c r="Z460" s="44" t="s">
        <v>3732</v>
      </c>
      <c r="AA460" s="45">
        <v>42325</v>
      </c>
      <c r="AB460" s="101" t="s">
        <v>30</v>
      </c>
      <c r="AC460" s="36" t="s">
        <v>26</v>
      </c>
      <c r="AD460" s="47" t="s">
        <v>49</v>
      </c>
      <c r="AE460" s="48" t="s">
        <v>49</v>
      </c>
      <c r="AF460" s="48" t="s">
        <v>49</v>
      </c>
      <c r="AG460" s="48" t="s">
        <v>49</v>
      </c>
      <c r="AH460" s="48" t="s">
        <v>49</v>
      </c>
      <c r="AI460" s="48" t="s">
        <v>49</v>
      </c>
      <c r="AJ460" s="49" t="s">
        <v>49</v>
      </c>
      <c r="AK460" s="48" t="s">
        <v>49</v>
      </c>
      <c r="AL460" s="62" t="s">
        <v>32</v>
      </c>
      <c r="AM460" s="59"/>
      <c r="AN460" s="10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1"/>
    </row>
    <row r="461" spans="1:51" x14ac:dyDescent="0.2">
      <c r="A461" s="33">
        <f t="shared" si="8"/>
        <v>456</v>
      </c>
      <c r="B461" s="34" t="s">
        <v>3733</v>
      </c>
      <c r="C461" s="35" t="s">
        <v>3734</v>
      </c>
      <c r="D461" s="36" t="s">
        <v>3735</v>
      </c>
      <c r="E461" s="36" t="s">
        <v>54</v>
      </c>
      <c r="F461" s="34" t="s">
        <v>3736</v>
      </c>
      <c r="G461" s="37" t="s">
        <v>73</v>
      </c>
      <c r="H461" s="37" t="s">
        <v>73</v>
      </c>
      <c r="I461" s="34" t="s">
        <v>3737</v>
      </c>
      <c r="J461" s="34" t="s">
        <v>41</v>
      </c>
      <c r="K461" s="39" t="s">
        <v>42</v>
      </c>
      <c r="L461" s="120">
        <v>43807</v>
      </c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42" t="s">
        <v>3738</v>
      </c>
      <c r="Y461" s="58" t="s">
        <v>3739</v>
      </c>
      <c r="Z461" s="44" t="s">
        <v>3740</v>
      </c>
      <c r="AA461" s="45">
        <v>42325</v>
      </c>
      <c r="AB461" s="101" t="s">
        <v>30</v>
      </c>
      <c r="AC461" s="36" t="s">
        <v>26</v>
      </c>
      <c r="AD461" s="47" t="s">
        <v>49</v>
      </c>
      <c r="AE461" s="48" t="s">
        <v>49</v>
      </c>
      <c r="AF461" s="48" t="s">
        <v>49</v>
      </c>
      <c r="AG461" s="48" t="s">
        <v>49</v>
      </c>
      <c r="AH461" s="48" t="s">
        <v>49</v>
      </c>
      <c r="AI461" s="48" t="s">
        <v>49</v>
      </c>
      <c r="AJ461" s="49" t="s">
        <v>49</v>
      </c>
      <c r="AK461" s="48" t="s">
        <v>49</v>
      </c>
      <c r="AL461" s="62" t="s">
        <v>32</v>
      </c>
      <c r="AM461" s="59"/>
      <c r="AN461" s="10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1"/>
    </row>
    <row r="462" spans="1:51" x14ac:dyDescent="0.2">
      <c r="A462" s="33">
        <f t="shared" si="8"/>
        <v>457</v>
      </c>
      <c r="B462" s="34" t="s">
        <v>3741</v>
      </c>
      <c r="C462" s="35" t="s">
        <v>3742</v>
      </c>
      <c r="D462" s="36" t="s">
        <v>3743</v>
      </c>
      <c r="E462" s="36" t="s">
        <v>36</v>
      </c>
      <c r="F462" s="34" t="s">
        <v>3744</v>
      </c>
      <c r="G462" s="37" t="s">
        <v>73</v>
      </c>
      <c r="H462" s="37" t="s">
        <v>73</v>
      </c>
      <c r="I462" s="34" t="s">
        <v>3745</v>
      </c>
      <c r="J462" s="34" t="s">
        <v>3746</v>
      </c>
      <c r="K462" s="39" t="s">
        <v>42</v>
      </c>
      <c r="L462" s="99" t="s">
        <v>3747</v>
      </c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42" t="s">
        <v>3748</v>
      </c>
      <c r="Y462" s="69" t="s">
        <v>3749</v>
      </c>
      <c r="Z462" s="44" t="s">
        <v>61</v>
      </c>
      <c r="AA462" s="45">
        <v>42325</v>
      </c>
      <c r="AB462" s="101" t="s">
        <v>30</v>
      </c>
      <c r="AC462" s="36" t="s">
        <v>26</v>
      </c>
      <c r="AD462" s="64" t="s">
        <v>120</v>
      </c>
      <c r="AE462" s="48" t="s">
        <v>120</v>
      </c>
      <c r="AF462" s="48" t="s">
        <v>120</v>
      </c>
      <c r="AG462" s="48" t="s">
        <v>120</v>
      </c>
      <c r="AH462" s="48" t="s">
        <v>120</v>
      </c>
      <c r="AI462" s="48" t="s">
        <v>120</v>
      </c>
      <c r="AJ462" s="49" t="s">
        <v>120</v>
      </c>
      <c r="AK462" s="48" t="s">
        <v>120</v>
      </c>
      <c r="AL462" s="65" t="s">
        <v>32</v>
      </c>
      <c r="AM462" s="59"/>
      <c r="AN462" s="10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1"/>
    </row>
    <row r="463" spans="1:51" x14ac:dyDescent="0.2">
      <c r="A463" s="33">
        <f t="shared" si="8"/>
        <v>458</v>
      </c>
      <c r="B463" s="34" t="s">
        <v>3750</v>
      </c>
      <c r="C463" s="35" t="s">
        <v>3751</v>
      </c>
      <c r="D463" s="36" t="s">
        <v>3752</v>
      </c>
      <c r="E463" s="36" t="s">
        <v>54</v>
      </c>
      <c r="F463" s="34" t="s">
        <v>3753</v>
      </c>
      <c r="G463" s="37" t="s">
        <v>73</v>
      </c>
      <c r="H463" s="37" t="s">
        <v>73</v>
      </c>
      <c r="I463" s="34" t="s">
        <v>3754</v>
      </c>
      <c r="J463" s="38" t="s">
        <v>3755</v>
      </c>
      <c r="K463" s="39" t="s">
        <v>42</v>
      </c>
      <c r="L463" s="120">
        <v>34430</v>
      </c>
      <c r="M463" s="41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42" t="s">
        <v>3756</v>
      </c>
      <c r="Y463" s="69" t="s">
        <v>3757</v>
      </c>
      <c r="Z463" s="44" t="s">
        <v>61</v>
      </c>
      <c r="AA463" s="45">
        <v>34597</v>
      </c>
      <c r="AB463" s="101" t="s">
        <v>30</v>
      </c>
      <c r="AC463" s="36" t="s">
        <v>26</v>
      </c>
      <c r="AD463" s="47" t="s">
        <v>49</v>
      </c>
      <c r="AE463" s="48" t="s">
        <v>49</v>
      </c>
      <c r="AF463" s="48" t="s">
        <v>49</v>
      </c>
      <c r="AG463" s="48" t="s">
        <v>49</v>
      </c>
      <c r="AH463" s="48" t="s">
        <v>41</v>
      </c>
      <c r="AI463" s="48" t="s">
        <v>41</v>
      </c>
      <c r="AJ463" s="49" t="s">
        <v>41</v>
      </c>
      <c r="AK463" s="48" t="s">
        <v>41</v>
      </c>
      <c r="AL463" s="62" t="s">
        <v>139</v>
      </c>
      <c r="AM463" s="59"/>
      <c r="AN463" s="10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1"/>
    </row>
    <row r="464" spans="1:51" x14ac:dyDescent="0.2">
      <c r="A464" s="33">
        <f t="shared" si="8"/>
        <v>459</v>
      </c>
      <c r="B464" s="34" t="s">
        <v>3758</v>
      </c>
      <c r="C464" s="35" t="s">
        <v>3759</v>
      </c>
      <c r="D464" s="36" t="s">
        <v>3760</v>
      </c>
      <c r="E464" s="36" t="s">
        <v>54</v>
      </c>
      <c r="F464" s="34" t="s">
        <v>3761</v>
      </c>
      <c r="G464" s="37" t="s">
        <v>323</v>
      </c>
      <c r="H464" s="37" t="s">
        <v>39</v>
      </c>
      <c r="I464" s="38" t="s">
        <v>3762</v>
      </c>
      <c r="J464" s="38"/>
      <c r="K464" s="39" t="s">
        <v>42</v>
      </c>
      <c r="L464" s="120">
        <v>45357</v>
      </c>
      <c r="M464" s="41"/>
      <c r="N464" s="41"/>
      <c r="O464" s="41"/>
      <c r="P464" s="41"/>
      <c r="Q464" s="41"/>
      <c r="R464" s="41"/>
      <c r="S464" s="41"/>
      <c r="T464" s="41"/>
      <c r="U464" s="41" t="s">
        <v>44</v>
      </c>
      <c r="V464" s="41"/>
      <c r="W464" s="41"/>
      <c r="X464" s="54" t="s">
        <v>3763</v>
      </c>
      <c r="Y464" s="58" t="s">
        <v>3764</v>
      </c>
      <c r="Z464" s="44"/>
      <c r="AA464" s="45"/>
      <c r="AB464" s="101"/>
      <c r="AC464" s="36"/>
      <c r="AD464" s="47" t="s">
        <v>49</v>
      </c>
      <c r="AE464" s="48" t="s">
        <v>41</v>
      </c>
      <c r="AF464" s="48" t="s">
        <v>41</v>
      </c>
      <c r="AG464" s="48" t="s">
        <v>41</v>
      </c>
      <c r="AH464" s="48" t="s">
        <v>41</v>
      </c>
      <c r="AI464" s="48" t="s">
        <v>49</v>
      </c>
      <c r="AJ464" s="49" t="s">
        <v>49</v>
      </c>
      <c r="AK464" s="48" t="s">
        <v>41</v>
      </c>
      <c r="AL464" s="65" t="s">
        <v>148</v>
      </c>
      <c r="AM464" s="103"/>
      <c r="AN464" s="10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1"/>
    </row>
    <row r="465" spans="1:51" x14ac:dyDescent="0.2">
      <c r="A465" s="33">
        <f t="shared" si="8"/>
        <v>460</v>
      </c>
      <c r="B465" s="34" t="s">
        <v>3765</v>
      </c>
      <c r="C465" s="35" t="s">
        <v>3766</v>
      </c>
      <c r="D465" s="36" t="s">
        <v>3767</v>
      </c>
      <c r="E465" s="36" t="s">
        <v>54</v>
      </c>
      <c r="F465" s="34" t="s">
        <v>3768</v>
      </c>
      <c r="G465" s="37" t="s">
        <v>1417</v>
      </c>
      <c r="H465" s="37" t="s">
        <v>187</v>
      </c>
      <c r="I465" s="38" t="s">
        <v>3769</v>
      </c>
      <c r="J465" s="34" t="s">
        <v>41</v>
      </c>
      <c r="K465" s="39" t="s">
        <v>42</v>
      </c>
      <c r="L465" s="120">
        <v>42562</v>
      </c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7" t="s">
        <v>3770</v>
      </c>
      <c r="Y465" s="58" t="s">
        <v>3771</v>
      </c>
      <c r="Z465" s="44" t="s">
        <v>3772</v>
      </c>
      <c r="AA465" s="45">
        <v>44041</v>
      </c>
      <c r="AB465" s="101" t="s">
        <v>30</v>
      </c>
      <c r="AC465" s="36" t="s">
        <v>26</v>
      </c>
      <c r="AD465" s="47" t="s">
        <v>49</v>
      </c>
      <c r="AE465" s="48" t="s">
        <v>49</v>
      </c>
      <c r="AF465" s="48" t="s">
        <v>41</v>
      </c>
      <c r="AG465" s="48" t="s">
        <v>41</v>
      </c>
      <c r="AH465" s="48" t="s">
        <v>41</v>
      </c>
      <c r="AI465" s="48" t="s">
        <v>41</v>
      </c>
      <c r="AJ465" s="49" t="s">
        <v>41</v>
      </c>
      <c r="AK465" s="48" t="s">
        <v>41</v>
      </c>
      <c r="AL465" s="62" t="s">
        <v>4587</v>
      </c>
      <c r="AM465" s="59"/>
      <c r="AN465" s="10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1"/>
    </row>
    <row r="466" spans="1:51" x14ac:dyDescent="0.2">
      <c r="A466" s="33">
        <f t="shared" si="8"/>
        <v>461</v>
      </c>
      <c r="B466" s="34" t="s">
        <v>3773</v>
      </c>
      <c r="C466" s="35" t="s">
        <v>3774</v>
      </c>
      <c r="D466" s="36" t="s">
        <v>3775</v>
      </c>
      <c r="E466" s="36" t="s">
        <v>54</v>
      </c>
      <c r="F466" s="34" t="s">
        <v>3776</v>
      </c>
      <c r="G466" s="37" t="s">
        <v>1417</v>
      </c>
      <c r="H466" s="37" t="s">
        <v>187</v>
      </c>
      <c r="I466" s="38" t="s">
        <v>3777</v>
      </c>
      <c r="J466" s="34" t="s">
        <v>41</v>
      </c>
      <c r="K466" s="39" t="s">
        <v>42</v>
      </c>
      <c r="L466" s="120">
        <v>43227</v>
      </c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42" t="s">
        <v>3778</v>
      </c>
      <c r="Y466" s="69" t="s">
        <v>3779</v>
      </c>
      <c r="Z466" s="44" t="s">
        <v>3780</v>
      </c>
      <c r="AA466" s="45">
        <v>44041</v>
      </c>
      <c r="AB466" s="101" t="s">
        <v>30</v>
      </c>
      <c r="AC466" s="36" t="s">
        <v>26</v>
      </c>
      <c r="AD466" s="47" t="s">
        <v>49</v>
      </c>
      <c r="AE466" s="48" t="s">
        <v>49</v>
      </c>
      <c r="AF466" s="48" t="s">
        <v>49</v>
      </c>
      <c r="AG466" s="48" t="s">
        <v>49</v>
      </c>
      <c r="AH466" s="48" t="s">
        <v>49</v>
      </c>
      <c r="AI466" s="48" t="s">
        <v>41</v>
      </c>
      <c r="AJ466" s="49" t="s">
        <v>41</v>
      </c>
      <c r="AK466" s="48" t="s">
        <v>41</v>
      </c>
      <c r="AL466" s="62" t="s">
        <v>4589</v>
      </c>
      <c r="AM466" s="59"/>
      <c r="AN466" s="117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1"/>
    </row>
    <row r="467" spans="1:51" ht="15" customHeight="1" x14ac:dyDescent="0.2">
      <c r="A467" s="33">
        <f t="shared" si="8"/>
        <v>462</v>
      </c>
      <c r="B467" s="34" t="s">
        <v>3781</v>
      </c>
      <c r="C467" s="35" t="s">
        <v>3782</v>
      </c>
      <c r="D467" s="36" t="s">
        <v>3783</v>
      </c>
      <c r="E467" s="36" t="s">
        <v>54</v>
      </c>
      <c r="F467" s="34" t="s">
        <v>3784</v>
      </c>
      <c r="G467" s="37" t="s">
        <v>323</v>
      </c>
      <c r="H467" s="37" t="s">
        <v>39</v>
      </c>
      <c r="I467" s="38" t="s">
        <v>3785</v>
      </c>
      <c r="J467" s="34" t="s">
        <v>41</v>
      </c>
      <c r="K467" s="39" t="s">
        <v>42</v>
      </c>
      <c r="L467" s="120" t="s">
        <v>3786</v>
      </c>
      <c r="M467" s="56"/>
      <c r="N467" s="56"/>
      <c r="O467" s="56"/>
      <c r="P467" s="56"/>
      <c r="Q467" s="56"/>
      <c r="R467" s="56" t="s">
        <v>44</v>
      </c>
      <c r="S467" s="56"/>
      <c r="T467" s="56"/>
      <c r="U467" s="56"/>
      <c r="V467" s="56"/>
      <c r="W467" s="56"/>
      <c r="X467" s="42" t="s">
        <v>3787</v>
      </c>
      <c r="Y467" s="58" t="s">
        <v>3788</v>
      </c>
      <c r="Z467" s="207" t="s">
        <v>3789</v>
      </c>
      <c r="AA467" s="45">
        <v>44944</v>
      </c>
      <c r="AB467" s="101" t="s">
        <v>30</v>
      </c>
      <c r="AC467" s="36"/>
      <c r="AD467" s="47" t="s">
        <v>49</v>
      </c>
      <c r="AE467" s="48" t="s">
        <v>41</v>
      </c>
      <c r="AF467" s="48" t="s">
        <v>49</v>
      </c>
      <c r="AG467" s="48" t="s">
        <v>49</v>
      </c>
      <c r="AH467" s="48" t="s">
        <v>49</v>
      </c>
      <c r="AI467" s="48" t="s">
        <v>49</v>
      </c>
      <c r="AJ467" s="49" t="s">
        <v>49</v>
      </c>
      <c r="AK467" s="48" t="s">
        <v>49</v>
      </c>
      <c r="AL467" s="65" t="s">
        <v>32</v>
      </c>
      <c r="AM467" s="59"/>
      <c r="AN467" s="10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1"/>
    </row>
    <row r="468" spans="1:51" ht="15" customHeight="1" x14ac:dyDescent="0.2">
      <c r="A468" s="33">
        <f t="shared" si="8"/>
        <v>463</v>
      </c>
      <c r="B468" s="34" t="s">
        <v>4622</v>
      </c>
      <c r="C468" s="35" t="s">
        <v>3791</v>
      </c>
      <c r="D468" s="36" t="s">
        <v>4623</v>
      </c>
      <c r="E468" s="36" t="s">
        <v>54</v>
      </c>
      <c r="F468" s="34" t="s">
        <v>4621</v>
      </c>
      <c r="G468" s="37" t="s">
        <v>252</v>
      </c>
      <c r="H468" s="37" t="s">
        <v>57</v>
      </c>
      <c r="I468" s="34" t="s">
        <v>3794</v>
      </c>
      <c r="J468" s="34" t="s">
        <v>41</v>
      </c>
      <c r="K468" s="39" t="s">
        <v>42</v>
      </c>
      <c r="L468" s="120">
        <v>30353</v>
      </c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2" t="s">
        <v>3795</v>
      </c>
      <c r="Y468" s="43" t="s">
        <v>3796</v>
      </c>
      <c r="Z468" s="119" t="s">
        <v>61</v>
      </c>
      <c r="AA468" s="45">
        <v>34597</v>
      </c>
      <c r="AB468" s="101" t="s">
        <v>30</v>
      </c>
      <c r="AC468" s="36" t="s">
        <v>26</v>
      </c>
      <c r="AD468" s="47" t="s">
        <v>49</v>
      </c>
      <c r="AE468" s="48" t="s">
        <v>49</v>
      </c>
      <c r="AF468" s="48" t="s">
        <v>49</v>
      </c>
      <c r="AG468" s="48" t="s">
        <v>49</v>
      </c>
      <c r="AH468" s="48" t="s">
        <v>49</v>
      </c>
      <c r="AI468" s="48" t="s">
        <v>49</v>
      </c>
      <c r="AJ468" s="49" t="s">
        <v>49</v>
      </c>
      <c r="AK468" s="48" t="s">
        <v>49</v>
      </c>
      <c r="AL468" s="65" t="s">
        <v>32</v>
      </c>
      <c r="AM468" s="59"/>
      <c r="AN468" s="10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1"/>
    </row>
    <row r="469" spans="1:51" ht="15" customHeight="1" x14ac:dyDescent="0.2">
      <c r="A469" s="33">
        <f t="shared" si="8"/>
        <v>464</v>
      </c>
      <c r="B469" s="34" t="s">
        <v>3797</v>
      </c>
      <c r="C469" s="35" t="s">
        <v>3798</v>
      </c>
      <c r="D469" s="36" t="s">
        <v>3799</v>
      </c>
      <c r="E469" s="36" t="s">
        <v>54</v>
      </c>
      <c r="F469" s="34" t="s">
        <v>3800</v>
      </c>
      <c r="G469" s="37" t="s">
        <v>73</v>
      </c>
      <c r="H469" s="37" t="s">
        <v>73</v>
      </c>
      <c r="I469" s="34" t="s">
        <v>3801</v>
      </c>
      <c r="J469" s="38" t="s">
        <v>41</v>
      </c>
      <c r="K469" s="39" t="s">
        <v>42</v>
      </c>
      <c r="L469" s="120">
        <v>33795</v>
      </c>
      <c r="M469" s="56" t="s">
        <v>179</v>
      </c>
      <c r="N469" s="56" t="s">
        <v>341</v>
      </c>
      <c r="O469" s="56" t="s">
        <v>1878</v>
      </c>
      <c r="P469" s="56"/>
      <c r="Q469" s="56"/>
      <c r="R469" s="56"/>
      <c r="S469" s="56"/>
      <c r="T469" s="56"/>
      <c r="U469" s="56" t="s">
        <v>732</v>
      </c>
      <c r="V469" s="56"/>
      <c r="W469" s="56"/>
      <c r="X469" s="42" t="s">
        <v>3802</v>
      </c>
      <c r="Y469" s="69" t="s">
        <v>3803</v>
      </c>
      <c r="Z469" s="44" t="s">
        <v>3804</v>
      </c>
      <c r="AA469" s="45">
        <v>44041</v>
      </c>
      <c r="AB469" s="101" t="s">
        <v>30</v>
      </c>
      <c r="AC469" s="36" t="s">
        <v>26</v>
      </c>
      <c r="AD469" s="47" t="s">
        <v>49</v>
      </c>
      <c r="AE469" s="48" t="s">
        <v>49</v>
      </c>
      <c r="AF469" s="48" t="s">
        <v>49</v>
      </c>
      <c r="AG469" s="48" t="s">
        <v>49</v>
      </c>
      <c r="AH469" s="48" t="s">
        <v>49</v>
      </c>
      <c r="AI469" s="48" t="s">
        <v>49</v>
      </c>
      <c r="AJ469" s="49" t="s">
        <v>41</v>
      </c>
      <c r="AK469" s="48" t="s">
        <v>41</v>
      </c>
      <c r="AL469" s="62" t="s">
        <v>276</v>
      </c>
      <c r="AM469" s="59"/>
      <c r="AN469" s="10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1"/>
    </row>
    <row r="470" spans="1:51" ht="15" customHeight="1" x14ac:dyDescent="0.2">
      <c r="A470" s="33">
        <f t="shared" si="8"/>
        <v>465</v>
      </c>
      <c r="B470" s="34" t="s">
        <v>3805</v>
      </c>
      <c r="C470" s="35" t="s">
        <v>3806</v>
      </c>
      <c r="D470" s="174" t="s">
        <v>3807</v>
      </c>
      <c r="E470" s="36" t="s">
        <v>54</v>
      </c>
      <c r="F470" s="34" t="s">
        <v>3808</v>
      </c>
      <c r="G470" s="37" t="s">
        <v>73</v>
      </c>
      <c r="H470" s="37" t="s">
        <v>73</v>
      </c>
      <c r="I470" s="38" t="s">
        <v>3809</v>
      </c>
      <c r="J470" s="38" t="s">
        <v>41</v>
      </c>
      <c r="K470" s="39" t="s">
        <v>42</v>
      </c>
      <c r="L470" s="120" t="s">
        <v>3810</v>
      </c>
      <c r="M470" s="56"/>
      <c r="N470" s="56"/>
      <c r="O470" s="56"/>
      <c r="P470" s="56"/>
      <c r="Q470" s="56"/>
      <c r="R470" s="56" t="s">
        <v>44</v>
      </c>
      <c r="S470" s="56"/>
      <c r="T470" s="56"/>
      <c r="U470" s="56" t="s">
        <v>732</v>
      </c>
      <c r="V470" s="56"/>
      <c r="W470" s="56"/>
      <c r="X470" s="42" t="s">
        <v>3811</v>
      </c>
      <c r="Y470" s="58" t="s">
        <v>3812</v>
      </c>
      <c r="Z470" s="121"/>
      <c r="AA470" s="45"/>
      <c r="AB470" s="101"/>
      <c r="AC470" s="36"/>
      <c r="AD470" s="47" t="s">
        <v>49</v>
      </c>
      <c r="AE470" s="48" t="s">
        <v>41</v>
      </c>
      <c r="AF470" s="48" t="s">
        <v>49</v>
      </c>
      <c r="AG470" s="48" t="s">
        <v>49</v>
      </c>
      <c r="AH470" s="48" t="s">
        <v>49</v>
      </c>
      <c r="AI470" s="48" t="s">
        <v>49</v>
      </c>
      <c r="AJ470" s="49" t="s">
        <v>49</v>
      </c>
      <c r="AK470" s="48" t="s">
        <v>49</v>
      </c>
      <c r="AL470" s="62" t="s">
        <v>32</v>
      </c>
      <c r="AM470" s="59"/>
      <c r="AN470" s="10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1"/>
    </row>
    <row r="471" spans="1:51" ht="15" customHeight="1" x14ac:dyDescent="0.2">
      <c r="A471" s="33">
        <f t="shared" si="8"/>
        <v>466</v>
      </c>
      <c r="B471" s="34" t="s">
        <v>3813</v>
      </c>
      <c r="C471" s="35" t="s">
        <v>3814</v>
      </c>
      <c r="D471" s="104" t="s">
        <v>3815</v>
      </c>
      <c r="E471" s="36" t="s">
        <v>54</v>
      </c>
      <c r="F471" s="34" t="s">
        <v>3816</v>
      </c>
      <c r="G471" s="37" t="s">
        <v>73</v>
      </c>
      <c r="H471" s="37" t="s">
        <v>73</v>
      </c>
      <c r="I471" s="34" t="s">
        <v>3746</v>
      </c>
      <c r="J471" s="34" t="s">
        <v>41</v>
      </c>
      <c r="K471" s="39" t="s">
        <v>42</v>
      </c>
      <c r="L471" s="99" t="s">
        <v>3817</v>
      </c>
      <c r="M471" s="56"/>
      <c r="N471" s="56"/>
      <c r="O471" s="56"/>
      <c r="P471" s="56"/>
      <c r="Q471" s="56"/>
      <c r="R471" s="56"/>
      <c r="S471" s="56"/>
      <c r="T471" s="56" t="s">
        <v>732</v>
      </c>
      <c r="U471" s="56"/>
      <c r="V471" s="56"/>
      <c r="W471" s="56"/>
      <c r="X471" s="42" t="s">
        <v>3818</v>
      </c>
      <c r="Y471" s="52" t="s">
        <v>3819</v>
      </c>
      <c r="Z471" s="119"/>
      <c r="AA471" s="45">
        <v>45642</v>
      </c>
      <c r="AB471" s="101"/>
      <c r="AC471" s="36" t="s">
        <v>26</v>
      </c>
      <c r="AD471" s="47" t="s">
        <v>49</v>
      </c>
      <c r="AE471" s="48" t="s">
        <v>49</v>
      </c>
      <c r="AF471" s="48" t="s">
        <v>49</v>
      </c>
      <c r="AG471" s="48" t="s">
        <v>49</v>
      </c>
      <c r="AH471" s="48" t="s">
        <v>49</v>
      </c>
      <c r="AI471" s="48" t="s">
        <v>49</v>
      </c>
      <c r="AJ471" s="49" t="s">
        <v>49</v>
      </c>
      <c r="AK471" s="48" t="s">
        <v>49</v>
      </c>
      <c r="AL471" s="65" t="s">
        <v>32</v>
      </c>
      <c r="AM471" s="59"/>
      <c r="AN471" s="10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1"/>
    </row>
    <row r="472" spans="1:51" ht="15" customHeight="1" x14ac:dyDescent="0.2">
      <c r="A472" s="33">
        <f t="shared" si="8"/>
        <v>467</v>
      </c>
      <c r="B472" s="34" t="s">
        <v>3820</v>
      </c>
      <c r="C472" s="35" t="s">
        <v>3821</v>
      </c>
      <c r="D472" s="36" t="s">
        <v>3822</v>
      </c>
      <c r="E472" s="36" t="s">
        <v>54</v>
      </c>
      <c r="F472" s="34" t="s">
        <v>3808</v>
      </c>
      <c r="G472" s="37" t="s">
        <v>73</v>
      </c>
      <c r="H472" s="37" t="s">
        <v>73</v>
      </c>
      <c r="I472" s="34" t="s">
        <v>3823</v>
      </c>
      <c r="J472" s="34" t="s">
        <v>41</v>
      </c>
      <c r="K472" s="39" t="s">
        <v>42</v>
      </c>
      <c r="L472" s="99" t="s">
        <v>3824</v>
      </c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42" t="s">
        <v>3825</v>
      </c>
      <c r="Y472" s="58" t="s">
        <v>3826</v>
      </c>
      <c r="Z472" s="44" t="s">
        <v>3827</v>
      </c>
      <c r="AA472" s="45">
        <v>44041</v>
      </c>
      <c r="AB472" s="101" t="s">
        <v>30</v>
      </c>
      <c r="AC472" s="36" t="s">
        <v>26</v>
      </c>
      <c r="AD472" s="47" t="s">
        <v>49</v>
      </c>
      <c r="AE472" s="48" t="s">
        <v>49</v>
      </c>
      <c r="AF472" s="48" t="s">
        <v>49</v>
      </c>
      <c r="AG472" s="48" t="s">
        <v>49</v>
      </c>
      <c r="AH472" s="48" t="s">
        <v>49</v>
      </c>
      <c r="AI472" s="48" t="s">
        <v>49</v>
      </c>
      <c r="AJ472" s="49" t="s">
        <v>49</v>
      </c>
      <c r="AK472" s="48" t="s">
        <v>49</v>
      </c>
      <c r="AL472" s="62" t="s">
        <v>32</v>
      </c>
      <c r="AM472" s="59"/>
      <c r="AN472" s="10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1"/>
    </row>
    <row r="473" spans="1:51" ht="15" customHeight="1" x14ac:dyDescent="0.2">
      <c r="A473" s="33">
        <f t="shared" si="8"/>
        <v>468</v>
      </c>
      <c r="B473" s="34" t="s">
        <v>3828</v>
      </c>
      <c r="C473" s="35" t="s">
        <v>3829</v>
      </c>
      <c r="D473" s="36" t="s">
        <v>3830</v>
      </c>
      <c r="E473" s="36" t="s">
        <v>54</v>
      </c>
      <c r="F473" s="34" t="s">
        <v>3831</v>
      </c>
      <c r="G473" s="37" t="s">
        <v>176</v>
      </c>
      <c r="H473" s="37" t="s">
        <v>39</v>
      </c>
      <c r="I473" s="38" t="s">
        <v>3832</v>
      </c>
      <c r="J473" s="34" t="s">
        <v>41</v>
      </c>
      <c r="K473" s="39" t="s">
        <v>42</v>
      </c>
      <c r="L473" s="99" t="s">
        <v>3833</v>
      </c>
      <c r="M473" s="56"/>
      <c r="N473" s="56"/>
      <c r="O473" s="56"/>
      <c r="P473" s="56"/>
      <c r="Q473" s="56"/>
      <c r="R473" s="56"/>
      <c r="S473" s="56"/>
      <c r="T473" s="56" t="s">
        <v>732</v>
      </c>
      <c r="U473" s="56"/>
      <c r="V473" s="56"/>
      <c r="W473" s="56"/>
      <c r="X473" s="42" t="s">
        <v>3834</v>
      </c>
      <c r="Y473" s="58" t="s">
        <v>3835</v>
      </c>
      <c r="Z473" s="58"/>
      <c r="AA473" s="58" t="s">
        <v>47</v>
      </c>
      <c r="AB473" s="101"/>
      <c r="AC473" s="36" t="s">
        <v>26</v>
      </c>
      <c r="AD473" s="47" t="s">
        <v>49</v>
      </c>
      <c r="AE473" s="48" t="s">
        <v>49</v>
      </c>
      <c r="AF473" s="48" t="s">
        <v>49</v>
      </c>
      <c r="AG473" s="48" t="s">
        <v>49</v>
      </c>
      <c r="AH473" s="48" t="s">
        <v>49</v>
      </c>
      <c r="AI473" s="48" t="s">
        <v>41</v>
      </c>
      <c r="AJ473" s="49" t="s">
        <v>41</v>
      </c>
      <c r="AK473" s="48" t="s">
        <v>41</v>
      </c>
      <c r="AL473" s="62" t="s">
        <v>4589</v>
      </c>
      <c r="AM473" s="59"/>
      <c r="AN473" s="10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1"/>
    </row>
    <row r="474" spans="1:51" ht="15" customHeight="1" x14ac:dyDescent="0.2">
      <c r="A474" s="33">
        <f t="shared" si="8"/>
        <v>469</v>
      </c>
      <c r="B474" s="34" t="s">
        <v>3836</v>
      </c>
      <c r="C474" s="35" t="s">
        <v>3837</v>
      </c>
      <c r="D474" s="36" t="s">
        <v>3838</v>
      </c>
      <c r="E474" s="36" t="s">
        <v>54</v>
      </c>
      <c r="F474" s="34" t="s">
        <v>3839</v>
      </c>
      <c r="G474" s="37" t="s">
        <v>252</v>
      </c>
      <c r="H474" s="37" t="s">
        <v>57</v>
      </c>
      <c r="I474" s="38" t="s">
        <v>3840</v>
      </c>
      <c r="J474" s="34" t="s">
        <v>41</v>
      </c>
      <c r="K474" s="39" t="s">
        <v>42</v>
      </c>
      <c r="L474" s="120">
        <v>45322</v>
      </c>
      <c r="M474" s="41"/>
      <c r="N474" s="41"/>
      <c r="O474" s="41"/>
      <c r="P474" s="41"/>
      <c r="Q474" s="41"/>
      <c r="R474" s="41"/>
      <c r="S474" s="41"/>
      <c r="T474" s="41"/>
      <c r="U474" s="41" t="s">
        <v>44</v>
      </c>
      <c r="V474" s="41"/>
      <c r="W474" s="41"/>
      <c r="X474" s="42" t="s">
        <v>3841</v>
      </c>
      <c r="Y474" s="58" t="s">
        <v>3842</v>
      </c>
      <c r="Z474" s="121"/>
      <c r="AA474" s="45"/>
      <c r="AB474" s="101"/>
      <c r="AC474" s="36"/>
      <c r="AD474" s="47" t="s">
        <v>49</v>
      </c>
      <c r="AE474" s="48" t="s">
        <v>41</v>
      </c>
      <c r="AF474" s="48" t="s">
        <v>41</v>
      </c>
      <c r="AG474" s="48" t="s">
        <v>41</v>
      </c>
      <c r="AH474" s="48" t="s">
        <v>41</v>
      </c>
      <c r="AI474" s="48" t="s">
        <v>49</v>
      </c>
      <c r="AJ474" s="49" t="s">
        <v>49</v>
      </c>
      <c r="AK474" s="48" t="s">
        <v>49</v>
      </c>
      <c r="AL474" s="65" t="s">
        <v>32</v>
      </c>
      <c r="AM474" s="59"/>
      <c r="AN474" s="117"/>
      <c r="AO474" s="3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1"/>
    </row>
    <row r="475" spans="1:51" ht="15" customHeight="1" x14ac:dyDescent="0.2">
      <c r="A475" s="33">
        <f t="shared" si="8"/>
        <v>470</v>
      </c>
      <c r="B475" s="34" t="s">
        <v>3843</v>
      </c>
      <c r="C475" s="35" t="s">
        <v>3844</v>
      </c>
      <c r="D475" s="36" t="s">
        <v>3845</v>
      </c>
      <c r="E475" s="36" t="s">
        <v>54</v>
      </c>
      <c r="F475" s="34" t="s">
        <v>3846</v>
      </c>
      <c r="G475" s="37" t="s">
        <v>360</v>
      </c>
      <c r="H475" s="37" t="s">
        <v>350</v>
      </c>
      <c r="I475" s="34" t="s">
        <v>3847</v>
      </c>
      <c r="J475" s="34"/>
      <c r="K475" s="39" t="s">
        <v>42</v>
      </c>
      <c r="L475" s="99" t="s">
        <v>3848</v>
      </c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2" t="s">
        <v>3849</v>
      </c>
      <c r="Y475" s="52" t="s">
        <v>3850</v>
      </c>
      <c r="Z475" s="44" t="s">
        <v>61</v>
      </c>
      <c r="AA475" s="45">
        <v>37877</v>
      </c>
      <c r="AB475" s="101" t="s">
        <v>30</v>
      </c>
      <c r="AC475" s="36"/>
      <c r="AD475" s="47" t="s">
        <v>49</v>
      </c>
      <c r="AE475" s="48" t="s">
        <v>41</v>
      </c>
      <c r="AF475" s="48" t="s">
        <v>41</v>
      </c>
      <c r="AG475" s="48" t="s">
        <v>41</v>
      </c>
      <c r="AH475" s="48" t="s">
        <v>41</v>
      </c>
      <c r="AI475" s="48" t="s">
        <v>41</v>
      </c>
      <c r="AJ475" s="49" t="s">
        <v>41</v>
      </c>
      <c r="AK475" s="48" t="s">
        <v>41</v>
      </c>
      <c r="AL475" s="65" t="s">
        <v>4590</v>
      </c>
      <c r="AM475" s="59" t="s">
        <v>3851</v>
      </c>
      <c r="AN475" s="117"/>
      <c r="AO475" s="3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1"/>
    </row>
    <row r="476" spans="1:51" ht="15" customHeight="1" x14ac:dyDescent="0.2">
      <c r="A476" s="33">
        <f t="shared" si="8"/>
        <v>471</v>
      </c>
      <c r="B476" s="34" t="s">
        <v>3852</v>
      </c>
      <c r="C476" s="35" t="s">
        <v>3853</v>
      </c>
      <c r="D476" s="36" t="s">
        <v>3854</v>
      </c>
      <c r="E476" s="36" t="s">
        <v>54</v>
      </c>
      <c r="F476" s="34" t="s">
        <v>3855</v>
      </c>
      <c r="G476" s="37" t="s">
        <v>73</v>
      </c>
      <c r="H476" s="37" t="s">
        <v>73</v>
      </c>
      <c r="I476" s="34" t="s">
        <v>3856</v>
      </c>
      <c r="J476" s="34" t="s">
        <v>41</v>
      </c>
      <c r="K476" s="39" t="s">
        <v>42</v>
      </c>
      <c r="L476" s="99" t="s">
        <v>3857</v>
      </c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42" t="s">
        <v>3858</v>
      </c>
      <c r="Y476" s="52" t="s">
        <v>3859</v>
      </c>
      <c r="Z476" s="44" t="s">
        <v>61</v>
      </c>
      <c r="AA476" s="45">
        <v>38593</v>
      </c>
      <c r="AB476" s="101" t="s">
        <v>30</v>
      </c>
      <c r="AC476" s="36" t="s">
        <v>26</v>
      </c>
      <c r="AD476" s="47" t="s">
        <v>49</v>
      </c>
      <c r="AE476" s="48" t="s">
        <v>49</v>
      </c>
      <c r="AF476" s="48" t="s">
        <v>49</v>
      </c>
      <c r="AG476" s="48" t="s">
        <v>49</v>
      </c>
      <c r="AH476" s="48" t="s">
        <v>49</v>
      </c>
      <c r="AI476" s="48" t="s">
        <v>41</v>
      </c>
      <c r="AJ476" s="49" t="s">
        <v>41</v>
      </c>
      <c r="AK476" s="48" t="s">
        <v>41</v>
      </c>
      <c r="AL476" s="62" t="s">
        <v>4589</v>
      </c>
      <c r="AM476" s="59"/>
      <c r="AN476" s="10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1"/>
    </row>
    <row r="477" spans="1:51" ht="15" customHeight="1" x14ac:dyDescent="0.2">
      <c r="A477" s="33">
        <f t="shared" si="8"/>
        <v>472</v>
      </c>
      <c r="B477" s="34" t="s">
        <v>3860</v>
      </c>
      <c r="C477" s="35" t="s">
        <v>3861</v>
      </c>
      <c r="D477" s="36" t="s">
        <v>3862</v>
      </c>
      <c r="E477" s="36" t="s">
        <v>54</v>
      </c>
      <c r="F477" s="34" t="s">
        <v>3863</v>
      </c>
      <c r="G477" s="37" t="s">
        <v>176</v>
      </c>
      <c r="H477" s="37" t="s">
        <v>39</v>
      </c>
      <c r="I477" s="34" t="s">
        <v>3864</v>
      </c>
      <c r="J477" s="34" t="s">
        <v>41</v>
      </c>
      <c r="K477" s="39" t="s">
        <v>42</v>
      </c>
      <c r="L477" s="99" t="s">
        <v>3865</v>
      </c>
      <c r="M477" s="56" t="s">
        <v>179</v>
      </c>
      <c r="N477" s="56" t="s">
        <v>179</v>
      </c>
      <c r="O477" s="56"/>
      <c r="P477" s="56">
        <v>2</v>
      </c>
      <c r="Q477" s="56"/>
      <c r="R477" s="56"/>
      <c r="S477" s="56"/>
      <c r="T477" s="56" t="s">
        <v>732</v>
      </c>
      <c r="U477" s="56"/>
      <c r="V477" s="56"/>
      <c r="W477" s="56"/>
      <c r="X477" s="57" t="s">
        <v>3866</v>
      </c>
      <c r="Y477" s="55" t="s">
        <v>3867</v>
      </c>
      <c r="Z477" s="224" t="s">
        <v>3868</v>
      </c>
      <c r="AA477" s="45">
        <v>42325</v>
      </c>
      <c r="AB477" s="101" t="s">
        <v>30</v>
      </c>
      <c r="AC477" s="36" t="s">
        <v>26</v>
      </c>
      <c r="AD477" s="47" t="s">
        <v>49</v>
      </c>
      <c r="AE477" s="48" t="s">
        <v>49</v>
      </c>
      <c r="AF477" s="48" t="s">
        <v>49</v>
      </c>
      <c r="AG477" s="48" t="s">
        <v>49</v>
      </c>
      <c r="AH477" s="48" t="s">
        <v>49</v>
      </c>
      <c r="AI477" s="48" t="s">
        <v>49</v>
      </c>
      <c r="AJ477" s="49" t="s">
        <v>41</v>
      </c>
      <c r="AK477" s="48" t="s">
        <v>41</v>
      </c>
      <c r="AL477" s="62" t="s">
        <v>276</v>
      </c>
      <c r="AM477" s="59"/>
      <c r="AN477" s="10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1"/>
    </row>
    <row r="478" spans="1:51" ht="15" customHeight="1" x14ac:dyDescent="0.2">
      <c r="A478" s="33">
        <f t="shared" si="8"/>
        <v>473</v>
      </c>
      <c r="B478" s="34" t="s">
        <v>3869</v>
      </c>
      <c r="C478" s="35" t="s">
        <v>3870</v>
      </c>
      <c r="D478" s="36" t="s">
        <v>3871</v>
      </c>
      <c r="E478" s="36" t="s">
        <v>54</v>
      </c>
      <c r="F478" s="34" t="s">
        <v>3872</v>
      </c>
      <c r="G478" s="37" t="s">
        <v>252</v>
      </c>
      <c r="H478" s="37" t="s">
        <v>57</v>
      </c>
      <c r="I478" s="38" t="s">
        <v>3873</v>
      </c>
      <c r="J478" s="34" t="s">
        <v>41</v>
      </c>
      <c r="K478" s="39" t="s">
        <v>42</v>
      </c>
      <c r="L478" s="120">
        <v>45322</v>
      </c>
      <c r="M478" s="56"/>
      <c r="N478" s="56"/>
      <c r="O478" s="56"/>
      <c r="P478" s="56"/>
      <c r="Q478" s="56"/>
      <c r="R478" s="56"/>
      <c r="S478" s="56"/>
      <c r="T478" s="56"/>
      <c r="U478" s="56" t="s">
        <v>44</v>
      </c>
      <c r="V478" s="56"/>
      <c r="W478" s="56"/>
      <c r="X478" s="54" t="s">
        <v>3874</v>
      </c>
      <c r="Y478" s="43" t="s">
        <v>3875</v>
      </c>
      <c r="Z478" s="119"/>
      <c r="AA478" s="45"/>
      <c r="AB478" s="101"/>
      <c r="AC478" s="36"/>
      <c r="AD478" s="47" t="s">
        <v>49</v>
      </c>
      <c r="AE478" s="48" t="s">
        <v>41</v>
      </c>
      <c r="AF478" s="48" t="s">
        <v>41</v>
      </c>
      <c r="AG478" s="48" t="s">
        <v>41</v>
      </c>
      <c r="AH478" s="48" t="s">
        <v>41</v>
      </c>
      <c r="AI478" s="48" t="s">
        <v>49</v>
      </c>
      <c r="AJ478" s="49" t="s">
        <v>49</v>
      </c>
      <c r="AK478" s="48" t="s">
        <v>49</v>
      </c>
      <c r="AL478" s="62" t="s">
        <v>32</v>
      </c>
      <c r="AM478" s="59"/>
      <c r="AN478" s="10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1"/>
    </row>
    <row r="479" spans="1:51" ht="15" customHeight="1" x14ac:dyDescent="0.2">
      <c r="A479" s="33">
        <f t="shared" si="8"/>
        <v>474</v>
      </c>
      <c r="B479" s="34" t="s">
        <v>3876</v>
      </c>
      <c r="C479" s="35" t="s">
        <v>3877</v>
      </c>
      <c r="D479" s="36" t="s">
        <v>3878</v>
      </c>
      <c r="E479" s="36" t="s">
        <v>54</v>
      </c>
      <c r="F479" s="34" t="s">
        <v>3879</v>
      </c>
      <c r="G479" s="37" t="s">
        <v>176</v>
      </c>
      <c r="H479" s="37" t="s">
        <v>39</v>
      </c>
      <c r="I479" s="34" t="s">
        <v>3864</v>
      </c>
      <c r="J479" s="34" t="s">
        <v>41</v>
      </c>
      <c r="K479" s="39" t="s">
        <v>42</v>
      </c>
      <c r="L479" s="99" t="s">
        <v>3865</v>
      </c>
      <c r="M479" s="56"/>
      <c r="N479" s="56"/>
      <c r="O479" s="56"/>
      <c r="P479" s="56"/>
      <c r="Q479" s="56"/>
      <c r="R479" s="56"/>
      <c r="S479" s="56"/>
      <c r="T479" s="56" t="s">
        <v>44</v>
      </c>
      <c r="U479" s="56"/>
      <c r="V479" s="56"/>
      <c r="W479" s="56"/>
      <c r="X479" s="42" t="s">
        <v>3880</v>
      </c>
      <c r="Y479" s="43" t="s">
        <v>3881</v>
      </c>
      <c r="Z479" s="207" t="s">
        <v>3882</v>
      </c>
      <c r="AA479" s="45">
        <v>44944</v>
      </c>
      <c r="AB479" s="101" t="s">
        <v>30</v>
      </c>
      <c r="AC479" s="36"/>
      <c r="AD479" s="47" t="s">
        <v>49</v>
      </c>
      <c r="AE479" s="48" t="s">
        <v>41</v>
      </c>
      <c r="AF479" s="48" t="s">
        <v>41</v>
      </c>
      <c r="AG479" s="48" t="s">
        <v>41</v>
      </c>
      <c r="AH479" s="48" t="s">
        <v>49</v>
      </c>
      <c r="AI479" s="48" t="s">
        <v>49</v>
      </c>
      <c r="AJ479" s="49" t="s">
        <v>49</v>
      </c>
      <c r="AK479" s="48" t="s">
        <v>49</v>
      </c>
      <c r="AL479" s="62" t="s">
        <v>32</v>
      </c>
      <c r="AM479" s="59"/>
      <c r="AN479" s="10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1"/>
    </row>
    <row r="480" spans="1:51" x14ac:dyDescent="0.2">
      <c r="A480" s="33">
        <f t="shared" si="8"/>
        <v>475</v>
      </c>
      <c r="B480" s="34" t="s">
        <v>3883</v>
      </c>
      <c r="C480" s="35" t="s">
        <v>3884</v>
      </c>
      <c r="D480" s="36" t="s">
        <v>3885</v>
      </c>
      <c r="E480" s="36" t="s">
        <v>36</v>
      </c>
      <c r="F480" s="34" t="s">
        <v>3886</v>
      </c>
      <c r="G480" s="37" t="s">
        <v>73</v>
      </c>
      <c r="H480" s="37" t="s">
        <v>73</v>
      </c>
      <c r="I480" s="38" t="s">
        <v>3887</v>
      </c>
      <c r="J480" s="38" t="s">
        <v>41</v>
      </c>
      <c r="K480" s="39" t="s">
        <v>42</v>
      </c>
      <c r="L480" s="120" t="s">
        <v>3888</v>
      </c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42" t="s">
        <v>3889</v>
      </c>
      <c r="Y480" s="58" t="s">
        <v>3890</v>
      </c>
      <c r="Z480" s="119" t="s">
        <v>3891</v>
      </c>
      <c r="AA480" s="45">
        <v>43200</v>
      </c>
      <c r="AB480" s="101" t="s">
        <v>30</v>
      </c>
      <c r="AC480" s="36" t="s">
        <v>26</v>
      </c>
      <c r="AD480" s="64" t="s">
        <v>120</v>
      </c>
      <c r="AE480" s="48" t="s">
        <v>120</v>
      </c>
      <c r="AF480" s="48" t="s">
        <v>120</v>
      </c>
      <c r="AG480" s="48" t="s">
        <v>120</v>
      </c>
      <c r="AH480" s="48" t="s">
        <v>120</v>
      </c>
      <c r="AI480" s="48" t="s">
        <v>120</v>
      </c>
      <c r="AJ480" s="49" t="s">
        <v>120</v>
      </c>
      <c r="AK480" s="48" t="s">
        <v>120</v>
      </c>
      <c r="AL480" s="62" t="s">
        <v>32</v>
      </c>
      <c r="AM480" s="59"/>
      <c r="AN480" s="102"/>
      <c r="AO480" s="32"/>
      <c r="AP480" s="32"/>
      <c r="AQ480" s="32"/>
      <c r="AR480" s="32"/>
      <c r="AS480" s="32"/>
      <c r="AT480" s="32"/>
      <c r="AU480" s="220"/>
      <c r="AV480" s="220"/>
      <c r="AW480" s="220"/>
      <c r="AX480" s="220"/>
      <c r="AY480" s="31"/>
    </row>
    <row r="481" spans="1:51" x14ac:dyDescent="0.2">
      <c r="A481" s="33">
        <f t="shared" si="8"/>
        <v>476</v>
      </c>
      <c r="B481" s="34" t="s">
        <v>3892</v>
      </c>
      <c r="C481" s="35" t="s">
        <v>3893</v>
      </c>
      <c r="D481" s="36" t="s">
        <v>3894</v>
      </c>
      <c r="E481" s="36" t="s">
        <v>36</v>
      </c>
      <c r="F481" s="34" t="s">
        <v>3895</v>
      </c>
      <c r="G481" s="37" t="s">
        <v>73</v>
      </c>
      <c r="H481" s="37" t="s">
        <v>73</v>
      </c>
      <c r="I481" s="38" t="s">
        <v>3896</v>
      </c>
      <c r="J481" s="38" t="s">
        <v>41</v>
      </c>
      <c r="K481" s="39" t="s">
        <v>42</v>
      </c>
      <c r="L481" s="120" t="s">
        <v>3897</v>
      </c>
      <c r="M481" s="56"/>
      <c r="N481" s="56"/>
      <c r="O481" s="56"/>
      <c r="P481" s="56"/>
      <c r="Q481" s="56"/>
      <c r="R481" s="56" t="s">
        <v>44</v>
      </c>
      <c r="S481" s="56"/>
      <c r="T481" s="56"/>
      <c r="U481" s="56"/>
      <c r="V481" s="56"/>
      <c r="W481" s="56"/>
      <c r="X481" s="42" t="s">
        <v>3898</v>
      </c>
      <c r="Y481" s="83" t="s">
        <v>3899</v>
      </c>
      <c r="Z481" s="121" t="s">
        <v>3900</v>
      </c>
      <c r="AA481" s="45">
        <v>44650</v>
      </c>
      <c r="AB481" s="101" t="s">
        <v>30</v>
      </c>
      <c r="AC481" s="36"/>
      <c r="AD481" s="61" t="s">
        <v>49</v>
      </c>
      <c r="AE481" s="48" t="s">
        <v>41</v>
      </c>
      <c r="AF481" s="48" t="s">
        <v>49</v>
      </c>
      <c r="AG481" s="48" t="s">
        <v>49</v>
      </c>
      <c r="AH481" s="48" t="s">
        <v>49</v>
      </c>
      <c r="AI481" s="48" t="s">
        <v>41</v>
      </c>
      <c r="AJ481" s="49" t="s">
        <v>41</v>
      </c>
      <c r="AK481" s="48" t="s">
        <v>41</v>
      </c>
      <c r="AL481" s="62" t="s">
        <v>4589</v>
      </c>
      <c r="AM481" s="59"/>
      <c r="AN481" s="117"/>
      <c r="AO481" s="32"/>
      <c r="AP481" s="32"/>
      <c r="AQ481" s="32"/>
      <c r="AR481" s="32"/>
      <c r="AS481" s="32"/>
      <c r="AT481" s="32"/>
      <c r="AU481" s="220"/>
      <c r="AV481" s="220"/>
      <c r="AW481" s="220"/>
      <c r="AX481" s="220"/>
      <c r="AY481" s="31"/>
    </row>
    <row r="482" spans="1:51" x14ac:dyDescent="0.2">
      <c r="A482" s="33">
        <f t="shared" si="8"/>
        <v>477</v>
      </c>
      <c r="B482" s="34" t="s">
        <v>3901</v>
      </c>
      <c r="C482" s="35" t="s">
        <v>3902</v>
      </c>
      <c r="D482" s="36" t="s">
        <v>3903</v>
      </c>
      <c r="E482" s="36" t="s">
        <v>54</v>
      </c>
      <c r="F482" s="34" t="s">
        <v>3904</v>
      </c>
      <c r="G482" s="37" t="s">
        <v>73</v>
      </c>
      <c r="H482" s="37" t="s">
        <v>73</v>
      </c>
      <c r="I482" s="34" t="s">
        <v>3905</v>
      </c>
      <c r="J482" s="34" t="s">
        <v>3906</v>
      </c>
      <c r="K482" s="39" t="s">
        <v>42</v>
      </c>
      <c r="L482" s="120">
        <v>30353</v>
      </c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2" t="s">
        <v>3907</v>
      </c>
      <c r="Y482" s="52" t="s">
        <v>3908</v>
      </c>
      <c r="Z482" s="44" t="s">
        <v>61</v>
      </c>
      <c r="AA482" s="45">
        <v>34597</v>
      </c>
      <c r="AB482" s="101" t="s">
        <v>30</v>
      </c>
      <c r="AC482" s="36" t="s">
        <v>26</v>
      </c>
      <c r="AD482" s="47" t="s">
        <v>49</v>
      </c>
      <c r="AE482" s="48" t="s">
        <v>49</v>
      </c>
      <c r="AF482" s="48" t="s">
        <v>49</v>
      </c>
      <c r="AG482" s="48" t="s">
        <v>49</v>
      </c>
      <c r="AH482" s="48" t="s">
        <v>49</v>
      </c>
      <c r="AI482" s="48" t="s">
        <v>49</v>
      </c>
      <c r="AJ482" s="49" t="s">
        <v>49</v>
      </c>
      <c r="AK482" s="48" t="s">
        <v>49</v>
      </c>
      <c r="AL482" s="65" t="s">
        <v>32</v>
      </c>
      <c r="AM482" s="59"/>
      <c r="AN482" s="102"/>
      <c r="AO482" s="32"/>
      <c r="AP482" s="32"/>
      <c r="AQ482" s="32"/>
      <c r="AR482" s="32"/>
      <c r="AS482" s="32"/>
      <c r="AT482" s="32"/>
      <c r="AU482" s="234"/>
      <c r="AV482" s="234"/>
      <c r="AW482" s="234"/>
      <c r="AX482" s="234"/>
      <c r="AY482" s="31"/>
    </row>
    <row r="483" spans="1:51" x14ac:dyDescent="0.2">
      <c r="A483" s="33">
        <f t="shared" si="8"/>
        <v>478</v>
      </c>
      <c r="B483" s="34" t="s">
        <v>3909</v>
      </c>
      <c r="C483" s="35" t="s">
        <v>3910</v>
      </c>
      <c r="D483" s="36" t="s">
        <v>3911</v>
      </c>
      <c r="E483" s="36" t="s">
        <v>36</v>
      </c>
      <c r="F483" s="34" t="s">
        <v>3912</v>
      </c>
      <c r="G483" s="37" t="s">
        <v>360</v>
      </c>
      <c r="H483" s="37" t="s">
        <v>350</v>
      </c>
      <c r="I483" s="38" t="s">
        <v>3913</v>
      </c>
      <c r="J483" s="38" t="s">
        <v>41</v>
      </c>
      <c r="K483" s="39" t="s">
        <v>42</v>
      </c>
      <c r="L483" s="120">
        <v>42499</v>
      </c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2" t="s">
        <v>3914</v>
      </c>
      <c r="Y483" s="69" t="s">
        <v>3915</v>
      </c>
      <c r="Z483" s="119" t="s">
        <v>3916</v>
      </c>
      <c r="AA483" s="45">
        <v>42935</v>
      </c>
      <c r="AB483" s="101" t="s">
        <v>30</v>
      </c>
      <c r="AC483" s="36" t="s">
        <v>26</v>
      </c>
      <c r="AD483" s="47" t="s">
        <v>49</v>
      </c>
      <c r="AE483" s="48" t="s">
        <v>49</v>
      </c>
      <c r="AF483" s="48" t="s">
        <v>49</v>
      </c>
      <c r="AG483" s="48" t="s">
        <v>49</v>
      </c>
      <c r="AH483" s="48" t="s">
        <v>49</v>
      </c>
      <c r="AI483" s="48" t="s">
        <v>49</v>
      </c>
      <c r="AJ483" s="49" t="s">
        <v>49</v>
      </c>
      <c r="AK483" s="48" t="s">
        <v>49</v>
      </c>
      <c r="AL483" s="62" t="s">
        <v>32</v>
      </c>
      <c r="AM483" s="59"/>
      <c r="AN483" s="10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1"/>
    </row>
    <row r="484" spans="1:51" ht="20.25" customHeight="1" x14ac:dyDescent="0.2">
      <c r="A484" s="33">
        <f t="shared" si="8"/>
        <v>479</v>
      </c>
      <c r="B484" s="34" t="s">
        <v>3917</v>
      </c>
      <c r="C484" s="35" t="s">
        <v>3918</v>
      </c>
      <c r="D484" s="36" t="s">
        <v>3919</v>
      </c>
      <c r="E484" s="36" t="s">
        <v>54</v>
      </c>
      <c r="F484" s="34" t="s">
        <v>3920</v>
      </c>
      <c r="G484" s="37" t="s">
        <v>73</v>
      </c>
      <c r="H484" s="37" t="s">
        <v>73</v>
      </c>
      <c r="I484" s="34" t="s">
        <v>3921</v>
      </c>
      <c r="J484" s="34" t="s">
        <v>3921</v>
      </c>
      <c r="K484" s="39" t="s">
        <v>42</v>
      </c>
      <c r="L484" s="120" t="s">
        <v>3922</v>
      </c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42" t="s">
        <v>3923</v>
      </c>
      <c r="Y484" s="58" t="s">
        <v>3924</v>
      </c>
      <c r="Z484" s="207" t="s">
        <v>3925</v>
      </c>
      <c r="AA484" s="45">
        <v>44944</v>
      </c>
      <c r="AB484" s="101" t="s">
        <v>30</v>
      </c>
      <c r="AC484" s="36" t="s">
        <v>26</v>
      </c>
      <c r="AD484" s="47" t="s">
        <v>49</v>
      </c>
      <c r="AE484" s="48" t="s">
        <v>49</v>
      </c>
      <c r="AF484" s="48" t="s">
        <v>49</v>
      </c>
      <c r="AG484" s="48" t="s">
        <v>49</v>
      </c>
      <c r="AH484" s="48" t="s">
        <v>49</v>
      </c>
      <c r="AI484" s="48" t="s">
        <v>41</v>
      </c>
      <c r="AJ484" s="49" t="s">
        <v>41</v>
      </c>
      <c r="AK484" s="48" t="s">
        <v>41</v>
      </c>
      <c r="AL484" s="62" t="s">
        <v>4589</v>
      </c>
      <c r="AM484" s="59"/>
      <c r="AN484" s="10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1"/>
    </row>
    <row r="485" spans="1:51" x14ac:dyDescent="0.2">
      <c r="A485" s="33">
        <f t="shared" si="8"/>
        <v>480</v>
      </c>
      <c r="B485" s="34" t="s">
        <v>3926</v>
      </c>
      <c r="C485" s="35" t="s">
        <v>3927</v>
      </c>
      <c r="D485" s="36" t="s">
        <v>3928</v>
      </c>
      <c r="E485" s="36" t="s">
        <v>36</v>
      </c>
      <c r="F485" s="34" t="s">
        <v>3929</v>
      </c>
      <c r="G485" s="37" t="s">
        <v>73</v>
      </c>
      <c r="H485" s="37" t="s">
        <v>73</v>
      </c>
      <c r="I485" s="34" t="s">
        <v>3930</v>
      </c>
      <c r="J485" s="34" t="s">
        <v>3931</v>
      </c>
      <c r="K485" s="39" t="s">
        <v>42</v>
      </c>
      <c r="L485" s="99" t="s">
        <v>3932</v>
      </c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42" t="s">
        <v>3933</v>
      </c>
      <c r="Y485" s="52" t="s">
        <v>3934</v>
      </c>
      <c r="Z485" s="44" t="s">
        <v>3935</v>
      </c>
      <c r="AA485" s="45">
        <v>42935</v>
      </c>
      <c r="AB485" s="101" t="s">
        <v>30</v>
      </c>
      <c r="AC485" s="36" t="s">
        <v>26</v>
      </c>
      <c r="AD485" s="64" t="s">
        <v>120</v>
      </c>
      <c r="AE485" s="48" t="s">
        <v>120</v>
      </c>
      <c r="AF485" s="48" t="s">
        <v>120</v>
      </c>
      <c r="AG485" s="48" t="s">
        <v>120</v>
      </c>
      <c r="AH485" s="48" t="s">
        <v>120</v>
      </c>
      <c r="AI485" s="48" t="s">
        <v>120</v>
      </c>
      <c r="AJ485" s="49" t="s">
        <v>120</v>
      </c>
      <c r="AK485" s="48" t="s">
        <v>120</v>
      </c>
      <c r="AL485" s="62" t="s">
        <v>32</v>
      </c>
      <c r="AM485" s="59"/>
      <c r="AN485" s="10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1"/>
    </row>
    <row r="486" spans="1:51" x14ac:dyDescent="0.2">
      <c r="A486" s="33">
        <f t="shared" si="8"/>
        <v>481</v>
      </c>
      <c r="B486" s="34" t="s">
        <v>3936</v>
      </c>
      <c r="C486" s="35" t="s">
        <v>3937</v>
      </c>
      <c r="D486" s="36" t="s">
        <v>2845</v>
      </c>
      <c r="E486" s="36" t="s">
        <v>54</v>
      </c>
      <c r="F486" s="34" t="s">
        <v>3938</v>
      </c>
      <c r="G486" s="37" t="s">
        <v>73</v>
      </c>
      <c r="H486" s="37" t="s">
        <v>73</v>
      </c>
      <c r="I486" s="34" t="s">
        <v>3939</v>
      </c>
      <c r="J486" s="34" t="s">
        <v>3940</v>
      </c>
      <c r="K486" s="39" t="s">
        <v>42</v>
      </c>
      <c r="L486" s="159" t="s">
        <v>3941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42" t="s">
        <v>3942</v>
      </c>
      <c r="Y486" s="52" t="s">
        <v>3943</v>
      </c>
      <c r="Z486" s="44" t="s">
        <v>3944</v>
      </c>
      <c r="AA486" s="45">
        <v>42935</v>
      </c>
      <c r="AB486" s="160" t="s">
        <v>30</v>
      </c>
      <c r="AC486" s="36" t="s">
        <v>26</v>
      </c>
      <c r="AD486" s="47" t="s">
        <v>49</v>
      </c>
      <c r="AE486" s="48" t="s">
        <v>49</v>
      </c>
      <c r="AF486" s="48" t="s">
        <v>49</v>
      </c>
      <c r="AG486" s="48" t="s">
        <v>49</v>
      </c>
      <c r="AH486" s="48" t="s">
        <v>49</v>
      </c>
      <c r="AI486" s="48" t="s">
        <v>49</v>
      </c>
      <c r="AJ486" s="49" t="s">
        <v>41</v>
      </c>
      <c r="AK486" s="48" t="s">
        <v>41</v>
      </c>
      <c r="AL486" s="62" t="s">
        <v>276</v>
      </c>
      <c r="AM486" s="59"/>
      <c r="AN486" s="10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1"/>
    </row>
    <row r="487" spans="1:51" x14ac:dyDescent="0.2">
      <c r="A487" s="33">
        <f t="shared" si="8"/>
        <v>482</v>
      </c>
      <c r="B487" s="34" t="s">
        <v>3945</v>
      </c>
      <c r="C487" s="35" t="s">
        <v>3946</v>
      </c>
      <c r="D487" s="73" t="s">
        <v>3947</v>
      </c>
      <c r="E487" s="36" t="s">
        <v>54</v>
      </c>
      <c r="F487" s="98" t="s">
        <v>3948</v>
      </c>
      <c r="G487" s="37" t="s">
        <v>73</v>
      </c>
      <c r="H487" s="37" t="s">
        <v>73</v>
      </c>
      <c r="I487" s="38" t="s">
        <v>3949</v>
      </c>
      <c r="J487" s="38" t="s">
        <v>41</v>
      </c>
      <c r="K487" s="39" t="s">
        <v>42</v>
      </c>
      <c r="L487" s="235" t="s">
        <v>3950</v>
      </c>
      <c r="M487" s="68"/>
      <c r="N487" s="68"/>
      <c r="O487" s="68"/>
      <c r="P487" s="68"/>
      <c r="Q487" s="68"/>
      <c r="R487" s="68" t="s">
        <v>44</v>
      </c>
      <c r="S487" s="68"/>
      <c r="T487" s="68"/>
      <c r="U487" s="68"/>
      <c r="V487" s="68"/>
      <c r="W487" s="68"/>
      <c r="X487" s="42" t="s">
        <v>3951</v>
      </c>
      <c r="Y487" s="58" t="s">
        <v>3952</v>
      </c>
      <c r="Z487" s="84" t="s">
        <v>3953</v>
      </c>
      <c r="AA487" s="45">
        <v>44650</v>
      </c>
      <c r="AB487" s="160" t="s">
        <v>30</v>
      </c>
      <c r="AC487" s="73"/>
      <c r="AD487" s="47" t="s">
        <v>49</v>
      </c>
      <c r="AE487" s="48" t="s">
        <v>41</v>
      </c>
      <c r="AF487" s="48" t="s">
        <v>49</v>
      </c>
      <c r="AG487" s="48" t="s">
        <v>41</v>
      </c>
      <c r="AH487" s="48" t="s">
        <v>41</v>
      </c>
      <c r="AI487" s="48" t="s">
        <v>41</v>
      </c>
      <c r="AJ487" s="49" t="s">
        <v>41</v>
      </c>
      <c r="AK487" s="48" t="s">
        <v>41</v>
      </c>
      <c r="AL487" s="62" t="s">
        <v>110</v>
      </c>
      <c r="AM487" s="59"/>
      <c r="AN487" s="10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1"/>
    </row>
    <row r="488" spans="1:51" x14ac:dyDescent="0.2">
      <c r="A488" s="33">
        <f t="shared" si="8"/>
        <v>483</v>
      </c>
      <c r="B488" s="34" t="s">
        <v>3954</v>
      </c>
      <c r="C488" s="35" t="s">
        <v>3955</v>
      </c>
      <c r="D488" s="73" t="s">
        <v>3956</v>
      </c>
      <c r="E488" s="36" t="s">
        <v>54</v>
      </c>
      <c r="F488" s="98" t="s">
        <v>3957</v>
      </c>
      <c r="G488" s="37" t="s">
        <v>73</v>
      </c>
      <c r="H488" s="37" t="s">
        <v>73</v>
      </c>
      <c r="I488" s="38" t="s">
        <v>3958</v>
      </c>
      <c r="J488" s="38" t="s">
        <v>41</v>
      </c>
      <c r="K488" s="39" t="s">
        <v>42</v>
      </c>
      <c r="L488" s="159" t="s">
        <v>3959</v>
      </c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42" t="s">
        <v>3960</v>
      </c>
      <c r="Y488" s="58" t="s">
        <v>3961</v>
      </c>
      <c r="Z488" s="119" t="s">
        <v>3962</v>
      </c>
      <c r="AA488" s="45">
        <v>42325</v>
      </c>
      <c r="AB488" s="160" t="s">
        <v>30</v>
      </c>
      <c r="AC488" s="73"/>
      <c r="AD488" s="47" t="s">
        <v>49</v>
      </c>
      <c r="AE488" s="48" t="s">
        <v>41</v>
      </c>
      <c r="AF488" s="48" t="s">
        <v>41</v>
      </c>
      <c r="AG488" s="48" t="s">
        <v>41</v>
      </c>
      <c r="AH488" s="48" t="s">
        <v>41</v>
      </c>
      <c r="AI488" s="48" t="s">
        <v>41</v>
      </c>
      <c r="AJ488" s="49" t="s">
        <v>41</v>
      </c>
      <c r="AK488" s="48" t="s">
        <v>41</v>
      </c>
      <c r="AL488" s="65" t="s">
        <v>4588</v>
      </c>
      <c r="AM488" s="59"/>
      <c r="AN488" s="10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1"/>
    </row>
    <row r="489" spans="1:51" x14ac:dyDescent="0.2">
      <c r="A489" s="33">
        <f t="shared" si="8"/>
        <v>484</v>
      </c>
      <c r="B489" s="34" t="s">
        <v>3963</v>
      </c>
      <c r="C489" s="35" t="s">
        <v>3964</v>
      </c>
      <c r="D489" s="36" t="s">
        <v>3965</v>
      </c>
      <c r="E489" s="36" t="s">
        <v>54</v>
      </c>
      <c r="F489" s="98" t="s">
        <v>3966</v>
      </c>
      <c r="G489" s="37" t="s">
        <v>1354</v>
      </c>
      <c r="H489" s="37" t="s">
        <v>57</v>
      </c>
      <c r="I489" s="38" t="s">
        <v>3967</v>
      </c>
      <c r="J489" s="38" t="s">
        <v>41</v>
      </c>
      <c r="K489" s="39" t="s">
        <v>42</v>
      </c>
      <c r="L489" s="161">
        <v>44198</v>
      </c>
      <c r="M489" s="68"/>
      <c r="N489" s="68"/>
      <c r="O489" s="68"/>
      <c r="P489" s="68"/>
      <c r="Q489" s="68"/>
      <c r="R489" s="68" t="s">
        <v>44</v>
      </c>
      <c r="S489" s="68"/>
      <c r="T489" s="68"/>
      <c r="U489" s="68"/>
      <c r="V489" s="68"/>
      <c r="W489" s="68"/>
      <c r="X489" s="42" t="s">
        <v>3968</v>
      </c>
      <c r="Y489" s="58" t="s">
        <v>3969</v>
      </c>
      <c r="Z489" s="121" t="s">
        <v>3970</v>
      </c>
      <c r="AA489" s="45">
        <v>44650</v>
      </c>
      <c r="AB489" s="160" t="s">
        <v>30</v>
      </c>
      <c r="AC489" s="73"/>
      <c r="AD489" s="47" t="s">
        <v>49</v>
      </c>
      <c r="AE489" s="48" t="s">
        <v>41</v>
      </c>
      <c r="AF489" s="48" t="s">
        <v>49</v>
      </c>
      <c r="AG489" s="48" t="s">
        <v>49</v>
      </c>
      <c r="AH489" s="48" t="s">
        <v>49</v>
      </c>
      <c r="AI489" s="48" t="s">
        <v>49</v>
      </c>
      <c r="AJ489" s="49" t="s">
        <v>41</v>
      </c>
      <c r="AK489" s="48" t="s">
        <v>41</v>
      </c>
      <c r="AL489" s="62" t="s">
        <v>276</v>
      </c>
      <c r="AM489" s="59"/>
      <c r="AN489" s="10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1"/>
    </row>
    <row r="490" spans="1:51" x14ac:dyDescent="0.2">
      <c r="A490" s="33">
        <f t="shared" si="8"/>
        <v>485</v>
      </c>
      <c r="B490" s="34" t="s">
        <v>3971</v>
      </c>
      <c r="C490" s="35" t="s">
        <v>3972</v>
      </c>
      <c r="D490" s="36" t="s">
        <v>3973</v>
      </c>
      <c r="E490" s="36" t="s">
        <v>54</v>
      </c>
      <c r="F490" s="98" t="s">
        <v>3974</v>
      </c>
      <c r="G490" s="37" t="s">
        <v>377</v>
      </c>
      <c r="H490" s="37" t="s">
        <v>378</v>
      </c>
      <c r="I490" s="38" t="s">
        <v>3975</v>
      </c>
      <c r="J490" s="38" t="s">
        <v>41</v>
      </c>
      <c r="K490" s="39" t="s">
        <v>42</v>
      </c>
      <c r="L490" s="120" t="s">
        <v>3976</v>
      </c>
      <c r="M490" s="56"/>
      <c r="N490" s="56"/>
      <c r="O490" s="56"/>
      <c r="P490" s="56"/>
      <c r="Q490" s="56"/>
      <c r="R490" s="56"/>
      <c r="S490" s="56"/>
      <c r="T490" s="56" t="s">
        <v>44</v>
      </c>
      <c r="U490" s="56"/>
      <c r="V490" s="56"/>
      <c r="W490" s="56"/>
      <c r="X490" s="42" t="s">
        <v>3977</v>
      </c>
      <c r="Y490" s="58" t="s">
        <v>3978</v>
      </c>
      <c r="Z490" s="58"/>
      <c r="AA490" s="45">
        <v>45642</v>
      </c>
      <c r="AB490" s="101"/>
      <c r="AC490" s="73"/>
      <c r="AD490" s="47" t="s">
        <v>49</v>
      </c>
      <c r="AE490" s="48" t="s">
        <v>41</v>
      </c>
      <c r="AF490" s="48" t="s">
        <v>41</v>
      </c>
      <c r="AG490" s="48" t="s">
        <v>41</v>
      </c>
      <c r="AH490" s="48" t="s">
        <v>49</v>
      </c>
      <c r="AI490" s="48" t="s">
        <v>49</v>
      </c>
      <c r="AJ490" s="49" t="s">
        <v>49</v>
      </c>
      <c r="AK490" s="48" t="s">
        <v>41</v>
      </c>
      <c r="AL490" s="62" t="s">
        <v>148</v>
      </c>
      <c r="AM490" s="59"/>
      <c r="AN490" s="10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1"/>
    </row>
    <row r="491" spans="1:51" x14ac:dyDescent="0.2">
      <c r="A491" s="33">
        <f t="shared" si="8"/>
        <v>486</v>
      </c>
      <c r="B491" s="34" t="s">
        <v>3979</v>
      </c>
      <c r="C491" s="35" t="s">
        <v>3980</v>
      </c>
      <c r="D491" s="36" t="s">
        <v>3981</v>
      </c>
      <c r="E491" s="36" t="s">
        <v>54</v>
      </c>
      <c r="F491" s="34" t="s">
        <v>3982</v>
      </c>
      <c r="G491" s="37" t="s">
        <v>73</v>
      </c>
      <c r="H491" s="37" t="s">
        <v>73</v>
      </c>
      <c r="I491" s="34" t="s">
        <v>3983</v>
      </c>
      <c r="J491" s="236" t="s">
        <v>3984</v>
      </c>
      <c r="K491" s="39" t="s">
        <v>42</v>
      </c>
      <c r="L491" s="99" t="s">
        <v>3985</v>
      </c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42" t="s">
        <v>3986</v>
      </c>
      <c r="Y491" s="43" t="s">
        <v>3987</v>
      </c>
      <c r="Z491" s="119" t="s">
        <v>3988</v>
      </c>
      <c r="AA491" s="45">
        <v>41793</v>
      </c>
      <c r="AB491" s="101" t="s">
        <v>30</v>
      </c>
      <c r="AC491" s="36" t="s">
        <v>26</v>
      </c>
      <c r="AD491" s="47" t="s">
        <v>49</v>
      </c>
      <c r="AE491" s="48" t="s">
        <v>49</v>
      </c>
      <c r="AF491" s="48" t="s">
        <v>49</v>
      </c>
      <c r="AG491" s="48" t="s">
        <v>49</v>
      </c>
      <c r="AH491" s="48" t="s">
        <v>41</v>
      </c>
      <c r="AI491" s="48" t="s">
        <v>41</v>
      </c>
      <c r="AJ491" s="49" t="s">
        <v>41</v>
      </c>
      <c r="AK491" s="48" t="s">
        <v>41</v>
      </c>
      <c r="AL491" s="62" t="s">
        <v>139</v>
      </c>
      <c r="AM491" s="59"/>
      <c r="AN491" s="10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1"/>
    </row>
    <row r="492" spans="1:51" x14ac:dyDescent="0.2">
      <c r="A492" s="33">
        <f t="shared" si="8"/>
        <v>487</v>
      </c>
      <c r="B492" s="34" t="s">
        <v>3989</v>
      </c>
      <c r="C492" s="35" t="s">
        <v>3990</v>
      </c>
      <c r="D492" s="36" t="s">
        <v>3991</v>
      </c>
      <c r="E492" s="36" t="s">
        <v>54</v>
      </c>
      <c r="F492" s="98" t="s">
        <v>3992</v>
      </c>
      <c r="G492" s="37" t="s">
        <v>205</v>
      </c>
      <c r="H492" s="37" t="s">
        <v>205</v>
      </c>
      <c r="I492" s="38" t="s">
        <v>3993</v>
      </c>
      <c r="J492" s="34" t="s">
        <v>41</v>
      </c>
      <c r="K492" s="39" t="s">
        <v>42</v>
      </c>
      <c r="L492" s="99" t="s">
        <v>3994</v>
      </c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42" t="s">
        <v>3995</v>
      </c>
      <c r="Y492" s="52" t="s">
        <v>3996</v>
      </c>
      <c r="Z492" s="44" t="s">
        <v>3997</v>
      </c>
      <c r="AA492" s="45">
        <v>41793</v>
      </c>
      <c r="AB492" s="101" t="s">
        <v>30</v>
      </c>
      <c r="AC492" s="36" t="s">
        <v>26</v>
      </c>
      <c r="AD492" s="47" t="s">
        <v>49</v>
      </c>
      <c r="AE492" s="48" t="s">
        <v>49</v>
      </c>
      <c r="AF492" s="48" t="s">
        <v>49</v>
      </c>
      <c r="AG492" s="48" t="s">
        <v>49</v>
      </c>
      <c r="AH492" s="48" t="s">
        <v>49</v>
      </c>
      <c r="AI492" s="48" t="s">
        <v>49</v>
      </c>
      <c r="AJ492" s="49" t="s">
        <v>41</v>
      </c>
      <c r="AK492" s="48" t="s">
        <v>41</v>
      </c>
      <c r="AL492" s="62" t="s">
        <v>276</v>
      </c>
      <c r="AM492" s="59"/>
      <c r="AN492" s="10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1"/>
    </row>
    <row r="493" spans="1:51" x14ac:dyDescent="0.2">
      <c r="A493" s="33">
        <f t="shared" si="8"/>
        <v>488</v>
      </c>
      <c r="B493" s="34" t="s">
        <v>3998</v>
      </c>
      <c r="C493" s="35" t="s">
        <v>3999</v>
      </c>
      <c r="D493" s="36" t="s">
        <v>4000</v>
      </c>
      <c r="E493" s="36" t="s">
        <v>54</v>
      </c>
      <c r="F493" s="98" t="s">
        <v>4001</v>
      </c>
      <c r="G493" s="37" t="s">
        <v>73</v>
      </c>
      <c r="H493" s="37" t="s">
        <v>73</v>
      </c>
      <c r="I493" s="38" t="s">
        <v>4002</v>
      </c>
      <c r="J493" s="107" t="s">
        <v>41</v>
      </c>
      <c r="K493" s="39" t="s">
        <v>42</v>
      </c>
      <c r="L493" s="99" t="s">
        <v>4003</v>
      </c>
      <c r="M493" s="56"/>
      <c r="N493" s="56"/>
      <c r="O493" s="56"/>
      <c r="P493" s="56"/>
      <c r="Q493" s="56"/>
      <c r="R493" s="56"/>
      <c r="S493" s="56" t="s">
        <v>44</v>
      </c>
      <c r="T493" s="56"/>
      <c r="U493" s="56"/>
      <c r="V493" s="56"/>
      <c r="W493" s="56"/>
      <c r="X493" s="42" t="s">
        <v>4004</v>
      </c>
      <c r="Y493" s="43" t="s">
        <v>4005</v>
      </c>
      <c r="Z493" s="121" t="s">
        <v>4006</v>
      </c>
      <c r="AA493" s="45">
        <v>44650</v>
      </c>
      <c r="AB493" s="101" t="s">
        <v>30</v>
      </c>
      <c r="AC493" s="36"/>
      <c r="AD493" s="47" t="s">
        <v>49</v>
      </c>
      <c r="AE493" s="48" t="s">
        <v>41</v>
      </c>
      <c r="AF493" s="48" t="s">
        <v>41</v>
      </c>
      <c r="AG493" s="48" t="s">
        <v>49</v>
      </c>
      <c r="AH493" s="48" t="s">
        <v>49</v>
      </c>
      <c r="AI493" s="48" t="s">
        <v>49</v>
      </c>
      <c r="AJ493" s="49" t="s">
        <v>49</v>
      </c>
      <c r="AK493" s="48" t="s">
        <v>49</v>
      </c>
      <c r="AL493" s="65" t="s">
        <v>32</v>
      </c>
      <c r="AM493" s="59"/>
      <c r="AN493" s="10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1"/>
    </row>
    <row r="494" spans="1:51" x14ac:dyDescent="0.2">
      <c r="A494" s="33">
        <f t="shared" si="8"/>
        <v>489</v>
      </c>
      <c r="B494" s="34" t="s">
        <v>4007</v>
      </c>
      <c r="C494" s="35" t="s">
        <v>4008</v>
      </c>
      <c r="D494" s="73" t="s">
        <v>4009</v>
      </c>
      <c r="E494" s="36" t="s">
        <v>54</v>
      </c>
      <c r="F494" s="98" t="s">
        <v>4010</v>
      </c>
      <c r="G494" s="37" t="s">
        <v>73</v>
      </c>
      <c r="H494" s="37" t="s">
        <v>73</v>
      </c>
      <c r="I494" s="34" t="s">
        <v>4011</v>
      </c>
      <c r="J494" s="34" t="s">
        <v>41</v>
      </c>
      <c r="K494" s="39" t="s">
        <v>42</v>
      </c>
      <c r="L494" s="163" t="s">
        <v>4012</v>
      </c>
      <c r="M494" s="130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42" t="s">
        <v>4013</v>
      </c>
      <c r="Y494" s="52" t="s">
        <v>4014</v>
      </c>
      <c r="Z494" s="44" t="s">
        <v>4015</v>
      </c>
      <c r="AA494" s="45">
        <v>42935</v>
      </c>
      <c r="AB494" s="164" t="s">
        <v>30</v>
      </c>
      <c r="AC494" s="73" t="s">
        <v>26</v>
      </c>
      <c r="AD494" s="47" t="s">
        <v>49</v>
      </c>
      <c r="AE494" s="48" t="s">
        <v>49</v>
      </c>
      <c r="AF494" s="48" t="s">
        <v>49</v>
      </c>
      <c r="AG494" s="48" t="s">
        <v>49</v>
      </c>
      <c r="AH494" s="48" t="s">
        <v>49</v>
      </c>
      <c r="AI494" s="48" t="s">
        <v>49</v>
      </c>
      <c r="AJ494" s="49" t="s">
        <v>49</v>
      </c>
      <c r="AK494" s="48" t="s">
        <v>41</v>
      </c>
      <c r="AL494" s="62" t="s">
        <v>148</v>
      </c>
      <c r="AM494" s="59"/>
      <c r="AN494" s="10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1"/>
    </row>
    <row r="495" spans="1:51" x14ac:dyDescent="0.2">
      <c r="A495" s="33">
        <f t="shared" si="8"/>
        <v>490</v>
      </c>
      <c r="B495" s="34" t="s">
        <v>4016</v>
      </c>
      <c r="C495" s="35" t="s">
        <v>4017</v>
      </c>
      <c r="D495" s="73" t="s">
        <v>4018</v>
      </c>
      <c r="E495" s="36" t="s">
        <v>36</v>
      </c>
      <c r="F495" s="34" t="s">
        <v>4019</v>
      </c>
      <c r="G495" s="37" t="s">
        <v>205</v>
      </c>
      <c r="H495" s="37" t="s">
        <v>205</v>
      </c>
      <c r="I495" s="34" t="s">
        <v>4020</v>
      </c>
      <c r="J495" s="34" t="s">
        <v>4021</v>
      </c>
      <c r="K495" s="39" t="s">
        <v>42</v>
      </c>
      <c r="L495" s="165">
        <v>40706</v>
      </c>
      <c r="M495" s="188"/>
      <c r="N495" s="112"/>
      <c r="O495" s="112"/>
      <c r="P495" s="112"/>
      <c r="Q495" s="112"/>
      <c r="R495" s="41"/>
      <c r="S495" s="41"/>
      <c r="T495" s="41"/>
      <c r="U495" s="41"/>
      <c r="V495" s="41"/>
      <c r="W495" s="41"/>
      <c r="X495" s="57" t="s">
        <v>4022</v>
      </c>
      <c r="Y495" s="58" t="s">
        <v>4023</v>
      </c>
      <c r="Z495" s="44" t="s">
        <v>4024</v>
      </c>
      <c r="AA495" s="45">
        <v>41793</v>
      </c>
      <c r="AB495" s="164" t="s">
        <v>30</v>
      </c>
      <c r="AC495" s="73"/>
      <c r="AD495" s="47" t="s">
        <v>49</v>
      </c>
      <c r="AE495" s="48" t="s">
        <v>41</v>
      </c>
      <c r="AF495" s="48" t="s">
        <v>41</v>
      </c>
      <c r="AG495" s="48" t="s">
        <v>41</v>
      </c>
      <c r="AH495" s="48" t="s">
        <v>41</v>
      </c>
      <c r="AI495" s="48" t="s">
        <v>41</v>
      </c>
      <c r="AJ495" s="49" t="s">
        <v>41</v>
      </c>
      <c r="AK495" s="48" t="s">
        <v>41</v>
      </c>
      <c r="AL495" s="65" t="s">
        <v>4588</v>
      </c>
      <c r="AM495" s="59"/>
      <c r="AN495" s="117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1"/>
    </row>
    <row r="496" spans="1:51" x14ac:dyDescent="0.2">
      <c r="A496" s="33">
        <f t="shared" si="8"/>
        <v>491</v>
      </c>
      <c r="B496" s="34" t="s">
        <v>4025</v>
      </c>
      <c r="C496" s="35" t="s">
        <v>4026</v>
      </c>
      <c r="D496" s="73" t="s">
        <v>4027</v>
      </c>
      <c r="E496" s="36" t="s">
        <v>54</v>
      </c>
      <c r="F496" s="34" t="s">
        <v>4028</v>
      </c>
      <c r="G496" s="37" t="s">
        <v>360</v>
      </c>
      <c r="H496" s="37" t="s">
        <v>350</v>
      </c>
      <c r="I496" s="38" t="s">
        <v>4029</v>
      </c>
      <c r="J496" s="34" t="s">
        <v>41</v>
      </c>
      <c r="K496" s="39" t="s">
        <v>42</v>
      </c>
      <c r="L496" s="120" t="s">
        <v>4030</v>
      </c>
      <c r="M496" s="41"/>
      <c r="N496" s="41"/>
      <c r="O496" s="41"/>
      <c r="P496" s="41"/>
      <c r="Q496" s="41"/>
      <c r="R496" s="41"/>
      <c r="S496" s="41"/>
      <c r="T496" s="41" t="s">
        <v>44</v>
      </c>
      <c r="U496" s="41"/>
      <c r="V496" s="41"/>
      <c r="W496" s="41"/>
      <c r="X496" s="54" t="s">
        <v>4031</v>
      </c>
      <c r="Y496" s="58" t="s">
        <v>4032</v>
      </c>
      <c r="Z496" s="44"/>
      <c r="AA496" s="45">
        <v>45642</v>
      </c>
      <c r="AB496" s="101"/>
      <c r="AC496" s="73"/>
      <c r="AD496" s="47" t="s">
        <v>49</v>
      </c>
      <c r="AE496" s="48" t="s">
        <v>41</v>
      </c>
      <c r="AF496" s="48" t="s">
        <v>41</v>
      </c>
      <c r="AG496" s="48" t="s">
        <v>41</v>
      </c>
      <c r="AH496" s="48" t="s">
        <v>49</v>
      </c>
      <c r="AI496" s="48" t="s">
        <v>49</v>
      </c>
      <c r="AJ496" s="49" t="s">
        <v>49</v>
      </c>
      <c r="AK496" s="48" t="s">
        <v>49</v>
      </c>
      <c r="AL496" s="62" t="s">
        <v>32</v>
      </c>
      <c r="AM496" s="59"/>
      <c r="AN496" s="10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1"/>
    </row>
    <row r="497" spans="1:51" x14ac:dyDescent="0.2">
      <c r="A497" s="33">
        <f t="shared" si="8"/>
        <v>492</v>
      </c>
      <c r="B497" s="34" t="s">
        <v>4033</v>
      </c>
      <c r="C497" s="35" t="s">
        <v>4034</v>
      </c>
      <c r="D497" s="36" t="s">
        <v>4035</v>
      </c>
      <c r="E497" s="36" t="s">
        <v>54</v>
      </c>
      <c r="F497" s="34" t="s">
        <v>4036</v>
      </c>
      <c r="G497" s="37" t="s">
        <v>39</v>
      </c>
      <c r="H497" s="37" t="s">
        <v>39</v>
      </c>
      <c r="I497" s="34" t="s">
        <v>4037</v>
      </c>
      <c r="J497" s="38" t="s">
        <v>4038</v>
      </c>
      <c r="K497" s="39" t="s">
        <v>42</v>
      </c>
      <c r="L497" s="120">
        <v>41924</v>
      </c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42" t="s">
        <v>4039</v>
      </c>
      <c r="Y497" s="83" t="s">
        <v>4040</v>
      </c>
      <c r="Z497" s="44" t="s">
        <v>4041</v>
      </c>
      <c r="AA497" s="45">
        <v>42325</v>
      </c>
      <c r="AB497" s="101" t="s">
        <v>30</v>
      </c>
      <c r="AC497" s="36" t="s">
        <v>26</v>
      </c>
      <c r="AD497" s="47" t="s">
        <v>49</v>
      </c>
      <c r="AE497" s="48" t="s">
        <v>49</v>
      </c>
      <c r="AF497" s="48" t="s">
        <v>49</v>
      </c>
      <c r="AG497" s="48" t="s">
        <v>49</v>
      </c>
      <c r="AH497" s="48" t="s">
        <v>49</v>
      </c>
      <c r="AI497" s="48" t="s">
        <v>49</v>
      </c>
      <c r="AJ497" s="49" t="s">
        <v>49</v>
      </c>
      <c r="AK497" s="48" t="s">
        <v>49</v>
      </c>
      <c r="AL497" s="62" t="s">
        <v>32</v>
      </c>
      <c r="AM497" s="59"/>
      <c r="AN497" s="10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1"/>
    </row>
    <row r="498" spans="1:51" x14ac:dyDescent="0.2">
      <c r="A498" s="33">
        <f t="shared" si="8"/>
        <v>493</v>
      </c>
      <c r="B498" s="34" t="s">
        <v>4042</v>
      </c>
      <c r="C498" s="35" t="s">
        <v>4043</v>
      </c>
      <c r="D498" s="36" t="s">
        <v>4044</v>
      </c>
      <c r="E498" s="36" t="s">
        <v>54</v>
      </c>
      <c r="F498" s="34" t="s">
        <v>4045</v>
      </c>
      <c r="G498" s="37" t="s">
        <v>73</v>
      </c>
      <c r="H498" s="37" t="s">
        <v>73</v>
      </c>
      <c r="I498" s="34" t="s">
        <v>3939</v>
      </c>
      <c r="J498" s="34" t="s">
        <v>4046</v>
      </c>
      <c r="K498" s="39" t="s">
        <v>42</v>
      </c>
      <c r="L498" s="120">
        <v>34761</v>
      </c>
      <c r="M498" s="41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42" t="s">
        <v>4047</v>
      </c>
      <c r="Y498" s="69" t="s">
        <v>4048</v>
      </c>
      <c r="Z498" s="44" t="s">
        <v>4049</v>
      </c>
      <c r="AA498" s="45">
        <v>42325</v>
      </c>
      <c r="AB498" s="101" t="s">
        <v>30</v>
      </c>
      <c r="AC498" s="36" t="s">
        <v>26</v>
      </c>
      <c r="AD498" s="47" t="s">
        <v>49</v>
      </c>
      <c r="AE498" s="48" t="s">
        <v>49</v>
      </c>
      <c r="AF498" s="48" t="s">
        <v>49</v>
      </c>
      <c r="AG498" s="48" t="s">
        <v>49</v>
      </c>
      <c r="AH498" s="48" t="s">
        <v>49</v>
      </c>
      <c r="AI498" s="48" t="s">
        <v>41</v>
      </c>
      <c r="AJ498" s="49" t="s">
        <v>41</v>
      </c>
      <c r="AK498" s="48" t="s">
        <v>41</v>
      </c>
      <c r="AL498" s="62" t="s">
        <v>4589</v>
      </c>
      <c r="AM498" s="59"/>
      <c r="AN498" s="10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1"/>
    </row>
    <row r="499" spans="1:51" x14ac:dyDescent="0.2">
      <c r="A499" s="33">
        <f t="shared" si="8"/>
        <v>494</v>
      </c>
      <c r="B499" s="34" t="s">
        <v>4050</v>
      </c>
      <c r="C499" s="35" t="s">
        <v>4051</v>
      </c>
      <c r="D499" s="73" t="s">
        <v>4052</v>
      </c>
      <c r="E499" s="36" t="s">
        <v>54</v>
      </c>
      <c r="F499" s="98" t="s">
        <v>4053</v>
      </c>
      <c r="G499" s="37" t="s">
        <v>73</v>
      </c>
      <c r="H499" s="37" t="s">
        <v>73</v>
      </c>
      <c r="I499" s="38" t="s">
        <v>4054</v>
      </c>
      <c r="J499" s="34" t="s">
        <v>41</v>
      </c>
      <c r="K499" s="39" t="s">
        <v>42</v>
      </c>
      <c r="L499" s="99" t="s">
        <v>3438</v>
      </c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42" t="s">
        <v>4055</v>
      </c>
      <c r="Y499" s="100" t="s">
        <v>4056</v>
      </c>
      <c r="Z499" s="44" t="s">
        <v>4057</v>
      </c>
      <c r="AA499" s="45">
        <v>44041</v>
      </c>
      <c r="AB499" s="101" t="s">
        <v>30</v>
      </c>
      <c r="AC499" s="73" t="s">
        <v>26</v>
      </c>
      <c r="AD499" s="47" t="s">
        <v>49</v>
      </c>
      <c r="AE499" s="48" t="s">
        <v>49</v>
      </c>
      <c r="AF499" s="48" t="s">
        <v>49</v>
      </c>
      <c r="AG499" s="48" t="s">
        <v>49</v>
      </c>
      <c r="AH499" s="48" t="s">
        <v>49</v>
      </c>
      <c r="AI499" s="48" t="s">
        <v>49</v>
      </c>
      <c r="AJ499" s="49" t="s">
        <v>49</v>
      </c>
      <c r="AK499" s="48" t="s">
        <v>41</v>
      </c>
      <c r="AL499" s="65" t="s">
        <v>148</v>
      </c>
      <c r="AM499" s="59"/>
      <c r="AN499" s="10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1"/>
    </row>
    <row r="500" spans="1:51" x14ac:dyDescent="0.2">
      <c r="A500" s="33">
        <f t="shared" si="8"/>
        <v>495</v>
      </c>
      <c r="B500" s="34" t="s">
        <v>4058</v>
      </c>
      <c r="C500" s="35" t="s">
        <v>4059</v>
      </c>
      <c r="D500" s="73" t="s">
        <v>4060</v>
      </c>
      <c r="E500" s="36" t="s">
        <v>54</v>
      </c>
      <c r="F500" s="98" t="s">
        <v>4061</v>
      </c>
      <c r="G500" s="37" t="s">
        <v>349</v>
      </c>
      <c r="H500" s="37" t="s">
        <v>350</v>
      </c>
      <c r="I500" s="38" t="s">
        <v>4062</v>
      </c>
      <c r="J500" s="34" t="s">
        <v>41</v>
      </c>
      <c r="K500" s="39" t="s">
        <v>42</v>
      </c>
      <c r="L500" s="99" t="s">
        <v>4063</v>
      </c>
      <c r="M500" s="56"/>
      <c r="N500" s="56"/>
      <c r="O500" s="56"/>
      <c r="P500" s="56"/>
      <c r="Q500" s="56"/>
      <c r="R500" s="56" t="s">
        <v>44</v>
      </c>
      <c r="S500" s="56"/>
      <c r="T500" s="56"/>
      <c r="U500" s="56"/>
      <c r="V500" s="56"/>
      <c r="W500" s="56"/>
      <c r="X500" s="42" t="s">
        <v>4064</v>
      </c>
      <c r="Y500" s="100" t="s">
        <v>4065</v>
      </c>
      <c r="Z500" s="84" t="s">
        <v>4066</v>
      </c>
      <c r="AA500" s="45">
        <v>44650</v>
      </c>
      <c r="AB500" s="101" t="s">
        <v>30</v>
      </c>
      <c r="AC500" s="73"/>
      <c r="AD500" s="47" t="s">
        <v>49</v>
      </c>
      <c r="AE500" s="48" t="s">
        <v>41</v>
      </c>
      <c r="AF500" s="48" t="s">
        <v>49</v>
      </c>
      <c r="AG500" s="48" t="s">
        <v>49</v>
      </c>
      <c r="AH500" s="48" t="s">
        <v>49</v>
      </c>
      <c r="AI500" s="48" t="s">
        <v>49</v>
      </c>
      <c r="AJ500" s="49" t="s">
        <v>49</v>
      </c>
      <c r="AK500" s="48" t="s">
        <v>49</v>
      </c>
      <c r="AL500" s="65" t="s">
        <v>32</v>
      </c>
      <c r="AM500" s="59"/>
      <c r="AN500" s="10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1"/>
    </row>
    <row r="501" spans="1:51" x14ac:dyDescent="0.2">
      <c r="A501" s="33">
        <f t="shared" si="8"/>
        <v>496</v>
      </c>
      <c r="B501" s="34" t="s">
        <v>4067</v>
      </c>
      <c r="C501" s="35" t="s">
        <v>4068</v>
      </c>
      <c r="D501" s="73" t="s">
        <v>4069</v>
      </c>
      <c r="E501" s="36" t="s">
        <v>54</v>
      </c>
      <c r="F501" s="98" t="s">
        <v>4070</v>
      </c>
      <c r="G501" s="37" t="s">
        <v>349</v>
      </c>
      <c r="H501" s="37" t="s">
        <v>350</v>
      </c>
      <c r="I501" s="38" t="s">
        <v>4071</v>
      </c>
      <c r="J501" s="34" t="s">
        <v>41</v>
      </c>
      <c r="K501" s="39" t="s">
        <v>42</v>
      </c>
      <c r="L501" s="99" t="s">
        <v>4072</v>
      </c>
      <c r="M501" s="56"/>
      <c r="N501" s="56"/>
      <c r="O501" s="56"/>
      <c r="P501" s="56"/>
      <c r="Q501" s="56"/>
      <c r="R501" s="56" t="s">
        <v>44</v>
      </c>
      <c r="S501" s="56"/>
      <c r="T501" s="56"/>
      <c r="U501" s="56"/>
      <c r="V501" s="56"/>
      <c r="W501" s="56"/>
      <c r="X501" s="42" t="s">
        <v>4073</v>
      </c>
      <c r="Y501" s="100" t="s">
        <v>4074</v>
      </c>
      <c r="Z501" s="84" t="s">
        <v>4075</v>
      </c>
      <c r="AA501" s="45">
        <v>44650</v>
      </c>
      <c r="AB501" s="101" t="s">
        <v>30</v>
      </c>
      <c r="AC501" s="73"/>
      <c r="AD501" s="47" t="s">
        <v>49</v>
      </c>
      <c r="AE501" s="48" t="s">
        <v>41</v>
      </c>
      <c r="AF501" s="48" t="s">
        <v>49</v>
      </c>
      <c r="AG501" s="48" t="s">
        <v>49</v>
      </c>
      <c r="AH501" s="48" t="s">
        <v>49</v>
      </c>
      <c r="AI501" s="48" t="s">
        <v>49</v>
      </c>
      <c r="AJ501" s="49" t="s">
        <v>49</v>
      </c>
      <c r="AK501" s="48" t="s">
        <v>49</v>
      </c>
      <c r="AL501" s="62" t="s">
        <v>32</v>
      </c>
      <c r="AM501" s="59"/>
      <c r="AN501" s="10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1"/>
    </row>
    <row r="502" spans="1:51" x14ac:dyDescent="0.2">
      <c r="A502" s="33">
        <f t="shared" si="8"/>
        <v>497</v>
      </c>
      <c r="B502" s="34" t="s">
        <v>4076</v>
      </c>
      <c r="C502" s="35" t="s">
        <v>4077</v>
      </c>
      <c r="D502" s="36" t="s">
        <v>4078</v>
      </c>
      <c r="E502" s="36" t="s">
        <v>54</v>
      </c>
      <c r="F502" s="34" t="s">
        <v>4079</v>
      </c>
      <c r="G502" s="37" t="s">
        <v>38</v>
      </c>
      <c r="H502" s="37" t="s">
        <v>39</v>
      </c>
      <c r="I502" s="34" t="s">
        <v>4080</v>
      </c>
      <c r="J502" s="34" t="s">
        <v>41</v>
      </c>
      <c r="K502" s="39" t="s">
        <v>42</v>
      </c>
      <c r="L502" s="99" t="s">
        <v>4081</v>
      </c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42" t="s">
        <v>4082</v>
      </c>
      <c r="Y502" s="58" t="s">
        <v>4083</v>
      </c>
      <c r="Z502" s="119" t="s">
        <v>61</v>
      </c>
      <c r="AA502" s="45">
        <v>39286</v>
      </c>
      <c r="AB502" s="101" t="s">
        <v>30</v>
      </c>
      <c r="AC502" s="36" t="s">
        <v>26</v>
      </c>
      <c r="AD502" s="47" t="s">
        <v>49</v>
      </c>
      <c r="AE502" s="48" t="s">
        <v>49</v>
      </c>
      <c r="AF502" s="48" t="s">
        <v>49</v>
      </c>
      <c r="AG502" s="48" t="s">
        <v>49</v>
      </c>
      <c r="AH502" s="48" t="s">
        <v>49</v>
      </c>
      <c r="AI502" s="48" t="s">
        <v>49</v>
      </c>
      <c r="AJ502" s="49" t="s">
        <v>49</v>
      </c>
      <c r="AK502" s="48" t="s">
        <v>41</v>
      </c>
      <c r="AL502" s="65" t="s">
        <v>148</v>
      </c>
      <c r="AM502" s="59"/>
      <c r="AN502" s="10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1"/>
    </row>
    <row r="503" spans="1:51" x14ac:dyDescent="0.2">
      <c r="A503" s="33">
        <f t="shared" si="8"/>
        <v>498</v>
      </c>
      <c r="B503" s="34" t="s">
        <v>4084</v>
      </c>
      <c r="C503" s="35" t="s">
        <v>4085</v>
      </c>
      <c r="D503" s="36" t="s">
        <v>4086</v>
      </c>
      <c r="E503" s="36" t="s">
        <v>54</v>
      </c>
      <c r="F503" s="34" t="s">
        <v>4087</v>
      </c>
      <c r="G503" s="37" t="s">
        <v>243</v>
      </c>
      <c r="H503" s="37" t="s">
        <v>205</v>
      </c>
      <c r="I503" s="34" t="s">
        <v>4088</v>
      </c>
      <c r="J503" s="34" t="s">
        <v>41</v>
      </c>
      <c r="K503" s="39" t="s">
        <v>42</v>
      </c>
      <c r="L503" s="99" t="s">
        <v>4089</v>
      </c>
      <c r="M503" s="56" t="s">
        <v>179</v>
      </c>
      <c r="N503" s="56" t="s">
        <v>179</v>
      </c>
      <c r="O503" s="56"/>
      <c r="P503" s="56">
        <v>2</v>
      </c>
      <c r="Q503" s="56"/>
      <c r="R503" s="56"/>
      <c r="S503" s="56"/>
      <c r="T503" s="56"/>
      <c r="U503" s="56" t="s">
        <v>732</v>
      </c>
      <c r="V503" s="56"/>
      <c r="W503" s="56"/>
      <c r="X503" s="42" t="s">
        <v>4090</v>
      </c>
      <c r="Y503" s="58" t="s">
        <v>4091</v>
      </c>
      <c r="Z503" s="44"/>
      <c r="AA503" s="45"/>
      <c r="AB503" s="101"/>
      <c r="AC503" s="73" t="s">
        <v>26</v>
      </c>
      <c r="AD503" s="47" t="s">
        <v>49</v>
      </c>
      <c r="AE503" s="48" t="s">
        <v>49</v>
      </c>
      <c r="AF503" s="48" t="s">
        <v>49</v>
      </c>
      <c r="AG503" s="48" t="s">
        <v>49</v>
      </c>
      <c r="AH503" s="48" t="s">
        <v>49</v>
      </c>
      <c r="AI503" s="48" t="s">
        <v>49</v>
      </c>
      <c r="AJ503" s="49" t="s">
        <v>41</v>
      </c>
      <c r="AK503" s="48" t="s">
        <v>41</v>
      </c>
      <c r="AL503" s="62" t="s">
        <v>276</v>
      </c>
      <c r="AM503" s="59"/>
      <c r="AN503" s="10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1"/>
    </row>
    <row r="504" spans="1:51" x14ac:dyDescent="0.2">
      <c r="A504" s="33">
        <f t="shared" si="8"/>
        <v>499</v>
      </c>
      <c r="B504" s="34" t="s">
        <v>4092</v>
      </c>
      <c r="C504" s="35" t="s">
        <v>4093</v>
      </c>
      <c r="D504" s="73" t="s">
        <v>4094</v>
      </c>
      <c r="E504" s="36" t="s">
        <v>54</v>
      </c>
      <c r="F504" s="98" t="s">
        <v>4095</v>
      </c>
      <c r="G504" s="37" t="s">
        <v>73</v>
      </c>
      <c r="H504" s="37" t="s">
        <v>73</v>
      </c>
      <c r="I504" s="38" t="s">
        <v>4096</v>
      </c>
      <c r="J504" s="34" t="s">
        <v>41</v>
      </c>
      <c r="K504" s="39" t="s">
        <v>42</v>
      </c>
      <c r="L504" s="99" t="s">
        <v>4097</v>
      </c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42" t="s">
        <v>4098</v>
      </c>
      <c r="Y504" s="100" t="s">
        <v>4099</v>
      </c>
      <c r="Z504" s="121" t="s">
        <v>4100</v>
      </c>
      <c r="AA504" s="45">
        <v>44650</v>
      </c>
      <c r="AB504" s="101" t="s">
        <v>30</v>
      </c>
      <c r="AC504" s="73" t="s">
        <v>26</v>
      </c>
      <c r="AD504" s="47" t="s">
        <v>49</v>
      </c>
      <c r="AE504" s="48" t="s">
        <v>49</v>
      </c>
      <c r="AF504" s="48" t="s">
        <v>49</v>
      </c>
      <c r="AG504" s="48" t="s">
        <v>49</v>
      </c>
      <c r="AH504" s="48" t="s">
        <v>49</v>
      </c>
      <c r="AI504" s="48" t="s">
        <v>49</v>
      </c>
      <c r="AJ504" s="49" t="s">
        <v>49</v>
      </c>
      <c r="AK504" s="48" t="s">
        <v>49</v>
      </c>
      <c r="AL504" s="65" t="s">
        <v>32</v>
      </c>
      <c r="AM504" s="59"/>
      <c r="AN504" s="10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1"/>
    </row>
    <row r="505" spans="1:51" x14ac:dyDescent="0.2">
      <c r="A505" s="33">
        <f t="shared" si="8"/>
        <v>500</v>
      </c>
      <c r="B505" s="34" t="s">
        <v>4101</v>
      </c>
      <c r="C505" s="35" t="s">
        <v>4102</v>
      </c>
      <c r="D505" s="36" t="s">
        <v>4103</v>
      </c>
      <c r="E505" s="36" t="s">
        <v>54</v>
      </c>
      <c r="F505" s="34" t="s">
        <v>4104</v>
      </c>
      <c r="G505" s="37" t="s">
        <v>73</v>
      </c>
      <c r="H505" s="37" t="s">
        <v>73</v>
      </c>
      <c r="I505" s="34" t="s">
        <v>4105</v>
      </c>
      <c r="J505" s="34" t="s">
        <v>4106</v>
      </c>
      <c r="K505" s="39" t="s">
        <v>42</v>
      </c>
      <c r="L505" s="99" t="s">
        <v>4107</v>
      </c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42" t="s">
        <v>4108</v>
      </c>
      <c r="Y505" s="43" t="s">
        <v>4109</v>
      </c>
      <c r="Z505" s="44" t="s">
        <v>4110</v>
      </c>
      <c r="AA505" s="45">
        <v>42935</v>
      </c>
      <c r="AB505" s="101" t="s">
        <v>30</v>
      </c>
      <c r="AC505" s="36" t="s">
        <v>26</v>
      </c>
      <c r="AD505" s="47" t="s">
        <v>49</v>
      </c>
      <c r="AE505" s="48" t="s">
        <v>49</v>
      </c>
      <c r="AF505" s="48" t="s">
        <v>49</v>
      </c>
      <c r="AG505" s="48" t="s">
        <v>49</v>
      </c>
      <c r="AH505" s="48" t="s">
        <v>49</v>
      </c>
      <c r="AI505" s="48" t="s">
        <v>49</v>
      </c>
      <c r="AJ505" s="49" t="s">
        <v>49</v>
      </c>
      <c r="AK505" s="48" t="s">
        <v>49</v>
      </c>
      <c r="AL505" s="65" t="s">
        <v>32</v>
      </c>
      <c r="AM505" s="59"/>
      <c r="AN505" s="10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1"/>
    </row>
    <row r="506" spans="1:51" x14ac:dyDescent="0.2">
      <c r="A506" s="33">
        <f t="shared" si="8"/>
        <v>501</v>
      </c>
      <c r="B506" s="34" t="s">
        <v>4111</v>
      </c>
      <c r="C506" s="35" t="s">
        <v>4112</v>
      </c>
      <c r="D506" s="36" t="s">
        <v>4113</v>
      </c>
      <c r="E506" s="36" t="s">
        <v>54</v>
      </c>
      <c r="F506" s="237" t="s">
        <v>4114</v>
      </c>
      <c r="G506" s="37" t="s">
        <v>73</v>
      </c>
      <c r="H506" s="37" t="s">
        <v>73</v>
      </c>
      <c r="I506" s="34" t="s">
        <v>4115</v>
      </c>
      <c r="J506" s="34" t="s">
        <v>41</v>
      </c>
      <c r="K506" s="39" t="s">
        <v>42</v>
      </c>
      <c r="L506" s="120">
        <v>30353</v>
      </c>
      <c r="M506" s="56" t="s">
        <v>179</v>
      </c>
      <c r="N506" s="56"/>
      <c r="O506" s="56"/>
      <c r="P506" s="56">
        <v>2</v>
      </c>
      <c r="Q506" s="56" t="s">
        <v>4116</v>
      </c>
      <c r="R506" s="56"/>
      <c r="S506" s="56"/>
      <c r="T506" s="56"/>
      <c r="U506" s="56"/>
      <c r="V506" s="56"/>
      <c r="W506" s="56"/>
      <c r="X506" s="42" t="s">
        <v>4117</v>
      </c>
      <c r="Y506" s="58" t="s">
        <v>4118</v>
      </c>
      <c r="Z506" s="44"/>
      <c r="AA506" s="45" t="s">
        <v>47</v>
      </c>
      <c r="AB506" s="101"/>
      <c r="AC506" s="36" t="s">
        <v>26</v>
      </c>
      <c r="AD506" s="66" t="s">
        <v>130</v>
      </c>
      <c r="AE506" s="48" t="s">
        <v>130</v>
      </c>
      <c r="AF506" s="48" t="s">
        <v>41</v>
      </c>
      <c r="AG506" s="48" t="s">
        <v>41</v>
      </c>
      <c r="AH506" s="48" t="s">
        <v>41</v>
      </c>
      <c r="AI506" s="48" t="s">
        <v>41</v>
      </c>
      <c r="AJ506" s="49" t="s">
        <v>41</v>
      </c>
      <c r="AK506" s="48" t="s">
        <v>41</v>
      </c>
      <c r="AL506" s="62" t="s">
        <v>4587</v>
      </c>
      <c r="AM506" s="59"/>
      <c r="AN506" s="10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1"/>
    </row>
    <row r="507" spans="1:51" x14ac:dyDescent="0.2">
      <c r="A507" s="33">
        <f t="shared" si="8"/>
        <v>502</v>
      </c>
      <c r="B507" s="107" t="s">
        <v>4119</v>
      </c>
      <c r="C507" s="35" t="s">
        <v>4120</v>
      </c>
      <c r="D507" s="36" t="s">
        <v>4121</v>
      </c>
      <c r="E507" s="36" t="s">
        <v>54</v>
      </c>
      <c r="F507" s="34" t="s">
        <v>4122</v>
      </c>
      <c r="G507" s="37" t="s">
        <v>1354</v>
      </c>
      <c r="H507" s="37" t="s">
        <v>57</v>
      </c>
      <c r="I507" s="34" t="s">
        <v>4123</v>
      </c>
      <c r="J507" s="34" t="s">
        <v>41</v>
      </c>
      <c r="K507" s="39" t="s">
        <v>42</v>
      </c>
      <c r="L507" s="228" t="s">
        <v>4124</v>
      </c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42" t="s">
        <v>4125</v>
      </c>
      <c r="Y507" s="58" t="s">
        <v>4126</v>
      </c>
      <c r="Z507" s="44" t="s">
        <v>4127</v>
      </c>
      <c r="AA507" s="45">
        <v>42325</v>
      </c>
      <c r="AB507" s="101"/>
      <c r="AC507" s="36" t="s">
        <v>26</v>
      </c>
      <c r="AD507" s="47" t="s">
        <v>49</v>
      </c>
      <c r="AE507" s="48" t="s">
        <v>49</v>
      </c>
      <c r="AF507" s="48" t="s">
        <v>49</v>
      </c>
      <c r="AG507" s="48" t="s">
        <v>49</v>
      </c>
      <c r="AH507" s="48" t="s">
        <v>49</v>
      </c>
      <c r="AI507" s="48" t="s">
        <v>49</v>
      </c>
      <c r="AJ507" s="49" t="s">
        <v>49</v>
      </c>
      <c r="AK507" s="48" t="s">
        <v>49</v>
      </c>
      <c r="AL507" s="65" t="s">
        <v>32</v>
      </c>
      <c r="AM507" s="59"/>
      <c r="AN507" s="10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1"/>
    </row>
    <row r="508" spans="1:51" x14ac:dyDescent="0.2">
      <c r="A508" s="33">
        <f t="shared" si="8"/>
        <v>503</v>
      </c>
      <c r="B508" s="34" t="s">
        <v>4128</v>
      </c>
      <c r="C508" s="35" t="s">
        <v>4129</v>
      </c>
      <c r="D508" s="36" t="s">
        <v>4130</v>
      </c>
      <c r="E508" s="36" t="s">
        <v>54</v>
      </c>
      <c r="F508" s="52" t="s">
        <v>4131</v>
      </c>
      <c r="G508" s="37" t="s">
        <v>323</v>
      </c>
      <c r="H508" s="37" t="s">
        <v>39</v>
      </c>
      <c r="I508" s="34" t="s">
        <v>4132</v>
      </c>
      <c r="J508" s="34" t="s">
        <v>41</v>
      </c>
      <c r="K508" s="39" t="s">
        <v>42</v>
      </c>
      <c r="L508" s="99" t="s">
        <v>4133</v>
      </c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42" t="s">
        <v>4134</v>
      </c>
      <c r="Y508" s="58" t="s">
        <v>4135</v>
      </c>
      <c r="Z508" s="44" t="s">
        <v>61</v>
      </c>
      <c r="AA508" s="45">
        <v>40280</v>
      </c>
      <c r="AB508" s="101" t="s">
        <v>30</v>
      </c>
      <c r="AC508" s="36" t="s">
        <v>26</v>
      </c>
      <c r="AD508" s="47" t="s">
        <v>49</v>
      </c>
      <c r="AE508" s="48" t="s">
        <v>49</v>
      </c>
      <c r="AF508" s="48" t="s">
        <v>49</v>
      </c>
      <c r="AG508" s="48" t="s">
        <v>49</v>
      </c>
      <c r="AH508" s="48" t="s">
        <v>49</v>
      </c>
      <c r="AI508" s="48" t="s">
        <v>49</v>
      </c>
      <c r="AJ508" s="49" t="s">
        <v>49</v>
      </c>
      <c r="AK508" s="48" t="s">
        <v>41</v>
      </c>
      <c r="AL508" s="65" t="s">
        <v>148</v>
      </c>
      <c r="AM508" s="59"/>
      <c r="AN508" s="10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1"/>
    </row>
    <row r="509" spans="1:51" x14ac:dyDescent="0.2">
      <c r="A509" s="33">
        <f t="shared" si="8"/>
        <v>504</v>
      </c>
      <c r="B509" s="107" t="s">
        <v>4136</v>
      </c>
      <c r="C509" s="35" t="s">
        <v>4137</v>
      </c>
      <c r="D509" s="154" t="s">
        <v>4138</v>
      </c>
      <c r="E509" s="36" t="s">
        <v>36</v>
      </c>
      <c r="F509" s="238" t="s">
        <v>4139</v>
      </c>
      <c r="G509" s="75" t="s">
        <v>243</v>
      </c>
      <c r="H509" s="75" t="s">
        <v>205</v>
      </c>
      <c r="I509" s="239" t="s">
        <v>4140</v>
      </c>
      <c r="J509" s="72" t="s">
        <v>41</v>
      </c>
      <c r="K509" s="77" t="s">
        <v>42</v>
      </c>
      <c r="L509" s="228" t="s">
        <v>4141</v>
      </c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42" t="s">
        <v>4142</v>
      </c>
      <c r="Y509" s="58" t="s">
        <v>4143</v>
      </c>
      <c r="Z509" s="44" t="s">
        <v>61</v>
      </c>
      <c r="AA509" s="45">
        <v>40280</v>
      </c>
      <c r="AB509" s="206" t="s">
        <v>30</v>
      </c>
      <c r="AC509" s="154" t="s">
        <v>26</v>
      </c>
      <c r="AD509" s="81" t="s">
        <v>49</v>
      </c>
      <c r="AE509" s="48" t="s">
        <v>49</v>
      </c>
      <c r="AF509" s="48" t="s">
        <v>49</v>
      </c>
      <c r="AG509" s="48" t="s">
        <v>49</v>
      </c>
      <c r="AH509" s="48" t="s">
        <v>49</v>
      </c>
      <c r="AI509" s="48" t="s">
        <v>49</v>
      </c>
      <c r="AJ509" s="49" t="s">
        <v>41</v>
      </c>
      <c r="AK509" s="48" t="s">
        <v>41</v>
      </c>
      <c r="AL509" s="62" t="s">
        <v>276</v>
      </c>
      <c r="AM509" s="59"/>
      <c r="AN509" s="10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1"/>
    </row>
    <row r="510" spans="1:51" x14ac:dyDescent="0.2">
      <c r="A510" s="33">
        <f t="shared" si="8"/>
        <v>505</v>
      </c>
      <c r="B510" s="34" t="s">
        <v>4144</v>
      </c>
      <c r="C510" s="35" t="s">
        <v>4145</v>
      </c>
      <c r="D510" s="36" t="s">
        <v>4146</v>
      </c>
      <c r="E510" s="36" t="s">
        <v>54</v>
      </c>
      <c r="F510" s="60" t="s">
        <v>4147</v>
      </c>
      <c r="G510" s="37" t="s">
        <v>176</v>
      </c>
      <c r="H510" s="37" t="s">
        <v>39</v>
      </c>
      <c r="I510" s="240" t="s">
        <v>4148</v>
      </c>
      <c r="J510" s="34" t="s">
        <v>41</v>
      </c>
      <c r="K510" s="39" t="s">
        <v>42</v>
      </c>
      <c r="L510" s="99" t="s">
        <v>1955</v>
      </c>
      <c r="M510" s="56"/>
      <c r="N510" s="56"/>
      <c r="O510" s="56"/>
      <c r="P510" s="56"/>
      <c r="Q510" s="56"/>
      <c r="R510" s="56"/>
      <c r="S510" s="56" t="s">
        <v>44</v>
      </c>
      <c r="T510" s="56"/>
      <c r="U510" s="56"/>
      <c r="V510" s="56"/>
      <c r="W510" s="56"/>
      <c r="X510" s="42" t="s">
        <v>4149</v>
      </c>
      <c r="Y510" s="58" t="s">
        <v>4150</v>
      </c>
      <c r="Z510" s="44"/>
      <c r="AA510" s="45">
        <v>45642</v>
      </c>
      <c r="AB510" s="101"/>
      <c r="AC510" s="36"/>
      <c r="AD510" s="47" t="s">
        <v>49</v>
      </c>
      <c r="AE510" s="48" t="s">
        <v>41</v>
      </c>
      <c r="AF510" s="48" t="s">
        <v>41</v>
      </c>
      <c r="AG510" s="48" t="s">
        <v>49</v>
      </c>
      <c r="AH510" s="48" t="s">
        <v>49</v>
      </c>
      <c r="AI510" s="48" t="s">
        <v>49</v>
      </c>
      <c r="AJ510" s="49" t="s">
        <v>41</v>
      </c>
      <c r="AK510" s="48" t="s">
        <v>41</v>
      </c>
      <c r="AL510" s="62" t="s">
        <v>276</v>
      </c>
      <c r="AM510" s="59"/>
      <c r="AN510" s="10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1"/>
    </row>
    <row r="511" spans="1:51" x14ac:dyDescent="0.2">
      <c r="A511" s="33">
        <f t="shared" si="8"/>
        <v>506</v>
      </c>
      <c r="B511" s="34" t="s">
        <v>4151</v>
      </c>
      <c r="C511" s="35" t="s">
        <v>4152</v>
      </c>
      <c r="D511" s="36" t="s">
        <v>4153</v>
      </c>
      <c r="E511" s="36" t="s">
        <v>54</v>
      </c>
      <c r="F511" s="108" t="s">
        <v>4154</v>
      </c>
      <c r="G511" s="37" t="s">
        <v>413</v>
      </c>
      <c r="H511" s="37" t="s">
        <v>378</v>
      </c>
      <c r="I511" s="108" t="s">
        <v>4155</v>
      </c>
      <c r="J511" s="34" t="s">
        <v>41</v>
      </c>
      <c r="K511" s="39" t="s">
        <v>42</v>
      </c>
      <c r="L511" s="99" t="s">
        <v>4156</v>
      </c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2" t="s">
        <v>4157</v>
      </c>
      <c r="Y511" s="58" t="s">
        <v>4158</v>
      </c>
      <c r="Z511" s="44" t="s">
        <v>61</v>
      </c>
      <c r="AA511" s="45">
        <v>37877</v>
      </c>
      <c r="AB511" s="101" t="s">
        <v>30</v>
      </c>
      <c r="AC511" s="36"/>
      <c r="AD511" s="47" t="s">
        <v>49</v>
      </c>
      <c r="AE511" s="48" t="s">
        <v>41</v>
      </c>
      <c r="AF511" s="48" t="s">
        <v>41</v>
      </c>
      <c r="AG511" s="48" t="s">
        <v>41</v>
      </c>
      <c r="AH511" s="48" t="s">
        <v>41</v>
      </c>
      <c r="AI511" s="48" t="s">
        <v>41</v>
      </c>
      <c r="AJ511" s="49" t="s">
        <v>41</v>
      </c>
      <c r="AK511" s="48" t="s">
        <v>41</v>
      </c>
      <c r="AL511" s="241" t="s">
        <v>4588</v>
      </c>
      <c r="AM511" s="59" t="s">
        <v>1230</v>
      </c>
      <c r="AN511" s="117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1"/>
    </row>
    <row r="512" spans="1:51" x14ac:dyDescent="0.2">
      <c r="A512" s="33">
        <f t="shared" si="8"/>
        <v>507</v>
      </c>
      <c r="B512" s="34" t="s">
        <v>4159</v>
      </c>
      <c r="C512" s="35" t="s">
        <v>4160</v>
      </c>
      <c r="D512" s="36" t="s">
        <v>4161</v>
      </c>
      <c r="E512" s="36" t="s">
        <v>241</v>
      </c>
      <c r="F512" s="34" t="s">
        <v>4162</v>
      </c>
      <c r="G512" s="37" t="s">
        <v>456</v>
      </c>
      <c r="H512" s="37" t="s">
        <v>187</v>
      </c>
      <c r="I512" s="34" t="s">
        <v>4163</v>
      </c>
      <c r="J512" s="34" t="s">
        <v>41</v>
      </c>
      <c r="K512" s="39" t="s">
        <v>42</v>
      </c>
      <c r="L512" s="99" t="s">
        <v>4164</v>
      </c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2" t="s">
        <v>1145</v>
      </c>
      <c r="Y512" s="58" t="s">
        <v>4165</v>
      </c>
      <c r="Z512" s="44" t="s">
        <v>61</v>
      </c>
      <c r="AA512" s="45">
        <v>36641</v>
      </c>
      <c r="AB512" s="101" t="s">
        <v>30</v>
      </c>
      <c r="AC512" s="36"/>
      <c r="AD512" s="47" t="s">
        <v>49</v>
      </c>
      <c r="AE512" s="48" t="s">
        <v>41</v>
      </c>
      <c r="AF512" s="48" t="s">
        <v>41</v>
      </c>
      <c r="AG512" s="48" t="s">
        <v>41</v>
      </c>
      <c r="AH512" s="48" t="s">
        <v>41</v>
      </c>
      <c r="AI512" s="48" t="s">
        <v>41</v>
      </c>
      <c r="AJ512" s="49" t="s">
        <v>41</v>
      </c>
      <c r="AK512" s="48" t="s">
        <v>41</v>
      </c>
      <c r="AL512" s="241" t="s">
        <v>4591</v>
      </c>
      <c r="AM512" s="59" t="s">
        <v>460</v>
      </c>
      <c r="AN512" s="10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1"/>
    </row>
    <row r="513" spans="1:51" x14ac:dyDescent="0.2">
      <c r="A513" s="33">
        <f t="shared" si="8"/>
        <v>508</v>
      </c>
      <c r="B513" s="34" t="s">
        <v>4166</v>
      </c>
      <c r="C513" s="35" t="s">
        <v>4167</v>
      </c>
      <c r="D513" s="36" t="s">
        <v>4168</v>
      </c>
      <c r="E513" s="36" t="s">
        <v>4169</v>
      </c>
      <c r="F513" s="34" t="s">
        <v>4170</v>
      </c>
      <c r="G513" s="37" t="s">
        <v>73</v>
      </c>
      <c r="H513" s="37" t="s">
        <v>73</v>
      </c>
      <c r="I513" s="42" t="s">
        <v>4171</v>
      </c>
      <c r="J513" s="34" t="s">
        <v>41</v>
      </c>
      <c r="K513" s="39" t="s">
        <v>42</v>
      </c>
      <c r="L513" s="120">
        <v>45933</v>
      </c>
      <c r="M513" s="41" t="s">
        <v>179</v>
      </c>
      <c r="N513" s="41"/>
      <c r="O513" s="41"/>
      <c r="P513" s="41"/>
      <c r="Q513" s="112"/>
      <c r="R513" s="41"/>
      <c r="S513" s="41"/>
      <c r="T513" s="41"/>
      <c r="U513" s="41"/>
      <c r="V513" s="41" t="s">
        <v>44</v>
      </c>
      <c r="W513" s="41"/>
      <c r="X513" s="42" t="s">
        <v>4172</v>
      </c>
      <c r="Y513" s="58" t="s">
        <v>4173</v>
      </c>
      <c r="Z513" s="44"/>
      <c r="AA513" s="45"/>
      <c r="AB513" s="101"/>
      <c r="AC513" s="36"/>
      <c r="AD513" s="47" t="s">
        <v>49</v>
      </c>
      <c r="AE513" s="48" t="s">
        <v>41</v>
      </c>
      <c r="AF513" s="48" t="s">
        <v>41</v>
      </c>
      <c r="AG513" s="48" t="s">
        <v>41</v>
      </c>
      <c r="AH513" s="48" t="s">
        <v>41</v>
      </c>
      <c r="AI513" s="48" t="s">
        <v>41</v>
      </c>
      <c r="AJ513" s="49" t="s">
        <v>49</v>
      </c>
      <c r="AK513" s="48" t="s">
        <v>41</v>
      </c>
      <c r="AL513" s="241" t="s">
        <v>148</v>
      </c>
      <c r="AM513" s="59"/>
      <c r="AN513" s="10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1"/>
    </row>
    <row r="514" spans="1:51" x14ac:dyDescent="0.2">
      <c r="A514" s="33">
        <f t="shared" si="8"/>
        <v>509</v>
      </c>
      <c r="B514" s="34" t="s">
        <v>4174</v>
      </c>
      <c r="C514" s="35" t="s">
        <v>4175</v>
      </c>
      <c r="D514" s="36" t="s">
        <v>4176</v>
      </c>
      <c r="E514" s="36" t="s">
        <v>54</v>
      </c>
      <c r="F514" s="34" t="s">
        <v>4177</v>
      </c>
      <c r="G514" s="37" t="s">
        <v>39</v>
      </c>
      <c r="H514" s="37" t="s">
        <v>39</v>
      </c>
      <c r="I514" s="38" t="s">
        <v>4178</v>
      </c>
      <c r="J514" s="34" t="s">
        <v>41</v>
      </c>
      <c r="K514" s="39" t="s">
        <v>42</v>
      </c>
      <c r="L514" s="99" t="s">
        <v>282</v>
      </c>
      <c r="M514" s="41"/>
      <c r="N514" s="112"/>
      <c r="O514" s="111"/>
      <c r="P514" s="112"/>
      <c r="Q514" s="111"/>
      <c r="R514" s="112"/>
      <c r="S514" s="112"/>
      <c r="T514" s="41"/>
      <c r="U514" s="41"/>
      <c r="V514" s="41"/>
      <c r="W514" s="41"/>
      <c r="X514" s="42" t="s">
        <v>4179</v>
      </c>
      <c r="Y514" s="69" t="s">
        <v>4180</v>
      </c>
      <c r="Z514" s="44" t="s">
        <v>4181</v>
      </c>
      <c r="AA514" s="45">
        <v>42935</v>
      </c>
      <c r="AB514" s="101" t="s">
        <v>30</v>
      </c>
      <c r="AC514" s="36" t="s">
        <v>26</v>
      </c>
      <c r="AD514" s="47" t="s">
        <v>49</v>
      </c>
      <c r="AE514" s="48" t="s">
        <v>49</v>
      </c>
      <c r="AF514" s="48" t="s">
        <v>49</v>
      </c>
      <c r="AG514" s="48" t="s">
        <v>49</v>
      </c>
      <c r="AH514" s="48" t="s">
        <v>49</v>
      </c>
      <c r="AI514" s="48" t="s">
        <v>49</v>
      </c>
      <c r="AJ514" s="49" t="s">
        <v>49</v>
      </c>
      <c r="AK514" s="48" t="s">
        <v>49</v>
      </c>
      <c r="AL514" s="213">
        <v>0</v>
      </c>
      <c r="AM514" s="59"/>
      <c r="AN514" s="10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1"/>
    </row>
    <row r="515" spans="1:51" x14ac:dyDescent="0.2">
      <c r="A515" s="33">
        <f t="shared" si="8"/>
        <v>510</v>
      </c>
      <c r="B515" s="34" t="s">
        <v>4182</v>
      </c>
      <c r="C515" s="35" t="s">
        <v>4183</v>
      </c>
      <c r="D515" s="36" t="s">
        <v>4184</v>
      </c>
      <c r="E515" s="36" t="s">
        <v>54</v>
      </c>
      <c r="F515" s="34" t="s">
        <v>4185</v>
      </c>
      <c r="G515" s="37" t="s">
        <v>377</v>
      </c>
      <c r="H515" s="37" t="s">
        <v>378</v>
      </c>
      <c r="I515" s="34" t="s">
        <v>41</v>
      </c>
      <c r="J515" s="34" t="s">
        <v>41</v>
      </c>
      <c r="K515" s="39" t="s">
        <v>42</v>
      </c>
      <c r="L515" s="99" t="s">
        <v>4186</v>
      </c>
      <c r="M515" s="41" t="s">
        <v>179</v>
      </c>
      <c r="N515" s="41" t="s">
        <v>179</v>
      </c>
      <c r="O515" s="41"/>
      <c r="P515" s="41">
        <v>1</v>
      </c>
      <c r="Q515" s="41"/>
      <c r="R515" s="41"/>
      <c r="S515" s="41"/>
      <c r="T515" s="41"/>
      <c r="U515" s="41" t="s">
        <v>732</v>
      </c>
      <c r="V515" s="41"/>
      <c r="W515" s="41"/>
      <c r="X515" s="42" t="s">
        <v>4187</v>
      </c>
      <c r="Y515" s="52" t="s">
        <v>4188</v>
      </c>
      <c r="Z515" s="44"/>
      <c r="AA515" s="45"/>
      <c r="AB515" s="101" t="s">
        <v>30</v>
      </c>
      <c r="AC515" s="36" t="s">
        <v>26</v>
      </c>
      <c r="AD515" s="47" t="s">
        <v>49</v>
      </c>
      <c r="AE515" s="48" t="s">
        <v>49</v>
      </c>
      <c r="AF515" s="48" t="s">
        <v>49</v>
      </c>
      <c r="AG515" s="48" t="s">
        <v>49</v>
      </c>
      <c r="AH515" s="48" t="s">
        <v>49</v>
      </c>
      <c r="AI515" s="48" t="s">
        <v>49</v>
      </c>
      <c r="AJ515" s="49" t="s">
        <v>49</v>
      </c>
      <c r="AK515" s="48" t="s">
        <v>49</v>
      </c>
      <c r="AL515" s="62" t="s">
        <v>32</v>
      </c>
      <c r="AM515" s="59"/>
      <c r="AN515" s="10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1"/>
    </row>
    <row r="516" spans="1:51" x14ac:dyDescent="0.2">
      <c r="A516" s="33">
        <f t="shared" si="8"/>
        <v>511</v>
      </c>
      <c r="B516" s="34" t="s">
        <v>4189</v>
      </c>
      <c r="C516" s="35" t="s">
        <v>4190</v>
      </c>
      <c r="D516" s="36" t="s">
        <v>4191</v>
      </c>
      <c r="E516" s="36" t="s">
        <v>54</v>
      </c>
      <c r="F516" s="34" t="s">
        <v>4192</v>
      </c>
      <c r="G516" s="37" t="s">
        <v>73</v>
      </c>
      <c r="H516" s="37" t="s">
        <v>73</v>
      </c>
      <c r="I516" s="38" t="s">
        <v>4193</v>
      </c>
      <c r="J516" s="34" t="s">
        <v>41</v>
      </c>
      <c r="K516" s="39" t="s">
        <v>42</v>
      </c>
      <c r="L516" s="99" t="s">
        <v>1887</v>
      </c>
      <c r="M516" s="41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42" t="s">
        <v>4194</v>
      </c>
      <c r="Y516" s="43" t="s">
        <v>4195</v>
      </c>
      <c r="Z516" s="44" t="s">
        <v>4196</v>
      </c>
      <c r="AA516" s="45">
        <v>44041</v>
      </c>
      <c r="AB516" s="101" t="s">
        <v>30</v>
      </c>
      <c r="AC516" s="36" t="s">
        <v>26</v>
      </c>
      <c r="AD516" s="47" t="s">
        <v>49</v>
      </c>
      <c r="AE516" s="48" t="s">
        <v>49</v>
      </c>
      <c r="AF516" s="48" t="s">
        <v>49</v>
      </c>
      <c r="AG516" s="48" t="s">
        <v>49</v>
      </c>
      <c r="AH516" s="48" t="s">
        <v>49</v>
      </c>
      <c r="AI516" s="48" t="s">
        <v>49</v>
      </c>
      <c r="AJ516" s="49" t="s">
        <v>49</v>
      </c>
      <c r="AK516" s="48" t="s">
        <v>49</v>
      </c>
      <c r="AL516" s="62" t="s">
        <v>32</v>
      </c>
      <c r="AM516" s="59"/>
      <c r="AN516" s="10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1"/>
    </row>
    <row r="517" spans="1:51" x14ac:dyDescent="0.2">
      <c r="A517" s="33">
        <f t="shared" si="8"/>
        <v>512</v>
      </c>
      <c r="B517" s="34" t="s">
        <v>4197</v>
      </c>
      <c r="C517" s="35" t="s">
        <v>4198</v>
      </c>
      <c r="D517" s="36" t="s">
        <v>4199</v>
      </c>
      <c r="E517" s="36" t="s">
        <v>54</v>
      </c>
      <c r="F517" s="34" t="s">
        <v>4200</v>
      </c>
      <c r="G517" s="37" t="s">
        <v>73</v>
      </c>
      <c r="H517" s="37" t="s">
        <v>73</v>
      </c>
      <c r="I517" s="34" t="s">
        <v>3116</v>
      </c>
      <c r="J517" s="34" t="s">
        <v>3117</v>
      </c>
      <c r="K517" s="39" t="s">
        <v>42</v>
      </c>
      <c r="L517" s="120">
        <v>36591</v>
      </c>
      <c r="M517" s="41"/>
      <c r="N517" s="41"/>
      <c r="O517" s="41"/>
      <c r="P517" s="41"/>
      <c r="Q517" s="112"/>
      <c r="R517" s="112"/>
      <c r="S517" s="112"/>
      <c r="T517" s="41"/>
      <c r="U517" s="41"/>
      <c r="V517" s="41"/>
      <c r="W517" s="41"/>
      <c r="X517" s="42" t="s">
        <v>4201</v>
      </c>
      <c r="Y517" s="100" t="s">
        <v>4202</v>
      </c>
      <c r="Z517" s="119" t="s">
        <v>61</v>
      </c>
      <c r="AA517" s="45">
        <v>37208</v>
      </c>
      <c r="AB517" s="101" t="s">
        <v>30</v>
      </c>
      <c r="AC517" s="36"/>
      <c r="AD517" s="47" t="s">
        <v>49</v>
      </c>
      <c r="AE517" s="48" t="s">
        <v>41</v>
      </c>
      <c r="AF517" s="48" t="s">
        <v>41</v>
      </c>
      <c r="AG517" s="48" t="s">
        <v>41</v>
      </c>
      <c r="AH517" s="48" t="s">
        <v>41</v>
      </c>
      <c r="AI517" s="48" t="s">
        <v>41</v>
      </c>
      <c r="AJ517" s="49" t="s">
        <v>41</v>
      </c>
      <c r="AK517" s="48" t="s">
        <v>41</v>
      </c>
      <c r="AL517" s="65" t="s">
        <v>4592</v>
      </c>
      <c r="AM517" s="59" t="s">
        <v>192</v>
      </c>
      <c r="AN517" s="10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1"/>
    </row>
    <row r="518" spans="1:51" x14ac:dyDescent="0.2">
      <c r="A518" s="33">
        <f t="shared" si="8"/>
        <v>513</v>
      </c>
      <c r="B518" s="34" t="s">
        <v>4203</v>
      </c>
      <c r="C518" s="35" t="s">
        <v>4204</v>
      </c>
      <c r="D518" s="36" t="s">
        <v>4205</v>
      </c>
      <c r="E518" s="36" t="s">
        <v>54</v>
      </c>
      <c r="F518" s="226" t="s">
        <v>4206</v>
      </c>
      <c r="G518" s="37" t="s">
        <v>73</v>
      </c>
      <c r="H518" s="37" t="s">
        <v>73</v>
      </c>
      <c r="I518" s="34" t="s">
        <v>4207</v>
      </c>
      <c r="J518" s="34" t="s">
        <v>41</v>
      </c>
      <c r="K518" s="39" t="s">
        <v>42</v>
      </c>
      <c r="L518" s="99" t="s">
        <v>235</v>
      </c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2" t="s">
        <v>4208</v>
      </c>
      <c r="Y518" s="58" t="s">
        <v>4209</v>
      </c>
      <c r="Z518" s="44" t="s">
        <v>61</v>
      </c>
      <c r="AA518" s="45">
        <v>40280</v>
      </c>
      <c r="AB518" s="101" t="s">
        <v>30</v>
      </c>
      <c r="AC518" s="36" t="s">
        <v>26</v>
      </c>
      <c r="AD518" s="47" t="s">
        <v>49</v>
      </c>
      <c r="AE518" s="48" t="s">
        <v>49</v>
      </c>
      <c r="AF518" s="48" t="s">
        <v>41</v>
      </c>
      <c r="AG518" s="48" t="s">
        <v>41</v>
      </c>
      <c r="AH518" s="48" t="s">
        <v>41</v>
      </c>
      <c r="AI518" s="48" t="s">
        <v>41</v>
      </c>
      <c r="AJ518" s="49" t="s">
        <v>41</v>
      </c>
      <c r="AK518" s="48" t="s">
        <v>41</v>
      </c>
      <c r="AL518" s="62" t="s">
        <v>4587</v>
      </c>
      <c r="AM518" s="59"/>
      <c r="AN518" s="10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1"/>
    </row>
    <row r="519" spans="1:51" x14ac:dyDescent="0.2">
      <c r="A519" s="33">
        <f t="shared" si="8"/>
        <v>514</v>
      </c>
      <c r="B519" s="34" t="s">
        <v>4210</v>
      </c>
      <c r="C519" s="35" t="s">
        <v>4211</v>
      </c>
      <c r="D519" s="36" t="s">
        <v>4212</v>
      </c>
      <c r="E519" s="36" t="s">
        <v>54</v>
      </c>
      <c r="F519" s="98" t="s">
        <v>4213</v>
      </c>
      <c r="G519" s="37" t="s">
        <v>73</v>
      </c>
      <c r="H519" s="37" t="s">
        <v>73</v>
      </c>
      <c r="I519" s="34" t="s">
        <v>4214</v>
      </c>
      <c r="J519" s="34" t="s">
        <v>4214</v>
      </c>
      <c r="K519" s="39" t="s">
        <v>42</v>
      </c>
      <c r="L519" s="120">
        <v>37110</v>
      </c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2" t="s">
        <v>4215</v>
      </c>
      <c r="Y519" s="58" t="s">
        <v>4216</v>
      </c>
      <c r="Z519" s="44" t="s">
        <v>4217</v>
      </c>
      <c r="AA519" s="45">
        <v>41793</v>
      </c>
      <c r="AB519" s="101" t="s">
        <v>30</v>
      </c>
      <c r="AC519" s="36" t="s">
        <v>26</v>
      </c>
      <c r="AD519" s="47" t="s">
        <v>49</v>
      </c>
      <c r="AE519" s="48" t="s">
        <v>49</v>
      </c>
      <c r="AF519" s="48" t="s">
        <v>49</v>
      </c>
      <c r="AG519" s="48" t="s">
        <v>49</v>
      </c>
      <c r="AH519" s="48" t="s">
        <v>41</v>
      </c>
      <c r="AI519" s="48" t="s">
        <v>41</v>
      </c>
      <c r="AJ519" s="49" t="s">
        <v>41</v>
      </c>
      <c r="AK519" s="48" t="s">
        <v>41</v>
      </c>
      <c r="AL519" s="62" t="s">
        <v>139</v>
      </c>
      <c r="AM519" s="59"/>
      <c r="AN519" s="10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1"/>
    </row>
    <row r="520" spans="1:51" x14ac:dyDescent="0.2">
      <c r="A520" s="33">
        <f t="shared" si="8"/>
        <v>515</v>
      </c>
      <c r="B520" s="34" t="s">
        <v>4218</v>
      </c>
      <c r="C520" s="35" t="s">
        <v>4219</v>
      </c>
      <c r="D520" s="36" t="s">
        <v>4220</v>
      </c>
      <c r="E520" s="36" t="s">
        <v>36</v>
      </c>
      <c r="F520" s="237" t="s">
        <v>4221</v>
      </c>
      <c r="G520" s="37" t="s">
        <v>252</v>
      </c>
      <c r="H520" s="37" t="s">
        <v>57</v>
      </c>
      <c r="I520" s="34" t="s">
        <v>4222</v>
      </c>
      <c r="J520" s="34" t="s">
        <v>41</v>
      </c>
      <c r="K520" s="39" t="s">
        <v>42</v>
      </c>
      <c r="L520" s="120">
        <v>30353</v>
      </c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42" t="s">
        <v>4223</v>
      </c>
      <c r="Y520" s="58" t="s">
        <v>4224</v>
      </c>
      <c r="Z520" s="44" t="s">
        <v>4225</v>
      </c>
      <c r="AA520" s="45">
        <v>43200</v>
      </c>
      <c r="AB520" s="101" t="s">
        <v>30</v>
      </c>
      <c r="AC520" s="36" t="s">
        <v>26</v>
      </c>
      <c r="AD520" s="47" t="s">
        <v>49</v>
      </c>
      <c r="AE520" s="48" t="s">
        <v>49</v>
      </c>
      <c r="AF520" s="48" t="s">
        <v>49</v>
      </c>
      <c r="AG520" s="48" t="s">
        <v>49</v>
      </c>
      <c r="AH520" s="48" t="s">
        <v>49</v>
      </c>
      <c r="AI520" s="48" t="s">
        <v>49</v>
      </c>
      <c r="AJ520" s="49" t="s">
        <v>49</v>
      </c>
      <c r="AK520" s="48" t="s">
        <v>49</v>
      </c>
      <c r="AL520" s="62" t="s">
        <v>32</v>
      </c>
      <c r="AM520" s="59"/>
      <c r="AN520" s="10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1"/>
    </row>
    <row r="521" spans="1:51" x14ac:dyDescent="0.2">
      <c r="A521" s="33">
        <f t="shared" si="8"/>
        <v>516</v>
      </c>
      <c r="B521" s="34" t="s">
        <v>4226</v>
      </c>
      <c r="C521" s="35" t="s">
        <v>4227</v>
      </c>
      <c r="D521" s="36" t="s">
        <v>4228</v>
      </c>
      <c r="E521" s="36" t="s">
        <v>54</v>
      </c>
      <c r="F521" s="34" t="s">
        <v>4229</v>
      </c>
      <c r="G521" s="37" t="s">
        <v>73</v>
      </c>
      <c r="H521" s="37" t="s">
        <v>73</v>
      </c>
      <c r="I521" s="34" t="s">
        <v>4230</v>
      </c>
      <c r="J521" s="34" t="s">
        <v>4230</v>
      </c>
      <c r="K521" s="39" t="s">
        <v>42</v>
      </c>
      <c r="L521" s="120" t="s">
        <v>4231</v>
      </c>
      <c r="M521" s="41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42" t="s">
        <v>4232</v>
      </c>
      <c r="Y521" s="69" t="s">
        <v>4233</v>
      </c>
      <c r="Z521" s="44" t="s">
        <v>4234</v>
      </c>
      <c r="AA521" s="45">
        <v>42935</v>
      </c>
      <c r="AB521" s="101" t="s">
        <v>30</v>
      </c>
      <c r="AC521" s="36" t="s">
        <v>26</v>
      </c>
      <c r="AD521" s="47" t="s">
        <v>49</v>
      </c>
      <c r="AE521" s="48" t="s">
        <v>49</v>
      </c>
      <c r="AF521" s="48" t="s">
        <v>49</v>
      </c>
      <c r="AG521" s="48" t="s">
        <v>49</v>
      </c>
      <c r="AH521" s="48" t="s">
        <v>49</v>
      </c>
      <c r="AI521" s="48" t="s">
        <v>49</v>
      </c>
      <c r="AJ521" s="49" t="s">
        <v>41</v>
      </c>
      <c r="AK521" s="48" t="s">
        <v>41</v>
      </c>
      <c r="AL521" s="62" t="s">
        <v>276</v>
      </c>
      <c r="AM521" s="59"/>
      <c r="AN521" s="10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1"/>
    </row>
    <row r="522" spans="1:51" x14ac:dyDescent="0.2">
      <c r="A522" s="33">
        <f t="shared" si="8"/>
        <v>517</v>
      </c>
      <c r="B522" s="34" t="s">
        <v>4235</v>
      </c>
      <c r="C522" s="35" t="s">
        <v>4236</v>
      </c>
      <c r="D522" s="36" t="s">
        <v>4237</v>
      </c>
      <c r="E522" s="36" t="s">
        <v>54</v>
      </c>
      <c r="F522" s="34" t="s">
        <v>4238</v>
      </c>
      <c r="G522" s="37" t="s">
        <v>73</v>
      </c>
      <c r="H522" s="37" t="s">
        <v>73</v>
      </c>
      <c r="I522" s="34" t="s">
        <v>4239</v>
      </c>
      <c r="J522" s="34" t="s">
        <v>4240</v>
      </c>
      <c r="K522" s="39" t="s">
        <v>42</v>
      </c>
      <c r="L522" s="99" t="s">
        <v>4241</v>
      </c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42" t="s">
        <v>4242</v>
      </c>
      <c r="Y522" s="52" t="s">
        <v>4243</v>
      </c>
      <c r="Z522" s="44" t="s">
        <v>4244</v>
      </c>
      <c r="AA522" s="45">
        <v>43200</v>
      </c>
      <c r="AB522" s="101" t="s">
        <v>30</v>
      </c>
      <c r="AC522" s="36" t="s">
        <v>26</v>
      </c>
      <c r="AD522" s="47" t="s">
        <v>49</v>
      </c>
      <c r="AE522" s="48" t="s">
        <v>49</v>
      </c>
      <c r="AF522" s="48" t="s">
        <v>49</v>
      </c>
      <c r="AG522" s="48" t="s">
        <v>49</v>
      </c>
      <c r="AH522" s="48" t="s">
        <v>41</v>
      </c>
      <c r="AI522" s="48" t="s">
        <v>41</v>
      </c>
      <c r="AJ522" s="49" t="s">
        <v>41</v>
      </c>
      <c r="AK522" s="48" t="s">
        <v>41</v>
      </c>
      <c r="AL522" s="62" t="s">
        <v>139</v>
      </c>
      <c r="AM522" s="59"/>
      <c r="AN522" s="10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1"/>
    </row>
    <row r="523" spans="1:51" ht="14.25" customHeight="1" x14ac:dyDescent="0.2">
      <c r="A523" s="33">
        <f t="shared" ref="A523:A555" si="9">+A522+1</f>
        <v>518</v>
      </c>
      <c r="B523" s="34" t="s">
        <v>4245</v>
      </c>
      <c r="C523" s="35" t="s">
        <v>4246</v>
      </c>
      <c r="D523" s="36" t="s">
        <v>4247</v>
      </c>
      <c r="E523" s="36" t="s">
        <v>54</v>
      </c>
      <c r="F523" s="34" t="s">
        <v>4248</v>
      </c>
      <c r="G523" s="37" t="s">
        <v>528</v>
      </c>
      <c r="H523" s="37" t="s">
        <v>57</v>
      </c>
      <c r="I523" s="38" t="s">
        <v>4249</v>
      </c>
      <c r="J523" s="34" t="s">
        <v>41</v>
      </c>
      <c r="K523" s="39" t="s">
        <v>42</v>
      </c>
      <c r="L523" s="99" t="s">
        <v>530</v>
      </c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2" t="s">
        <v>4250</v>
      </c>
      <c r="Y523" s="43" t="s">
        <v>4251</v>
      </c>
      <c r="Z523" s="207" t="s">
        <v>4252</v>
      </c>
      <c r="AA523" s="45">
        <v>44944</v>
      </c>
      <c r="AB523" s="101" t="s">
        <v>30</v>
      </c>
      <c r="AC523" s="36"/>
      <c r="AD523" s="47" t="s">
        <v>49</v>
      </c>
      <c r="AE523" s="48" t="s">
        <v>41</v>
      </c>
      <c r="AF523" s="48" t="s">
        <v>49</v>
      </c>
      <c r="AG523" s="48" t="s">
        <v>49</v>
      </c>
      <c r="AH523" s="48" t="s">
        <v>49</v>
      </c>
      <c r="AI523" s="48" t="s">
        <v>49</v>
      </c>
      <c r="AJ523" s="49" t="s">
        <v>41</v>
      </c>
      <c r="AK523" s="48" t="s">
        <v>41</v>
      </c>
      <c r="AL523" s="62" t="s">
        <v>276</v>
      </c>
      <c r="AM523" s="59"/>
      <c r="AN523" s="10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1"/>
    </row>
    <row r="524" spans="1:51" ht="14.25" customHeight="1" x14ac:dyDescent="0.2">
      <c r="A524" s="33">
        <f t="shared" si="9"/>
        <v>519</v>
      </c>
      <c r="B524" s="34" t="s">
        <v>4253</v>
      </c>
      <c r="C524" s="35" t="s">
        <v>4254</v>
      </c>
      <c r="D524" s="36" t="s">
        <v>4255</v>
      </c>
      <c r="E524" s="36" t="s">
        <v>36</v>
      </c>
      <c r="F524" s="34" t="s">
        <v>4256</v>
      </c>
      <c r="G524" s="37" t="s">
        <v>56</v>
      </c>
      <c r="H524" s="37" t="s">
        <v>57</v>
      </c>
      <c r="I524" s="38" t="s">
        <v>4257</v>
      </c>
      <c r="J524" s="34" t="s">
        <v>41</v>
      </c>
      <c r="K524" s="39" t="s">
        <v>42</v>
      </c>
      <c r="L524" s="120" t="s">
        <v>4258</v>
      </c>
      <c r="M524" s="41"/>
      <c r="N524" s="41"/>
      <c r="O524" s="41"/>
      <c r="P524" s="41"/>
      <c r="Q524" s="41"/>
      <c r="R524" s="41"/>
      <c r="S524" s="41"/>
      <c r="T524" s="41" t="s">
        <v>44</v>
      </c>
      <c r="U524" s="41"/>
      <c r="V524" s="41"/>
      <c r="W524" s="41"/>
      <c r="X524" s="42" t="s">
        <v>4259</v>
      </c>
      <c r="Y524" s="69" t="s">
        <v>4260</v>
      </c>
      <c r="Z524" s="44"/>
      <c r="AA524" s="45">
        <v>45642</v>
      </c>
      <c r="AB524" s="101"/>
      <c r="AC524" s="36"/>
      <c r="AD524" s="47" t="s">
        <v>49</v>
      </c>
      <c r="AE524" s="48" t="s">
        <v>41</v>
      </c>
      <c r="AF524" s="48" t="s">
        <v>41</v>
      </c>
      <c r="AG524" s="48" t="s">
        <v>41</v>
      </c>
      <c r="AH524" s="48" t="s">
        <v>49</v>
      </c>
      <c r="AI524" s="48" t="s">
        <v>49</v>
      </c>
      <c r="AJ524" s="49" t="s">
        <v>49</v>
      </c>
      <c r="AK524" s="48" t="s">
        <v>41</v>
      </c>
      <c r="AL524" s="65" t="s">
        <v>148</v>
      </c>
      <c r="AM524" s="59"/>
      <c r="AN524" s="10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1"/>
    </row>
    <row r="525" spans="1:51" ht="14.25" customHeight="1" x14ac:dyDescent="0.2">
      <c r="A525" s="33">
        <f t="shared" si="9"/>
        <v>520</v>
      </c>
      <c r="B525" s="34" t="s">
        <v>4261</v>
      </c>
      <c r="C525" s="35" t="s">
        <v>4262</v>
      </c>
      <c r="D525" s="36" t="s">
        <v>4263</v>
      </c>
      <c r="E525" s="36" t="s">
        <v>54</v>
      </c>
      <c r="F525" s="34" t="s">
        <v>4264</v>
      </c>
      <c r="G525" s="37" t="s">
        <v>73</v>
      </c>
      <c r="H525" s="37" t="s">
        <v>73</v>
      </c>
      <c r="I525" s="34" t="s">
        <v>4265</v>
      </c>
      <c r="J525" s="34" t="s">
        <v>4266</v>
      </c>
      <c r="K525" s="39" t="s">
        <v>42</v>
      </c>
      <c r="L525" s="99" t="s">
        <v>4267</v>
      </c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42" t="s">
        <v>4604</v>
      </c>
      <c r="Y525" s="52" t="s">
        <v>4268</v>
      </c>
      <c r="Z525" s="44" t="s">
        <v>61</v>
      </c>
      <c r="AA525" s="45">
        <v>40280</v>
      </c>
      <c r="AB525" s="101" t="s">
        <v>30</v>
      </c>
      <c r="AC525" s="36" t="s">
        <v>26</v>
      </c>
      <c r="AD525" s="61" t="s">
        <v>49</v>
      </c>
      <c r="AE525" s="48" t="s">
        <v>49</v>
      </c>
      <c r="AF525" s="48" t="s">
        <v>49</v>
      </c>
      <c r="AG525" s="48" t="s">
        <v>49</v>
      </c>
      <c r="AH525" s="48" t="s">
        <v>49</v>
      </c>
      <c r="AI525" s="48" t="s">
        <v>49</v>
      </c>
      <c r="AJ525" s="49" t="s">
        <v>49</v>
      </c>
      <c r="AK525" s="48" t="s">
        <v>49</v>
      </c>
      <c r="AL525" s="65" t="s">
        <v>32</v>
      </c>
      <c r="AM525" s="59"/>
      <c r="AN525" s="10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1"/>
    </row>
    <row r="526" spans="1:51" ht="14.25" customHeight="1" x14ac:dyDescent="0.2">
      <c r="A526" s="33">
        <f t="shared" si="9"/>
        <v>521</v>
      </c>
      <c r="B526" s="34" t="s">
        <v>4269</v>
      </c>
      <c r="C526" s="35" t="s">
        <v>4270</v>
      </c>
      <c r="D526" s="36" t="s">
        <v>4271</v>
      </c>
      <c r="E526" s="36" t="s">
        <v>54</v>
      </c>
      <c r="F526" s="34" t="s">
        <v>4272</v>
      </c>
      <c r="G526" s="37" t="s">
        <v>73</v>
      </c>
      <c r="H526" s="37" t="s">
        <v>73</v>
      </c>
      <c r="I526" s="34" t="s">
        <v>4273</v>
      </c>
      <c r="J526" s="34" t="s">
        <v>41</v>
      </c>
      <c r="K526" s="39" t="s">
        <v>42</v>
      </c>
      <c r="L526" s="120">
        <v>44662</v>
      </c>
      <c r="M526" s="56"/>
      <c r="N526" s="56"/>
      <c r="O526" s="56"/>
      <c r="P526" s="56"/>
      <c r="Q526" s="56"/>
      <c r="R526" s="56"/>
      <c r="S526" s="56" t="s">
        <v>44</v>
      </c>
      <c r="T526" s="56"/>
      <c r="U526" s="56"/>
      <c r="V526" s="56"/>
      <c r="W526" s="56"/>
      <c r="X526" s="42" t="s">
        <v>4274</v>
      </c>
      <c r="Y526" s="43" t="s">
        <v>4275</v>
      </c>
      <c r="Z526" s="211" t="s">
        <v>4276</v>
      </c>
      <c r="AA526" s="45">
        <v>44944</v>
      </c>
      <c r="AB526" s="101" t="s">
        <v>30</v>
      </c>
      <c r="AC526" s="36"/>
      <c r="AD526" s="61" t="s">
        <v>49</v>
      </c>
      <c r="AE526" s="48" t="s">
        <v>41</v>
      </c>
      <c r="AF526" s="48" t="s">
        <v>41</v>
      </c>
      <c r="AG526" s="48" t="s">
        <v>49</v>
      </c>
      <c r="AH526" s="48" t="s">
        <v>49</v>
      </c>
      <c r="AI526" s="48" t="s">
        <v>49</v>
      </c>
      <c r="AJ526" s="49" t="s">
        <v>49</v>
      </c>
      <c r="AK526" s="48" t="s">
        <v>49</v>
      </c>
      <c r="AL526" s="62" t="s">
        <v>32</v>
      </c>
      <c r="AM526" s="59"/>
      <c r="AN526" s="10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1"/>
    </row>
    <row r="527" spans="1:51" x14ac:dyDescent="0.2">
      <c r="A527" s="33">
        <f t="shared" si="9"/>
        <v>522</v>
      </c>
      <c r="B527" s="34" t="s">
        <v>4277</v>
      </c>
      <c r="C527" s="35" t="s">
        <v>4278</v>
      </c>
      <c r="D527" s="36" t="s">
        <v>4279</v>
      </c>
      <c r="E527" s="36" t="s">
        <v>54</v>
      </c>
      <c r="F527" s="34" t="s">
        <v>4280</v>
      </c>
      <c r="G527" s="37" t="s">
        <v>73</v>
      </c>
      <c r="H527" s="37" t="s">
        <v>73</v>
      </c>
      <c r="I527" s="34" t="s">
        <v>2633</v>
      </c>
      <c r="J527" s="34" t="s">
        <v>2633</v>
      </c>
      <c r="K527" s="39" t="s">
        <v>42</v>
      </c>
      <c r="L527" s="120">
        <v>44837</v>
      </c>
      <c r="M527" s="56"/>
      <c r="N527" s="56"/>
      <c r="O527" s="56"/>
      <c r="P527" s="56"/>
      <c r="Q527" s="56"/>
      <c r="R527" s="56"/>
      <c r="S527" s="56" t="s">
        <v>44</v>
      </c>
      <c r="T527" s="56"/>
      <c r="U527" s="56"/>
      <c r="V527" s="56"/>
      <c r="W527" s="56"/>
      <c r="X527" s="42" t="s">
        <v>4281</v>
      </c>
      <c r="Y527" s="43" t="s">
        <v>4282</v>
      </c>
      <c r="Z527" s="84" t="s">
        <v>4283</v>
      </c>
      <c r="AA527" s="45">
        <v>44650</v>
      </c>
      <c r="AB527" s="101" t="s">
        <v>30</v>
      </c>
      <c r="AC527" s="36"/>
      <c r="AD527" s="64" t="s">
        <v>120</v>
      </c>
      <c r="AE527" s="48" t="s">
        <v>41</v>
      </c>
      <c r="AF527" s="48" t="s">
        <v>120</v>
      </c>
      <c r="AG527" s="48" t="s">
        <v>120</v>
      </c>
      <c r="AH527" s="48" t="s">
        <v>120</v>
      </c>
      <c r="AI527" s="48" t="s">
        <v>120</v>
      </c>
      <c r="AJ527" s="49" t="s">
        <v>41</v>
      </c>
      <c r="AK527" s="48" t="s">
        <v>41</v>
      </c>
      <c r="AL527" s="62" t="s">
        <v>276</v>
      </c>
      <c r="AM527" s="59"/>
      <c r="AN527" s="10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1"/>
    </row>
    <row r="528" spans="1:51" x14ac:dyDescent="0.2">
      <c r="A528" s="33">
        <f t="shared" si="9"/>
        <v>523</v>
      </c>
      <c r="B528" s="72" t="s">
        <v>4284</v>
      </c>
      <c r="C528" s="35" t="s">
        <v>4285</v>
      </c>
      <c r="D528" s="73" t="s">
        <v>4286</v>
      </c>
      <c r="E528" s="36" t="s">
        <v>36</v>
      </c>
      <c r="F528" s="74" t="s">
        <v>4287</v>
      </c>
      <c r="G528" s="75" t="s">
        <v>73</v>
      </c>
      <c r="H528" s="75" t="s">
        <v>73</v>
      </c>
      <c r="I528" s="72" t="s">
        <v>4288</v>
      </c>
      <c r="J528" s="72" t="s">
        <v>4289</v>
      </c>
      <c r="K528" s="77" t="s">
        <v>42</v>
      </c>
      <c r="L528" s="242">
        <v>40195</v>
      </c>
      <c r="M528" s="243"/>
      <c r="N528" s="243"/>
      <c r="O528" s="243"/>
      <c r="P528" s="243"/>
      <c r="Q528" s="243"/>
      <c r="R528" s="243"/>
      <c r="S528" s="243"/>
      <c r="T528" s="243"/>
      <c r="U528" s="243"/>
      <c r="V528" s="243"/>
      <c r="W528" s="243"/>
      <c r="X528" s="42" t="s">
        <v>4290</v>
      </c>
      <c r="Y528" s="58" t="s">
        <v>4291</v>
      </c>
      <c r="Z528" s="44" t="s">
        <v>4292</v>
      </c>
      <c r="AA528" s="45">
        <v>41793</v>
      </c>
      <c r="AB528" s="244" t="s">
        <v>129</v>
      </c>
      <c r="AC528" s="73" t="s">
        <v>26</v>
      </c>
      <c r="AD528" s="81" t="s">
        <v>49</v>
      </c>
      <c r="AE528" s="48" t="s">
        <v>49</v>
      </c>
      <c r="AF528" s="48" t="s">
        <v>49</v>
      </c>
      <c r="AG528" s="48" t="s">
        <v>41</v>
      </c>
      <c r="AH528" s="48" t="s">
        <v>41</v>
      </c>
      <c r="AI528" s="48" t="s">
        <v>41</v>
      </c>
      <c r="AJ528" s="49" t="s">
        <v>41</v>
      </c>
      <c r="AK528" s="48" t="s">
        <v>41</v>
      </c>
      <c r="AL528" s="62" t="s">
        <v>110</v>
      </c>
      <c r="AM528" s="59"/>
      <c r="AN528" s="117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1"/>
    </row>
    <row r="529" spans="1:51" x14ac:dyDescent="0.2">
      <c r="A529" s="33">
        <f t="shared" si="9"/>
        <v>524</v>
      </c>
      <c r="B529" s="72" t="s">
        <v>4293</v>
      </c>
      <c r="C529" s="35" t="s">
        <v>4294</v>
      </c>
      <c r="D529" s="73" t="s">
        <v>4295</v>
      </c>
      <c r="E529" s="36" t="s">
        <v>36</v>
      </c>
      <c r="F529" s="74" t="s">
        <v>4296</v>
      </c>
      <c r="G529" s="75" t="s">
        <v>73</v>
      </c>
      <c r="H529" s="75" t="s">
        <v>73</v>
      </c>
      <c r="I529" s="245" t="s">
        <v>4297</v>
      </c>
      <c r="J529" s="72"/>
      <c r="K529" s="77" t="s">
        <v>42</v>
      </c>
      <c r="L529" s="242">
        <v>45198</v>
      </c>
      <c r="M529" s="243" t="s">
        <v>179</v>
      </c>
      <c r="N529" s="243" t="s">
        <v>341</v>
      </c>
      <c r="O529" s="243" t="s">
        <v>1878</v>
      </c>
      <c r="P529" s="243">
        <v>1</v>
      </c>
      <c r="Q529" s="243"/>
      <c r="R529" s="243"/>
      <c r="S529" s="243"/>
      <c r="T529" s="243" t="s">
        <v>44</v>
      </c>
      <c r="U529" s="243"/>
      <c r="V529" s="243"/>
      <c r="W529" s="243"/>
      <c r="X529" s="229" t="s">
        <v>4298</v>
      </c>
      <c r="Y529" s="58" t="s">
        <v>4299</v>
      </c>
      <c r="Z529" s="58"/>
      <c r="AA529" s="58" t="s">
        <v>47</v>
      </c>
      <c r="AB529" s="244"/>
      <c r="AC529" s="73"/>
      <c r="AD529" s="81" t="s">
        <v>49</v>
      </c>
      <c r="AE529" s="48" t="s">
        <v>41</v>
      </c>
      <c r="AF529" s="48" t="s">
        <v>41</v>
      </c>
      <c r="AG529" s="48" t="s">
        <v>41</v>
      </c>
      <c r="AH529" s="48" t="s">
        <v>49</v>
      </c>
      <c r="AI529" s="48" t="s">
        <v>49</v>
      </c>
      <c r="AJ529" s="49" t="s">
        <v>49</v>
      </c>
      <c r="AK529" s="48" t="s">
        <v>49</v>
      </c>
      <c r="AL529" s="62" t="s">
        <v>32</v>
      </c>
      <c r="AM529" s="59"/>
      <c r="AN529" s="10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1"/>
    </row>
    <row r="530" spans="1:51" x14ac:dyDescent="0.2">
      <c r="A530" s="33">
        <f t="shared" si="9"/>
        <v>525</v>
      </c>
      <c r="B530" s="72" t="s">
        <v>4300</v>
      </c>
      <c r="C530" s="35" t="s">
        <v>4301</v>
      </c>
      <c r="D530" s="73" t="s">
        <v>4302</v>
      </c>
      <c r="E530" s="36" t="s">
        <v>36</v>
      </c>
      <c r="F530" s="74" t="s">
        <v>4303</v>
      </c>
      <c r="G530" s="75" t="s">
        <v>176</v>
      </c>
      <c r="H530" s="75" t="s">
        <v>39</v>
      </c>
      <c r="I530" s="72" t="s">
        <v>4304</v>
      </c>
      <c r="J530" s="72" t="s">
        <v>41</v>
      </c>
      <c r="K530" s="77" t="s">
        <v>42</v>
      </c>
      <c r="L530" s="242">
        <v>45171</v>
      </c>
      <c r="M530" s="243" t="s">
        <v>179</v>
      </c>
      <c r="N530" s="243" t="s">
        <v>179</v>
      </c>
      <c r="O530" s="243"/>
      <c r="P530" s="243">
        <v>3</v>
      </c>
      <c r="Q530" s="243"/>
      <c r="R530" s="243"/>
      <c r="S530" s="243"/>
      <c r="T530" s="243" t="s">
        <v>44</v>
      </c>
      <c r="U530" s="243"/>
      <c r="V530" s="243"/>
      <c r="W530" s="243"/>
      <c r="X530" s="42" t="s">
        <v>4305</v>
      </c>
      <c r="Y530" s="58" t="s">
        <v>4306</v>
      </c>
      <c r="Z530" s="58"/>
      <c r="AA530" s="58" t="s">
        <v>47</v>
      </c>
      <c r="AB530" s="244"/>
      <c r="AC530" s="73"/>
      <c r="AD530" s="81" t="s">
        <v>49</v>
      </c>
      <c r="AE530" s="48" t="s">
        <v>41</v>
      </c>
      <c r="AF530" s="48" t="s">
        <v>41</v>
      </c>
      <c r="AG530" s="48" t="s">
        <v>41</v>
      </c>
      <c r="AH530" s="48" t="s">
        <v>49</v>
      </c>
      <c r="AI530" s="48" t="s">
        <v>41</v>
      </c>
      <c r="AJ530" s="49" t="s">
        <v>41</v>
      </c>
      <c r="AK530" s="48" t="s">
        <v>41</v>
      </c>
      <c r="AL530" s="62" t="s">
        <v>4589</v>
      </c>
      <c r="AM530" s="59"/>
      <c r="AN530" s="117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1"/>
    </row>
    <row r="531" spans="1:51" x14ac:dyDescent="0.2">
      <c r="A531" s="33">
        <f t="shared" si="9"/>
        <v>526</v>
      </c>
      <c r="B531" s="34" t="s">
        <v>4307</v>
      </c>
      <c r="C531" s="35" t="s">
        <v>4308</v>
      </c>
      <c r="D531" s="36" t="s">
        <v>4309</v>
      </c>
      <c r="E531" s="36" t="s">
        <v>54</v>
      </c>
      <c r="F531" s="98" t="s">
        <v>4310</v>
      </c>
      <c r="G531" s="37" t="s">
        <v>39</v>
      </c>
      <c r="H531" s="37" t="s">
        <v>39</v>
      </c>
      <c r="I531" s="38" t="s">
        <v>4311</v>
      </c>
      <c r="J531" s="38" t="s">
        <v>4312</v>
      </c>
      <c r="K531" s="39" t="s">
        <v>42</v>
      </c>
      <c r="L531" s="120">
        <v>42552</v>
      </c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2" t="s">
        <v>4313</v>
      </c>
      <c r="Y531" s="52" t="s">
        <v>4314</v>
      </c>
      <c r="Z531" s="58"/>
      <c r="AA531" s="45">
        <v>42935</v>
      </c>
      <c r="AB531" s="101" t="s">
        <v>129</v>
      </c>
      <c r="AC531" s="36" t="s">
        <v>26</v>
      </c>
      <c r="AD531" s="47" t="s">
        <v>49</v>
      </c>
      <c r="AE531" s="48" t="s">
        <v>49</v>
      </c>
      <c r="AF531" s="48" t="s">
        <v>49</v>
      </c>
      <c r="AG531" s="48" t="s">
        <v>49</v>
      </c>
      <c r="AH531" s="48" t="s">
        <v>49</v>
      </c>
      <c r="AI531" s="48" t="s">
        <v>49</v>
      </c>
      <c r="AJ531" s="49" t="s">
        <v>49</v>
      </c>
      <c r="AK531" s="48" t="s">
        <v>49</v>
      </c>
      <c r="AL531" s="62" t="s">
        <v>32</v>
      </c>
      <c r="AM531" s="59"/>
      <c r="AN531" s="10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1"/>
    </row>
    <row r="532" spans="1:51" x14ac:dyDescent="0.2">
      <c r="A532" s="33">
        <f t="shared" si="9"/>
        <v>527</v>
      </c>
      <c r="B532" s="34" t="s">
        <v>4315</v>
      </c>
      <c r="C532" s="35" t="s">
        <v>4316</v>
      </c>
      <c r="D532" s="36" t="s">
        <v>4317</v>
      </c>
      <c r="E532" s="36" t="s">
        <v>36</v>
      </c>
      <c r="F532" s="98" t="s">
        <v>4318</v>
      </c>
      <c r="G532" s="37" t="s">
        <v>73</v>
      </c>
      <c r="H532" s="37" t="s">
        <v>73</v>
      </c>
      <c r="I532" s="38" t="s">
        <v>4319</v>
      </c>
      <c r="J532" s="38" t="s">
        <v>41</v>
      </c>
      <c r="K532" s="39" t="s">
        <v>42</v>
      </c>
      <c r="L532" s="120" t="s">
        <v>3950</v>
      </c>
      <c r="M532" s="41"/>
      <c r="N532" s="41"/>
      <c r="O532" s="41"/>
      <c r="P532" s="41"/>
      <c r="Q532" s="41"/>
      <c r="R532" s="41" t="s">
        <v>44</v>
      </c>
      <c r="S532" s="41"/>
      <c r="T532" s="41"/>
      <c r="U532" s="41"/>
      <c r="V532" s="41"/>
      <c r="W532" s="41"/>
      <c r="X532" s="42" t="s">
        <v>4320</v>
      </c>
      <c r="Y532" s="43" t="s">
        <v>4321</v>
      </c>
      <c r="Z532" s="84" t="s">
        <v>4322</v>
      </c>
      <c r="AA532" s="45">
        <v>44650</v>
      </c>
      <c r="AB532" s="101" t="s">
        <v>30</v>
      </c>
      <c r="AC532" s="36"/>
      <c r="AD532" s="64" t="s">
        <v>120</v>
      </c>
      <c r="AE532" s="48" t="s">
        <v>41</v>
      </c>
      <c r="AF532" s="48" t="s">
        <v>120</v>
      </c>
      <c r="AG532" s="48" t="s">
        <v>120</v>
      </c>
      <c r="AH532" s="48" t="s">
        <v>120</v>
      </c>
      <c r="AI532" s="48" t="s">
        <v>120</v>
      </c>
      <c r="AJ532" s="49" t="s">
        <v>120</v>
      </c>
      <c r="AK532" s="48" t="s">
        <v>120</v>
      </c>
      <c r="AL532" s="62" t="s">
        <v>32</v>
      </c>
      <c r="AM532" s="59"/>
      <c r="AN532" s="10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1"/>
    </row>
    <row r="533" spans="1:51" x14ac:dyDescent="0.2">
      <c r="A533" s="33">
        <f t="shared" si="9"/>
        <v>528</v>
      </c>
      <c r="B533" s="34" t="s">
        <v>4323</v>
      </c>
      <c r="C533" s="35" t="s">
        <v>4324</v>
      </c>
      <c r="D533" s="36" t="s">
        <v>4325</v>
      </c>
      <c r="E533" s="36" t="s">
        <v>54</v>
      </c>
      <c r="F533" s="34" t="s">
        <v>4326</v>
      </c>
      <c r="G533" s="37" t="s">
        <v>73</v>
      </c>
      <c r="H533" s="37" t="s">
        <v>73</v>
      </c>
      <c r="I533" s="34" t="s">
        <v>4327</v>
      </c>
      <c r="J533" s="34" t="s">
        <v>4328</v>
      </c>
      <c r="K533" s="39" t="s">
        <v>42</v>
      </c>
      <c r="L533" s="99" t="s">
        <v>4329</v>
      </c>
      <c r="M533" s="112"/>
      <c r="N533" s="112"/>
      <c r="O533" s="112"/>
      <c r="P533" s="112"/>
      <c r="Q533" s="112"/>
      <c r="R533" s="112"/>
      <c r="S533" s="112"/>
      <c r="T533" s="41"/>
      <c r="U533" s="41"/>
      <c r="V533" s="41"/>
      <c r="W533" s="41"/>
      <c r="X533" s="42" t="s">
        <v>4330</v>
      </c>
      <c r="Y533" s="43" t="s">
        <v>4331</v>
      </c>
      <c r="Z533" s="44" t="s">
        <v>4332</v>
      </c>
      <c r="AA533" s="45">
        <v>41793</v>
      </c>
      <c r="AB533" s="101" t="s">
        <v>30</v>
      </c>
      <c r="AC533" s="36" t="s">
        <v>26</v>
      </c>
      <c r="AD533" s="61" t="s">
        <v>49</v>
      </c>
      <c r="AE533" s="48" t="s">
        <v>49</v>
      </c>
      <c r="AF533" s="48" t="s">
        <v>49</v>
      </c>
      <c r="AG533" s="48" t="s">
        <v>49</v>
      </c>
      <c r="AH533" s="48" t="s">
        <v>49</v>
      </c>
      <c r="AI533" s="48" t="s">
        <v>49</v>
      </c>
      <c r="AJ533" s="49" t="s">
        <v>49</v>
      </c>
      <c r="AK533" s="48" t="s">
        <v>49</v>
      </c>
      <c r="AL533" s="62" t="s">
        <v>32</v>
      </c>
      <c r="AM533" s="59"/>
      <c r="AN533" s="10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1"/>
    </row>
    <row r="534" spans="1:51" x14ac:dyDescent="0.2">
      <c r="A534" s="33">
        <f t="shared" si="9"/>
        <v>529</v>
      </c>
      <c r="B534" s="122" t="s">
        <v>4333</v>
      </c>
      <c r="C534" s="123" t="s">
        <v>4334</v>
      </c>
      <c r="D534" s="202" t="s">
        <v>4335</v>
      </c>
      <c r="E534" s="36" t="s">
        <v>36</v>
      </c>
      <c r="F534" s="122" t="s">
        <v>4336</v>
      </c>
      <c r="G534" s="126" t="s">
        <v>39</v>
      </c>
      <c r="H534" s="126" t="s">
        <v>39</v>
      </c>
      <c r="I534" s="127" t="s">
        <v>4337</v>
      </c>
      <c r="J534" s="122" t="s">
        <v>41</v>
      </c>
      <c r="K534" s="128" t="s">
        <v>42</v>
      </c>
      <c r="L534" s="163" t="s">
        <v>1869</v>
      </c>
      <c r="M534" s="130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42" t="s">
        <v>4338</v>
      </c>
      <c r="Y534" s="52" t="s">
        <v>4339</v>
      </c>
      <c r="Z534" s="44" t="s">
        <v>61</v>
      </c>
      <c r="AA534" s="131">
        <v>37208</v>
      </c>
      <c r="AB534" s="164"/>
      <c r="AC534" s="36" t="s">
        <v>26</v>
      </c>
      <c r="AD534" s="133" t="s">
        <v>49</v>
      </c>
      <c r="AE534" s="48" t="s">
        <v>49</v>
      </c>
      <c r="AF534" s="48" t="s">
        <v>41</v>
      </c>
      <c r="AG534" s="48" t="s">
        <v>41</v>
      </c>
      <c r="AH534" s="48" t="s">
        <v>41</v>
      </c>
      <c r="AI534" s="48" t="s">
        <v>41</v>
      </c>
      <c r="AJ534" s="49" t="s">
        <v>41</v>
      </c>
      <c r="AK534" s="48" t="s">
        <v>41</v>
      </c>
      <c r="AL534" s="62" t="s">
        <v>4587</v>
      </c>
      <c r="AM534" s="134" t="s">
        <v>460</v>
      </c>
      <c r="AN534" s="10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1"/>
    </row>
    <row r="535" spans="1:51" x14ac:dyDescent="0.2">
      <c r="A535" s="33">
        <f t="shared" si="9"/>
        <v>530</v>
      </c>
      <c r="B535" s="122" t="s">
        <v>4340</v>
      </c>
      <c r="C535" s="123" t="s">
        <v>4341</v>
      </c>
      <c r="D535" s="202" t="s">
        <v>4342</v>
      </c>
      <c r="E535" s="36" t="s">
        <v>54</v>
      </c>
      <c r="F535" s="122" t="s">
        <v>4343</v>
      </c>
      <c r="G535" s="126" t="s">
        <v>39</v>
      </c>
      <c r="H535" s="126" t="s">
        <v>39</v>
      </c>
      <c r="I535" s="122" t="s">
        <v>4344</v>
      </c>
      <c r="J535" s="122" t="s">
        <v>4345</v>
      </c>
      <c r="K535" s="128" t="s">
        <v>42</v>
      </c>
      <c r="L535" s="165">
        <v>42343</v>
      </c>
      <c r="M535" s="130"/>
      <c r="N535" s="246"/>
      <c r="O535" s="115"/>
      <c r="P535" s="246"/>
      <c r="Q535" s="115"/>
      <c r="R535" s="115"/>
      <c r="S535" s="115"/>
      <c r="T535" s="56"/>
      <c r="U535" s="56"/>
      <c r="V535" s="56"/>
      <c r="W535" s="56"/>
      <c r="X535" s="42" t="s">
        <v>4346</v>
      </c>
      <c r="Y535" s="52" t="s">
        <v>4347</v>
      </c>
      <c r="Z535" s="44" t="s">
        <v>4348</v>
      </c>
      <c r="AA535" s="45" t="s">
        <v>1130</v>
      </c>
      <c r="AB535" s="164" t="s">
        <v>30</v>
      </c>
      <c r="AC535" s="36" t="s">
        <v>26</v>
      </c>
      <c r="AD535" s="133" t="s">
        <v>49</v>
      </c>
      <c r="AE535" s="48" t="s">
        <v>49</v>
      </c>
      <c r="AF535" s="48" t="s">
        <v>49</v>
      </c>
      <c r="AG535" s="48" t="s">
        <v>49</v>
      </c>
      <c r="AH535" s="48" t="s">
        <v>49</v>
      </c>
      <c r="AI535" s="48" t="s">
        <v>49</v>
      </c>
      <c r="AJ535" s="49" t="s">
        <v>49</v>
      </c>
      <c r="AK535" s="48" t="s">
        <v>49</v>
      </c>
      <c r="AL535" s="62" t="s">
        <v>32</v>
      </c>
      <c r="AM535" s="134"/>
      <c r="AN535" s="10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1"/>
    </row>
    <row r="536" spans="1:51" x14ac:dyDescent="0.2">
      <c r="A536" s="33">
        <f t="shared" si="9"/>
        <v>531</v>
      </c>
      <c r="B536" s="34" t="s">
        <v>4349</v>
      </c>
      <c r="C536" s="35" t="s">
        <v>4350</v>
      </c>
      <c r="D536" s="36" t="s">
        <v>4351</v>
      </c>
      <c r="E536" s="36" t="s">
        <v>54</v>
      </c>
      <c r="F536" s="34" t="s">
        <v>4352</v>
      </c>
      <c r="G536" s="37" t="s">
        <v>73</v>
      </c>
      <c r="H536" s="37" t="s">
        <v>73</v>
      </c>
      <c r="I536" s="34" t="s">
        <v>4353</v>
      </c>
      <c r="J536" s="34" t="s">
        <v>41</v>
      </c>
      <c r="K536" s="39" t="s">
        <v>42</v>
      </c>
      <c r="L536" s="165">
        <v>42555</v>
      </c>
      <c r="M536" s="188"/>
      <c r="N536" s="188"/>
      <c r="O536" s="188"/>
      <c r="P536" s="188"/>
      <c r="Q536" s="188"/>
      <c r="R536" s="188"/>
      <c r="S536" s="188"/>
      <c r="T536" s="188"/>
      <c r="U536" s="188"/>
      <c r="V536" s="188"/>
      <c r="W536" s="188"/>
      <c r="X536" s="42" t="s">
        <v>4354</v>
      </c>
      <c r="Y536" s="58" t="s">
        <v>4355</v>
      </c>
      <c r="Z536" s="44" t="s">
        <v>4356</v>
      </c>
      <c r="AA536" s="45">
        <v>42935</v>
      </c>
      <c r="AB536" s="164" t="s">
        <v>30</v>
      </c>
      <c r="AC536" s="36" t="s">
        <v>26</v>
      </c>
      <c r="AD536" s="47" t="s">
        <v>49</v>
      </c>
      <c r="AE536" s="48" t="s">
        <v>49</v>
      </c>
      <c r="AF536" s="48" t="s">
        <v>49</v>
      </c>
      <c r="AG536" s="48" t="s">
        <v>49</v>
      </c>
      <c r="AH536" s="48" t="s">
        <v>49</v>
      </c>
      <c r="AI536" s="48" t="s">
        <v>49</v>
      </c>
      <c r="AJ536" s="49" t="s">
        <v>49</v>
      </c>
      <c r="AK536" s="48" t="s">
        <v>49</v>
      </c>
      <c r="AL536" s="65" t="s">
        <v>32</v>
      </c>
      <c r="AM536" s="59"/>
      <c r="AN536" s="117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1"/>
    </row>
    <row r="537" spans="1:51" x14ac:dyDescent="0.2">
      <c r="A537" s="33">
        <f t="shared" si="9"/>
        <v>532</v>
      </c>
      <c r="B537" s="34" t="s">
        <v>4357</v>
      </c>
      <c r="C537" s="35" t="s">
        <v>4358</v>
      </c>
      <c r="D537" s="36" t="s">
        <v>4359</v>
      </c>
      <c r="E537" s="36" t="s">
        <v>54</v>
      </c>
      <c r="F537" s="34" t="s">
        <v>4360</v>
      </c>
      <c r="G537" s="37" t="s">
        <v>528</v>
      </c>
      <c r="H537" s="37" t="s">
        <v>57</v>
      </c>
      <c r="I537" s="34" t="s">
        <v>4361</v>
      </c>
      <c r="J537" s="34" t="s">
        <v>41</v>
      </c>
      <c r="K537" s="39" t="s">
        <v>42</v>
      </c>
      <c r="L537" s="165">
        <v>37174</v>
      </c>
      <c r="M537" s="188" t="s">
        <v>179</v>
      </c>
      <c r="N537" s="188"/>
      <c r="O537" s="188"/>
      <c r="P537" s="188"/>
      <c r="Q537" s="188"/>
      <c r="R537" s="188"/>
      <c r="S537" s="188"/>
      <c r="T537" s="188"/>
      <c r="U537" s="188"/>
      <c r="V537" s="188" t="s">
        <v>732</v>
      </c>
      <c r="W537" s="188"/>
      <c r="X537" s="42" t="s">
        <v>4362</v>
      </c>
      <c r="Y537" s="69" t="s">
        <v>4363</v>
      </c>
      <c r="Z537" s="44" t="s">
        <v>61</v>
      </c>
      <c r="AA537" s="45">
        <v>37208</v>
      </c>
      <c r="AB537" s="164" t="s">
        <v>30</v>
      </c>
      <c r="AC537" s="36" t="s">
        <v>26</v>
      </c>
      <c r="AD537" s="47" t="s">
        <v>49</v>
      </c>
      <c r="AE537" s="48" t="s">
        <v>49</v>
      </c>
      <c r="AF537" s="48" t="s">
        <v>49</v>
      </c>
      <c r="AG537" s="48" t="s">
        <v>49</v>
      </c>
      <c r="AH537" s="48" t="s">
        <v>49</v>
      </c>
      <c r="AI537" s="48" t="s">
        <v>49</v>
      </c>
      <c r="AJ537" s="49" t="s">
        <v>49</v>
      </c>
      <c r="AK537" s="48" t="s">
        <v>41</v>
      </c>
      <c r="AL537" s="62" t="s">
        <v>148</v>
      </c>
      <c r="AM537" s="59"/>
      <c r="AN537" s="10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1"/>
    </row>
    <row r="538" spans="1:51" x14ac:dyDescent="0.2">
      <c r="A538" s="33">
        <f t="shared" si="9"/>
        <v>533</v>
      </c>
      <c r="B538" s="34" t="s">
        <v>4364</v>
      </c>
      <c r="C538" s="35" t="s">
        <v>4365</v>
      </c>
      <c r="D538" s="36" t="s">
        <v>4366</v>
      </c>
      <c r="E538" s="36" t="s">
        <v>54</v>
      </c>
      <c r="F538" s="34" t="s">
        <v>4367</v>
      </c>
      <c r="G538" s="37" t="s">
        <v>1354</v>
      </c>
      <c r="H538" s="37" t="s">
        <v>57</v>
      </c>
      <c r="I538" s="34" t="s">
        <v>4368</v>
      </c>
      <c r="J538" s="34" t="s">
        <v>41</v>
      </c>
      <c r="K538" s="39" t="s">
        <v>42</v>
      </c>
      <c r="L538" s="99" t="s">
        <v>3857</v>
      </c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42" t="s">
        <v>4369</v>
      </c>
      <c r="Y538" s="52" t="s">
        <v>4370</v>
      </c>
      <c r="Z538" s="44" t="s">
        <v>4371</v>
      </c>
      <c r="AA538" s="45">
        <v>41793</v>
      </c>
      <c r="AB538" s="101" t="s">
        <v>30</v>
      </c>
      <c r="AC538" s="36" t="s">
        <v>26</v>
      </c>
      <c r="AD538" s="47" t="s">
        <v>49</v>
      </c>
      <c r="AE538" s="48" t="s">
        <v>49</v>
      </c>
      <c r="AF538" s="48" t="s">
        <v>49</v>
      </c>
      <c r="AG538" s="48" t="s">
        <v>49</v>
      </c>
      <c r="AH538" s="48" t="s">
        <v>49</v>
      </c>
      <c r="AI538" s="48" t="s">
        <v>49</v>
      </c>
      <c r="AJ538" s="49" t="s">
        <v>49</v>
      </c>
      <c r="AK538" s="48" t="s">
        <v>49</v>
      </c>
      <c r="AL538" s="62" t="s">
        <v>32</v>
      </c>
      <c r="AM538" s="134"/>
      <c r="AN538" s="10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1"/>
    </row>
    <row r="539" spans="1:51" x14ac:dyDescent="0.2">
      <c r="A539" s="33">
        <f t="shared" si="9"/>
        <v>534</v>
      </c>
      <c r="B539" s="34" t="s">
        <v>4372</v>
      </c>
      <c r="C539" s="35" t="s">
        <v>4373</v>
      </c>
      <c r="D539" s="73" t="s">
        <v>4374</v>
      </c>
      <c r="E539" s="36" t="s">
        <v>54</v>
      </c>
      <c r="F539" s="98" t="s">
        <v>4375</v>
      </c>
      <c r="G539" s="37" t="s">
        <v>73</v>
      </c>
      <c r="H539" s="37" t="s">
        <v>73</v>
      </c>
      <c r="I539" s="38" t="s">
        <v>4376</v>
      </c>
      <c r="J539" s="34" t="s">
        <v>41</v>
      </c>
      <c r="K539" s="39" t="s">
        <v>42</v>
      </c>
      <c r="L539" s="120">
        <v>42440</v>
      </c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42" t="s">
        <v>4377</v>
      </c>
      <c r="Y539" s="69" t="s">
        <v>4378</v>
      </c>
      <c r="Z539" s="44" t="s">
        <v>4379</v>
      </c>
      <c r="AA539" s="45">
        <v>42935</v>
      </c>
      <c r="AB539" s="101" t="s">
        <v>30</v>
      </c>
      <c r="AC539" s="73" t="s">
        <v>26</v>
      </c>
      <c r="AD539" s="47" t="s">
        <v>49</v>
      </c>
      <c r="AE539" s="48" t="s">
        <v>49</v>
      </c>
      <c r="AF539" s="48" t="s">
        <v>49</v>
      </c>
      <c r="AG539" s="48" t="s">
        <v>49</v>
      </c>
      <c r="AH539" s="48" t="s">
        <v>41</v>
      </c>
      <c r="AI539" s="48" t="s">
        <v>41</v>
      </c>
      <c r="AJ539" s="49" t="s">
        <v>41</v>
      </c>
      <c r="AK539" s="48" t="s">
        <v>41</v>
      </c>
      <c r="AL539" s="62" t="s">
        <v>139</v>
      </c>
      <c r="AM539" s="59"/>
      <c r="AN539" s="10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2"/>
      <c r="AY539" s="31"/>
    </row>
    <row r="540" spans="1:51" x14ac:dyDescent="0.2">
      <c r="A540" s="33">
        <f t="shared" si="9"/>
        <v>535</v>
      </c>
      <c r="B540" s="34" t="s">
        <v>4380</v>
      </c>
      <c r="C540" s="35" t="s">
        <v>4381</v>
      </c>
      <c r="D540" s="73" t="s">
        <v>4382</v>
      </c>
      <c r="E540" s="36" t="s">
        <v>54</v>
      </c>
      <c r="F540" s="98" t="s">
        <v>4383</v>
      </c>
      <c r="G540" s="37" t="s">
        <v>73</v>
      </c>
      <c r="H540" s="37" t="s">
        <v>73</v>
      </c>
      <c r="I540" s="38" t="s">
        <v>4384</v>
      </c>
      <c r="J540" s="34" t="s">
        <v>41</v>
      </c>
      <c r="K540" s="39" t="s">
        <v>42</v>
      </c>
      <c r="L540" s="120">
        <v>43771</v>
      </c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42" t="s">
        <v>4385</v>
      </c>
      <c r="Y540" s="52" t="s">
        <v>4386</v>
      </c>
      <c r="Z540" s="44" t="s">
        <v>4387</v>
      </c>
      <c r="AA540" s="45">
        <v>44041</v>
      </c>
      <c r="AB540" s="101" t="s">
        <v>30</v>
      </c>
      <c r="AC540" s="73" t="s">
        <v>26</v>
      </c>
      <c r="AD540" s="47" t="s">
        <v>49</v>
      </c>
      <c r="AE540" s="48" t="s">
        <v>49</v>
      </c>
      <c r="AF540" s="48" t="s">
        <v>49</v>
      </c>
      <c r="AG540" s="48" t="s">
        <v>49</v>
      </c>
      <c r="AH540" s="48" t="s">
        <v>49</v>
      </c>
      <c r="AI540" s="48" t="s">
        <v>41</v>
      </c>
      <c r="AJ540" s="49" t="s">
        <v>41</v>
      </c>
      <c r="AK540" s="48" t="s">
        <v>41</v>
      </c>
      <c r="AL540" s="62" t="s">
        <v>4589</v>
      </c>
      <c r="AM540" s="59"/>
      <c r="AN540" s="10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1"/>
    </row>
    <row r="541" spans="1:51" x14ac:dyDescent="0.2">
      <c r="A541" s="33">
        <f t="shared" si="9"/>
        <v>536</v>
      </c>
      <c r="B541" s="34" t="s">
        <v>4388</v>
      </c>
      <c r="C541" s="35" t="s">
        <v>4389</v>
      </c>
      <c r="D541" s="36" t="s">
        <v>4390</v>
      </c>
      <c r="E541" s="36" t="s">
        <v>54</v>
      </c>
      <c r="F541" s="34" t="s">
        <v>4391</v>
      </c>
      <c r="G541" s="37" t="s">
        <v>350</v>
      </c>
      <c r="H541" s="37" t="s">
        <v>350</v>
      </c>
      <c r="I541" s="34" t="s">
        <v>4392</v>
      </c>
      <c r="J541" s="34" t="s">
        <v>41</v>
      </c>
      <c r="K541" s="39" t="s">
        <v>42</v>
      </c>
      <c r="L541" s="120">
        <v>37264</v>
      </c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2" t="s">
        <v>4393</v>
      </c>
      <c r="Y541" s="69" t="s">
        <v>4394</v>
      </c>
      <c r="Z541" s="44" t="s">
        <v>61</v>
      </c>
      <c r="AA541" s="45" t="s">
        <v>4395</v>
      </c>
      <c r="AB541" s="101" t="s">
        <v>30</v>
      </c>
      <c r="AC541" s="36" t="s">
        <v>26</v>
      </c>
      <c r="AD541" s="47" t="s">
        <v>49</v>
      </c>
      <c r="AE541" s="48" t="s">
        <v>49</v>
      </c>
      <c r="AF541" s="48" t="s">
        <v>49</v>
      </c>
      <c r="AG541" s="48" t="s">
        <v>49</v>
      </c>
      <c r="AH541" s="48" t="s">
        <v>49</v>
      </c>
      <c r="AI541" s="48" t="s">
        <v>49</v>
      </c>
      <c r="AJ541" s="49" t="s">
        <v>49</v>
      </c>
      <c r="AK541" s="48" t="s">
        <v>49</v>
      </c>
      <c r="AL541" s="65" t="s">
        <v>32</v>
      </c>
      <c r="AM541" s="59"/>
      <c r="AN541" s="10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1"/>
    </row>
    <row r="542" spans="1:51" x14ac:dyDescent="0.2">
      <c r="A542" s="33">
        <f t="shared" si="9"/>
        <v>537</v>
      </c>
      <c r="B542" s="34" t="s">
        <v>4396</v>
      </c>
      <c r="C542" s="35" t="s">
        <v>4397</v>
      </c>
      <c r="D542" s="36" t="s">
        <v>4398</v>
      </c>
      <c r="E542" s="36" t="s">
        <v>36</v>
      </c>
      <c r="F542" s="34" t="s">
        <v>4399</v>
      </c>
      <c r="G542" s="37" t="s">
        <v>73</v>
      </c>
      <c r="H542" s="37" t="s">
        <v>73</v>
      </c>
      <c r="I542" s="34" t="s">
        <v>4400</v>
      </c>
      <c r="J542" s="34" t="s">
        <v>4400</v>
      </c>
      <c r="K542" s="39" t="s">
        <v>42</v>
      </c>
      <c r="L542" s="120">
        <v>30353</v>
      </c>
      <c r="M542" s="56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42" t="s">
        <v>4401</v>
      </c>
      <c r="Y542" s="58" t="s">
        <v>4402</v>
      </c>
      <c r="Z542" s="44" t="s">
        <v>4403</v>
      </c>
      <c r="AA542" s="131" t="s">
        <v>1130</v>
      </c>
      <c r="AB542" s="101" t="s">
        <v>30</v>
      </c>
      <c r="AC542" s="36" t="s">
        <v>26</v>
      </c>
      <c r="AD542" s="64" t="s">
        <v>120</v>
      </c>
      <c r="AE542" s="48" t="s">
        <v>120</v>
      </c>
      <c r="AF542" s="48" t="s">
        <v>120</v>
      </c>
      <c r="AG542" s="48" t="s">
        <v>120</v>
      </c>
      <c r="AH542" s="48" t="s">
        <v>120</v>
      </c>
      <c r="AI542" s="48" t="s">
        <v>120</v>
      </c>
      <c r="AJ542" s="49" t="s">
        <v>120</v>
      </c>
      <c r="AK542" s="48" t="s">
        <v>120</v>
      </c>
      <c r="AL542" s="62" t="s">
        <v>32</v>
      </c>
      <c r="AM542" s="103"/>
      <c r="AN542" s="10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1"/>
    </row>
    <row r="543" spans="1:51" x14ac:dyDescent="0.2">
      <c r="A543" s="33">
        <f t="shared" si="9"/>
        <v>538</v>
      </c>
      <c r="B543" s="34" t="s">
        <v>4404</v>
      </c>
      <c r="C543" s="35" t="s">
        <v>4405</v>
      </c>
      <c r="D543" s="36" t="s">
        <v>4406</v>
      </c>
      <c r="E543" s="36" t="s">
        <v>54</v>
      </c>
      <c r="F543" s="34" t="s">
        <v>4407</v>
      </c>
      <c r="G543" s="37" t="s">
        <v>681</v>
      </c>
      <c r="H543" s="37" t="s">
        <v>378</v>
      </c>
      <c r="I543" s="38" t="s">
        <v>4408</v>
      </c>
      <c r="J543" s="38" t="s">
        <v>4409</v>
      </c>
      <c r="K543" s="39" t="s">
        <v>42</v>
      </c>
      <c r="L543" s="99" t="s">
        <v>4410</v>
      </c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42" t="s">
        <v>4411</v>
      </c>
      <c r="Y543" s="58" t="s">
        <v>4412</v>
      </c>
      <c r="Z543" s="44" t="s">
        <v>4413</v>
      </c>
      <c r="AA543" s="45">
        <v>45003</v>
      </c>
      <c r="AB543" s="101" t="s">
        <v>30</v>
      </c>
      <c r="AC543" s="36" t="s">
        <v>26</v>
      </c>
      <c r="AD543" s="47" t="s">
        <v>49</v>
      </c>
      <c r="AE543" s="48" t="s">
        <v>49</v>
      </c>
      <c r="AF543" s="48" t="s">
        <v>49</v>
      </c>
      <c r="AG543" s="48" t="s">
        <v>49</v>
      </c>
      <c r="AH543" s="48" t="s">
        <v>49</v>
      </c>
      <c r="AI543" s="48" t="s">
        <v>49</v>
      </c>
      <c r="AJ543" s="49" t="s">
        <v>49</v>
      </c>
      <c r="AK543" s="48" t="s">
        <v>49</v>
      </c>
      <c r="AL543" s="62" t="s">
        <v>32</v>
      </c>
      <c r="AM543" s="59"/>
      <c r="AN543" s="10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1"/>
    </row>
    <row r="544" spans="1:51" x14ac:dyDescent="0.2">
      <c r="A544" s="33">
        <f t="shared" si="9"/>
        <v>539</v>
      </c>
      <c r="B544" s="34" t="s">
        <v>4414</v>
      </c>
      <c r="C544" s="35" t="s">
        <v>4415</v>
      </c>
      <c r="D544" s="36" t="s">
        <v>4416</v>
      </c>
      <c r="E544" s="36" t="s">
        <v>36</v>
      </c>
      <c r="F544" s="34" t="s">
        <v>4417</v>
      </c>
      <c r="G544" s="37" t="s">
        <v>73</v>
      </c>
      <c r="H544" s="37" t="s">
        <v>73</v>
      </c>
      <c r="I544" s="34" t="s">
        <v>4418</v>
      </c>
      <c r="J544" s="34" t="s">
        <v>1996</v>
      </c>
      <c r="K544" s="39" t="s">
        <v>42</v>
      </c>
      <c r="L544" s="120">
        <v>30353</v>
      </c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42" t="s">
        <v>4419</v>
      </c>
      <c r="Y544" s="52" t="s">
        <v>4420</v>
      </c>
      <c r="Z544" s="44" t="s">
        <v>4421</v>
      </c>
      <c r="AA544" s="45">
        <v>44041</v>
      </c>
      <c r="AB544" s="101" t="s">
        <v>30</v>
      </c>
      <c r="AC544" s="36" t="s">
        <v>26</v>
      </c>
      <c r="AD544" s="66" t="s">
        <v>130</v>
      </c>
      <c r="AE544" s="48" t="s">
        <v>130</v>
      </c>
      <c r="AF544" s="48" t="s">
        <v>130</v>
      </c>
      <c r="AG544" s="48" t="s">
        <v>130</v>
      </c>
      <c r="AH544" s="48" t="s">
        <v>130</v>
      </c>
      <c r="AI544" s="48" t="s">
        <v>130</v>
      </c>
      <c r="AJ544" s="49" t="s">
        <v>130</v>
      </c>
      <c r="AK544" s="48" t="s">
        <v>130</v>
      </c>
      <c r="AL544" s="62" t="s">
        <v>32</v>
      </c>
      <c r="AM544" s="59"/>
      <c r="AN544" s="10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1"/>
    </row>
    <row r="545" spans="1:51" x14ac:dyDescent="0.2">
      <c r="A545" s="33">
        <f t="shared" si="9"/>
        <v>540</v>
      </c>
      <c r="B545" s="34" t="s">
        <v>4422</v>
      </c>
      <c r="C545" s="35" t="s">
        <v>4423</v>
      </c>
      <c r="D545" s="36" t="s">
        <v>4424</v>
      </c>
      <c r="E545" s="36" t="s">
        <v>54</v>
      </c>
      <c r="F545" s="34" t="s">
        <v>4425</v>
      </c>
      <c r="G545" s="37" t="s">
        <v>1285</v>
      </c>
      <c r="H545" s="37" t="s">
        <v>350</v>
      </c>
      <c r="I545" s="38" t="s">
        <v>4426</v>
      </c>
      <c r="J545" s="34" t="s">
        <v>41</v>
      </c>
      <c r="K545" s="39" t="s">
        <v>42</v>
      </c>
      <c r="L545" s="120" t="s">
        <v>4427</v>
      </c>
      <c r="M545" s="115" t="s">
        <v>179</v>
      </c>
      <c r="N545" s="56"/>
      <c r="O545" s="56"/>
      <c r="P545" s="56">
        <v>5</v>
      </c>
      <c r="Q545" s="56"/>
      <c r="R545" s="56"/>
      <c r="S545" s="56"/>
      <c r="T545" s="56"/>
      <c r="U545" s="56"/>
      <c r="V545" s="56"/>
      <c r="W545" s="56"/>
      <c r="X545" s="42" t="s">
        <v>4428</v>
      </c>
      <c r="Y545" s="69" t="s">
        <v>4429</v>
      </c>
      <c r="Z545" s="44"/>
      <c r="AA545" s="45" t="s">
        <v>4430</v>
      </c>
      <c r="AB545" s="101"/>
      <c r="AC545" s="36"/>
      <c r="AD545" s="61" t="s">
        <v>49</v>
      </c>
      <c r="AE545" s="48" t="s">
        <v>41</v>
      </c>
      <c r="AF545" s="48" t="s">
        <v>41</v>
      </c>
      <c r="AG545" s="48" t="s">
        <v>41</v>
      </c>
      <c r="AH545" s="48" t="s">
        <v>41</v>
      </c>
      <c r="AI545" s="48" t="s">
        <v>41</v>
      </c>
      <c r="AJ545" s="49" t="s">
        <v>41</v>
      </c>
      <c r="AK545" s="48" t="s">
        <v>41</v>
      </c>
      <c r="AL545" s="65" t="s">
        <v>4588</v>
      </c>
      <c r="AM545" s="59"/>
      <c r="AN545" s="117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1"/>
    </row>
    <row r="546" spans="1:51" x14ac:dyDescent="0.2">
      <c r="A546" s="33">
        <f t="shared" si="9"/>
        <v>541</v>
      </c>
      <c r="B546" s="34" t="s">
        <v>4431</v>
      </c>
      <c r="C546" s="35" t="s">
        <v>4432</v>
      </c>
      <c r="D546" s="36" t="s">
        <v>4433</v>
      </c>
      <c r="E546" s="36" t="s">
        <v>54</v>
      </c>
      <c r="F546" s="34" t="s">
        <v>4434</v>
      </c>
      <c r="G546" s="37" t="s">
        <v>214</v>
      </c>
      <c r="H546" s="37" t="s">
        <v>205</v>
      </c>
      <c r="I546" s="38" t="s">
        <v>4435</v>
      </c>
      <c r="J546" s="34" t="s">
        <v>41</v>
      </c>
      <c r="K546" s="39" t="s">
        <v>42</v>
      </c>
      <c r="L546" s="120">
        <v>45716</v>
      </c>
      <c r="M546" s="56" t="s">
        <v>179</v>
      </c>
      <c r="N546" s="56"/>
      <c r="O546" s="56"/>
      <c r="P546" s="56"/>
      <c r="Q546" s="56"/>
      <c r="R546" s="56"/>
      <c r="S546" s="56"/>
      <c r="T546" s="56"/>
      <c r="U546" s="56"/>
      <c r="V546" s="56" t="s">
        <v>44</v>
      </c>
      <c r="W546" s="56"/>
      <c r="X546" s="42" t="s">
        <v>4436</v>
      </c>
      <c r="Y546" s="58" t="s">
        <v>4437</v>
      </c>
      <c r="Z546" s="44"/>
      <c r="AA546" s="45"/>
      <c r="AB546" s="101"/>
      <c r="AC546" s="36"/>
      <c r="AD546" s="61" t="s">
        <v>49</v>
      </c>
      <c r="AE546" s="48" t="s">
        <v>41</v>
      </c>
      <c r="AF546" s="48" t="s">
        <v>41</v>
      </c>
      <c r="AG546" s="48" t="s">
        <v>41</v>
      </c>
      <c r="AH546" s="48" t="s">
        <v>41</v>
      </c>
      <c r="AI546" s="48" t="s">
        <v>41</v>
      </c>
      <c r="AJ546" s="49" t="s">
        <v>49</v>
      </c>
      <c r="AK546" s="48" t="s">
        <v>41</v>
      </c>
      <c r="AL546" s="62" t="s">
        <v>148</v>
      </c>
      <c r="AM546" s="59"/>
      <c r="AN546" s="117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1"/>
    </row>
    <row r="547" spans="1:51" x14ac:dyDescent="0.2">
      <c r="A547" s="33">
        <f t="shared" si="9"/>
        <v>542</v>
      </c>
      <c r="B547" s="34" t="s">
        <v>4438</v>
      </c>
      <c r="C547" s="35" t="s">
        <v>4439</v>
      </c>
      <c r="D547" s="36" t="s">
        <v>4440</v>
      </c>
      <c r="E547" s="36" t="s">
        <v>54</v>
      </c>
      <c r="F547" s="34" t="s">
        <v>4441</v>
      </c>
      <c r="G547" s="37" t="s">
        <v>349</v>
      </c>
      <c r="H547" s="37" t="s">
        <v>350</v>
      </c>
      <c r="I547" s="38" t="s">
        <v>4442</v>
      </c>
      <c r="J547" s="34" t="s">
        <v>41</v>
      </c>
      <c r="K547" s="39" t="s">
        <v>42</v>
      </c>
      <c r="L547" s="120">
        <v>43682</v>
      </c>
      <c r="M547" s="53"/>
      <c r="N547" s="53"/>
      <c r="O547" s="53"/>
      <c r="P547" s="53"/>
      <c r="Q547" s="115"/>
      <c r="R547" s="115"/>
      <c r="S547" s="115"/>
      <c r="T547" s="115"/>
      <c r="U547" s="115"/>
      <c r="V547" s="115"/>
      <c r="W547" s="115"/>
      <c r="X547" s="57" t="s">
        <v>4443</v>
      </c>
      <c r="Y547" s="43" t="s">
        <v>4444</v>
      </c>
      <c r="Z547" s="44" t="s">
        <v>4445</v>
      </c>
      <c r="AA547" s="45">
        <v>44041</v>
      </c>
      <c r="AB547" s="101" t="s">
        <v>30</v>
      </c>
      <c r="AC547" s="36" t="s">
        <v>26</v>
      </c>
      <c r="AD547" s="61" t="s">
        <v>49</v>
      </c>
      <c r="AE547" s="48" t="s">
        <v>49</v>
      </c>
      <c r="AF547" s="48" t="s">
        <v>49</v>
      </c>
      <c r="AG547" s="48" t="s">
        <v>49</v>
      </c>
      <c r="AH547" s="48" t="s">
        <v>49</v>
      </c>
      <c r="AI547" s="48" t="s">
        <v>49</v>
      </c>
      <c r="AJ547" s="49" t="s">
        <v>49</v>
      </c>
      <c r="AK547" s="48" t="s">
        <v>49</v>
      </c>
      <c r="AL547" s="62" t="s">
        <v>32</v>
      </c>
      <c r="AM547" s="59"/>
      <c r="AN547" s="10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1"/>
    </row>
    <row r="548" spans="1:51" x14ac:dyDescent="0.2">
      <c r="A548" s="33">
        <f t="shared" si="9"/>
        <v>543</v>
      </c>
      <c r="B548" s="34" t="s">
        <v>4446</v>
      </c>
      <c r="C548" s="35" t="s">
        <v>4447</v>
      </c>
      <c r="D548" s="36" t="s">
        <v>4448</v>
      </c>
      <c r="E548" s="36" t="s">
        <v>54</v>
      </c>
      <c r="F548" s="34" t="s">
        <v>4449</v>
      </c>
      <c r="G548" s="37" t="s">
        <v>1285</v>
      </c>
      <c r="H548" s="37" t="s">
        <v>350</v>
      </c>
      <c r="I548" s="38" t="s">
        <v>4450</v>
      </c>
      <c r="J548" s="34" t="s">
        <v>41</v>
      </c>
      <c r="K548" s="39" t="s">
        <v>42</v>
      </c>
      <c r="L548" s="120">
        <v>45372</v>
      </c>
      <c r="M548" s="56"/>
      <c r="N548" s="137"/>
      <c r="O548" s="137"/>
      <c r="P548" s="137"/>
      <c r="Q548" s="137"/>
      <c r="R548" s="137"/>
      <c r="S548" s="137"/>
      <c r="T548" s="137"/>
      <c r="U548" s="137" t="s">
        <v>44</v>
      </c>
      <c r="V548" s="137"/>
      <c r="W548" s="137"/>
      <c r="X548" s="54" t="s">
        <v>4451</v>
      </c>
      <c r="Y548" s="43" t="s">
        <v>4452</v>
      </c>
      <c r="Z548" s="44"/>
      <c r="AA548" s="45"/>
      <c r="AB548" s="101"/>
      <c r="AC548" s="36"/>
      <c r="AD548" s="61" t="s">
        <v>49</v>
      </c>
      <c r="AE548" s="48" t="s">
        <v>41</v>
      </c>
      <c r="AF548" s="48" t="s">
        <v>41</v>
      </c>
      <c r="AG548" s="48" t="s">
        <v>41</v>
      </c>
      <c r="AH548" s="48" t="s">
        <v>41</v>
      </c>
      <c r="AI548" s="48" t="s">
        <v>49</v>
      </c>
      <c r="AJ548" s="49" t="s">
        <v>41</v>
      </c>
      <c r="AK548" s="48" t="s">
        <v>41</v>
      </c>
      <c r="AL548" s="62" t="s">
        <v>276</v>
      </c>
      <c r="AM548" s="59"/>
      <c r="AN548" s="10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1"/>
    </row>
    <row r="549" spans="1:51" x14ac:dyDescent="0.2">
      <c r="A549" s="33">
        <f t="shared" si="9"/>
        <v>544</v>
      </c>
      <c r="B549" s="34" t="s">
        <v>4453</v>
      </c>
      <c r="C549" s="35" t="s">
        <v>4454</v>
      </c>
      <c r="D549" s="247" t="s">
        <v>4594</v>
      </c>
      <c r="E549" s="36" t="s">
        <v>54</v>
      </c>
      <c r="F549" s="34" t="s">
        <v>4455</v>
      </c>
      <c r="G549" s="37" t="s">
        <v>39</v>
      </c>
      <c r="H549" s="37" t="s">
        <v>39</v>
      </c>
      <c r="I549" s="38" t="s">
        <v>4456</v>
      </c>
      <c r="J549" s="34" t="s">
        <v>41</v>
      </c>
      <c r="K549" s="39" t="s">
        <v>42</v>
      </c>
      <c r="L549" s="120">
        <v>45357</v>
      </c>
      <c r="M549" s="56"/>
      <c r="N549" s="56"/>
      <c r="O549" s="56"/>
      <c r="P549" s="56"/>
      <c r="Q549" s="56"/>
      <c r="R549" s="56"/>
      <c r="S549" s="56"/>
      <c r="T549" s="56"/>
      <c r="U549" s="56" t="s">
        <v>44</v>
      </c>
      <c r="V549" s="56"/>
      <c r="W549" s="56"/>
      <c r="X549" s="54" t="s">
        <v>4457</v>
      </c>
      <c r="Y549" s="55" t="s">
        <v>4458</v>
      </c>
      <c r="Z549" s="44"/>
      <c r="AA549" s="45"/>
      <c r="AB549" s="101"/>
      <c r="AC549" s="36"/>
      <c r="AD549" s="47" t="s">
        <v>49</v>
      </c>
      <c r="AE549" s="48" t="s">
        <v>41</v>
      </c>
      <c r="AF549" s="48" t="s">
        <v>41</v>
      </c>
      <c r="AG549" s="48" t="s">
        <v>41</v>
      </c>
      <c r="AH549" s="48" t="s">
        <v>41</v>
      </c>
      <c r="AI549" s="48" t="s">
        <v>49</v>
      </c>
      <c r="AJ549" s="49" t="s">
        <v>49</v>
      </c>
      <c r="AK549" s="48" t="s">
        <v>49</v>
      </c>
      <c r="AL549" s="62" t="s">
        <v>32</v>
      </c>
      <c r="AM549" s="59"/>
      <c r="AN549" s="10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1"/>
    </row>
    <row r="550" spans="1:51" x14ac:dyDescent="0.2">
      <c r="A550" s="33">
        <f t="shared" si="9"/>
        <v>545</v>
      </c>
      <c r="B550" s="34" t="s">
        <v>4459</v>
      </c>
      <c r="C550" s="35" t="s">
        <v>4460</v>
      </c>
      <c r="D550" s="36" t="s">
        <v>4461</v>
      </c>
      <c r="E550" s="36" t="s">
        <v>54</v>
      </c>
      <c r="F550" s="34" t="s">
        <v>4462</v>
      </c>
      <c r="G550" s="37" t="s">
        <v>252</v>
      </c>
      <c r="H550" s="37" t="s">
        <v>57</v>
      </c>
      <c r="I550" s="34" t="s">
        <v>4463</v>
      </c>
      <c r="J550" s="34" t="s">
        <v>4464</v>
      </c>
      <c r="K550" s="39" t="s">
        <v>42</v>
      </c>
      <c r="L550" s="120">
        <v>31057</v>
      </c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7" t="s">
        <v>4465</v>
      </c>
      <c r="Y550" s="58" t="s">
        <v>4466</v>
      </c>
      <c r="Z550" s="44" t="s">
        <v>4467</v>
      </c>
      <c r="AA550" s="45">
        <v>44041</v>
      </c>
      <c r="AB550" s="101" t="s">
        <v>30</v>
      </c>
      <c r="AC550" s="36" t="s">
        <v>26</v>
      </c>
      <c r="AD550" s="47" t="s">
        <v>49</v>
      </c>
      <c r="AE550" s="48" t="s">
        <v>49</v>
      </c>
      <c r="AF550" s="48" t="s">
        <v>49</v>
      </c>
      <c r="AG550" s="48" t="s">
        <v>49</v>
      </c>
      <c r="AH550" s="48" t="s">
        <v>49</v>
      </c>
      <c r="AI550" s="48" t="s">
        <v>49</v>
      </c>
      <c r="AJ550" s="49" t="s">
        <v>49</v>
      </c>
      <c r="AK550" s="48" t="s">
        <v>41</v>
      </c>
      <c r="AL550" s="62" t="s">
        <v>148</v>
      </c>
      <c r="AM550" s="59"/>
      <c r="AN550" s="10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1"/>
    </row>
    <row r="551" spans="1:51" x14ac:dyDescent="0.2">
      <c r="A551" s="33">
        <f t="shared" si="9"/>
        <v>546</v>
      </c>
      <c r="B551" s="34" t="s">
        <v>4468</v>
      </c>
      <c r="C551" s="35" t="s">
        <v>4469</v>
      </c>
      <c r="D551" s="109" t="s">
        <v>4470</v>
      </c>
      <c r="E551" s="36" t="s">
        <v>54</v>
      </c>
      <c r="F551" s="34" t="s">
        <v>4471</v>
      </c>
      <c r="G551" s="37" t="s">
        <v>73</v>
      </c>
      <c r="H551" s="37" t="s">
        <v>73</v>
      </c>
      <c r="I551" s="34" t="s">
        <v>4472</v>
      </c>
      <c r="J551" s="34" t="s">
        <v>41</v>
      </c>
      <c r="K551" s="39" t="s">
        <v>42</v>
      </c>
      <c r="L551" s="99" t="s">
        <v>4473</v>
      </c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42" t="s">
        <v>4474</v>
      </c>
      <c r="Y551" s="52" t="s">
        <v>4475</v>
      </c>
      <c r="Z551" s="44" t="s">
        <v>4476</v>
      </c>
      <c r="AA551" s="45">
        <v>41793</v>
      </c>
      <c r="AB551" s="101" t="s">
        <v>30</v>
      </c>
      <c r="AC551" s="109" t="s">
        <v>26</v>
      </c>
      <c r="AD551" s="47" t="s">
        <v>49</v>
      </c>
      <c r="AE551" s="48" t="s">
        <v>49</v>
      </c>
      <c r="AF551" s="48" t="s">
        <v>49</v>
      </c>
      <c r="AG551" s="48" t="s">
        <v>49</v>
      </c>
      <c r="AH551" s="48" t="s">
        <v>49</v>
      </c>
      <c r="AI551" s="48" t="s">
        <v>49</v>
      </c>
      <c r="AJ551" s="49" t="s">
        <v>41</v>
      </c>
      <c r="AK551" s="48" t="s">
        <v>41</v>
      </c>
      <c r="AL551" s="62" t="s">
        <v>276</v>
      </c>
      <c r="AM551" s="59"/>
      <c r="AN551" s="248"/>
      <c r="AO551" s="32"/>
      <c r="AP551" s="220"/>
      <c r="AQ551" s="32"/>
      <c r="AR551" s="32"/>
      <c r="AS551" s="32"/>
      <c r="AT551" s="32"/>
      <c r="AU551" s="32"/>
      <c r="AV551" s="32"/>
      <c r="AW551" s="32"/>
      <c r="AX551" s="32"/>
      <c r="AY551" s="31"/>
    </row>
    <row r="552" spans="1:51" x14ac:dyDescent="0.2">
      <c r="A552" s="33">
        <f t="shared" si="9"/>
        <v>547</v>
      </c>
      <c r="B552" s="34" t="s">
        <v>4477</v>
      </c>
      <c r="C552" s="35" t="s">
        <v>4478</v>
      </c>
      <c r="D552" s="36" t="s">
        <v>4479</v>
      </c>
      <c r="E552" s="36" t="s">
        <v>36</v>
      </c>
      <c r="F552" s="34" t="s">
        <v>4480</v>
      </c>
      <c r="G552" s="37" t="s">
        <v>73</v>
      </c>
      <c r="H552" s="37" t="s">
        <v>73</v>
      </c>
      <c r="I552" s="34" t="s">
        <v>4481</v>
      </c>
      <c r="J552" s="34" t="s">
        <v>4482</v>
      </c>
      <c r="K552" s="39" t="s">
        <v>42</v>
      </c>
      <c r="L552" s="161">
        <v>32357</v>
      </c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42" t="s">
        <v>4483</v>
      </c>
      <c r="Y552" s="69" t="s">
        <v>4484</v>
      </c>
      <c r="Z552" s="44" t="s">
        <v>61</v>
      </c>
      <c r="AA552" s="45">
        <v>39286</v>
      </c>
      <c r="AB552" s="160" t="s">
        <v>129</v>
      </c>
      <c r="AC552" s="36" t="s">
        <v>26</v>
      </c>
      <c r="AD552" s="66" t="s">
        <v>130</v>
      </c>
      <c r="AE552" s="48" t="s">
        <v>130</v>
      </c>
      <c r="AF552" s="48" t="s">
        <v>130</v>
      </c>
      <c r="AG552" s="48" t="s">
        <v>130</v>
      </c>
      <c r="AH552" s="48" t="s">
        <v>130</v>
      </c>
      <c r="AI552" s="48" t="s">
        <v>130</v>
      </c>
      <c r="AJ552" s="49" t="s">
        <v>130</v>
      </c>
      <c r="AK552" s="48" t="s">
        <v>130</v>
      </c>
      <c r="AL552" s="62" t="s">
        <v>32</v>
      </c>
      <c r="AM552" s="51"/>
      <c r="AN552" s="10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1"/>
    </row>
    <row r="553" spans="1:51" x14ac:dyDescent="0.2">
      <c r="A553" s="33">
        <f t="shared" si="9"/>
        <v>548</v>
      </c>
      <c r="B553" s="171" t="s">
        <v>4485</v>
      </c>
      <c r="C553" s="249" t="s">
        <v>4486</v>
      </c>
      <c r="D553" s="170" t="s">
        <v>4487</v>
      </c>
      <c r="E553" s="36" t="s">
        <v>54</v>
      </c>
      <c r="F553" s="171" t="s">
        <v>4488</v>
      </c>
      <c r="G553" s="182" t="s">
        <v>186</v>
      </c>
      <c r="H553" s="182" t="s">
        <v>187</v>
      </c>
      <c r="I553" s="139" t="s">
        <v>4489</v>
      </c>
      <c r="J553" s="171" t="s">
        <v>41</v>
      </c>
      <c r="K553" s="172" t="s">
        <v>42</v>
      </c>
      <c r="L553" s="161">
        <v>36440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42" t="s">
        <v>4490</v>
      </c>
      <c r="Y553" s="52" t="s">
        <v>4491</v>
      </c>
      <c r="Z553" s="44" t="s">
        <v>61</v>
      </c>
      <c r="AA553" s="250">
        <v>40815</v>
      </c>
      <c r="AB553" s="160" t="s">
        <v>30</v>
      </c>
      <c r="AC553" s="36" t="s">
        <v>26</v>
      </c>
      <c r="AD553" s="251" t="s">
        <v>49</v>
      </c>
      <c r="AE553" s="48" t="s">
        <v>49</v>
      </c>
      <c r="AF553" s="48" t="s">
        <v>49</v>
      </c>
      <c r="AG553" s="48" t="s">
        <v>49</v>
      </c>
      <c r="AH553" s="48" t="s">
        <v>49</v>
      </c>
      <c r="AI553" s="48" t="s">
        <v>49</v>
      </c>
      <c r="AJ553" s="49" t="s">
        <v>49</v>
      </c>
      <c r="AK553" s="48" t="s">
        <v>49</v>
      </c>
      <c r="AL553" s="65" t="s">
        <v>32</v>
      </c>
      <c r="AM553" s="138"/>
      <c r="AN553" s="117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1"/>
    </row>
    <row r="554" spans="1:51" ht="15" customHeight="1" x14ac:dyDescent="0.2">
      <c r="A554" s="33">
        <f t="shared" si="9"/>
        <v>549</v>
      </c>
      <c r="B554" s="171" t="s">
        <v>4492</v>
      </c>
      <c r="C554" s="249" t="s">
        <v>4493</v>
      </c>
      <c r="D554" s="170" t="s">
        <v>4580</v>
      </c>
      <c r="E554" s="36" t="s">
        <v>36</v>
      </c>
      <c r="F554" s="171" t="s">
        <v>4495</v>
      </c>
      <c r="G554" s="182" t="s">
        <v>39</v>
      </c>
      <c r="H554" s="182" t="s">
        <v>39</v>
      </c>
      <c r="I554" s="140" t="s">
        <v>4496</v>
      </c>
      <c r="J554" s="171" t="s">
        <v>41</v>
      </c>
      <c r="K554" s="172" t="s">
        <v>42</v>
      </c>
      <c r="L554" s="161" t="s">
        <v>4497</v>
      </c>
      <c r="M554" s="70" t="s">
        <v>179</v>
      </c>
      <c r="N554" s="70"/>
      <c r="O554" s="70"/>
      <c r="P554" s="70"/>
      <c r="Q554" s="70"/>
      <c r="R554" s="70"/>
      <c r="S554" s="70" t="s">
        <v>44</v>
      </c>
      <c r="T554" s="70"/>
      <c r="U554" s="70"/>
      <c r="V554" s="70" t="s">
        <v>732</v>
      </c>
      <c r="W554" s="70"/>
      <c r="X554" s="42" t="s">
        <v>4498</v>
      </c>
      <c r="Y554" s="43" t="s">
        <v>4499</v>
      </c>
      <c r="Z554" s="211" t="s">
        <v>4500</v>
      </c>
      <c r="AA554" s="45">
        <v>44944</v>
      </c>
      <c r="AB554" s="160" t="s">
        <v>30</v>
      </c>
      <c r="AC554" s="36"/>
      <c r="AD554" s="251" t="s">
        <v>49</v>
      </c>
      <c r="AE554" s="48" t="s">
        <v>41</v>
      </c>
      <c r="AF554" s="48" t="s">
        <v>41</v>
      </c>
      <c r="AG554" s="48" t="s">
        <v>41</v>
      </c>
      <c r="AH554" s="48" t="s">
        <v>49</v>
      </c>
      <c r="AI554" s="48" t="s">
        <v>49</v>
      </c>
      <c r="AJ554" s="49" t="s">
        <v>49</v>
      </c>
      <c r="AK554" s="48" t="s">
        <v>49</v>
      </c>
      <c r="AL554" s="213">
        <v>0</v>
      </c>
      <c r="AM554" s="138"/>
      <c r="AN554" s="118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1"/>
    </row>
    <row r="555" spans="1:51" ht="15" customHeight="1" x14ac:dyDescent="0.2">
      <c r="A555" s="33">
        <f t="shared" si="9"/>
        <v>550</v>
      </c>
      <c r="B555" s="34" t="s">
        <v>4501</v>
      </c>
      <c r="C555" s="35" t="s">
        <v>4502</v>
      </c>
      <c r="D555" s="36" t="s">
        <v>4503</v>
      </c>
      <c r="E555" s="36" t="s">
        <v>54</v>
      </c>
      <c r="F555" s="34" t="s">
        <v>4504</v>
      </c>
      <c r="G555" s="37" t="s">
        <v>528</v>
      </c>
      <c r="H555" s="37" t="s">
        <v>57</v>
      </c>
      <c r="I555" s="34" t="s">
        <v>4505</v>
      </c>
      <c r="J555" s="34" t="s">
        <v>4505</v>
      </c>
      <c r="K555" s="39" t="s">
        <v>42</v>
      </c>
      <c r="L555" s="120">
        <v>31057</v>
      </c>
      <c r="M555" s="41"/>
      <c r="N555" s="177"/>
      <c r="O555" s="177"/>
      <c r="P555" s="177"/>
      <c r="Q555" s="112"/>
      <c r="R555" s="112"/>
      <c r="S555" s="112"/>
      <c r="T555" s="41"/>
      <c r="U555" s="41"/>
      <c r="V555" s="41"/>
      <c r="W555" s="41"/>
      <c r="X555" s="42" t="s">
        <v>4506</v>
      </c>
      <c r="Y555" s="52" t="s">
        <v>4507</v>
      </c>
      <c r="Z555" s="44" t="s">
        <v>61</v>
      </c>
      <c r="AA555" s="45">
        <v>34597</v>
      </c>
      <c r="AB555" s="101" t="s">
        <v>30</v>
      </c>
      <c r="AC555" s="36" t="s">
        <v>26</v>
      </c>
      <c r="AD555" s="47" t="s">
        <v>49</v>
      </c>
      <c r="AE555" s="48" t="s">
        <v>49</v>
      </c>
      <c r="AF555" s="48" t="s">
        <v>49</v>
      </c>
      <c r="AG555" s="48" t="s">
        <v>49</v>
      </c>
      <c r="AH555" s="48" t="s">
        <v>49</v>
      </c>
      <c r="AI555" s="48" t="s">
        <v>49</v>
      </c>
      <c r="AJ555" s="49" t="s">
        <v>49</v>
      </c>
      <c r="AK555" s="48" t="s">
        <v>41</v>
      </c>
      <c r="AL555" s="65" t="s">
        <v>148</v>
      </c>
      <c r="AM555" s="59"/>
      <c r="AN555" s="32"/>
      <c r="AO555" s="32"/>
      <c r="AP555" s="32"/>
      <c r="AQ555" s="220">
        <f>150*3250</f>
        <v>487500</v>
      </c>
      <c r="AR555" s="32"/>
      <c r="AS555" s="32"/>
      <c r="AT555" s="32"/>
      <c r="AU555" s="32"/>
      <c r="AV555" s="32"/>
      <c r="AW555" s="32"/>
      <c r="AX555" s="32"/>
      <c r="AY555" s="31"/>
    </row>
    <row r="556" spans="1:51" x14ac:dyDescent="0.2">
      <c r="A556" s="33"/>
      <c r="B556" s="252" t="s">
        <v>4508</v>
      </c>
      <c r="C556" s="253" t="s">
        <v>4509</v>
      </c>
      <c r="D556" s="252" t="s">
        <v>4510</v>
      </c>
      <c r="E556" s="252"/>
      <c r="F556" s="252" t="s">
        <v>4511</v>
      </c>
      <c r="G556" s="252"/>
      <c r="H556" s="252"/>
      <c r="I556" s="252" t="s">
        <v>4512</v>
      </c>
      <c r="J556" s="252" t="s">
        <v>4513</v>
      </c>
      <c r="K556" s="254"/>
      <c r="L556" s="255">
        <v>31057</v>
      </c>
      <c r="M556" s="256"/>
      <c r="N556" s="256"/>
      <c r="O556" s="256"/>
      <c r="P556" s="256"/>
      <c r="Q556" s="256"/>
      <c r="R556" s="256"/>
      <c r="S556" s="256"/>
      <c r="T556" s="256"/>
      <c r="U556" s="256"/>
      <c r="V556" s="256"/>
      <c r="W556" s="256"/>
      <c r="X556" s="257" t="s">
        <v>4514</v>
      </c>
      <c r="Y556" s="258" t="s">
        <v>4515</v>
      </c>
      <c r="Z556" s="259" t="s">
        <v>4516</v>
      </c>
      <c r="AA556" s="260">
        <v>43200</v>
      </c>
      <c r="AB556" s="252"/>
      <c r="AC556" s="252" t="s">
        <v>26</v>
      </c>
      <c r="AD556" s="66"/>
      <c r="AE556" s="48" t="s">
        <v>41</v>
      </c>
      <c r="AF556" s="48" t="s">
        <v>41</v>
      </c>
      <c r="AG556" s="48" t="s">
        <v>41</v>
      </c>
      <c r="AH556" s="48" t="s">
        <v>41</v>
      </c>
      <c r="AI556" s="48" t="s">
        <v>41</v>
      </c>
      <c r="AJ556" s="49" t="s">
        <v>41</v>
      </c>
      <c r="AK556" s="48" t="s">
        <v>41</v>
      </c>
      <c r="AL556" s="213"/>
      <c r="AM556" s="138" t="s">
        <v>4517</v>
      </c>
      <c r="AN556" s="118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1"/>
    </row>
    <row r="557" spans="1:51" x14ac:dyDescent="0.2">
      <c r="A557" s="33"/>
      <c r="B557" s="252" t="s">
        <v>4518</v>
      </c>
      <c r="C557" s="253" t="s">
        <v>4519</v>
      </c>
      <c r="D557" s="252" t="s">
        <v>4520</v>
      </c>
      <c r="E557" s="252"/>
      <c r="F557" s="252" t="s">
        <v>4521</v>
      </c>
      <c r="G557" s="252"/>
      <c r="H557" s="252"/>
      <c r="I557" s="261" t="s">
        <v>4522</v>
      </c>
      <c r="J557" s="261" t="s">
        <v>41</v>
      </c>
      <c r="K557" s="254"/>
      <c r="L557" s="262" t="s">
        <v>307</v>
      </c>
      <c r="M557" s="263"/>
      <c r="N557" s="264"/>
      <c r="O557" s="264"/>
      <c r="P557" s="264"/>
      <c r="Q557" s="264"/>
      <c r="R557" s="264"/>
      <c r="S557" s="264"/>
      <c r="T557" s="264"/>
      <c r="U557" s="264"/>
      <c r="V557" s="264"/>
      <c r="W557" s="264"/>
      <c r="X557" s="257" t="s">
        <v>4523</v>
      </c>
      <c r="Y557" s="258" t="s">
        <v>4524</v>
      </c>
      <c r="Z557" s="258"/>
      <c r="AA557" s="258"/>
      <c r="AB557" s="252" t="s">
        <v>30</v>
      </c>
      <c r="AC557" s="252"/>
      <c r="AD557" s="47"/>
      <c r="AE557" s="48" t="s">
        <v>41</v>
      </c>
      <c r="AF557" s="48" t="s">
        <v>41</v>
      </c>
      <c r="AG557" s="48" t="s">
        <v>41</v>
      </c>
      <c r="AH557" s="48" t="s">
        <v>41</v>
      </c>
      <c r="AI557" s="48" t="s">
        <v>41</v>
      </c>
      <c r="AJ557" s="49" t="s">
        <v>41</v>
      </c>
      <c r="AK557" s="48" t="s">
        <v>41</v>
      </c>
      <c r="AL557" s="65"/>
      <c r="AM557" s="59" t="s">
        <v>460</v>
      </c>
      <c r="AN557" s="195"/>
      <c r="AO557" s="196"/>
      <c r="AP557" s="196"/>
      <c r="AQ557" s="196"/>
      <c r="AR557" s="196"/>
      <c r="AS557" s="32"/>
      <c r="AT557" s="32"/>
      <c r="AU557" s="32"/>
      <c r="AV557" s="32"/>
      <c r="AW557" s="32"/>
      <c r="AX557" s="32"/>
      <c r="AY557" s="31"/>
    </row>
    <row r="558" spans="1:51" x14ac:dyDescent="0.2">
      <c r="A558" s="33"/>
      <c r="B558" s="252" t="s">
        <v>4525</v>
      </c>
      <c r="C558" s="253" t="s">
        <v>4526</v>
      </c>
      <c r="D558" s="252" t="s">
        <v>4527</v>
      </c>
      <c r="E558" s="252"/>
      <c r="F558" s="265" t="s">
        <v>4528</v>
      </c>
      <c r="G558" s="252"/>
      <c r="H558" s="252"/>
      <c r="I558" s="266" t="s">
        <v>4529</v>
      </c>
      <c r="J558" s="252"/>
      <c r="K558" s="254"/>
      <c r="L558" s="267" t="s">
        <v>2375</v>
      </c>
      <c r="M558" s="268"/>
      <c r="N558" s="254"/>
      <c r="O558" s="254"/>
      <c r="P558" s="254"/>
      <c r="Q558" s="254"/>
      <c r="R558" s="254"/>
      <c r="S558" s="254"/>
      <c r="T558" s="254"/>
      <c r="U558" s="254"/>
      <c r="V558" s="254"/>
      <c r="W558" s="256"/>
      <c r="X558" s="257" t="s">
        <v>4530</v>
      </c>
      <c r="Y558" s="258" t="s">
        <v>4531</v>
      </c>
      <c r="Z558" s="258"/>
      <c r="AA558" s="258"/>
      <c r="AB558" s="269"/>
      <c r="AC558" s="270" t="s">
        <v>26</v>
      </c>
      <c r="AD558" s="47"/>
      <c r="AE558" s="48" t="s">
        <v>41</v>
      </c>
      <c r="AF558" s="48" t="s">
        <v>41</v>
      </c>
      <c r="AG558" s="48" t="s">
        <v>41</v>
      </c>
      <c r="AH558" s="48" t="s">
        <v>41</v>
      </c>
      <c r="AI558" s="48" t="s">
        <v>41</v>
      </c>
      <c r="AJ558" s="49" t="s">
        <v>41</v>
      </c>
      <c r="AK558" s="48" t="s">
        <v>41</v>
      </c>
      <c r="AL558" s="232"/>
      <c r="AM558" s="138" t="s">
        <v>4517</v>
      </c>
      <c r="AN558" s="10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1"/>
    </row>
    <row r="559" spans="1:51" ht="16" thickBot="1" x14ac:dyDescent="0.25">
      <c r="A559" s="31"/>
      <c r="B559" s="197"/>
      <c r="C559" s="197"/>
      <c r="D559" s="197"/>
      <c r="E559" s="197"/>
      <c r="F559" s="31"/>
      <c r="G559" s="197"/>
      <c r="H559" s="197"/>
      <c r="I559" s="31"/>
      <c r="J559" s="31"/>
      <c r="K559" s="197"/>
      <c r="L559" s="31"/>
      <c r="M559" s="271">
        <f>COUNTIF(M6:M556,"BELUM")</f>
        <v>64</v>
      </c>
      <c r="N559" s="271">
        <f>COUNTIF(N6:N556,"SUDAH")</f>
        <v>5</v>
      </c>
      <c r="O559" s="271"/>
      <c r="P559" s="271"/>
      <c r="Q559" s="271">
        <f>COUNTIF(Q6:Q556,"BELUM")</f>
        <v>9</v>
      </c>
      <c r="R559" s="271">
        <f>COUNTIF(R6:R556,"BARU")</f>
        <v>29</v>
      </c>
      <c r="S559" s="271"/>
      <c r="T559" s="271"/>
      <c r="U559" s="271"/>
      <c r="V559" s="271"/>
      <c r="W559" s="271"/>
      <c r="X559" s="272"/>
      <c r="Y559" s="196"/>
      <c r="Z559" s="196"/>
      <c r="AA559" s="196"/>
      <c r="AB559" s="197"/>
      <c r="AC559" s="272"/>
      <c r="AD559" s="272"/>
      <c r="AE559" s="272"/>
      <c r="AF559" s="272"/>
      <c r="AG559" s="272"/>
      <c r="AH559" s="272"/>
      <c r="AI559" s="272"/>
      <c r="AJ559" s="272"/>
      <c r="AK559" s="272"/>
      <c r="AL559" s="273"/>
      <c r="AM559" s="32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</row>
    <row r="560" spans="1:51" ht="16" thickBot="1" x14ac:dyDescent="0.25">
      <c r="A560" s="274"/>
      <c r="B560" s="31"/>
      <c r="C560" s="31"/>
      <c r="D560" s="275"/>
      <c r="E560" s="271">
        <f>COUNTIF(E6:E555,"TEHNIK")</f>
        <v>426</v>
      </c>
      <c r="F560" s="276"/>
      <c r="G560" s="277">
        <f>COUNTIF(G6:G558,"UNGARAN")</f>
        <v>5</v>
      </c>
      <c r="H560" s="277">
        <f>COUNTIF(H6:H558,"KABUPATEN SEMARANG")</f>
        <v>0</v>
      </c>
      <c r="I560" s="370" t="s">
        <v>4532</v>
      </c>
      <c r="J560" s="278" t="s">
        <v>4533</v>
      </c>
      <c r="K560" s="279">
        <f>COUNTIF(K6:K558,"T")</f>
        <v>2</v>
      </c>
      <c r="L560" s="31"/>
      <c r="M560" s="31"/>
      <c r="N560" s="31"/>
      <c r="O560" s="31"/>
      <c r="P560" s="31"/>
      <c r="Q560" s="31"/>
      <c r="R560" s="31"/>
      <c r="S560" s="271">
        <f>COUNTIF(S6:S555,"BARU")</f>
        <v>33</v>
      </c>
      <c r="T560" s="271">
        <f>COUNTIF(T6:T555,"BARU")</f>
        <v>40</v>
      </c>
      <c r="U560" s="271">
        <f>COUNTIF(U6:U555,"BARU")</f>
        <v>24</v>
      </c>
      <c r="V560" s="271">
        <f>COUNTIF(V6:V555,"BARU")</f>
        <v>15</v>
      </c>
      <c r="W560" s="271">
        <f>COUNTIF(W6:W555,"BARU")</f>
        <v>5</v>
      </c>
      <c r="X560" s="272">
        <f>SUM(S560:W560)</f>
        <v>117</v>
      </c>
      <c r="Y560" s="196"/>
      <c r="Z560" s="280"/>
      <c r="AA560" s="281"/>
      <c r="AB560" s="279">
        <f>COUNTIF(AB6:AB558,"PJBU")</f>
        <v>402</v>
      </c>
      <c r="AC560" s="272"/>
      <c r="AD560" s="272"/>
      <c r="AE560" s="282">
        <f t="shared" ref="AE560:AK560" si="10">COUNTIF(AE4:AE556,"K")</f>
        <v>314</v>
      </c>
      <c r="AF560" s="283">
        <f t="shared" si="10"/>
        <v>321</v>
      </c>
      <c r="AG560" s="283">
        <f t="shared" si="10"/>
        <v>338</v>
      </c>
      <c r="AH560" s="283">
        <f t="shared" si="10"/>
        <v>357</v>
      </c>
      <c r="AI560" s="283">
        <f t="shared" si="10"/>
        <v>349</v>
      </c>
      <c r="AJ560" s="283">
        <f t="shared" si="10"/>
        <v>311</v>
      </c>
      <c r="AK560" s="284">
        <f t="shared" si="10"/>
        <v>232</v>
      </c>
      <c r="AL560" s="285"/>
      <c r="AM560" s="32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</row>
    <row r="561" spans="1:51" ht="16" thickBot="1" x14ac:dyDescent="0.25">
      <c r="A561" s="274"/>
      <c r="B561" s="31"/>
      <c r="C561" s="31"/>
      <c r="D561" s="197"/>
      <c r="E561" s="271">
        <f>COUNTIF(E6:E555,"NON TEHNIK")</f>
        <v>112</v>
      </c>
      <c r="F561" s="31"/>
      <c r="G561" s="277">
        <f>COUNTIF(G6:G558,"SALATIGA")</f>
        <v>0</v>
      </c>
      <c r="H561" s="277">
        <f>COUNTIF(H6:H558,"SALATIGA")</f>
        <v>0</v>
      </c>
      <c r="I561" s="371"/>
      <c r="J561" s="278" t="s">
        <v>4534</v>
      </c>
      <c r="K561" s="279">
        <f>COUNTIF(K6:K558,"P")</f>
        <v>548</v>
      </c>
      <c r="L561" s="31"/>
      <c r="M561" s="31"/>
      <c r="N561" s="31"/>
      <c r="O561" s="31"/>
      <c r="P561" s="31"/>
      <c r="Q561" s="31"/>
      <c r="R561" s="31"/>
      <c r="S561" s="31"/>
      <c r="T561" s="31"/>
      <c r="U561" s="271">
        <f>COUNTIF(U8:U556,"PRB")</f>
        <v>12</v>
      </c>
      <c r="V561" s="271">
        <f>COUNTIF(V8:V556,"PRB")</f>
        <v>12</v>
      </c>
      <c r="W561" s="271">
        <f>COUNTIF(W8:W556,"PRB")</f>
        <v>2</v>
      </c>
      <c r="X561" s="272"/>
      <c r="Y561" s="196"/>
      <c r="Z561" s="196"/>
      <c r="AA561" s="196"/>
      <c r="AB561" s="196"/>
      <c r="AC561" s="272"/>
      <c r="AD561" s="272"/>
      <c r="AE561" s="282">
        <f t="shared" ref="AE561:AK561" si="11">COUNTIF(AE5:AE558,"M")</f>
        <v>23</v>
      </c>
      <c r="AF561" s="283">
        <f t="shared" si="11"/>
        <v>25</v>
      </c>
      <c r="AG561" s="283">
        <f t="shared" si="11"/>
        <v>25</v>
      </c>
      <c r="AH561" s="283">
        <f t="shared" si="11"/>
        <v>25</v>
      </c>
      <c r="AI561" s="283">
        <f t="shared" si="11"/>
        <v>25</v>
      </c>
      <c r="AJ561" s="283">
        <f t="shared" si="11"/>
        <v>20</v>
      </c>
      <c r="AK561" s="284">
        <f t="shared" si="11"/>
        <v>19</v>
      </c>
      <c r="AL561" s="272"/>
      <c r="AM561" s="32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</row>
    <row r="562" spans="1:51" ht="16" thickBot="1" x14ac:dyDescent="0.25">
      <c r="A562" s="274"/>
      <c r="B562" s="31"/>
      <c r="C562" s="31"/>
      <c r="D562" s="197"/>
      <c r="E562" s="271">
        <f>COUNTIF(E6:E555,"NON S-1")</f>
        <v>9</v>
      </c>
      <c r="F562" s="31"/>
      <c r="G562" s="277">
        <f>COUNTIF(G6:G558,"KENDAL")</f>
        <v>9</v>
      </c>
      <c r="H562" s="277">
        <f>COUNTIF(H6:H558,"KABUPATEN SEMARANG")</f>
        <v>0</v>
      </c>
      <c r="I562" s="371"/>
      <c r="J562" s="278" t="s">
        <v>4535</v>
      </c>
      <c r="K562" s="279"/>
      <c r="L562" s="31"/>
      <c r="M562" s="286" t="s">
        <v>4536</v>
      </c>
      <c r="N562" s="286"/>
      <c r="O562" s="286"/>
      <c r="P562" s="286"/>
      <c r="Q562" s="286"/>
      <c r="R562" s="286"/>
      <c r="S562" s="286"/>
      <c r="T562" s="286"/>
      <c r="U562" s="286"/>
      <c r="V562" s="286"/>
      <c r="W562" s="286"/>
      <c r="X562" s="272"/>
      <c r="Y562" s="286"/>
      <c r="Z562" s="286"/>
      <c r="AA562" s="286"/>
      <c r="AB562" s="286"/>
      <c r="AC562" s="287"/>
      <c r="AD562" s="282"/>
      <c r="AE562" s="284">
        <f t="shared" ref="AE562:AK562" si="12">COUNTIF(AE6:AE558,"B")</f>
        <v>5</v>
      </c>
      <c r="AF562" s="288">
        <f t="shared" si="12"/>
        <v>5</v>
      </c>
      <c r="AG562" s="288">
        <f t="shared" si="12"/>
        <v>4</v>
      </c>
      <c r="AH562" s="288">
        <f t="shared" si="12"/>
        <v>5</v>
      </c>
      <c r="AI562" s="288">
        <f t="shared" si="12"/>
        <v>5</v>
      </c>
      <c r="AJ562" s="288">
        <f t="shared" si="12"/>
        <v>5</v>
      </c>
      <c r="AK562" s="284">
        <f t="shared" si="12"/>
        <v>5</v>
      </c>
      <c r="AL562" s="289"/>
      <c r="AM562" s="290">
        <f>COUNTIF(AL6:AL558,"0")</f>
        <v>256</v>
      </c>
      <c r="AN562" s="284">
        <f>COUNTIF(AL6:AL558,"1")</f>
        <v>86</v>
      </c>
      <c r="AO562" s="284">
        <f>COUNTIF(AL6:AL558,"2")</f>
        <v>58</v>
      </c>
      <c r="AP562" s="284">
        <f>COUNTIF(AL6:AL558,"3")</f>
        <v>31</v>
      </c>
      <c r="AQ562" s="284">
        <f>COUNTIF(AL6:AL558,"4")</f>
        <v>20</v>
      </c>
      <c r="AR562" s="284">
        <f>COUNTIF(AL6:AL558,"5")</f>
        <v>20</v>
      </c>
      <c r="AS562" s="284">
        <f>COUNTIF(AL6:AL558,"6")</f>
        <v>26</v>
      </c>
      <c r="AT562" s="284">
        <f>COUNTIF(AL6:AL558,"7")</f>
        <v>9</v>
      </c>
      <c r="AU562" s="284">
        <f>COUNTIF(AL6:AL558,"8")</f>
        <v>19</v>
      </c>
      <c r="AV562" s="284">
        <f>COUNTIF(AL6:AL558,"9")</f>
        <v>12</v>
      </c>
      <c r="AW562" s="284">
        <f>COUNTIF(AL6:AL558,"10")</f>
        <v>13</v>
      </c>
      <c r="AX562" s="291">
        <f>SUM(AM562:AW562)</f>
        <v>550</v>
      </c>
      <c r="AY562" s="31" t="s">
        <v>4537</v>
      </c>
    </row>
    <row r="563" spans="1:51" ht="16" thickBot="1" x14ac:dyDescent="0.25">
      <c r="A563" s="274"/>
      <c r="B563" s="31"/>
      <c r="C563" s="31"/>
      <c r="D563" s="197"/>
      <c r="E563" s="197">
        <f>SUM(E560:E562)</f>
        <v>547</v>
      </c>
      <c r="F563" s="31"/>
      <c r="G563" s="277">
        <f>COUNTIF(G6:G558,"KABUPATEN SEMARANG")</f>
        <v>0</v>
      </c>
      <c r="H563" s="277">
        <f>COUNTIF(H6:H558,"KABUPATEN SEMARANG")</f>
        <v>0</v>
      </c>
      <c r="I563" s="371"/>
      <c r="J563" s="278" t="s">
        <v>4538</v>
      </c>
      <c r="K563" s="292">
        <f>SUM(K560:K561)</f>
        <v>550</v>
      </c>
      <c r="L563" s="31"/>
      <c r="M563" s="286" t="s">
        <v>4539</v>
      </c>
      <c r="N563" s="286"/>
      <c r="O563" s="286"/>
      <c r="P563" s="286"/>
      <c r="Q563" s="286"/>
      <c r="R563" s="286"/>
      <c r="S563" s="286"/>
      <c r="T563" s="286"/>
      <c r="U563" s="286"/>
      <c r="V563" s="286"/>
      <c r="W563" s="286"/>
      <c r="X563" s="272"/>
      <c r="Y563" s="286"/>
      <c r="Z563" s="286"/>
      <c r="AA563" s="286"/>
      <c r="AB563" s="286"/>
      <c r="AC563" s="293"/>
      <c r="AD563" s="284">
        <f>COUNTIF(AD6:AD558,"K")</f>
        <v>514</v>
      </c>
      <c r="AE563" s="294">
        <f t="shared" ref="AE563:AH563" si="13">SUM(AE560:AE562)</f>
        <v>342</v>
      </c>
      <c r="AF563" s="294">
        <f t="shared" si="13"/>
        <v>351</v>
      </c>
      <c r="AG563" s="294">
        <f t="shared" si="13"/>
        <v>367</v>
      </c>
      <c r="AH563" s="294">
        <f t="shared" si="13"/>
        <v>387</v>
      </c>
      <c r="AI563" s="294">
        <f>SUM(AI560:AI562)</f>
        <v>379</v>
      </c>
      <c r="AJ563" s="294">
        <f>SUM(AJ560:AJ562)</f>
        <v>336</v>
      </c>
      <c r="AK563" s="295">
        <f>SUM(AK560:AK562)</f>
        <v>256</v>
      </c>
      <c r="AL563" s="289"/>
      <c r="AM563" s="374" t="s">
        <v>28</v>
      </c>
      <c r="AN563" s="374"/>
      <c r="AO563" s="374"/>
      <c r="AP563" s="374"/>
      <c r="AQ563" s="374"/>
      <c r="AR563" s="374"/>
      <c r="AS563" s="374"/>
      <c r="AT563" s="374"/>
      <c r="AU563" s="374"/>
      <c r="AV563" s="374"/>
      <c r="AW563" s="374"/>
      <c r="AX563" s="31"/>
      <c r="AY563" s="31"/>
    </row>
    <row r="564" spans="1:51" ht="16" thickBot="1" x14ac:dyDescent="0.25">
      <c r="A564" s="274"/>
      <c r="B564" s="31"/>
      <c r="C564" s="31"/>
      <c r="D564" s="197"/>
      <c r="E564" s="197"/>
      <c r="F564" s="31"/>
      <c r="G564" s="277">
        <f>COUNTIF(G6:G558,"DEMAK")</f>
        <v>4</v>
      </c>
      <c r="H564" s="277">
        <f>COUNTIF(H6:H558,"KABUPATEN SEMARANG")</f>
        <v>0</v>
      </c>
      <c r="I564" s="369"/>
      <c r="J564" s="278" t="s">
        <v>4540</v>
      </c>
      <c r="K564" s="197"/>
      <c r="L564" s="31"/>
      <c r="M564" s="286"/>
      <c r="N564" s="286"/>
      <c r="O564" s="286"/>
      <c r="P564" s="286"/>
      <c r="Q564" s="286"/>
      <c r="R564" s="286"/>
      <c r="S564" s="286"/>
      <c r="T564" s="286"/>
      <c r="U564" s="286"/>
      <c r="V564" s="286"/>
      <c r="W564" s="286"/>
      <c r="X564" s="272"/>
      <c r="Y564" s="286"/>
      <c r="Z564" s="286"/>
      <c r="AA564" s="286"/>
      <c r="AB564" s="286"/>
      <c r="AC564" s="293"/>
      <c r="AD564" s="284">
        <f>COUNTIF(AD6:AD558,"M")</f>
        <v>29</v>
      </c>
      <c r="AE564" s="272">
        <v>2020</v>
      </c>
      <c r="AF564" s="272">
        <v>2021</v>
      </c>
      <c r="AG564" s="294">
        <v>2022</v>
      </c>
      <c r="AH564" s="294">
        <v>2023</v>
      </c>
      <c r="AI564" s="294">
        <v>2024</v>
      </c>
      <c r="AJ564" s="294">
        <v>2025</v>
      </c>
      <c r="AK564" s="296">
        <v>2026</v>
      </c>
      <c r="AL564" s="289"/>
      <c r="AM564" s="32"/>
      <c r="AN564" s="297"/>
      <c r="AO564" s="297"/>
      <c r="AP564" s="297"/>
      <c r="AQ564" s="297"/>
      <c r="AR564" s="31"/>
      <c r="AS564" s="31"/>
      <c r="AT564" s="31"/>
      <c r="AU564" s="31"/>
      <c r="AV564" s="31"/>
      <c r="AW564" s="31"/>
      <c r="AX564" s="31"/>
      <c r="AY564" s="31"/>
    </row>
    <row r="565" spans="1:51" ht="16" thickBot="1" x14ac:dyDescent="0.25">
      <c r="A565" s="274"/>
      <c r="B565" s="31"/>
      <c r="C565" s="31"/>
      <c r="D565" s="197"/>
      <c r="E565" s="197"/>
      <c r="F565" s="31"/>
      <c r="G565" s="298">
        <f>SUM(G560:G564)</f>
        <v>18</v>
      </c>
      <c r="H565" s="298">
        <f>SUM(H560:H564)</f>
        <v>0</v>
      </c>
      <c r="I565" s="299" t="s">
        <v>4541</v>
      </c>
      <c r="J565" s="278"/>
      <c r="K565" s="197"/>
      <c r="L565" s="31"/>
      <c r="M565" s="32" t="s">
        <v>4542</v>
      </c>
      <c r="N565" s="32"/>
      <c r="O565" s="32"/>
      <c r="P565" s="32"/>
      <c r="Q565" s="32"/>
      <c r="R565" s="32"/>
      <c r="S565" s="32">
        <f>+R559+S559</f>
        <v>29</v>
      </c>
      <c r="T565" s="32"/>
      <c r="U565" s="32"/>
      <c r="V565" s="32"/>
      <c r="W565" s="32"/>
      <c r="X565" s="272"/>
      <c r="Y565" s="196"/>
      <c r="Z565" s="196"/>
      <c r="AA565" s="196"/>
      <c r="AB565" s="196"/>
      <c r="AC565" s="293"/>
      <c r="AD565" s="300">
        <f>COUNTIF(AD6:AD558,"B")</f>
        <v>7</v>
      </c>
      <c r="AE565" s="272"/>
      <c r="AF565" s="272"/>
      <c r="AG565" s="272"/>
      <c r="AH565" s="272"/>
      <c r="AI565" s="272"/>
      <c r="AJ565" s="272"/>
      <c r="AK565" s="272"/>
      <c r="AL565" s="289"/>
      <c r="AM565" s="32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</row>
    <row r="566" spans="1:51" ht="16" thickBot="1" x14ac:dyDescent="0.25">
      <c r="A566" s="274"/>
      <c r="B566" s="31"/>
      <c r="C566" s="31"/>
      <c r="D566" s="197"/>
      <c r="E566" s="197"/>
      <c r="F566" s="31"/>
      <c r="G566" s="277"/>
      <c r="H566" s="277"/>
      <c r="I566" s="301"/>
      <c r="J566" s="278"/>
      <c r="K566" s="197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272"/>
      <c r="Y566" s="196"/>
      <c r="Z566" s="196"/>
      <c r="AA566" s="196"/>
      <c r="AB566" s="196"/>
      <c r="AC566" s="293"/>
      <c r="AD566" s="302">
        <f>SUM(AD563:AD565)</f>
        <v>550</v>
      </c>
      <c r="AE566" s="272"/>
      <c r="AF566" s="272"/>
      <c r="AG566" s="272"/>
      <c r="AH566" s="272"/>
      <c r="AI566" s="272"/>
      <c r="AJ566" s="272"/>
      <c r="AK566" s="272"/>
      <c r="AL566" s="272"/>
      <c r="AM566" s="32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</row>
    <row r="567" spans="1:51" ht="16" thickBot="1" x14ac:dyDescent="0.25">
      <c r="A567" s="274"/>
      <c r="B567" s="31"/>
      <c r="C567" s="31"/>
      <c r="D567" s="197"/>
      <c r="E567" s="197"/>
      <c r="F567" s="31"/>
      <c r="G567" s="277">
        <f>COUNTIF(G6:G558,"PATI")</f>
        <v>12</v>
      </c>
      <c r="H567" s="277">
        <f>COUNTIF(H6:H558,"PATI")</f>
        <v>49</v>
      </c>
      <c r="I567" s="370" t="s">
        <v>4543</v>
      </c>
      <c r="J567" s="278" t="s">
        <v>4544</v>
      </c>
      <c r="K567" s="197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272"/>
      <c r="Y567" s="196"/>
      <c r="Z567" s="196"/>
      <c r="AA567" s="196"/>
      <c r="AB567" s="196"/>
      <c r="AC567" s="272"/>
      <c r="AD567" s="272"/>
      <c r="AE567" s="272"/>
      <c r="AF567" s="272"/>
      <c r="AG567" s="272"/>
      <c r="AH567" s="272"/>
      <c r="AI567" s="272"/>
      <c r="AJ567" s="272"/>
      <c r="AK567" s="272"/>
      <c r="AL567" s="272"/>
      <c r="AM567" s="32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</row>
    <row r="568" spans="1:51" ht="16" thickBot="1" x14ac:dyDescent="0.25">
      <c r="A568" s="274"/>
      <c r="B568" s="31"/>
      <c r="C568" s="31"/>
      <c r="D568" s="197"/>
      <c r="E568" s="197"/>
      <c r="F568" s="31"/>
      <c r="G568" s="277">
        <f>COUNTIF(G6:G558,"KUDUS")</f>
        <v>12</v>
      </c>
      <c r="H568" s="277">
        <f>COUNTIF(H6:H558,"PATI")</f>
        <v>49</v>
      </c>
      <c r="I568" s="371"/>
      <c r="J568" s="278" t="s">
        <v>4545</v>
      </c>
      <c r="K568" s="197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272"/>
      <c r="Y568" s="196"/>
      <c r="Z568" s="196"/>
      <c r="AA568" s="196"/>
      <c r="AB568" s="196"/>
      <c r="AC568" s="272"/>
      <c r="AD568" s="272">
        <v>2022</v>
      </c>
      <c r="AE568" s="272">
        <v>266</v>
      </c>
      <c r="AF568" s="272">
        <v>23</v>
      </c>
      <c r="AG568" s="272">
        <v>8</v>
      </c>
      <c r="AH568" s="272">
        <f>SUM(AE568:AG568)</f>
        <v>297</v>
      </c>
      <c r="AI568" s="272">
        <v>336</v>
      </c>
      <c r="AJ568" s="272">
        <f>+AI568-AH568</f>
        <v>39</v>
      </c>
      <c r="AK568" s="272"/>
      <c r="AL568" s="272"/>
      <c r="AM568" s="32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</row>
    <row r="569" spans="1:51" ht="16" thickBot="1" x14ac:dyDescent="0.25">
      <c r="A569" s="274"/>
      <c r="B569" s="31"/>
      <c r="C569" s="31"/>
      <c r="D569" s="197">
        <f>52-5</f>
        <v>47</v>
      </c>
      <c r="E569" s="197"/>
      <c r="F569" s="31"/>
      <c r="G569" s="277">
        <f>COUNTIF(G6:G558,"PATI")</f>
        <v>12</v>
      </c>
      <c r="H569" s="277">
        <f>COUNTIF(H6:H558,"PATI")</f>
        <v>49</v>
      </c>
      <c r="I569" s="371"/>
      <c r="J569" s="278" t="s">
        <v>4546</v>
      </c>
      <c r="K569" s="197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272"/>
      <c r="Y569" s="196"/>
      <c r="Z569" s="196"/>
      <c r="AA569" s="196"/>
      <c r="AB569" s="196"/>
      <c r="AC569" s="272"/>
      <c r="AD569" s="272">
        <v>2023</v>
      </c>
      <c r="AE569" s="272">
        <v>309</v>
      </c>
      <c r="AF569" s="272">
        <v>20</v>
      </c>
      <c r="AG569" s="272">
        <v>6</v>
      </c>
      <c r="AH569" s="272">
        <f t="shared" ref="AH569:AH571" si="14">SUM(AE569:AG569)</f>
        <v>335</v>
      </c>
      <c r="AI569" s="272">
        <v>383</v>
      </c>
      <c r="AJ569" s="272">
        <f t="shared" ref="AJ569:AJ571" si="15">+AI569-AH569</f>
        <v>48</v>
      </c>
      <c r="AK569" s="272"/>
      <c r="AL569" s="272"/>
      <c r="AM569" s="32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</row>
    <row r="570" spans="1:51" ht="16" thickBot="1" x14ac:dyDescent="0.25">
      <c r="A570" s="274"/>
      <c r="B570" s="31">
        <f>1200000*3</f>
        <v>3600000</v>
      </c>
      <c r="C570" s="31"/>
      <c r="D570" s="197"/>
      <c r="E570" s="197"/>
      <c r="F570" s="31"/>
      <c r="G570" s="277">
        <f>COUNTIF(G6:G558,"REMBANG")</f>
        <v>9</v>
      </c>
      <c r="H570" s="277">
        <f>COUNTIF(H6:H558,"PATI")</f>
        <v>49</v>
      </c>
      <c r="I570" s="371"/>
      <c r="J570" s="278" t="s">
        <v>4547</v>
      </c>
      <c r="K570" s="197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272"/>
      <c r="Y570" s="196"/>
      <c r="Z570" s="196"/>
      <c r="AA570" s="196"/>
      <c r="AB570" s="196"/>
      <c r="AC570" s="272"/>
      <c r="AD570" s="272">
        <v>2024</v>
      </c>
      <c r="AE570" s="272">
        <v>302</v>
      </c>
      <c r="AF570" s="272">
        <v>24</v>
      </c>
      <c r="AG570" s="272">
        <v>7</v>
      </c>
      <c r="AH570" s="272">
        <f t="shared" si="14"/>
        <v>333</v>
      </c>
      <c r="AI570" s="272">
        <v>368</v>
      </c>
      <c r="AJ570" s="272">
        <f t="shared" si="15"/>
        <v>35</v>
      </c>
      <c r="AK570" s="272"/>
      <c r="AL570" s="272"/>
      <c r="AM570" s="32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</row>
    <row r="571" spans="1:51" ht="16" thickBot="1" x14ac:dyDescent="0.25">
      <c r="A571" s="274"/>
      <c r="B571" s="31"/>
      <c r="C571" s="31"/>
      <c r="D571" s="197"/>
      <c r="E571" s="197"/>
      <c r="F571" s="31"/>
      <c r="G571" s="277">
        <f>COUNTIF(G6:G558,"BLORA")</f>
        <v>16</v>
      </c>
      <c r="H571" s="277">
        <f>COUNTIF(H6:H558,"PATI")</f>
        <v>49</v>
      </c>
      <c r="I571" s="369"/>
      <c r="J571" s="278" t="s">
        <v>4548</v>
      </c>
      <c r="K571" s="197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272"/>
      <c r="Y571" s="196"/>
      <c r="Z571" s="196"/>
      <c r="AA571" s="196"/>
      <c r="AB571" s="196"/>
      <c r="AC571" s="272"/>
      <c r="AD571" s="272">
        <v>2025</v>
      </c>
      <c r="AE571" s="272">
        <v>265</v>
      </c>
      <c r="AF571" s="272">
        <v>16</v>
      </c>
      <c r="AG571" s="272">
        <v>5</v>
      </c>
      <c r="AH571" s="272">
        <f t="shared" si="14"/>
        <v>286</v>
      </c>
      <c r="AI571" s="272">
        <v>292</v>
      </c>
      <c r="AJ571" s="272">
        <f t="shared" si="15"/>
        <v>6</v>
      </c>
      <c r="AK571" s="272"/>
      <c r="AL571" s="272"/>
      <c r="AM571" s="32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</row>
    <row r="572" spans="1:51" x14ac:dyDescent="0.2">
      <c r="A572" s="274"/>
      <c r="B572" s="31"/>
      <c r="C572" s="31"/>
      <c r="D572" s="197"/>
      <c r="E572" s="197"/>
      <c r="F572" s="31"/>
      <c r="G572" s="303">
        <f>SUM(G567:G571)</f>
        <v>61</v>
      </c>
      <c r="H572" s="303">
        <f>SUM(H567:H571)</f>
        <v>245</v>
      </c>
      <c r="I572" s="299" t="s">
        <v>4541</v>
      </c>
      <c r="J572" s="278"/>
      <c r="K572" s="197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272"/>
      <c r="Y572" s="196"/>
      <c r="Z572" s="196"/>
      <c r="AA572" s="196"/>
      <c r="AB572" s="196"/>
      <c r="AC572" s="272"/>
      <c r="AD572" s="272"/>
      <c r="AE572" s="272"/>
      <c r="AF572" s="272"/>
      <c r="AG572" s="272"/>
      <c r="AH572" s="272"/>
      <c r="AI572" s="272"/>
      <c r="AJ572" s="272"/>
      <c r="AK572" s="272"/>
      <c r="AL572" s="272"/>
      <c r="AM572" s="32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</row>
    <row r="573" spans="1:51" ht="16" thickBot="1" x14ac:dyDescent="0.25"/>
    <row r="574" spans="1:51" ht="16" thickBot="1" x14ac:dyDescent="0.25">
      <c r="G574" s="277">
        <f>COUNTIF(G6:G558,"SURAKARTA")</f>
        <v>27</v>
      </c>
      <c r="H574" s="277">
        <f>COUNTIF(H6:H558,"SURAKARTA")</f>
        <v>57</v>
      </c>
      <c r="I574" s="370" t="s">
        <v>4549</v>
      </c>
      <c r="J574" s="278" t="s">
        <v>4550</v>
      </c>
    </row>
    <row r="575" spans="1:51" ht="16" thickBot="1" x14ac:dyDescent="0.25">
      <c r="G575" s="277">
        <f>COUNTIF(G6:G558,"BOYOLALI")</f>
        <v>6</v>
      </c>
      <c r="H575" s="277">
        <f>COUNTIF(H6:H558,"BOYOLALI")</f>
        <v>0</v>
      </c>
      <c r="I575" s="371"/>
      <c r="J575" s="278" t="s">
        <v>4551</v>
      </c>
    </row>
    <row r="576" spans="1:51" ht="16" thickBot="1" x14ac:dyDescent="0.25">
      <c r="E576">
        <f>10+24</f>
        <v>34</v>
      </c>
      <c r="G576" s="277">
        <f>COUNTIF(G6:G558,"KLATEN")</f>
        <v>12</v>
      </c>
      <c r="H576" s="277">
        <f>COUNTIF(H6:H558,"SURAKARTA")</f>
        <v>57</v>
      </c>
      <c r="I576" s="371"/>
      <c r="J576" s="278" t="s">
        <v>4552</v>
      </c>
    </row>
    <row r="577" spans="7:10" ht="16" thickBot="1" x14ac:dyDescent="0.25">
      <c r="G577" s="277">
        <f>COUNTIF(G6:G558,"SUKOHARJO")</f>
        <v>10</v>
      </c>
      <c r="H577" s="277">
        <f>COUNTIF(H6:H558,"SURAKARTA")</f>
        <v>57</v>
      </c>
      <c r="I577" s="371"/>
      <c r="J577" s="278" t="s">
        <v>4553</v>
      </c>
    </row>
    <row r="578" spans="7:10" ht="16" thickBot="1" x14ac:dyDescent="0.25">
      <c r="G578" s="277">
        <f>COUNTIF(G6:G558,"SURAKARTA")</f>
        <v>27</v>
      </c>
      <c r="H578" s="277">
        <f>COUNTIF(H6:H558,"SURAKARTA")</f>
        <v>57</v>
      </c>
      <c r="I578" s="371"/>
      <c r="J578" s="278" t="s">
        <v>4554</v>
      </c>
    </row>
    <row r="579" spans="7:10" ht="16" thickBot="1" x14ac:dyDescent="0.25">
      <c r="G579" s="277">
        <f>COUNTIF(G6:G558,"SURAKARTA")</f>
        <v>27</v>
      </c>
      <c r="H579" s="277">
        <f>COUNTIF(H6:H558,"SURAKARTA")</f>
        <v>57</v>
      </c>
      <c r="I579" s="371"/>
      <c r="J579" s="278" t="s">
        <v>4554</v>
      </c>
    </row>
    <row r="580" spans="7:10" ht="16" thickBot="1" x14ac:dyDescent="0.25">
      <c r="G580" s="277">
        <f>COUNTIF(G6:G558,"WONOGIRI")</f>
        <v>1</v>
      </c>
      <c r="H580" s="277">
        <f>COUNTIF(H6:H558,"SURAKARTA")</f>
        <v>57</v>
      </c>
      <c r="I580" s="369"/>
      <c r="J580" s="278" t="s">
        <v>4555</v>
      </c>
    </row>
    <row r="581" spans="7:10" ht="16" thickBot="1" x14ac:dyDescent="0.25">
      <c r="G581" s="303">
        <f>SUM(G574:G580)</f>
        <v>110</v>
      </c>
      <c r="H581" s="303">
        <f>SUM(H574:H580)</f>
        <v>342</v>
      </c>
      <c r="I581" s="299" t="s">
        <v>4541</v>
      </c>
      <c r="J581" s="278"/>
    </row>
    <row r="582" spans="7:10" ht="16" thickBot="1" x14ac:dyDescent="0.25">
      <c r="G582" s="277"/>
      <c r="H582" s="277"/>
      <c r="I582" s="301"/>
      <c r="J582" s="278"/>
    </row>
    <row r="583" spans="7:10" ht="16" thickBot="1" x14ac:dyDescent="0.25">
      <c r="G583" s="277">
        <f>COUNTIF(G6:G558,"MAGELANG")</f>
        <v>29</v>
      </c>
      <c r="H583" s="277">
        <f>COUNTIF(H6:H558,"KEDU")</f>
        <v>64</v>
      </c>
      <c r="I583" s="370" t="s">
        <v>4556</v>
      </c>
      <c r="J583" s="304" t="s">
        <v>4557</v>
      </c>
    </row>
    <row r="584" spans="7:10" ht="16" thickBot="1" x14ac:dyDescent="0.25">
      <c r="G584" s="277">
        <f>COUNTIF(G6:G558,"PURWOREJO")</f>
        <v>8</v>
      </c>
      <c r="H584" s="277">
        <f>COUNTIF(H6:H558,"KEDU")</f>
        <v>64</v>
      </c>
      <c r="I584" s="371"/>
      <c r="J584" s="278" t="s">
        <v>4558</v>
      </c>
    </row>
    <row r="585" spans="7:10" ht="16" thickBot="1" x14ac:dyDescent="0.25">
      <c r="G585" s="277">
        <f>COUNTIF(G6:G558,"TEMANGGUNG")</f>
        <v>10</v>
      </c>
      <c r="H585" s="277">
        <f>COUNTIF(H6:H558,"KEDU")</f>
        <v>64</v>
      </c>
      <c r="I585" s="371"/>
      <c r="J585" s="278" t="s">
        <v>4559</v>
      </c>
    </row>
    <row r="586" spans="7:10" ht="16" thickBot="1" x14ac:dyDescent="0.25">
      <c r="G586" s="277">
        <f>COUNTIF(G6:G558,"KEBUMEN")</f>
        <v>11</v>
      </c>
      <c r="H586" s="277">
        <f>COUNTIF(H6:H558,"KEDU")</f>
        <v>64</v>
      </c>
      <c r="I586" s="371"/>
      <c r="J586" s="278" t="s">
        <v>4560</v>
      </c>
    </row>
    <row r="587" spans="7:10" ht="16" thickBot="1" x14ac:dyDescent="0.25">
      <c r="G587" s="277">
        <f>COUNTIF(G6:G558,"WONOSOBO")</f>
        <v>6</v>
      </c>
      <c r="H587" s="277">
        <f>COUNTIF(H6:H558,"KEDU")</f>
        <v>64</v>
      </c>
      <c r="I587" s="369"/>
      <c r="J587" s="278" t="s">
        <v>4561</v>
      </c>
    </row>
    <row r="588" spans="7:10" ht="16" thickBot="1" x14ac:dyDescent="0.25">
      <c r="G588" s="303">
        <f>SUM(G583:G587)</f>
        <v>64</v>
      </c>
      <c r="H588" s="303">
        <f>SUM(H583:H587)</f>
        <v>320</v>
      </c>
      <c r="I588" s="299" t="s">
        <v>4541</v>
      </c>
      <c r="J588" s="304"/>
    </row>
    <row r="589" spans="7:10" ht="16" thickBot="1" x14ac:dyDescent="0.25">
      <c r="G589" s="277"/>
      <c r="H589" s="277"/>
      <c r="I589" s="301"/>
      <c r="J589" s="304"/>
    </row>
    <row r="590" spans="7:10" ht="16" thickBot="1" x14ac:dyDescent="0.25">
      <c r="G590" s="277">
        <f>COUNTIF(G6:G558,"PURWOKERTO")</f>
        <v>9</v>
      </c>
      <c r="H590" s="277">
        <f>COUNTIF(H6:H558,"BANYUMAS")</f>
        <v>22</v>
      </c>
      <c r="I590" s="367" t="s">
        <v>4562</v>
      </c>
      <c r="J590" s="278" t="s">
        <v>4563</v>
      </c>
    </row>
    <row r="591" spans="7:10" ht="16" thickBot="1" x14ac:dyDescent="0.25">
      <c r="G591" s="277">
        <f>COUNTIF(G6:G558,"BANJARNEGARA")</f>
        <v>5</v>
      </c>
      <c r="H591" s="277">
        <f>COUNTIF(H6:H558,"BANYUMAS")</f>
        <v>22</v>
      </c>
      <c r="I591" s="368"/>
      <c r="J591" s="278" t="s">
        <v>4564</v>
      </c>
    </row>
    <row r="592" spans="7:10" ht="16" thickBot="1" x14ac:dyDescent="0.25">
      <c r="G592" s="277">
        <f>COUNTIF(G6:G558,"CILACAP")</f>
        <v>6</v>
      </c>
      <c r="H592" s="277">
        <f>COUNTIF(H6:H558,"BANYUMAS")</f>
        <v>22</v>
      </c>
      <c r="I592" s="368"/>
      <c r="J592" s="278" t="s">
        <v>4565</v>
      </c>
    </row>
    <row r="593" spans="7:27" ht="16" thickBot="1" x14ac:dyDescent="0.25">
      <c r="G593" s="277">
        <f>COUNTIF(G6:G558,"PURBALINGGA")</f>
        <v>2</v>
      </c>
      <c r="H593" s="277">
        <f>COUNTIF(H6:H558,"PURBALINGGA")</f>
        <v>0</v>
      </c>
      <c r="I593" s="369"/>
      <c r="J593" s="278" t="s">
        <v>4566</v>
      </c>
    </row>
    <row r="594" spans="7:27" ht="16" thickBot="1" x14ac:dyDescent="0.25">
      <c r="G594" s="305">
        <f>SUM(G590:G593)</f>
        <v>22</v>
      </c>
      <c r="H594" s="305">
        <f>SUM(H590:H593)</f>
        <v>66</v>
      </c>
      <c r="I594" s="299" t="s">
        <v>4541</v>
      </c>
      <c r="J594" s="278"/>
    </row>
    <row r="595" spans="7:27" ht="16" thickBot="1" x14ac:dyDescent="0.25">
      <c r="G595" s="277"/>
      <c r="H595" s="277"/>
      <c r="I595" s="10"/>
      <c r="J595" s="278"/>
    </row>
    <row r="596" spans="7:27" ht="16" thickBot="1" x14ac:dyDescent="0.25">
      <c r="G596" s="277">
        <f>COUNTIF(G6:G558,"BREBES")</f>
        <v>17</v>
      </c>
      <c r="H596" s="277">
        <f>COUNTIF(H6:H558,"PEKALONGAN")</f>
        <v>99</v>
      </c>
      <c r="I596" s="370" t="s">
        <v>4567</v>
      </c>
      <c r="J596" s="278" t="s">
        <v>4568</v>
      </c>
    </row>
    <row r="597" spans="7:27" x14ac:dyDescent="0.2">
      <c r="G597" s="277">
        <f>COUNTIF(G6:G558,"TEGAL")</f>
        <v>33</v>
      </c>
      <c r="H597" s="277">
        <f>COUNTIF(H6:H558,"PEKALONGAN")</f>
        <v>99</v>
      </c>
      <c r="I597" s="371"/>
      <c r="J597" s="278" t="s">
        <v>4569</v>
      </c>
    </row>
    <row r="601" spans="7:27" x14ac:dyDescent="0.2">
      <c r="Z601" t="s">
        <v>4595</v>
      </c>
      <c r="AA601">
        <v>3</v>
      </c>
    </row>
    <row r="602" spans="7:27" x14ac:dyDescent="0.2">
      <c r="Z602" t="s">
        <v>4596</v>
      </c>
      <c r="AA602">
        <v>1</v>
      </c>
    </row>
    <row r="603" spans="7:27" x14ac:dyDescent="0.2">
      <c r="Y603" t="s">
        <v>4570</v>
      </c>
      <c r="Z603" s="306" t="s">
        <v>4597</v>
      </c>
      <c r="AA603">
        <v>1</v>
      </c>
    </row>
    <row r="604" spans="7:27" x14ac:dyDescent="0.2">
      <c r="Y604" t="s">
        <v>4571</v>
      </c>
      <c r="Z604" s="306" t="s">
        <v>4598</v>
      </c>
      <c r="AA604">
        <v>1</v>
      </c>
    </row>
    <row r="605" spans="7:27" x14ac:dyDescent="0.2">
      <c r="Z605" s="306" t="s">
        <v>4602</v>
      </c>
      <c r="AA605">
        <v>1</v>
      </c>
    </row>
    <row r="606" spans="7:27" x14ac:dyDescent="0.2">
      <c r="Y606" t="s">
        <v>4572</v>
      </c>
      <c r="Z606" s="306" t="s">
        <v>4599</v>
      </c>
      <c r="AA606">
        <v>1</v>
      </c>
    </row>
    <row r="607" spans="7:27" x14ac:dyDescent="0.2">
      <c r="Y607" t="s">
        <v>4573</v>
      </c>
      <c r="Z607" s="306" t="s">
        <v>4600</v>
      </c>
      <c r="AA607">
        <v>2</v>
      </c>
    </row>
    <row r="608" spans="7:27" x14ac:dyDescent="0.2">
      <c r="Z608" s="306" t="s">
        <v>4601</v>
      </c>
      <c r="AA608">
        <v>1</v>
      </c>
    </row>
    <row r="609" spans="26:27" x14ac:dyDescent="0.2">
      <c r="Z609" s="306" t="s">
        <v>4603</v>
      </c>
      <c r="AA609">
        <v>2</v>
      </c>
    </row>
    <row r="610" spans="26:27" x14ac:dyDescent="0.2">
      <c r="Z610" s="308" t="s">
        <v>4541</v>
      </c>
      <c r="AA610" s="309">
        <f>SUM(AA601:AA609)</f>
        <v>13</v>
      </c>
    </row>
    <row r="611" spans="26:27" x14ac:dyDescent="0.2">
      <c r="Z611" s="306"/>
    </row>
    <row r="612" spans="26:27" x14ac:dyDescent="0.2">
      <c r="Z612" s="306"/>
    </row>
  </sheetData>
  <mergeCells count="30">
    <mergeCell ref="I590:I593"/>
    <mergeCell ref="I596:I597"/>
    <mergeCell ref="AK3:AK4"/>
    <mergeCell ref="I560:I564"/>
    <mergeCell ref="AM563:AW563"/>
    <mergeCell ref="I567:I571"/>
    <mergeCell ref="I574:I580"/>
    <mergeCell ref="I583:I587"/>
    <mergeCell ref="AE3:AE4"/>
    <mergeCell ref="AF3:AF4"/>
    <mergeCell ref="AG3:AG4"/>
    <mergeCell ref="AH3:AH4"/>
    <mergeCell ref="AI3:AI4"/>
    <mergeCell ref="AJ3:AJ4"/>
    <mergeCell ref="J3:J4"/>
    <mergeCell ref="K3:K4"/>
    <mergeCell ref="L3:L4"/>
    <mergeCell ref="M3:N3"/>
    <mergeCell ref="O3:O4"/>
    <mergeCell ref="P3:P4"/>
    <mergeCell ref="A1:AM1"/>
    <mergeCell ref="A2:AM2"/>
    <mergeCell ref="A3:A4"/>
    <mergeCell ref="B3:B4"/>
    <mergeCell ref="C3:C4"/>
    <mergeCell ref="D3:D4"/>
    <mergeCell ref="F3:F4"/>
    <mergeCell ref="G3:G4"/>
    <mergeCell ref="H3:H4"/>
    <mergeCell ref="I3:I4"/>
  </mergeCells>
  <hyperlinks>
    <hyperlink ref="Y557" r:id="rId1" xr:uid="{910FD5F3-1D43-440A-BE6F-71036C9CFA20}"/>
    <hyperlink ref="Y264" r:id="rId2" xr:uid="{4C57D59D-2272-437F-ABEC-5D114E02CCC2}"/>
    <hyperlink ref="Y283" r:id="rId3" xr:uid="{036D2059-1554-4308-B462-A919417EAA65}"/>
    <hyperlink ref="Y60" r:id="rId4" xr:uid="{21B9A252-366D-4B89-8E07-344580C5E48F}"/>
    <hyperlink ref="Y9" r:id="rId5" xr:uid="{40ABF7A9-FC11-4B36-B4BE-B84FAAE35A56}"/>
    <hyperlink ref="Y518" r:id="rId6" xr:uid="{E04815E3-D5A0-45B0-8902-8EA382CE8658}"/>
    <hyperlink ref="Y326" r:id="rId7" xr:uid="{0E409E8E-BCF1-4524-B2B8-64FCEDB9B897}"/>
    <hyperlink ref="Y255" r:id="rId8" xr:uid="{6CC29913-69C7-4BD1-B970-B822B01BB409}"/>
    <hyperlink ref="Y355" r:id="rId9" xr:uid="{9B4DC315-DE85-455E-89EC-85ECA198C809}"/>
    <hyperlink ref="Y406" r:id="rId10" xr:uid="{B95A4F5C-8BE2-45F4-9F1F-3F21A5099FFC}"/>
    <hyperlink ref="Y436" r:id="rId11" xr:uid="{787DDDAF-5317-4280-B9D0-FAC4D7217279}"/>
    <hyperlink ref="Y431" r:id="rId12" xr:uid="{14B6C2D1-0FC9-4C6C-88B2-2F499004C2CF}"/>
    <hyperlink ref="Y508" r:id="rId13" xr:uid="{6B5EB782-FCB7-44E6-8E6A-FA6958725125}"/>
    <hyperlink ref="Y183" r:id="rId14" xr:uid="{FDB4E591-C977-4AC8-8E89-1F2DA47A4BCF}"/>
    <hyperlink ref="Y247" r:id="rId15" xr:uid="{5360533A-4767-4303-BD48-13B19AF12EE5}"/>
    <hyperlink ref="Y228" r:id="rId16" xr:uid="{55943253-5493-432D-A505-079C03119D84}"/>
    <hyperlink ref="Y516" r:id="rId17" xr:uid="{B82B3498-320B-4E83-BC86-7FF88CC1CF87}"/>
    <hyperlink ref="Y499" r:id="rId18" xr:uid="{174B1E2A-55DD-4159-82AD-1F2EE7D4AEE8}"/>
    <hyperlink ref="Y14" r:id="rId19" xr:uid="{5C7774DC-BF11-43B8-9D03-47D7B32E0C5A}"/>
    <hyperlink ref="Y303" r:id="rId20" xr:uid="{9A5CC707-AEC7-4CBD-A094-A41EE204743E}"/>
    <hyperlink ref="Y302" r:id="rId21" xr:uid="{46B39D0D-4440-4CAF-85B0-D663434870BB}"/>
    <hyperlink ref="Y227" r:id="rId22" xr:uid="{F4E06AE8-45DE-41CD-A358-627CE1F436BB}"/>
    <hyperlink ref="Y95" r:id="rId23" xr:uid="{CEF618A1-8F2D-4305-8EC7-29C75038EFE9}"/>
    <hyperlink ref="Y140" r:id="rId24" xr:uid="{0D9EDF3C-9FC5-4F68-A4DB-B0FD0F7ADC0F}"/>
    <hyperlink ref="Y157" r:id="rId25" xr:uid="{4661A19D-F0BE-4DD7-BDC0-CA3036B3E6EF}"/>
    <hyperlink ref="Y238" r:id="rId26" xr:uid="{112AA780-7654-49FD-878B-68F21E6CAFA4}"/>
    <hyperlink ref="Y76" r:id="rId27" xr:uid="{F3CD19AA-C059-4B58-B251-BE0AD283F87D}"/>
    <hyperlink ref="Y17" r:id="rId28" xr:uid="{6360EA96-C1CC-476D-80AE-D9E85E5EF43F}"/>
    <hyperlink ref="Y93" r:id="rId29" xr:uid="{36A63F2B-DC5A-4207-AEEB-6CC6FD28A30F}"/>
    <hyperlink ref="Y452" r:id="rId30" xr:uid="{E9BC660C-5AD9-42E5-B5CF-200C53AA82A3}"/>
    <hyperlink ref="Y454" r:id="rId31" xr:uid="{963F93C8-4812-4EA0-9936-24DA4758D3C5}"/>
    <hyperlink ref="Y424" r:id="rId32" xr:uid="{5E893FD4-8ACE-4B79-893D-83133E832B88}"/>
    <hyperlink ref="Y423" r:id="rId33" xr:uid="{FA35BBE3-8517-4FAA-B00E-4F4D7A6951F0}"/>
    <hyperlink ref="Y363" r:id="rId34" xr:uid="{C9C8D265-75EC-4AD7-8994-18E1DD58533C}"/>
    <hyperlink ref="Y139" r:id="rId35" xr:uid="{74C5A579-988E-4CD9-8D39-04FDCCD80755}"/>
    <hyperlink ref="Y202" r:id="rId36" xr:uid="{CBE1C78A-4355-433A-9B09-103E0288B561}"/>
    <hyperlink ref="Y447" r:id="rId37" xr:uid="{0969D7EA-2421-4BBB-BA0A-327D03C4EF62}"/>
    <hyperlink ref="Y265" r:id="rId38" xr:uid="{B858FDCC-4EB5-46E4-BB73-740E09C78697}"/>
    <hyperlink ref="Y354" r:id="rId39" xr:uid="{59DDD02E-4192-418D-AA48-2B889C86688E}"/>
    <hyperlink ref="Y504" r:id="rId40" xr:uid="{A4DEB2F7-1932-4AF5-91BF-13D562725582}"/>
    <hyperlink ref="Y119" r:id="rId41" xr:uid="{D8DE27DA-9FC0-4D28-BACC-752BE1F0965D}"/>
    <hyperlink ref="Y6" r:id="rId42" xr:uid="{1152ED1B-2AF4-489F-AD46-8C3F86E26A5A}"/>
    <hyperlink ref="Y523" r:id="rId43" xr:uid="{DBBEEB92-97EB-4F12-806F-8CE64106BC8C}"/>
    <hyperlink ref="Y64" r:id="rId44" xr:uid="{DEEADE28-FDC7-4E68-867F-200984F7305C}"/>
    <hyperlink ref="Y145" r:id="rId45" xr:uid="{D3CECF68-D8B3-4A9C-9A7F-3E939CB67F17}"/>
    <hyperlink ref="Y359" r:id="rId46" xr:uid="{5780192C-EFE6-47CB-A349-69198E508EF3}"/>
    <hyperlink ref="Y458" r:id="rId47" xr:uid="{8E69296E-5CA6-4EDC-93AD-F3791FC858A6}"/>
    <hyperlink ref="Y266" r:id="rId48" xr:uid="{8FB7B3CB-8FD6-491B-BF63-DF92FE2BB632}"/>
    <hyperlink ref="Y412" r:id="rId49" xr:uid="{672538C6-2CF6-4514-A641-03E4575B8377}"/>
    <hyperlink ref="Y501" r:id="rId50" xr:uid="{3E1F432A-028C-48F3-B876-12A08D9B1C88}"/>
    <hyperlink ref="Y82" r:id="rId51" xr:uid="{E80DB235-AE1E-46D8-A520-BC29A2231712}"/>
    <hyperlink ref="Y137" r:id="rId52" xr:uid="{96676A94-2122-4F37-A20B-B22CF449FBFA}"/>
    <hyperlink ref="Y39" r:id="rId53" xr:uid="{3ECE9443-82F4-4C54-B80B-13F20BA0EEE3}"/>
    <hyperlink ref="Y27" r:id="rId54" xr:uid="{A6A2BD31-10C8-45A7-8A06-E333850600CD}"/>
    <hyperlink ref="Y51" r:id="rId55" xr:uid="{E9FC8E93-501B-49E8-B2B9-6AE9A8A9CB3D}"/>
    <hyperlink ref="Y43" r:id="rId56" xr:uid="{22D974D1-A06D-4FC9-A34A-6CEC2FBEA970}"/>
    <hyperlink ref="Y35" r:id="rId57" xr:uid="{91AA937F-19E7-445B-AB83-10E2E3F54E7C}"/>
    <hyperlink ref="Y85" r:id="rId58" xr:uid="{42ED9447-96C2-4F02-8111-4B63EE82B3D3}"/>
    <hyperlink ref="Y105" r:id="rId59" xr:uid="{CEAB3C78-7541-4DAE-83D5-ED7C6935B72D}"/>
    <hyperlink ref="Y84" r:id="rId60" xr:uid="{1FEE4CC6-619D-413B-BD4C-E3BC62F6D39C}"/>
    <hyperlink ref="Y143" r:id="rId61" xr:uid="{18F82DD4-2487-47E4-B685-4DFFB30C9DC1}"/>
    <hyperlink ref="Y449" r:id="rId62" xr:uid="{0CE36E78-1FC2-42F3-93EB-CAB7D1C4FA05}"/>
    <hyperlink ref="Y117" r:id="rId63" xr:uid="{DE9EFF0F-94F5-4A39-8801-FB83D20F77AB}"/>
    <hyperlink ref="Y168" r:id="rId64" xr:uid="{BC3686CD-62C8-4B4C-BDF9-4F27776068D9}"/>
    <hyperlink ref="Y173" r:id="rId65" xr:uid="{F78A9A13-D496-4B3A-857F-B7C7EDFA5D51}"/>
    <hyperlink ref="Y178" r:id="rId66" xr:uid="{04321E76-0606-4762-B404-E2664D7BE1C6}"/>
    <hyperlink ref="Y180" r:id="rId67" xr:uid="{66894804-DB4B-47CE-A21E-C17CCDAC8B77}"/>
    <hyperlink ref="Y224" r:id="rId68" xr:uid="{DF66E11E-3C2D-4DA0-9D72-6C6081CE2547}"/>
    <hyperlink ref="Y201" r:id="rId69" xr:uid="{D1926982-7D59-46CB-8753-C7E727362CAC}"/>
    <hyperlink ref="Y204" r:id="rId70" xr:uid="{7EF807E7-94F6-40D7-875E-AAF63C95724F}"/>
    <hyperlink ref="Y212" r:id="rId71" xr:uid="{11017EBB-C4D7-4593-BF58-FA095B17C444}"/>
    <hyperlink ref="Y214" r:id="rId72" xr:uid="{A35A45B2-15B4-41D5-8E80-2B90F605B103}"/>
    <hyperlink ref="Y558" r:id="rId73" xr:uid="{C1191053-42D4-49A5-97C3-74B9F595AF57}"/>
    <hyperlink ref="Y245" r:id="rId74" xr:uid="{5E0E920C-A047-4C9C-A2C3-D2342CA93FDE}"/>
    <hyperlink ref="Y248" r:id="rId75" xr:uid="{86517E22-5F08-484D-909A-3A536CA8652B}"/>
    <hyperlink ref="Y259" r:id="rId76" xr:uid="{4895244E-F595-43FA-99E9-6F477CC62C80}"/>
    <hyperlink ref="Y269" r:id="rId77" xr:uid="{96565883-68A4-44AC-A8CA-9258E149017F}"/>
    <hyperlink ref="Y348" r:id="rId78" xr:uid="{4A5DC19B-A87E-403A-BD6E-19826F0B4253}"/>
    <hyperlink ref="Y351" r:id="rId79" xr:uid="{F255861B-AF97-450C-910A-BC2C6A019D7F}"/>
    <hyperlink ref="Y330" r:id="rId80" xr:uid="{AF934C4A-94CE-4F80-A57E-7A66F54EB841}"/>
    <hyperlink ref="Y381" r:id="rId81" xr:uid="{B542D083-E01C-4E93-9F02-DF836F4EF989}"/>
    <hyperlink ref="Y409" r:id="rId82" xr:uid="{E92022BA-DA04-49CD-845D-7B2D912B46AE}"/>
    <hyperlink ref="Y448" r:id="rId83" xr:uid="{C2F31D06-65FF-4F00-B0A5-5EF2214FEF88}"/>
    <hyperlink ref="Y491" r:id="rId84" xr:uid="{7038F82B-3567-43FC-B162-DBD88843E03C}"/>
    <hyperlink ref="Y489" r:id="rId85" xr:uid="{C57F6BF4-B1BF-4DF2-9705-6548AEBF6C69}"/>
    <hyperlink ref="Y520" r:id="rId86" xr:uid="{9FD1A1A3-1791-4DF5-8600-8214DB58D14A}"/>
    <hyperlink ref="Y505" r:id="rId87" xr:uid="{C42569EC-B191-4B91-AE0B-95E3C6A71909}"/>
    <hyperlink ref="Y519" r:id="rId88" xr:uid="{3A628A1F-98E7-4582-9B8D-06484F6624E4}"/>
    <hyperlink ref="Y533" r:id="rId89" xr:uid="{56EB72BD-B590-4DA6-87E4-35D18C1B4E7E}"/>
    <hyperlink ref="Y542" r:id="rId90" xr:uid="{95B8F8BA-59C8-4302-B82F-CF837FB23824}"/>
    <hyperlink ref="Y556" r:id="rId91" xr:uid="{9E17AF3E-F2A7-44BF-8041-B05E2504D424}"/>
    <hyperlink ref="Y434" r:id="rId92" xr:uid="{C3C4C70E-39BF-46EF-B05E-36BCE81ECCEA}"/>
    <hyperlink ref="Y230" r:id="rId93" xr:uid="{0189EA6C-4998-4C55-BF9F-222618CEF346}"/>
    <hyperlink ref="Y342" r:id="rId94" xr:uid="{83F07757-FE73-4A19-9E0F-C7AF1EE6B2B0}"/>
    <hyperlink ref="Y26" r:id="rId95" xr:uid="{B2E2D582-553F-4945-BF68-D3C8911B734C}"/>
    <hyperlink ref="Y500" r:id="rId96" xr:uid="{2F1A221E-1475-4653-9775-D99152C10158}"/>
    <hyperlink ref="Y116" r:id="rId97" xr:uid="{E5F3F860-64FC-4323-B657-E8AB5029AE27}"/>
    <hyperlink ref="Y532" r:id="rId98" xr:uid="{F3CDAF90-5253-4930-8465-4FF3D696C630}"/>
    <hyperlink ref="Y317" r:id="rId99" xr:uid="{637BCBAF-83AD-4AB3-B258-7A02085E8783}"/>
    <hyperlink ref="Y487" r:id="rId100" xr:uid="{459FB130-FE0D-4746-B43F-7CB6A28D1B15}"/>
    <hyperlink ref="Y338" r:id="rId101" xr:uid="{C91C4136-3FB2-4F17-90B6-6D42A9346FD6}"/>
    <hyperlink ref="Y187" r:id="rId102" xr:uid="{BE1FC0A1-0E3C-49C1-A054-7B83FC7F84AB}"/>
    <hyperlink ref="Y194" r:id="rId103" xr:uid="{16D17436-4B45-42CC-A2A0-8A9EF2D19710}"/>
    <hyperlink ref="Y174" r:id="rId104" xr:uid="{A196CE9E-7F61-44DA-B191-1C63A469B22C}"/>
    <hyperlink ref="Y272" r:id="rId105" xr:uid="{F8AD27E8-8F6C-4E83-B304-3369EA062E0B}"/>
    <hyperlink ref="Y86" r:id="rId106" xr:uid="{B76EEE20-537B-409E-AB72-5E478E17A67A}"/>
    <hyperlink ref="Y62" r:id="rId107" xr:uid="{F1B70BE9-2A9D-4DA3-ACF4-FEE4CDB4C4D5}"/>
    <hyperlink ref="Y22" r:id="rId108" xr:uid="{0B0B7963-038E-419A-BCB6-0014B794F3EC}"/>
    <hyperlink ref="Y298" r:id="rId109" xr:uid="{3AE4B7D9-6ABB-4049-84C3-4C9B478C09AE}"/>
    <hyperlink ref="Y167" r:id="rId110" xr:uid="{FBF96DA3-781F-45F3-9525-C7E0DB1F2B70}"/>
    <hyperlink ref="Y310" r:id="rId111" xr:uid="{21CE47B3-47C2-4BAC-8EEE-BC9353915775}"/>
    <hyperlink ref="Y232" r:id="rId112" xr:uid="{41024B8B-F5DB-489D-B8A5-03B377B37BB0}"/>
    <hyperlink ref="Y111" r:id="rId113" xr:uid="{33BC42ED-C87B-4991-8807-67DFF655AD2E}"/>
    <hyperlink ref="Y470" r:id="rId114" xr:uid="{A436C73B-5D38-4A38-9E7B-F2CF0AD863DD}"/>
    <hyperlink ref="Y437" r:id="rId115" xr:uid="{0C455327-A088-423E-A279-F88578D242C5}"/>
    <hyperlink ref="Y273" r:id="rId116" xr:uid="{31DA91EB-AD6D-4C2C-8588-5D5BE15448ED}"/>
    <hyperlink ref="Y467" r:id="rId117" xr:uid="{0EB50EBB-723D-420D-A4E7-7A8A7AE55FD2}"/>
    <hyperlink ref="Y263" r:id="rId118" xr:uid="{D2F8652A-246C-4F12-B94A-FB42C4455C88}"/>
    <hyperlink ref="Y428" r:id="rId119" xr:uid="{FBC380CF-97EF-4805-BE67-BE696BFD342C}"/>
    <hyperlink ref="Y374" r:id="rId120" xr:uid="{88884F1F-D653-44F4-BDEF-EDB1D7AFDF20}"/>
    <hyperlink ref="Y277" r:id="rId121" xr:uid="{B17E25FA-0FD0-49B5-9C03-EA03E0840E73}"/>
    <hyperlink ref="Y147" r:id="rId122" xr:uid="{A36E68B8-34C6-444B-AB4D-BBE99D7BB88D}"/>
    <hyperlink ref="Y493" r:id="rId123" xr:uid="{09C82042-AA93-4826-9C0F-D1166980F5BF}"/>
    <hyperlink ref="Y102" r:id="rId124" xr:uid="{A38D6902-3240-4EC4-A138-D44B59888EBE}"/>
    <hyperlink ref="Y237" r:id="rId125" xr:uid="{9A8E4E7B-F8BB-45F4-A338-417B5297DD06}"/>
    <hyperlink ref="Y510" r:id="rId126" xr:uid="{408F56C7-B0EC-413D-BF15-1E4BC03FE72D}"/>
    <hyperlink ref="Y353" r:id="rId127" xr:uid="{8034F8C2-1864-44B1-853A-C896C51180AE}"/>
    <hyperlink ref="Y384" r:id="rId128" xr:uid="{2C2DEA65-1D52-4445-8FA2-8C7023F5D67D}"/>
    <hyperlink ref="Y331" r:id="rId129" xr:uid="{265B7719-3B66-4207-B942-87E62D522BAE}"/>
    <hyperlink ref="Y158" r:id="rId130" xr:uid="{0AACED67-AA6A-4E84-AC0F-1D2CDFD89E96}"/>
    <hyperlink ref="Y347" r:id="rId131" xr:uid="{4E176679-AF45-4321-B324-E23ACEB4FB74}"/>
    <hyperlink ref="Y89" r:id="rId132" xr:uid="{D1581DA0-EB57-412D-8BB7-B3370EC3419C}"/>
    <hyperlink ref="Y527" r:id="rId133" xr:uid="{F72D307F-16AA-45A4-A3AA-FED9033DF6AD}"/>
    <hyperlink ref="Y253" r:id="rId134" xr:uid="{871D206B-5D14-41B2-A08A-3FA02191A90E}"/>
    <hyperlink ref="Y439" r:id="rId135" xr:uid="{C9C963FA-59CC-47B7-B649-E2C4E3377F49}"/>
    <hyperlink ref="Y254" r:id="rId136" xr:uid="{B241410C-40A6-4166-8CB1-11E819CA00AB}"/>
    <hyperlink ref="Y261" r:id="rId137" xr:uid="{E8E9A866-839C-430F-ABD3-C1D62AD14386}"/>
    <hyperlink ref="Y241" r:id="rId138" xr:uid="{5BE2E1F7-6E19-4CA2-B472-01DD6CBB3243}"/>
    <hyperlink ref="Y54" r:id="rId139" xr:uid="{5F06299D-4B97-4FDC-8223-BD8358D35CDB}"/>
    <hyperlink ref="Y131" r:id="rId140" xr:uid="{69D47703-4FC3-4A6C-870C-C76F614B66DB}"/>
    <hyperlink ref="Y425" r:id="rId141" xr:uid="{5BA941EB-B214-477F-A4C9-895EEC251A96}"/>
    <hyperlink ref="Y141" r:id="rId142" xr:uid="{8B8F205A-0938-4EA3-82AB-F48B49C3AA88}"/>
    <hyperlink ref="Y252" r:id="rId143" xr:uid="{234619C2-44AA-441F-A32B-D30C2DDB2992}"/>
    <hyperlink ref="Y250" r:id="rId144" xr:uid="{4FDB74A2-45DB-4C7B-8D1E-B776D4E7AF4B}"/>
    <hyperlink ref="Y223" r:id="rId145" xr:uid="{43798BA7-3BBB-4665-9A28-5976BAF91359}"/>
    <hyperlink ref="Y468" r:id="rId146" xr:uid="{E72B9BEF-B205-4375-8E28-0AE32E9339B0}"/>
    <hyperlink ref="Y231" r:id="rId147" xr:uid="{9448228C-2596-4F50-B4DF-326D6E50A37C}"/>
    <hyperlink ref="Y411" r:id="rId148" xr:uid="{2BE78DE0-2EF2-4073-B2EE-CCDD4A1D5DFF}"/>
    <hyperlink ref="Y199" r:id="rId149" xr:uid="{35C0E8BC-0F07-4AB0-92A8-C1002ECA276E}"/>
    <hyperlink ref="Y207" r:id="rId150" xr:uid="{C58D0C02-0D89-48EB-9FAD-B45D35586889}"/>
    <hyperlink ref="Y443" r:id="rId151" xr:uid="{64DB25C9-9639-4DC1-9D8E-1BF546A815E9}"/>
    <hyperlink ref="Y364" r:id="rId152" xr:uid="{B7C34B17-94DD-42A3-9F8C-1A4B839F55E4}"/>
    <hyperlink ref="Y477" r:id="rId153" xr:uid="{46606816-8AFA-4874-BCD4-FDB4D40CB4B9}"/>
    <hyperlink ref="Y349" r:id="rId154" xr:uid="{7CE76873-B674-48E2-8E00-96D6E6AA3A5F}"/>
    <hyperlink ref="Y63" r:id="rId155" xr:uid="{FA2731D6-2D75-4A98-A074-C8586319B3F7}"/>
    <hyperlink ref="Y97" r:id="rId156" xr:uid="{7030E068-EA9C-400F-BF75-BBF3F2890026}"/>
    <hyperlink ref="Y106" r:id="rId157" xr:uid="{52CCC146-E8BF-42E3-A996-618709175E22}"/>
    <hyperlink ref="Y125" r:id="rId158" xr:uid="{781E1B49-4BAE-497E-B10A-EDF2B1311CA6}"/>
    <hyperlink ref="Y322" r:id="rId159" xr:uid="{8A823BE7-485A-417D-A003-3AF9FE691E74}"/>
    <hyperlink ref="Y122" r:id="rId160" xr:uid="{CF640366-0D5E-4338-8F8E-53F5552CFC31}"/>
    <hyperlink ref="Y343" r:id="rId161" xr:uid="{46508F42-E2C6-42C0-8C81-C518F812DEE7}"/>
    <hyperlink ref="Y341" r:id="rId162" xr:uid="{87EC9CD2-EA0B-48C7-BB46-A582ADEAFA74}"/>
    <hyperlink ref="Y299" r:id="rId163" xr:uid="{A5985691-E14A-4CFA-91AF-A20DE72B543B}"/>
    <hyperlink ref="Y18" r:id="rId164" xr:uid="{C1F5F515-BBFF-4508-831B-7D67E9E5B762}"/>
    <hyperlink ref="Y196" r:id="rId165" xr:uid="{1A8CF285-57EE-444C-82D1-0D1B9F4550A2}"/>
    <hyperlink ref="Y453" r:id="rId166" xr:uid="{623A5BFA-F60A-4ABE-84B3-F4D01760D95E}"/>
    <hyperlink ref="Y260" r:id="rId167" xr:uid="{936C6338-8FC3-48DC-B79B-83636BCE9715}"/>
    <hyperlink ref="Y526" r:id="rId168" xr:uid="{F88D02E5-BD40-4A05-816C-EEF2D620A84A}"/>
    <hyperlink ref="Y37" r:id="rId169" xr:uid="{8CB61A97-CD47-4467-9C12-7E754C51627C}"/>
    <hyperlink ref="Y340" r:id="rId170" xr:uid="{AADFE00E-F5AD-4A1D-B5DC-D1E5D4C500A4}"/>
    <hyperlink ref="Y371" r:id="rId171" xr:uid="{4C987EBC-CC0B-423F-8389-AB6EECF4F54C}"/>
    <hyperlink ref="Y554" r:id="rId172" xr:uid="{50D6AF0D-E32F-4834-81C3-B0C26DD12A38}"/>
    <hyperlink ref="Y94" r:id="rId173" xr:uid="{11AF1209-BDBF-4C3E-8FF3-1C0EEBBD00F4}"/>
    <hyperlink ref="Y479" r:id="rId174" xr:uid="{78029511-5945-46A8-BC25-9F5F7A8F83DD}"/>
    <hyperlink ref="Y390" r:id="rId175" xr:uid="{F6A4FBC7-A0E4-4506-9E57-C121CAEB760B}"/>
    <hyperlink ref="Y25" r:id="rId176" xr:uid="{18C9CB3C-912E-4287-830E-B5665DA717DA}"/>
    <hyperlink ref="Y104" r:id="rId177" xr:uid="{CF7F9A0A-F933-4D87-A15C-F9A2BF948870}"/>
    <hyperlink ref="Y103" r:id="rId178" xr:uid="{EBF1954E-FBE0-4A2C-BB28-A7199B702F2C}"/>
    <hyperlink ref="Y473" r:id="rId179" xr:uid="{D8006ED6-C686-4451-BE1D-95DE8C1AD134}"/>
    <hyperlink ref="Y185" r:id="rId180" xr:uid="{D2E6997E-961A-485C-A2A8-E02D012D168D}"/>
    <hyperlink ref="Y290" r:id="rId181" xr:uid="{A7B075F0-5B33-4AA7-9958-F7488A4FF496}"/>
    <hyperlink ref="Y530" r:id="rId182" xr:uid="{22FAB94F-65CD-46E9-961D-B0FF0A394D9A}"/>
    <hyperlink ref="Y327" r:id="rId183" xr:uid="{126D8830-B289-4DE8-A620-AF94054B728E}"/>
    <hyperlink ref="Y213" r:id="rId184" xr:uid="{44D85C9D-FF88-4895-9766-635810AD8F63}"/>
    <hyperlink ref="Y257" r:id="rId185" xr:uid="{75BBC5BB-D7A5-4E7A-85D0-03DEA8D913FB}"/>
    <hyperlink ref="Y208" r:id="rId186" xr:uid="{90D01B2B-FC48-440F-B159-7D3BA7425EE5}"/>
    <hyperlink ref="Y394" r:id="rId187" xr:uid="{E06AA372-A156-47FD-A3A5-F35138BFDD91}"/>
    <hyperlink ref="Y182" r:id="rId188" xr:uid="{925545FD-2E72-403E-B10E-0C019A1F5E82}"/>
    <hyperlink ref="Y83" r:id="rId189" xr:uid="{08BBB4C3-C613-476C-82EC-A7893488521A}"/>
    <hyperlink ref="Y239" r:id="rId190" xr:uid="{9AF6EB14-265A-459A-9B8F-9DBC3A6F7F48}"/>
    <hyperlink ref="Y92" r:id="rId191" xr:uid="{D848060F-393C-4F9A-9C2C-CAE569711D2B}"/>
    <hyperlink ref="Y490" r:id="rId192" xr:uid="{069454F4-DA30-434E-9224-60EB2DE22238}"/>
    <hyperlink ref="Y200" r:id="rId193" xr:uid="{D7BF58ED-2436-4EAF-9F6F-2D885852CE56}"/>
    <hyperlink ref="Y295" r:id="rId194" xr:uid="{D073F5AA-3B00-4629-93A2-4629A4EA61C3}"/>
    <hyperlink ref="Y192" r:id="rId195" xr:uid="{A695A781-985D-4F20-B061-0CD68770AAA9}"/>
    <hyperlink ref="Y320" r:id="rId196" xr:uid="{58F57C11-1A37-4F3C-A2AF-FF59D0C4878C}"/>
    <hyperlink ref="Y251" r:id="rId197" xr:uid="{6963DA03-5318-4857-923D-5473F42A31A5}"/>
    <hyperlink ref="Y121" r:id="rId198" xr:uid="{94BA3E9E-D955-4AF5-B86E-52903AA713AA}"/>
    <hyperlink ref="Y418" r:id="rId199" xr:uid="{2E3D32F1-C764-424E-87AA-C57C751AC16E}"/>
    <hyperlink ref="Y413" r:id="rId200" xr:uid="{85D5D32D-D215-4955-890F-4980010A1199}"/>
    <hyperlink ref="Y403" r:id="rId201" xr:uid="{9CA455D0-98E0-4DF8-A15C-D3C69B035F64}"/>
    <hyperlink ref="Y386" r:id="rId202" xr:uid="{12E970C8-FDF7-4708-9AD2-BF0B64B3D34E}"/>
    <hyperlink ref="Y529" r:id="rId203" xr:uid="{719F353A-DFC0-4F7F-90CF-9A64CB57E65B}"/>
    <hyperlink ref="Y236" r:id="rId204" xr:uid="{92CF4C6D-8B92-4CCF-986D-97AE51979548}"/>
    <hyperlink ref="Y276" r:id="rId205" xr:uid="{F04A350F-258E-4D14-BF6E-69F28A3F7A0D}"/>
    <hyperlink ref="Y278" r:id="rId206" xr:uid="{96CE6AE0-E7FD-4140-80D8-B38F4CA13133}"/>
    <hyperlink ref="Y305" r:id="rId207" xr:uid="{A7584F0F-7C88-473A-8602-FDB9D34F4C13}"/>
    <hyperlink ref="Y42" r:id="rId208" xr:uid="{DE227B70-948C-437F-B648-398D1E34BDF9}"/>
    <hyperlink ref="Y77" r:id="rId209" xr:uid="{9C4A8A5F-93B3-423C-B03D-D8B664D40F77}"/>
    <hyperlink ref="Y53" r:id="rId210" xr:uid="{0C53CB66-980C-4C57-821C-EA44201B2915}"/>
    <hyperlink ref="Y10" r:id="rId211" xr:uid="{E31AD028-2EAA-4F86-B0D7-AE22C724C672}"/>
    <hyperlink ref="Y8" r:id="rId212" xr:uid="{CB3DE32F-4410-4257-AF16-B4E0FCF9FA94}"/>
    <hyperlink ref="Y368" r:id="rId213" xr:uid="{44ECCB67-945C-4301-BB1D-21A0D6B28295}"/>
    <hyperlink ref="Y61" r:id="rId214" xr:uid="{D542DED1-3C2D-4CF3-81C5-624792037783}"/>
    <hyperlink ref="Y318" r:id="rId215" xr:uid="{CE4485EE-404B-4A91-86FD-56FA6A12729F}"/>
    <hyperlink ref="Y163" r:id="rId216" xr:uid="{A2A2B970-7551-412D-A251-B1980E6A017E}"/>
    <hyperlink ref="Y59" r:id="rId217" xr:uid="{D398B8E7-949E-46B6-A862-A44F34C1EADD}"/>
    <hyperlink ref="Y90" r:id="rId218" xr:uid="{50EFCDBA-FA08-4ADC-8F58-0541334CFF42}"/>
    <hyperlink ref="Y543" r:id="rId219" xr:uid="{98180211-E987-4AEB-9636-1DE75F1CF6CB}"/>
    <hyperlink ref="Y195" r:id="rId220" xr:uid="{AB293C17-4A61-4D61-A03D-02E03DF63C71}"/>
    <hyperlink ref="Y176" r:id="rId221" xr:uid="{1C56CBDB-57BD-4356-AF5D-001E9A1D8DB9}"/>
    <hyperlink ref="Y478" r:id="rId222" xr:uid="{2DA8184D-4A61-478D-87EE-E1316C30D106}"/>
    <hyperlink ref="Y474" r:id="rId223" xr:uid="{02BBA915-4C00-4861-B2CD-2319F86518E1}"/>
    <hyperlink ref="Y422" r:id="rId224" xr:uid="{B2D0DAA7-88EE-4138-B621-215BE396BED7}"/>
    <hyperlink ref="Y549" r:id="rId225" xr:uid="{6EDFA4EA-5E75-4E9E-90F7-D5F93192AF84}"/>
    <hyperlink ref="Y464" r:id="rId226" xr:uid="{97B86C56-568B-47BF-A79C-92927F2D07FD}"/>
    <hyperlink ref="Y240" r:id="rId227" xr:uid="{BE4600BF-2A4E-4AB3-BABC-0FED711A7059}"/>
    <hyperlink ref="Y548" r:id="rId228" xr:uid="{0418A268-E29D-4605-BFBE-417B6B0D4E22}"/>
    <hyperlink ref="Y150" r:id="rId229" xr:uid="{3AF052DA-6CB3-4944-AF61-BE8E150F110B}"/>
    <hyperlink ref="Y80" r:id="rId230" xr:uid="{268D4AEC-1077-455E-8F71-A5EF1B0586DC}"/>
    <hyperlink ref="Y419" r:id="rId231" xr:uid="{09DED9E6-2DD6-49F5-B877-4FB6AACCB88B}"/>
    <hyperlink ref="Y309" r:id="rId232" xr:uid="{CC7CC52B-B825-40ED-8525-6D69E467915B}"/>
    <hyperlink ref="Y435" r:id="rId233" xr:uid="{DE497835-2F06-40CA-A075-8605E3537DE1}"/>
    <hyperlink ref="Y31" r:id="rId234" xr:uid="{2A0AFD83-D70D-4E48-9305-658824896788}"/>
    <hyperlink ref="Y316" r:id="rId235" xr:uid="{BF24ACB9-CAC7-46C8-B467-96E61B5ABBC4}"/>
    <hyperlink ref="Y389" r:id="rId236" xr:uid="{1BDC21E8-3BC9-44AB-A41C-9C91B97CE518}"/>
    <hyperlink ref="Y151" r:id="rId237" xr:uid="{84272455-232C-4564-B2C7-ED85F4F58AB0}"/>
    <hyperlink ref="Y210" r:id="rId238" xr:uid="{6D94B7F6-8777-4D33-BB7D-E0F23ACBCC50}"/>
    <hyperlink ref="Y332" r:id="rId239" xr:uid="{54FDD79D-8448-4ACB-B636-46EEC107BF2C}"/>
    <hyperlink ref="Y314" r:id="rId240" xr:uid="{801F1CC9-7B65-4533-99B5-3D0D50B1D55C}"/>
    <hyperlink ref="Y155" r:id="rId241" xr:uid="{20614F4F-0EF9-4A6F-B928-F8DDD44B9EEA}"/>
    <hyperlink ref="Y441" r:id="rId242" xr:uid="{4EB2DAF6-160F-45DC-9512-293925940C79}"/>
    <hyperlink ref="Y350" r:id="rId243" xr:uid="{69FB81B0-5DA3-4A9D-AC5D-0F3245928DFD}"/>
    <hyperlink ref="Y546" r:id="rId244" xr:uid="{26E5C14F-8066-472E-A2E0-BB2891E6397A}"/>
    <hyperlink ref="Y203" r:id="rId245" xr:uid="{6C9F1C3B-E275-4C5E-8787-36FAD435AF05}"/>
    <hyperlink ref="Y220" r:id="rId246" xr:uid="{6FB31EEB-A7A0-4ACA-B38A-E00CA69BE4F5}"/>
    <hyperlink ref="Y243" r:id="rId247" xr:uid="{7A0C4C58-674A-485D-B27B-4BE92E3F850B}"/>
    <hyperlink ref="Y15" r:id="rId248" xr:uid="{09D22E12-F69F-4691-9077-1FA042A29302}"/>
    <hyperlink ref="Y373" r:id="rId249" xr:uid="{61E56CE3-4291-4C55-A2F9-442E5B983EA7}"/>
    <hyperlink ref="Y233" r:id="rId250" xr:uid="{28949057-BD96-41CE-8581-8B59D96846DA}"/>
    <hyperlink ref="Y450" r:id="rId251" xr:uid="{8F66BD97-598A-4C32-86BF-173993525FD9}"/>
    <hyperlink ref="Y387" r:id="rId252" xr:uid="{D8F40543-FD0E-4F3F-A969-CDEDA5AD9EA7}"/>
    <hyperlink ref="Y291" r:id="rId253" xr:uid="{A03FF6E2-8E38-4253-BC7A-369FC053FB08}"/>
    <hyperlink ref="Y286" r:id="rId254" xr:uid="{D730DFBC-DAB1-4C6B-86CC-732BDD9DA7D5}"/>
    <hyperlink ref="Y513" r:id="rId255" xr:uid="{80C1D711-611A-4224-BFEF-70991EC62466}"/>
    <hyperlink ref="Y415" r:id="rId256" xr:uid="{D74C9491-C6C3-4D93-A155-94A8F519EC95}"/>
    <hyperlink ref="Y11" r:id="rId257" xr:uid="{1F364999-33F4-455D-B212-17AC123EB8FD}"/>
    <hyperlink ref="Y38" r:id="rId258" xr:uid="{A5487A24-9B12-449D-BFEE-04AA39F001CF}"/>
    <hyperlink ref="Y32" r:id="rId259" xr:uid="{B7467C57-BFC9-446A-9C9C-E89085E00B1E}"/>
    <hyperlink ref="Y164" r:id="rId260" xr:uid="{F8F65F01-4EF1-4749-BDDE-39D358DDAD6C}"/>
    <hyperlink ref="Y289" r:id="rId261" xr:uid="{F226A9D8-DB14-4C45-A980-278E8776FECD}"/>
  </hyperlinks>
  <pageMargins left="0.7" right="0.7" top="0.75" bottom="0.75" header="0.3" footer="0.3"/>
  <pageSetup paperSize="9" orientation="portrait" horizontalDpi="0" verticalDpi="0" r:id="rId262"/>
  <drawing r:id="rId26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71CFA-2123-4DEC-A9D2-373B189FD8F2}">
  <dimension ref="A1:BH616"/>
  <sheetViews>
    <sheetView topLeftCell="C1" zoomScale="85" zoomScaleNormal="85" workbookViewId="0">
      <selection activeCell="C1" sqref="A1:XFD1048576"/>
    </sheetView>
  </sheetViews>
  <sheetFormatPr baseColWidth="10" defaultColWidth="8.83203125" defaultRowHeight="15" outlineLevelCol="1" x14ac:dyDescent="0.2"/>
  <cols>
    <col min="1" max="1" width="5.83203125" customWidth="1"/>
    <col min="2" max="2" width="16.83203125" customWidth="1"/>
    <col min="3" max="3" width="51.1640625" customWidth="1"/>
    <col min="4" max="4" width="46.5" bestFit="1" customWidth="1"/>
    <col min="5" max="5" width="13.5" bestFit="1" customWidth="1"/>
    <col min="6" max="6" width="66.1640625" bestFit="1" customWidth="1"/>
    <col min="7" max="7" width="17.6640625" bestFit="1" customWidth="1"/>
    <col min="8" max="8" width="18.33203125" bestFit="1" customWidth="1"/>
    <col min="9" max="9" width="18" bestFit="1" customWidth="1" outlineLevel="1"/>
    <col min="10" max="10" width="19.5" customWidth="1" outlineLevel="1"/>
    <col min="11" max="11" width="4.6640625" bestFit="1" customWidth="1" outlineLevel="1"/>
    <col min="12" max="12" width="13.5" bestFit="1" customWidth="1" outlineLevel="1"/>
    <col min="13" max="13" width="23.6640625" bestFit="1" customWidth="1" outlineLevel="1"/>
    <col min="14" max="14" width="13.83203125" bestFit="1" customWidth="1" outlineLevel="1"/>
    <col min="15" max="15" width="10.5" bestFit="1" customWidth="1" outlineLevel="1"/>
    <col min="16" max="16" width="11.33203125" bestFit="1" customWidth="1" outlineLevel="1"/>
    <col min="17" max="17" width="12.5" bestFit="1" customWidth="1" outlineLevel="1"/>
    <col min="18" max="18" width="11.83203125" bestFit="1" customWidth="1" outlineLevel="1"/>
    <col min="19" max="19" width="7.33203125" bestFit="1" customWidth="1" outlineLevel="1"/>
    <col min="20" max="20" width="12.5" bestFit="1" customWidth="1" outlineLevel="1"/>
    <col min="21" max="23" width="7.33203125" bestFit="1" customWidth="1" outlineLevel="1"/>
    <col min="24" max="24" width="19" bestFit="1" customWidth="1"/>
    <col min="25" max="25" width="37" bestFit="1" customWidth="1"/>
    <col min="26" max="26" width="31.33203125" bestFit="1" customWidth="1"/>
    <col min="27" max="27" width="13.33203125" bestFit="1" customWidth="1"/>
    <col min="28" max="28" width="11.83203125" bestFit="1" customWidth="1"/>
    <col min="29" max="29" width="10.5" bestFit="1" customWidth="1"/>
    <col min="30" max="37" width="5.83203125" bestFit="1" customWidth="1"/>
    <col min="38" max="38" width="8.6640625" bestFit="1" customWidth="1"/>
    <col min="39" max="39" width="8.6640625" customWidth="1"/>
    <col min="40" max="40" width="26.6640625" bestFit="1" customWidth="1"/>
    <col min="43" max="43" width="10.5" bestFit="1" customWidth="1"/>
    <col min="44" max="44" width="15.6640625" customWidth="1"/>
    <col min="52" max="52" width="11.5" bestFit="1" customWidth="1"/>
  </cols>
  <sheetData>
    <row r="1" spans="1:52" ht="23" x14ac:dyDescent="0.25">
      <c r="A1" s="354" t="s">
        <v>4574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4"/>
    </row>
    <row r="2" spans="1:52" ht="16" thickBot="1" x14ac:dyDescent="0.25">
      <c r="A2" s="355" t="s">
        <v>4682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AJ2" s="355"/>
      <c r="AK2" s="355"/>
      <c r="AL2" s="355"/>
      <c r="AM2" s="355"/>
      <c r="AN2" s="355"/>
    </row>
    <row r="3" spans="1:52" ht="48" customHeight="1" thickTop="1" thickBot="1" x14ac:dyDescent="0.25">
      <c r="A3" s="356" t="s">
        <v>0</v>
      </c>
      <c r="B3" s="356" t="s">
        <v>1</v>
      </c>
      <c r="C3" s="358" t="s">
        <v>2</v>
      </c>
      <c r="D3" s="360" t="s">
        <v>3</v>
      </c>
      <c r="E3" s="1" t="s">
        <v>4</v>
      </c>
      <c r="F3" s="362" t="s">
        <v>5</v>
      </c>
      <c r="G3" s="363" t="s">
        <v>6</v>
      </c>
      <c r="H3" s="363" t="s">
        <v>7</v>
      </c>
      <c r="I3" s="365" t="s">
        <v>8</v>
      </c>
      <c r="J3" s="377" t="s">
        <v>9</v>
      </c>
      <c r="K3" s="379" t="s">
        <v>10</v>
      </c>
      <c r="L3" s="348" t="s">
        <v>11</v>
      </c>
      <c r="M3" s="350" t="s">
        <v>12</v>
      </c>
      <c r="N3" s="351"/>
      <c r="O3" s="352" t="s">
        <v>13</v>
      </c>
      <c r="P3" s="348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4624</v>
      </c>
      <c r="X3" s="3" t="s">
        <v>21</v>
      </c>
      <c r="Y3" s="4" t="s">
        <v>22</v>
      </c>
      <c r="Z3" s="4" t="s">
        <v>23</v>
      </c>
      <c r="AA3" s="5" t="s">
        <v>24</v>
      </c>
      <c r="AB3" s="6" t="s">
        <v>25</v>
      </c>
      <c r="AC3" s="7" t="s">
        <v>26</v>
      </c>
      <c r="AD3" s="381" t="s">
        <v>27</v>
      </c>
      <c r="AE3" s="375">
        <v>2020</v>
      </c>
      <c r="AF3" s="375">
        <v>2021</v>
      </c>
      <c r="AG3" s="375">
        <v>2022</v>
      </c>
      <c r="AH3" s="375">
        <v>2023</v>
      </c>
      <c r="AI3" s="375">
        <v>2024</v>
      </c>
      <c r="AJ3" s="372">
        <v>2025</v>
      </c>
      <c r="AK3" s="372">
        <v>2026</v>
      </c>
      <c r="AL3" s="9" t="s">
        <v>28</v>
      </c>
      <c r="AM3" s="9"/>
      <c r="AN3" s="3" t="s">
        <v>29</v>
      </c>
      <c r="AP3" s="10"/>
      <c r="AQ3" s="11"/>
      <c r="AR3" s="11"/>
      <c r="AS3" s="11"/>
      <c r="AT3" s="11"/>
      <c r="AU3" s="11"/>
      <c r="AV3" s="11"/>
      <c r="AW3" s="11"/>
      <c r="AX3" s="11"/>
      <c r="AY3" s="11"/>
    </row>
    <row r="4" spans="1:52" ht="16" thickTop="1" x14ac:dyDescent="0.2">
      <c r="A4" s="357"/>
      <c r="B4" s="357"/>
      <c r="C4" s="359"/>
      <c r="D4" s="361"/>
      <c r="E4" s="12"/>
      <c r="F4" s="361"/>
      <c r="G4" s="364"/>
      <c r="H4" s="364"/>
      <c r="I4" s="366"/>
      <c r="J4" s="378"/>
      <c r="K4" s="380"/>
      <c r="L4" s="349"/>
      <c r="M4" s="13" t="s">
        <v>30</v>
      </c>
      <c r="N4" s="14" t="s">
        <v>31</v>
      </c>
      <c r="O4" s="353"/>
      <c r="P4" s="349"/>
      <c r="Q4" s="15"/>
      <c r="R4" s="15"/>
      <c r="S4" s="15"/>
      <c r="T4" s="15"/>
      <c r="U4" s="15"/>
      <c r="V4" s="15"/>
      <c r="W4" s="15"/>
      <c r="X4" s="16"/>
      <c r="Y4" s="17"/>
      <c r="Z4" s="17"/>
      <c r="AA4" s="18"/>
      <c r="AB4" s="19"/>
      <c r="AC4" s="20"/>
      <c r="AD4" s="382"/>
      <c r="AE4" s="376"/>
      <c r="AF4" s="376"/>
      <c r="AG4" s="376"/>
      <c r="AH4" s="376"/>
      <c r="AI4" s="376"/>
      <c r="AJ4" s="373"/>
      <c r="AK4" s="373"/>
      <c r="AL4" s="22"/>
      <c r="AM4" s="22"/>
      <c r="AN4" s="22"/>
      <c r="AP4" s="10"/>
      <c r="AQ4" s="11"/>
      <c r="AR4" s="11"/>
      <c r="AS4" s="11"/>
      <c r="AT4" s="11"/>
      <c r="AU4" s="11"/>
      <c r="AV4" s="11"/>
      <c r="AW4" s="11"/>
      <c r="AX4" s="11"/>
      <c r="AY4" s="11"/>
    </row>
    <row r="5" spans="1:52" x14ac:dyDescent="0.2">
      <c r="A5" s="23" t="s">
        <v>32</v>
      </c>
      <c r="B5" s="23">
        <v>1</v>
      </c>
      <c r="C5" s="24">
        <v>2</v>
      </c>
      <c r="D5" s="25">
        <v>3</v>
      </c>
      <c r="E5" s="25">
        <v>4</v>
      </c>
      <c r="F5" s="25">
        <v>5</v>
      </c>
      <c r="G5" s="26">
        <v>6</v>
      </c>
      <c r="H5" s="26">
        <v>7</v>
      </c>
      <c r="I5" s="27">
        <v>8</v>
      </c>
      <c r="J5" s="28">
        <v>9</v>
      </c>
      <c r="K5" s="29">
        <v>10</v>
      </c>
      <c r="L5" s="30">
        <f>+K5+1</f>
        <v>11</v>
      </c>
      <c r="M5" s="30">
        <f t="shared" ref="M5:AL5" si="0">+L5+1</f>
        <v>12</v>
      </c>
      <c r="N5" s="30">
        <f t="shared" si="0"/>
        <v>13</v>
      </c>
      <c r="O5" s="30"/>
      <c r="P5" s="30"/>
      <c r="Q5" s="30">
        <f>+N5+1</f>
        <v>14</v>
      </c>
      <c r="R5" s="30">
        <f t="shared" si="0"/>
        <v>15</v>
      </c>
      <c r="S5" s="30">
        <f t="shared" si="0"/>
        <v>16</v>
      </c>
      <c r="T5" s="30">
        <f t="shared" si="0"/>
        <v>17</v>
      </c>
      <c r="U5" s="30">
        <f t="shared" si="0"/>
        <v>18</v>
      </c>
      <c r="V5" s="30">
        <f t="shared" si="0"/>
        <v>19</v>
      </c>
      <c r="W5" s="30"/>
      <c r="X5" s="30">
        <f>+V5+1</f>
        <v>20</v>
      </c>
      <c r="Y5" s="30">
        <f t="shared" si="0"/>
        <v>21</v>
      </c>
      <c r="Z5" s="30">
        <f t="shared" si="0"/>
        <v>22</v>
      </c>
      <c r="AA5" s="30">
        <f t="shared" si="0"/>
        <v>23</v>
      </c>
      <c r="AB5" s="30">
        <f t="shared" si="0"/>
        <v>24</v>
      </c>
      <c r="AC5" s="30">
        <f t="shared" si="0"/>
        <v>25</v>
      </c>
      <c r="AD5" s="30">
        <f t="shared" si="0"/>
        <v>26</v>
      </c>
      <c r="AE5" s="30">
        <f t="shared" si="0"/>
        <v>27</v>
      </c>
      <c r="AF5" s="30">
        <f t="shared" si="0"/>
        <v>28</v>
      </c>
      <c r="AG5" s="30">
        <f t="shared" si="0"/>
        <v>29</v>
      </c>
      <c r="AH5" s="30">
        <f t="shared" si="0"/>
        <v>30</v>
      </c>
      <c r="AI5" s="30">
        <f t="shared" si="0"/>
        <v>31</v>
      </c>
      <c r="AJ5" s="30">
        <f t="shared" si="0"/>
        <v>32</v>
      </c>
      <c r="AK5" s="30">
        <f t="shared" si="0"/>
        <v>33</v>
      </c>
      <c r="AL5" s="30">
        <f t="shared" si="0"/>
        <v>34</v>
      </c>
      <c r="AM5" s="30"/>
      <c r="AN5" s="30">
        <f>+AL5+1</f>
        <v>35</v>
      </c>
      <c r="AO5" s="31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1"/>
    </row>
    <row r="6" spans="1:52" x14ac:dyDescent="0.2">
      <c r="A6" s="33">
        <v>1</v>
      </c>
      <c r="B6" s="34" t="s">
        <v>33</v>
      </c>
      <c r="C6" s="35" t="s">
        <v>34</v>
      </c>
      <c r="D6" s="36" t="s">
        <v>35</v>
      </c>
      <c r="E6" s="36" t="s">
        <v>36</v>
      </c>
      <c r="F6" s="34" t="s">
        <v>37</v>
      </c>
      <c r="G6" s="37" t="s">
        <v>38</v>
      </c>
      <c r="H6" s="37" t="s">
        <v>39</v>
      </c>
      <c r="I6" s="38" t="s">
        <v>40</v>
      </c>
      <c r="J6" s="34" t="s">
        <v>41</v>
      </c>
      <c r="K6" s="39" t="s">
        <v>42</v>
      </c>
      <c r="L6" s="40" t="s">
        <v>43</v>
      </c>
      <c r="M6" s="41"/>
      <c r="N6" s="41"/>
      <c r="O6" s="41"/>
      <c r="P6" s="41"/>
      <c r="Q6" s="41"/>
      <c r="R6" s="41" t="s">
        <v>44</v>
      </c>
      <c r="S6" s="41"/>
      <c r="T6" s="41"/>
      <c r="U6" s="41"/>
      <c r="V6" s="41"/>
      <c r="W6" s="41"/>
      <c r="X6" s="42" t="s">
        <v>45</v>
      </c>
      <c r="Y6" s="43" t="s">
        <v>46</v>
      </c>
      <c r="Z6" s="44"/>
      <c r="AA6" s="45" t="s">
        <v>47</v>
      </c>
      <c r="AB6" s="46" t="s">
        <v>48</v>
      </c>
      <c r="AC6" s="36" t="s">
        <v>26</v>
      </c>
      <c r="AD6" s="47" t="s">
        <v>49</v>
      </c>
      <c r="AE6" s="48" t="s">
        <v>49</v>
      </c>
      <c r="AF6" s="48" t="s">
        <v>49</v>
      </c>
      <c r="AG6" s="48" t="s">
        <v>41</v>
      </c>
      <c r="AH6" s="48" t="s">
        <v>41</v>
      </c>
      <c r="AI6" s="48" t="s">
        <v>41</v>
      </c>
      <c r="AJ6" s="49" t="s">
        <v>41</v>
      </c>
      <c r="AK6" s="48" t="s">
        <v>41</v>
      </c>
      <c r="AL6" s="50">
        <v>5</v>
      </c>
      <c r="AM6" s="50"/>
      <c r="AN6" s="51" t="s">
        <v>50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1"/>
    </row>
    <row r="7" spans="1:52" x14ac:dyDescent="0.2">
      <c r="A7" s="33">
        <f>+A6+1</f>
        <v>2</v>
      </c>
      <c r="B7" s="34" t="s">
        <v>51</v>
      </c>
      <c r="C7" s="35" t="s">
        <v>52</v>
      </c>
      <c r="D7" s="36" t="s">
        <v>53</v>
      </c>
      <c r="E7" s="36" t="s">
        <v>54</v>
      </c>
      <c r="F7" s="34" t="s">
        <v>55</v>
      </c>
      <c r="G7" s="37" t="s">
        <v>56</v>
      </c>
      <c r="H7" s="37" t="s">
        <v>57</v>
      </c>
      <c r="I7" s="38" t="s">
        <v>58</v>
      </c>
      <c r="J7" s="34" t="s">
        <v>41</v>
      </c>
      <c r="K7" s="39" t="s">
        <v>42</v>
      </c>
      <c r="L7" s="40" t="s">
        <v>59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2" t="s">
        <v>45</v>
      </c>
      <c r="Y7" s="52" t="s">
        <v>60</v>
      </c>
      <c r="Z7" s="44" t="s">
        <v>61</v>
      </c>
      <c r="AA7" s="45">
        <v>39286</v>
      </c>
      <c r="AB7" s="46" t="s">
        <v>30</v>
      </c>
      <c r="AC7" s="36" t="s">
        <v>26</v>
      </c>
      <c r="AD7" s="47" t="s">
        <v>49</v>
      </c>
      <c r="AE7" s="48" t="s">
        <v>49</v>
      </c>
      <c r="AF7" s="48" t="s">
        <v>49</v>
      </c>
      <c r="AG7" s="48" t="s">
        <v>49</v>
      </c>
      <c r="AH7" s="48" t="s">
        <v>49</v>
      </c>
      <c r="AI7" s="48" t="s">
        <v>49</v>
      </c>
      <c r="AJ7" s="49" t="s">
        <v>41</v>
      </c>
      <c r="AK7" s="48" t="s">
        <v>41</v>
      </c>
      <c r="AL7" s="50">
        <v>2</v>
      </c>
      <c r="AM7" s="50"/>
      <c r="AN7" s="51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1"/>
    </row>
    <row r="8" spans="1:52" x14ac:dyDescent="0.2">
      <c r="A8" s="33">
        <f t="shared" ref="A8:A72" si="1">+A7+1</f>
        <v>3</v>
      </c>
      <c r="B8" s="34" t="s">
        <v>62</v>
      </c>
      <c r="C8" s="35" t="s">
        <v>63</v>
      </c>
      <c r="D8" s="36" t="s">
        <v>64</v>
      </c>
      <c r="E8" s="36" t="s">
        <v>54</v>
      </c>
      <c r="F8" s="34" t="s">
        <v>65</v>
      </c>
      <c r="G8" s="37" t="s">
        <v>56</v>
      </c>
      <c r="H8" s="37" t="s">
        <v>57</v>
      </c>
      <c r="I8" s="38" t="s">
        <v>66</v>
      </c>
      <c r="J8" s="34" t="s">
        <v>41</v>
      </c>
      <c r="K8" s="39" t="s">
        <v>42</v>
      </c>
      <c r="L8" s="53">
        <v>45250</v>
      </c>
      <c r="M8" s="41"/>
      <c r="N8" s="41"/>
      <c r="O8" s="41"/>
      <c r="P8" s="41"/>
      <c r="Q8" s="41"/>
      <c r="R8" s="41"/>
      <c r="S8" s="41"/>
      <c r="T8" s="41" t="s">
        <v>44</v>
      </c>
      <c r="U8" s="41"/>
      <c r="V8" s="41"/>
      <c r="W8" s="41"/>
      <c r="X8" s="54" t="s">
        <v>67</v>
      </c>
      <c r="Y8" s="55" t="s">
        <v>68</v>
      </c>
      <c r="Z8" s="44"/>
      <c r="AA8" s="45">
        <v>45642</v>
      </c>
      <c r="AB8" s="46"/>
      <c r="AC8" s="36"/>
      <c r="AD8" s="47" t="s">
        <v>49</v>
      </c>
      <c r="AE8" s="48" t="s">
        <v>41</v>
      </c>
      <c r="AF8" s="48" t="s">
        <v>41</v>
      </c>
      <c r="AG8" s="48" t="s">
        <v>41</v>
      </c>
      <c r="AH8" s="48" t="s">
        <v>49</v>
      </c>
      <c r="AI8" s="48" t="s">
        <v>49</v>
      </c>
      <c r="AJ8" s="49" t="s">
        <v>49</v>
      </c>
      <c r="AK8" s="48" t="s">
        <v>49</v>
      </c>
      <c r="AL8" s="50">
        <v>0</v>
      </c>
      <c r="AM8" s="50"/>
      <c r="AN8" s="51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1"/>
    </row>
    <row r="9" spans="1:52" x14ac:dyDescent="0.2">
      <c r="A9" s="33">
        <f t="shared" si="1"/>
        <v>4</v>
      </c>
      <c r="B9" s="34" t="s">
        <v>69</v>
      </c>
      <c r="C9" s="35" t="s">
        <v>70</v>
      </c>
      <c r="D9" s="36" t="s">
        <v>71</v>
      </c>
      <c r="E9" s="36" t="s">
        <v>54</v>
      </c>
      <c r="F9" s="34" t="s">
        <v>72</v>
      </c>
      <c r="G9" s="37" t="s">
        <v>73</v>
      </c>
      <c r="H9" s="37" t="s">
        <v>73</v>
      </c>
      <c r="I9" s="34" t="s">
        <v>74</v>
      </c>
      <c r="J9" s="38" t="s">
        <v>75</v>
      </c>
      <c r="K9" s="39" t="s">
        <v>42</v>
      </c>
      <c r="L9" s="40" t="s">
        <v>59</v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7" t="s">
        <v>76</v>
      </c>
      <c r="Y9" s="58" t="s">
        <v>77</v>
      </c>
      <c r="Z9" s="44" t="s">
        <v>78</v>
      </c>
      <c r="AA9" s="45">
        <v>42325</v>
      </c>
      <c r="AB9" s="46" t="s">
        <v>30</v>
      </c>
      <c r="AC9" s="36" t="s">
        <v>26</v>
      </c>
      <c r="AD9" s="47" t="s">
        <v>49</v>
      </c>
      <c r="AE9" s="48" t="s">
        <v>49</v>
      </c>
      <c r="AF9" s="48" t="s">
        <v>49</v>
      </c>
      <c r="AG9" s="48" t="s">
        <v>49</v>
      </c>
      <c r="AH9" s="48" t="s">
        <v>49</v>
      </c>
      <c r="AI9" s="48" t="s">
        <v>49</v>
      </c>
      <c r="AJ9" s="49" t="s">
        <v>41</v>
      </c>
      <c r="AK9" s="48" t="s">
        <v>41</v>
      </c>
      <c r="AL9" s="50">
        <v>2</v>
      </c>
      <c r="AM9" s="50"/>
      <c r="AN9" s="51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1"/>
    </row>
    <row r="10" spans="1:52" x14ac:dyDescent="0.2">
      <c r="A10" s="33">
        <f t="shared" si="1"/>
        <v>5</v>
      </c>
      <c r="B10" s="34" t="s">
        <v>79</v>
      </c>
      <c r="C10" s="35" t="s">
        <v>80</v>
      </c>
      <c r="D10" s="36" t="s">
        <v>81</v>
      </c>
      <c r="E10" s="36" t="s">
        <v>54</v>
      </c>
      <c r="F10" s="34" t="s">
        <v>82</v>
      </c>
      <c r="G10" s="37" t="s">
        <v>73</v>
      </c>
      <c r="H10" s="37" t="s">
        <v>73</v>
      </c>
      <c r="I10" s="38" t="s">
        <v>83</v>
      </c>
      <c r="J10" s="34" t="s">
        <v>41</v>
      </c>
      <c r="K10" s="39" t="s">
        <v>42</v>
      </c>
      <c r="L10" s="53">
        <v>45244</v>
      </c>
      <c r="M10" s="41"/>
      <c r="N10" s="41"/>
      <c r="O10" s="41"/>
      <c r="P10" s="41"/>
      <c r="Q10" s="41"/>
      <c r="R10" s="41"/>
      <c r="S10" s="41"/>
      <c r="T10" s="41" t="s">
        <v>44</v>
      </c>
      <c r="U10" s="41"/>
      <c r="V10" s="41"/>
      <c r="W10" s="41"/>
      <c r="X10" s="42" t="s">
        <v>84</v>
      </c>
      <c r="Y10" s="55" t="s">
        <v>85</v>
      </c>
      <c r="Z10" s="44"/>
      <c r="AA10" s="45">
        <v>45642</v>
      </c>
      <c r="AB10" s="46"/>
      <c r="AC10" s="36"/>
      <c r="AD10" s="47" t="s">
        <v>49</v>
      </c>
      <c r="AE10" s="48" t="s">
        <v>41</v>
      </c>
      <c r="AF10" s="48" t="s">
        <v>41</v>
      </c>
      <c r="AG10" s="48" t="s">
        <v>41</v>
      </c>
      <c r="AH10" s="48" t="s">
        <v>49</v>
      </c>
      <c r="AI10" s="48" t="s">
        <v>49</v>
      </c>
      <c r="AJ10" s="49" t="s">
        <v>49</v>
      </c>
      <c r="AK10" s="48" t="s">
        <v>49</v>
      </c>
      <c r="AL10" s="50">
        <v>0</v>
      </c>
      <c r="AM10" s="50"/>
      <c r="AN10" s="51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1"/>
    </row>
    <row r="11" spans="1:52" x14ac:dyDescent="0.2">
      <c r="A11" s="33">
        <f t="shared" si="1"/>
        <v>6</v>
      </c>
      <c r="B11" s="34" t="s">
        <v>4579</v>
      </c>
      <c r="C11" s="35" t="s">
        <v>4578</v>
      </c>
      <c r="D11" s="36" t="s">
        <v>4494</v>
      </c>
      <c r="E11" s="36" t="s">
        <v>4581</v>
      </c>
      <c r="F11" s="34" t="s">
        <v>4582</v>
      </c>
      <c r="G11" s="37" t="s">
        <v>39</v>
      </c>
      <c r="H11" s="37" t="s">
        <v>39</v>
      </c>
      <c r="I11" s="38" t="s">
        <v>4688</v>
      </c>
      <c r="J11" s="34" t="s">
        <v>41</v>
      </c>
      <c r="K11" s="39" t="s">
        <v>4584</v>
      </c>
      <c r="L11" s="53">
        <v>46031</v>
      </c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 t="s">
        <v>44</v>
      </c>
      <c r="X11" s="38" t="s">
        <v>4688</v>
      </c>
      <c r="Y11" s="329" t="s">
        <v>4586</v>
      </c>
      <c r="Z11" s="44"/>
      <c r="AA11" s="45"/>
      <c r="AB11" s="46"/>
      <c r="AC11" s="36"/>
      <c r="AD11" s="47" t="s">
        <v>49</v>
      </c>
      <c r="AE11" s="48" t="s">
        <v>41</v>
      </c>
      <c r="AF11" s="48" t="s">
        <v>41</v>
      </c>
      <c r="AG11" s="48" t="s">
        <v>41</v>
      </c>
      <c r="AH11" s="48" t="s">
        <v>41</v>
      </c>
      <c r="AI11" s="48" t="s">
        <v>41</v>
      </c>
      <c r="AJ11" s="48" t="s">
        <v>41</v>
      </c>
      <c r="AK11" s="48" t="s">
        <v>49</v>
      </c>
      <c r="AL11" s="50">
        <v>0</v>
      </c>
      <c r="AM11" s="50"/>
      <c r="AN11" s="51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1"/>
    </row>
    <row r="12" spans="1:52" x14ac:dyDescent="0.2">
      <c r="A12" s="33">
        <f t="shared" si="1"/>
        <v>7</v>
      </c>
      <c r="B12" s="34" t="s">
        <v>86</v>
      </c>
      <c r="C12" s="35" t="s">
        <v>87</v>
      </c>
      <c r="D12" s="36" t="s">
        <v>88</v>
      </c>
      <c r="E12" s="36" t="s">
        <v>54</v>
      </c>
      <c r="F12" s="34" t="s">
        <v>89</v>
      </c>
      <c r="G12" s="37" t="s">
        <v>56</v>
      </c>
      <c r="H12" s="37" t="s">
        <v>57</v>
      </c>
      <c r="I12" s="38" t="s">
        <v>90</v>
      </c>
      <c r="J12" s="34" t="s">
        <v>41</v>
      </c>
      <c r="K12" s="39" t="s">
        <v>42</v>
      </c>
      <c r="L12" s="53" t="s">
        <v>91</v>
      </c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42" t="s">
        <v>92</v>
      </c>
      <c r="Y12" s="58" t="s">
        <v>93</v>
      </c>
      <c r="Z12" s="44" t="s">
        <v>61</v>
      </c>
      <c r="AA12" s="45">
        <v>43200</v>
      </c>
      <c r="AB12" s="46" t="s">
        <v>94</v>
      </c>
      <c r="AC12" s="36" t="s">
        <v>26</v>
      </c>
      <c r="AD12" s="47" t="s">
        <v>49</v>
      </c>
      <c r="AE12" s="48" t="s">
        <v>49</v>
      </c>
      <c r="AF12" s="48" t="s">
        <v>49</v>
      </c>
      <c r="AG12" s="48" t="s">
        <v>49</v>
      </c>
      <c r="AH12" s="48" t="s">
        <v>49</v>
      </c>
      <c r="AI12" s="48" t="s">
        <v>49</v>
      </c>
      <c r="AJ12" s="49" t="s">
        <v>49</v>
      </c>
      <c r="AK12" s="48" t="s">
        <v>49</v>
      </c>
      <c r="AL12" s="50">
        <v>0</v>
      </c>
      <c r="AM12" s="50"/>
      <c r="AN12" s="59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1"/>
    </row>
    <row r="13" spans="1:52" x14ac:dyDescent="0.2">
      <c r="A13" s="33">
        <f t="shared" si="1"/>
        <v>8</v>
      </c>
      <c r="B13" s="34" t="s">
        <v>95</v>
      </c>
      <c r="C13" s="35" t="s">
        <v>96</v>
      </c>
      <c r="D13" s="36" t="s">
        <v>97</v>
      </c>
      <c r="E13" s="36" t="s">
        <v>54</v>
      </c>
      <c r="F13" s="34" t="s">
        <v>98</v>
      </c>
      <c r="G13" s="37" t="s">
        <v>56</v>
      </c>
      <c r="H13" s="37" t="s">
        <v>57</v>
      </c>
      <c r="I13" s="34">
        <v>81328792103</v>
      </c>
      <c r="J13" s="34" t="s">
        <v>41</v>
      </c>
      <c r="K13" s="39" t="s">
        <v>42</v>
      </c>
      <c r="L13" s="53">
        <v>39256</v>
      </c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2" t="s">
        <v>99</v>
      </c>
      <c r="Y13" s="60" t="s">
        <v>100</v>
      </c>
      <c r="Z13" s="44" t="s">
        <v>61</v>
      </c>
      <c r="AA13" s="45" t="s">
        <v>101</v>
      </c>
      <c r="AB13" s="46" t="s">
        <v>30</v>
      </c>
      <c r="AC13" s="36" t="s">
        <v>26</v>
      </c>
      <c r="AD13" s="47" t="s">
        <v>49</v>
      </c>
      <c r="AE13" s="48" t="s">
        <v>49</v>
      </c>
      <c r="AF13" s="48" t="s">
        <v>49</v>
      </c>
      <c r="AG13" s="48" t="s">
        <v>49</v>
      </c>
      <c r="AH13" s="48" t="s">
        <v>49</v>
      </c>
      <c r="AI13" s="48" t="s">
        <v>49</v>
      </c>
      <c r="AJ13" s="49" t="s">
        <v>49</v>
      </c>
      <c r="AK13" s="48" t="s">
        <v>49</v>
      </c>
      <c r="AL13" s="50">
        <v>0</v>
      </c>
      <c r="AM13" s="50"/>
      <c r="AN13" s="59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1"/>
    </row>
    <row r="14" spans="1:52" x14ac:dyDescent="0.2">
      <c r="A14" s="33">
        <f t="shared" si="1"/>
        <v>9</v>
      </c>
      <c r="B14" s="34" t="s">
        <v>102</v>
      </c>
      <c r="C14" s="35" t="s">
        <v>103</v>
      </c>
      <c r="D14" s="36" t="s">
        <v>104</v>
      </c>
      <c r="E14" s="36" t="s">
        <v>54</v>
      </c>
      <c r="F14" s="34" t="s">
        <v>105</v>
      </c>
      <c r="G14" s="37" t="s">
        <v>73</v>
      </c>
      <c r="H14" s="37" t="s">
        <v>73</v>
      </c>
      <c r="I14" s="38" t="s">
        <v>106</v>
      </c>
      <c r="J14" s="34" t="s">
        <v>41</v>
      </c>
      <c r="K14" s="39" t="s">
        <v>42</v>
      </c>
      <c r="L14" s="40" t="s">
        <v>107</v>
      </c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2" t="s">
        <v>108</v>
      </c>
      <c r="Y14" s="58" t="s">
        <v>109</v>
      </c>
      <c r="Z14" s="58"/>
      <c r="AA14" s="45" t="s">
        <v>47</v>
      </c>
      <c r="AB14" s="46"/>
      <c r="AC14" s="36" t="s">
        <v>26</v>
      </c>
      <c r="AD14" s="61" t="s">
        <v>49</v>
      </c>
      <c r="AE14" s="48" t="s">
        <v>49</v>
      </c>
      <c r="AF14" s="48" t="s">
        <v>41</v>
      </c>
      <c r="AG14" s="48" t="s">
        <v>41</v>
      </c>
      <c r="AH14" s="48" t="s">
        <v>41</v>
      </c>
      <c r="AI14" s="48" t="s">
        <v>41</v>
      </c>
      <c r="AJ14" s="49" t="s">
        <v>41</v>
      </c>
      <c r="AK14" s="48" t="s">
        <v>41</v>
      </c>
      <c r="AL14" s="62" t="s">
        <v>4587</v>
      </c>
      <c r="AM14" s="62"/>
      <c r="AN14" s="63" t="s">
        <v>50</v>
      </c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1"/>
    </row>
    <row r="15" spans="1:52" x14ac:dyDescent="0.2">
      <c r="A15" s="33">
        <f t="shared" si="1"/>
        <v>10</v>
      </c>
      <c r="B15" s="34" t="s">
        <v>111</v>
      </c>
      <c r="C15" s="35" t="s">
        <v>112</v>
      </c>
      <c r="D15" s="36" t="s">
        <v>113</v>
      </c>
      <c r="E15" s="36" t="s">
        <v>54</v>
      </c>
      <c r="F15" s="34" t="s">
        <v>114</v>
      </c>
      <c r="G15" s="37" t="s">
        <v>73</v>
      </c>
      <c r="H15" s="37" t="s">
        <v>73</v>
      </c>
      <c r="I15" s="34" t="s">
        <v>115</v>
      </c>
      <c r="J15" s="34" t="s">
        <v>116</v>
      </c>
      <c r="K15" s="39" t="s">
        <v>42</v>
      </c>
      <c r="L15" s="40" t="s">
        <v>117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2" t="s">
        <v>118</v>
      </c>
      <c r="Y15" s="58" t="s">
        <v>119</v>
      </c>
      <c r="Z15" s="44" t="s">
        <v>78</v>
      </c>
      <c r="AA15" s="45">
        <v>40815</v>
      </c>
      <c r="AB15" s="46" t="s">
        <v>30</v>
      </c>
      <c r="AC15" s="36" t="s">
        <v>26</v>
      </c>
      <c r="AD15" s="64" t="s">
        <v>120</v>
      </c>
      <c r="AE15" s="48" t="s">
        <v>120</v>
      </c>
      <c r="AF15" s="48" t="s">
        <v>120</v>
      </c>
      <c r="AG15" s="48" t="s">
        <v>120</v>
      </c>
      <c r="AH15" s="48" t="s">
        <v>120</v>
      </c>
      <c r="AI15" s="48" t="s">
        <v>120</v>
      </c>
      <c r="AJ15" s="49" t="s">
        <v>120</v>
      </c>
      <c r="AK15" s="48" t="s">
        <v>120</v>
      </c>
      <c r="AL15" s="65" t="s">
        <v>32</v>
      </c>
      <c r="AM15" s="65"/>
      <c r="AN15" s="59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1"/>
    </row>
    <row r="16" spans="1:52" x14ac:dyDescent="0.2">
      <c r="A16" s="33">
        <f t="shared" si="1"/>
        <v>11</v>
      </c>
      <c r="B16" s="34" t="s">
        <v>121</v>
      </c>
      <c r="C16" s="35" t="s">
        <v>122</v>
      </c>
      <c r="D16" s="36" t="s">
        <v>123</v>
      </c>
      <c r="E16" s="36" t="s">
        <v>54</v>
      </c>
      <c r="F16" s="34" t="s">
        <v>124</v>
      </c>
      <c r="G16" s="37" t="s">
        <v>73</v>
      </c>
      <c r="H16" s="37" t="s">
        <v>73</v>
      </c>
      <c r="I16" s="34" t="s">
        <v>125</v>
      </c>
      <c r="J16" s="34" t="s">
        <v>126</v>
      </c>
      <c r="K16" s="39" t="s">
        <v>42</v>
      </c>
      <c r="L16" s="53">
        <v>30353</v>
      </c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42" t="s">
        <v>127</v>
      </c>
      <c r="Y16" s="58" t="s">
        <v>128</v>
      </c>
      <c r="Z16" s="44" t="s">
        <v>61</v>
      </c>
      <c r="AA16" s="45">
        <v>34597</v>
      </c>
      <c r="AB16" s="46" t="s">
        <v>129</v>
      </c>
      <c r="AC16" s="36" t="s">
        <v>26</v>
      </c>
      <c r="AD16" s="66" t="s">
        <v>130</v>
      </c>
      <c r="AE16" s="48" t="s">
        <v>130</v>
      </c>
      <c r="AF16" s="48" t="s">
        <v>130</v>
      </c>
      <c r="AG16" s="48" t="s">
        <v>130</v>
      </c>
      <c r="AH16" s="48" t="s">
        <v>130</v>
      </c>
      <c r="AI16" s="48" t="s">
        <v>130</v>
      </c>
      <c r="AJ16" s="49" t="s">
        <v>130</v>
      </c>
      <c r="AK16" s="48" t="s">
        <v>130</v>
      </c>
      <c r="AL16" s="65" t="s">
        <v>32</v>
      </c>
      <c r="AM16" s="65"/>
      <c r="AN16" s="67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1"/>
    </row>
    <row r="17" spans="1:52" x14ac:dyDescent="0.2">
      <c r="A17" s="33">
        <f t="shared" si="1"/>
        <v>12</v>
      </c>
      <c r="B17" s="34" t="s">
        <v>131</v>
      </c>
      <c r="C17" s="35" t="s">
        <v>132</v>
      </c>
      <c r="D17" s="36" t="s">
        <v>133</v>
      </c>
      <c r="E17" s="36" t="s">
        <v>54</v>
      </c>
      <c r="F17" s="34" t="s">
        <v>134</v>
      </c>
      <c r="G17" s="37" t="s">
        <v>73</v>
      </c>
      <c r="H17" s="37" t="s">
        <v>73</v>
      </c>
      <c r="I17" s="38" t="s">
        <v>135</v>
      </c>
      <c r="J17" s="34" t="s">
        <v>41</v>
      </c>
      <c r="K17" s="39" t="s">
        <v>42</v>
      </c>
      <c r="L17" s="53">
        <v>43746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2" t="s">
        <v>136</v>
      </c>
      <c r="Y17" s="58" t="s">
        <v>137</v>
      </c>
      <c r="Z17" s="44" t="s">
        <v>138</v>
      </c>
      <c r="AA17" s="45">
        <v>44944</v>
      </c>
      <c r="AB17" s="46" t="s">
        <v>30</v>
      </c>
      <c r="AC17" s="36" t="s">
        <v>26</v>
      </c>
      <c r="AD17" s="61" t="s">
        <v>49</v>
      </c>
      <c r="AE17" s="48" t="s">
        <v>49</v>
      </c>
      <c r="AF17" s="48" t="s">
        <v>49</v>
      </c>
      <c r="AG17" s="48" t="s">
        <v>41</v>
      </c>
      <c r="AH17" s="48" t="s">
        <v>41</v>
      </c>
      <c r="AI17" s="48" t="s">
        <v>41</v>
      </c>
      <c r="AJ17" s="49" t="s">
        <v>41</v>
      </c>
      <c r="AK17" s="48" t="s">
        <v>41</v>
      </c>
      <c r="AL17" s="62" t="s">
        <v>110</v>
      </c>
      <c r="AM17" s="62"/>
      <c r="AN17" s="51" t="s">
        <v>50</v>
      </c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1"/>
    </row>
    <row r="18" spans="1:52" x14ac:dyDescent="0.2">
      <c r="A18" s="33">
        <f t="shared" si="1"/>
        <v>13</v>
      </c>
      <c r="B18" s="34" t="s">
        <v>140</v>
      </c>
      <c r="C18" s="35" t="s">
        <v>141</v>
      </c>
      <c r="D18" s="36" t="s">
        <v>142</v>
      </c>
      <c r="E18" s="36" t="s">
        <v>54</v>
      </c>
      <c r="F18" s="34" t="s">
        <v>143</v>
      </c>
      <c r="G18" s="37" t="s">
        <v>73</v>
      </c>
      <c r="H18" s="37" t="s">
        <v>73</v>
      </c>
      <c r="I18" s="38" t="s">
        <v>144</v>
      </c>
      <c r="J18" s="34" t="s">
        <v>41</v>
      </c>
      <c r="K18" s="39" t="s">
        <v>42</v>
      </c>
      <c r="L18" s="53">
        <v>44690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2" t="s">
        <v>145</v>
      </c>
      <c r="Y18" s="58" t="s">
        <v>146</v>
      </c>
      <c r="Z18" s="44" t="s">
        <v>147</v>
      </c>
      <c r="AA18" s="45">
        <v>44944</v>
      </c>
      <c r="AB18" s="46" t="s">
        <v>30</v>
      </c>
      <c r="AC18" s="36"/>
      <c r="AD18" s="61" t="s">
        <v>49</v>
      </c>
      <c r="AE18" s="48" t="s">
        <v>41</v>
      </c>
      <c r="AF18" s="48" t="s">
        <v>41</v>
      </c>
      <c r="AG18" s="48" t="s">
        <v>49</v>
      </c>
      <c r="AH18" s="48" t="s">
        <v>49</v>
      </c>
      <c r="AI18" s="48" t="s">
        <v>49</v>
      </c>
      <c r="AJ18" s="49" t="s">
        <v>49</v>
      </c>
      <c r="AK18" s="48" t="s">
        <v>49</v>
      </c>
      <c r="AL18" s="62" t="s">
        <v>32</v>
      </c>
      <c r="AM18" s="62"/>
      <c r="AN18" s="59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1"/>
    </row>
    <row r="19" spans="1:52" x14ac:dyDescent="0.2">
      <c r="A19" s="33">
        <f t="shared" si="1"/>
        <v>14</v>
      </c>
      <c r="B19" s="34" t="s">
        <v>149</v>
      </c>
      <c r="C19" s="35" t="s">
        <v>150</v>
      </c>
      <c r="D19" s="36" t="s">
        <v>151</v>
      </c>
      <c r="E19" s="36" t="s">
        <v>54</v>
      </c>
      <c r="F19" s="34" t="s">
        <v>152</v>
      </c>
      <c r="G19" s="37" t="s">
        <v>73</v>
      </c>
      <c r="H19" s="37" t="s">
        <v>73</v>
      </c>
      <c r="I19" s="34" t="s">
        <v>153</v>
      </c>
      <c r="J19" s="34" t="s">
        <v>154</v>
      </c>
      <c r="K19" s="39" t="s">
        <v>42</v>
      </c>
      <c r="L19" s="40" t="s">
        <v>155</v>
      </c>
      <c r="M19" s="56"/>
      <c r="N19" s="56"/>
      <c r="O19" s="56"/>
      <c r="P19" s="56"/>
      <c r="Q19" s="56"/>
      <c r="R19" s="68"/>
      <c r="S19" s="68"/>
      <c r="T19" s="68"/>
      <c r="U19" s="68"/>
      <c r="V19" s="68"/>
      <c r="W19" s="68"/>
      <c r="X19" s="57" t="s">
        <v>156</v>
      </c>
      <c r="Y19" s="69" t="s">
        <v>157</v>
      </c>
      <c r="Z19" s="44" t="s">
        <v>61</v>
      </c>
      <c r="AA19" s="45">
        <v>40280</v>
      </c>
      <c r="AB19" s="46" t="s">
        <v>30</v>
      </c>
      <c r="AC19" s="36" t="s">
        <v>26</v>
      </c>
      <c r="AD19" s="47" t="s">
        <v>49</v>
      </c>
      <c r="AE19" s="48" t="s">
        <v>49</v>
      </c>
      <c r="AF19" s="48" t="s">
        <v>49</v>
      </c>
      <c r="AG19" s="48" t="s">
        <v>41</v>
      </c>
      <c r="AH19" s="48" t="s">
        <v>41</v>
      </c>
      <c r="AI19" s="48" t="s">
        <v>41</v>
      </c>
      <c r="AJ19" s="49" t="s">
        <v>41</v>
      </c>
      <c r="AK19" s="48" t="s">
        <v>41</v>
      </c>
      <c r="AL19" s="62" t="s">
        <v>110</v>
      </c>
      <c r="AM19" s="62"/>
      <c r="AN19" s="59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1"/>
    </row>
    <row r="20" spans="1:52" x14ac:dyDescent="0.2">
      <c r="A20" s="33">
        <f t="shared" si="1"/>
        <v>15</v>
      </c>
      <c r="B20" s="34" t="s">
        <v>158</v>
      </c>
      <c r="C20" s="35" t="s">
        <v>159</v>
      </c>
      <c r="D20" s="36" t="s">
        <v>160</v>
      </c>
      <c r="E20" s="36" t="s">
        <v>36</v>
      </c>
      <c r="F20" s="34" t="s">
        <v>161</v>
      </c>
      <c r="G20" s="37" t="s">
        <v>73</v>
      </c>
      <c r="H20" s="37" t="s">
        <v>73</v>
      </c>
      <c r="I20" s="34" t="s">
        <v>153</v>
      </c>
      <c r="J20" s="34" t="s">
        <v>154</v>
      </c>
      <c r="K20" s="39" t="s">
        <v>42</v>
      </c>
      <c r="L20" s="53">
        <v>32576</v>
      </c>
      <c r="M20" s="41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42" t="s">
        <v>162</v>
      </c>
      <c r="Y20" s="52" t="s">
        <v>163</v>
      </c>
      <c r="Z20" s="44" t="s">
        <v>61</v>
      </c>
      <c r="AA20" s="45">
        <v>34597</v>
      </c>
      <c r="AB20" s="46" t="s">
        <v>30</v>
      </c>
      <c r="AC20" s="36" t="s">
        <v>26</v>
      </c>
      <c r="AD20" s="64" t="s">
        <v>120</v>
      </c>
      <c r="AE20" s="48" t="s">
        <v>120</v>
      </c>
      <c r="AF20" s="48" t="s">
        <v>120</v>
      </c>
      <c r="AG20" s="48" t="s">
        <v>120</v>
      </c>
      <c r="AH20" s="48" t="s">
        <v>120</v>
      </c>
      <c r="AI20" s="48" t="s">
        <v>120</v>
      </c>
      <c r="AJ20" s="49" t="s">
        <v>41</v>
      </c>
      <c r="AK20" s="48" t="s">
        <v>41</v>
      </c>
      <c r="AL20" s="62" t="s">
        <v>276</v>
      </c>
      <c r="AM20" s="62"/>
      <c r="AN20" s="59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1"/>
    </row>
    <row r="21" spans="1:52" x14ac:dyDescent="0.2">
      <c r="A21" s="33">
        <f t="shared" si="1"/>
        <v>16</v>
      </c>
      <c r="B21" s="34" t="s">
        <v>164</v>
      </c>
      <c r="C21" s="35" t="s">
        <v>165</v>
      </c>
      <c r="D21" s="36" t="s">
        <v>166</v>
      </c>
      <c r="E21" s="36" t="s">
        <v>54</v>
      </c>
      <c r="F21" s="34" t="s">
        <v>167</v>
      </c>
      <c r="G21" s="37" t="s">
        <v>73</v>
      </c>
      <c r="H21" s="37" t="s">
        <v>73</v>
      </c>
      <c r="I21" s="34" t="s">
        <v>168</v>
      </c>
      <c r="J21" s="34" t="s">
        <v>41</v>
      </c>
      <c r="K21" s="39" t="s">
        <v>42</v>
      </c>
      <c r="L21" s="40" t="s">
        <v>169</v>
      </c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2" t="s">
        <v>170</v>
      </c>
      <c r="Y21" s="71" t="s">
        <v>171</v>
      </c>
      <c r="Z21" s="44" t="s">
        <v>61</v>
      </c>
      <c r="AA21" s="45">
        <v>37208</v>
      </c>
      <c r="AB21" s="46" t="s">
        <v>30</v>
      </c>
      <c r="AC21" s="36" t="s">
        <v>26</v>
      </c>
      <c r="AD21" s="47" t="s">
        <v>49</v>
      </c>
      <c r="AE21" s="48" t="s">
        <v>49</v>
      </c>
      <c r="AF21" s="48" t="s">
        <v>49</v>
      </c>
      <c r="AG21" s="48" t="s">
        <v>41</v>
      </c>
      <c r="AH21" s="48" t="s">
        <v>41</v>
      </c>
      <c r="AI21" s="48" t="s">
        <v>41</v>
      </c>
      <c r="AJ21" s="49" t="s">
        <v>41</v>
      </c>
      <c r="AK21" s="48" t="s">
        <v>41</v>
      </c>
      <c r="AL21" s="62" t="s">
        <v>110</v>
      </c>
      <c r="AM21" s="62"/>
      <c r="AN21" s="59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1"/>
    </row>
    <row r="22" spans="1:52" x14ac:dyDescent="0.2">
      <c r="A22" s="33">
        <f t="shared" si="1"/>
        <v>17</v>
      </c>
      <c r="B22" s="72" t="s">
        <v>172</v>
      </c>
      <c r="C22" s="35" t="s">
        <v>173</v>
      </c>
      <c r="D22" s="73" t="s">
        <v>174</v>
      </c>
      <c r="E22" s="36" t="s">
        <v>54</v>
      </c>
      <c r="F22" s="74" t="s">
        <v>175</v>
      </c>
      <c r="G22" s="75" t="s">
        <v>176</v>
      </c>
      <c r="H22" s="75" t="s">
        <v>39</v>
      </c>
      <c r="I22" s="76" t="s">
        <v>177</v>
      </c>
      <c r="J22" s="72" t="s">
        <v>41</v>
      </c>
      <c r="K22" s="77" t="s">
        <v>42</v>
      </c>
      <c r="L22" s="78" t="s">
        <v>178</v>
      </c>
      <c r="M22" s="79"/>
      <c r="N22" s="79"/>
      <c r="O22" s="79"/>
      <c r="P22" s="79"/>
      <c r="Q22" s="79"/>
      <c r="R22" s="79" t="s">
        <v>44</v>
      </c>
      <c r="S22" s="79"/>
      <c r="T22" s="79"/>
      <c r="U22" s="79"/>
      <c r="V22" s="79"/>
      <c r="W22" s="79"/>
      <c r="X22" s="42" t="s">
        <v>180</v>
      </c>
      <c r="Y22" s="58" t="s">
        <v>181</v>
      </c>
      <c r="Z22" s="44"/>
      <c r="AA22" s="45" t="s">
        <v>47</v>
      </c>
      <c r="AB22" s="80"/>
      <c r="AC22" s="73"/>
      <c r="AD22" s="81" t="s">
        <v>49</v>
      </c>
      <c r="AE22" s="48" t="s">
        <v>41</v>
      </c>
      <c r="AF22" s="48" t="s">
        <v>49</v>
      </c>
      <c r="AG22" s="48" t="s">
        <v>49</v>
      </c>
      <c r="AH22" s="48" t="s">
        <v>49</v>
      </c>
      <c r="AI22" s="48" t="s">
        <v>49</v>
      </c>
      <c r="AJ22" s="49" t="s">
        <v>49</v>
      </c>
      <c r="AK22" s="48" t="s">
        <v>49</v>
      </c>
      <c r="AL22" s="62" t="s">
        <v>32</v>
      </c>
      <c r="AM22" s="62"/>
      <c r="AN22" s="59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1"/>
    </row>
    <row r="23" spans="1:52" x14ac:dyDescent="0.2">
      <c r="A23" s="33">
        <f t="shared" si="1"/>
        <v>18</v>
      </c>
      <c r="B23" s="72" t="s">
        <v>182</v>
      </c>
      <c r="C23" s="35" t="s">
        <v>183</v>
      </c>
      <c r="D23" s="73" t="s">
        <v>184</v>
      </c>
      <c r="E23" s="36" t="s">
        <v>54</v>
      </c>
      <c r="F23" s="74" t="s">
        <v>185</v>
      </c>
      <c r="G23" s="75" t="s">
        <v>186</v>
      </c>
      <c r="H23" s="75" t="s">
        <v>187</v>
      </c>
      <c r="I23" s="72" t="s">
        <v>188</v>
      </c>
      <c r="J23" s="72" t="s">
        <v>41</v>
      </c>
      <c r="K23" s="77" t="s">
        <v>42</v>
      </c>
      <c r="L23" s="78" t="s">
        <v>189</v>
      </c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42" t="s">
        <v>190</v>
      </c>
      <c r="Y23" s="58" t="s">
        <v>191</v>
      </c>
      <c r="Z23" s="44" t="s">
        <v>61</v>
      </c>
      <c r="AA23" s="45">
        <v>34597</v>
      </c>
      <c r="AB23" s="80" t="s">
        <v>30</v>
      </c>
      <c r="AC23" s="73">
        <v>1</v>
      </c>
      <c r="AD23" s="81" t="s">
        <v>49</v>
      </c>
      <c r="AE23" s="48" t="s">
        <v>41</v>
      </c>
      <c r="AF23" s="48" t="s">
        <v>41</v>
      </c>
      <c r="AG23" s="48" t="s">
        <v>41</v>
      </c>
      <c r="AH23" s="48" t="s">
        <v>41</v>
      </c>
      <c r="AI23" s="48" t="s">
        <v>41</v>
      </c>
      <c r="AJ23" s="49" t="s">
        <v>41</v>
      </c>
      <c r="AK23" s="48" t="s">
        <v>41</v>
      </c>
      <c r="AL23" s="82" t="s">
        <v>4588</v>
      </c>
      <c r="AM23" s="82"/>
      <c r="AN23" s="59" t="s">
        <v>192</v>
      </c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1"/>
    </row>
    <row r="24" spans="1:52" x14ac:dyDescent="0.2">
      <c r="A24" s="33">
        <f t="shared" si="1"/>
        <v>19</v>
      </c>
      <c r="B24" s="34" t="s">
        <v>193</v>
      </c>
      <c r="C24" s="35" t="s">
        <v>194</v>
      </c>
      <c r="D24" s="36" t="s">
        <v>195</v>
      </c>
      <c r="E24" s="36" t="s">
        <v>54</v>
      </c>
      <c r="F24" s="34" t="s">
        <v>196</v>
      </c>
      <c r="G24" s="37" t="s">
        <v>73</v>
      </c>
      <c r="H24" s="37" t="s">
        <v>73</v>
      </c>
      <c r="I24" s="38" t="s">
        <v>197</v>
      </c>
      <c r="J24" s="34" t="s">
        <v>41</v>
      </c>
      <c r="K24" s="39" t="s">
        <v>42</v>
      </c>
      <c r="L24" s="40" t="s">
        <v>198</v>
      </c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42" t="s">
        <v>199</v>
      </c>
      <c r="Y24" s="58" t="s">
        <v>200</v>
      </c>
      <c r="Z24" s="44" t="s">
        <v>61</v>
      </c>
      <c r="AA24" s="45">
        <v>34597</v>
      </c>
      <c r="AB24" s="46" t="s">
        <v>30</v>
      </c>
      <c r="AC24" s="36" t="s">
        <v>26</v>
      </c>
      <c r="AD24" s="47" t="s">
        <v>49</v>
      </c>
      <c r="AE24" s="48" t="s">
        <v>49</v>
      </c>
      <c r="AF24" s="48" t="s">
        <v>49</v>
      </c>
      <c r="AG24" s="48" t="s">
        <v>49</v>
      </c>
      <c r="AH24" s="48" t="s">
        <v>49</v>
      </c>
      <c r="AI24" s="48" t="s">
        <v>49</v>
      </c>
      <c r="AJ24" s="49" t="s">
        <v>49</v>
      </c>
      <c r="AK24" s="48" t="s">
        <v>49</v>
      </c>
      <c r="AL24" s="62" t="s">
        <v>32</v>
      </c>
      <c r="AM24" s="62"/>
      <c r="AN24" s="59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1"/>
    </row>
    <row r="25" spans="1:52" x14ac:dyDescent="0.2">
      <c r="A25" s="33">
        <f t="shared" si="1"/>
        <v>20</v>
      </c>
      <c r="B25" s="34" t="s">
        <v>201</v>
      </c>
      <c r="C25" s="35" t="s">
        <v>202</v>
      </c>
      <c r="D25" s="36" t="s">
        <v>203</v>
      </c>
      <c r="E25" s="36" t="s">
        <v>36</v>
      </c>
      <c r="F25" s="34" t="s">
        <v>204</v>
      </c>
      <c r="G25" s="37" t="s">
        <v>205</v>
      </c>
      <c r="H25" s="37" t="s">
        <v>205</v>
      </c>
      <c r="I25" s="38" t="s">
        <v>206</v>
      </c>
      <c r="J25" s="34" t="s">
        <v>41</v>
      </c>
      <c r="K25" s="39" t="s">
        <v>42</v>
      </c>
      <c r="L25" s="53" t="s">
        <v>207</v>
      </c>
      <c r="M25" s="41"/>
      <c r="N25" s="41"/>
      <c r="O25" s="41"/>
      <c r="P25" s="41"/>
      <c r="Q25" s="41"/>
      <c r="R25" s="41"/>
      <c r="S25" s="41"/>
      <c r="T25" s="41" t="s">
        <v>44</v>
      </c>
      <c r="U25" s="41"/>
      <c r="V25" s="41"/>
      <c r="W25" s="41"/>
      <c r="X25" s="54" t="s">
        <v>208</v>
      </c>
      <c r="Y25" s="83" t="s">
        <v>209</v>
      </c>
      <c r="Z25" s="83"/>
      <c r="AA25" s="45">
        <v>45642</v>
      </c>
      <c r="AB25" s="46"/>
      <c r="AC25" s="36"/>
      <c r="AD25" s="61" t="s">
        <v>49</v>
      </c>
      <c r="AE25" s="48" t="s">
        <v>41</v>
      </c>
      <c r="AF25" s="48" t="s">
        <v>41</v>
      </c>
      <c r="AG25" s="48" t="s">
        <v>41</v>
      </c>
      <c r="AH25" s="48" t="s">
        <v>49</v>
      </c>
      <c r="AI25" s="48" t="s">
        <v>49</v>
      </c>
      <c r="AJ25" s="49" t="s">
        <v>49</v>
      </c>
      <c r="AK25" s="48" t="s">
        <v>49</v>
      </c>
      <c r="AL25" s="65" t="s">
        <v>32</v>
      </c>
      <c r="AM25" s="65"/>
      <c r="AN25" s="59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1"/>
    </row>
    <row r="26" spans="1:52" x14ac:dyDescent="0.2">
      <c r="A26" s="33">
        <f t="shared" si="1"/>
        <v>21</v>
      </c>
      <c r="B26" s="34" t="s">
        <v>210</v>
      </c>
      <c r="C26" s="35" t="s">
        <v>211</v>
      </c>
      <c r="D26" s="36" t="s">
        <v>212</v>
      </c>
      <c r="E26" s="36" t="s">
        <v>54</v>
      </c>
      <c r="F26" s="34" t="s">
        <v>213</v>
      </c>
      <c r="G26" s="37" t="s">
        <v>214</v>
      </c>
      <c r="H26" s="37" t="s">
        <v>205</v>
      </c>
      <c r="I26" s="38" t="s">
        <v>215</v>
      </c>
      <c r="J26" s="34" t="s">
        <v>41</v>
      </c>
      <c r="K26" s="39" t="s">
        <v>42</v>
      </c>
      <c r="L26" s="40" t="s">
        <v>216</v>
      </c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42" t="s">
        <v>217</v>
      </c>
      <c r="Y26" s="58" t="s">
        <v>218</v>
      </c>
      <c r="Z26" s="84" t="s">
        <v>219</v>
      </c>
      <c r="AA26" s="45">
        <v>44650</v>
      </c>
      <c r="AB26" s="46" t="s">
        <v>30</v>
      </c>
      <c r="AC26" s="36" t="s">
        <v>220</v>
      </c>
      <c r="AD26" s="47" t="s">
        <v>49</v>
      </c>
      <c r="AE26" s="48" t="s">
        <v>49</v>
      </c>
      <c r="AF26" s="48" t="s">
        <v>49</v>
      </c>
      <c r="AG26" s="48" t="s">
        <v>49</v>
      </c>
      <c r="AH26" s="48" t="s">
        <v>49</v>
      </c>
      <c r="AI26" s="48" t="s">
        <v>49</v>
      </c>
      <c r="AJ26" s="49" t="s">
        <v>41</v>
      </c>
      <c r="AK26" s="48" t="s">
        <v>41</v>
      </c>
      <c r="AL26" s="62" t="s">
        <v>276</v>
      </c>
      <c r="AM26" s="62"/>
      <c r="AN26" s="59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1"/>
    </row>
    <row r="27" spans="1:52" x14ac:dyDescent="0.2">
      <c r="A27" s="33">
        <f t="shared" si="1"/>
        <v>22</v>
      </c>
      <c r="B27" s="34" t="s">
        <v>221</v>
      </c>
      <c r="C27" s="35" t="s">
        <v>222</v>
      </c>
      <c r="D27" s="36" t="s">
        <v>223</v>
      </c>
      <c r="E27" s="36" t="s">
        <v>54</v>
      </c>
      <c r="F27" s="34" t="s">
        <v>224</v>
      </c>
      <c r="G27" s="37" t="s">
        <v>73</v>
      </c>
      <c r="H27" s="37" t="s">
        <v>73</v>
      </c>
      <c r="I27" s="34" t="s">
        <v>225</v>
      </c>
      <c r="J27" s="34" t="s">
        <v>226</v>
      </c>
      <c r="K27" s="39" t="s">
        <v>42</v>
      </c>
      <c r="L27" s="53">
        <v>35886</v>
      </c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42" t="s">
        <v>227</v>
      </c>
      <c r="Y27" s="85" t="s">
        <v>228</v>
      </c>
      <c r="Z27" s="44" t="s">
        <v>229</v>
      </c>
      <c r="AA27" s="45">
        <v>42325</v>
      </c>
      <c r="AB27" s="46" t="s">
        <v>30</v>
      </c>
      <c r="AC27" s="36" t="s">
        <v>26</v>
      </c>
      <c r="AD27" s="64" t="s">
        <v>120</v>
      </c>
      <c r="AE27" s="48" t="s">
        <v>120</v>
      </c>
      <c r="AF27" s="48" t="s">
        <v>120</v>
      </c>
      <c r="AG27" s="48" t="s">
        <v>120</v>
      </c>
      <c r="AH27" s="48" t="s">
        <v>120</v>
      </c>
      <c r="AI27" s="48" t="s">
        <v>120</v>
      </c>
      <c r="AJ27" s="49" t="s">
        <v>41</v>
      </c>
      <c r="AK27" s="48" t="s">
        <v>41</v>
      </c>
      <c r="AL27" s="62" t="s">
        <v>276</v>
      </c>
      <c r="AM27" s="62"/>
      <c r="AN27" s="59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1"/>
    </row>
    <row r="28" spans="1:52" x14ac:dyDescent="0.2">
      <c r="A28" s="33">
        <f t="shared" si="1"/>
        <v>23</v>
      </c>
      <c r="B28" s="34" t="s">
        <v>230</v>
      </c>
      <c r="C28" s="35" t="s">
        <v>231</v>
      </c>
      <c r="D28" s="36" t="s">
        <v>232</v>
      </c>
      <c r="E28" s="36" t="s">
        <v>54</v>
      </c>
      <c r="F28" s="34" t="s">
        <v>233</v>
      </c>
      <c r="G28" s="37" t="s">
        <v>73</v>
      </c>
      <c r="H28" s="37" t="s">
        <v>73</v>
      </c>
      <c r="I28" s="34" t="s">
        <v>234</v>
      </c>
      <c r="J28" s="34" t="s">
        <v>41</v>
      </c>
      <c r="K28" s="39" t="s">
        <v>42</v>
      </c>
      <c r="L28" s="40" t="s">
        <v>235</v>
      </c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2" t="s">
        <v>236</v>
      </c>
      <c r="Y28" s="52" t="s">
        <v>237</v>
      </c>
      <c r="Z28" s="44" t="s">
        <v>61</v>
      </c>
      <c r="AA28" s="86">
        <v>40815</v>
      </c>
      <c r="AB28" s="46" t="s">
        <v>30</v>
      </c>
      <c r="AC28" s="36" t="s">
        <v>26</v>
      </c>
      <c r="AD28" s="47" t="s">
        <v>49</v>
      </c>
      <c r="AE28" s="48" t="s">
        <v>49</v>
      </c>
      <c r="AF28" s="48" t="s">
        <v>49</v>
      </c>
      <c r="AG28" s="48" t="s">
        <v>49</v>
      </c>
      <c r="AH28" s="48" t="s">
        <v>49</v>
      </c>
      <c r="AI28" s="48" t="s">
        <v>49</v>
      </c>
      <c r="AJ28" s="49" t="s">
        <v>41</v>
      </c>
      <c r="AK28" s="48" t="s">
        <v>41</v>
      </c>
      <c r="AL28" s="62" t="s">
        <v>276</v>
      </c>
      <c r="AM28" s="62"/>
      <c r="AN28" s="59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1"/>
    </row>
    <row r="29" spans="1:52" x14ac:dyDescent="0.2">
      <c r="A29" s="33">
        <f t="shared" si="1"/>
        <v>24</v>
      </c>
      <c r="B29" s="87" t="s">
        <v>238</v>
      </c>
      <c r="C29" s="88" t="s">
        <v>239</v>
      </c>
      <c r="D29" s="89" t="s">
        <v>240</v>
      </c>
      <c r="E29" s="89" t="s">
        <v>241</v>
      </c>
      <c r="F29" s="87" t="s">
        <v>242</v>
      </c>
      <c r="G29" s="90" t="s">
        <v>243</v>
      </c>
      <c r="H29" s="90" t="s">
        <v>205</v>
      </c>
      <c r="I29" s="91" t="s">
        <v>244</v>
      </c>
      <c r="J29" s="91" t="s">
        <v>245</v>
      </c>
      <c r="K29" s="92" t="s">
        <v>42</v>
      </c>
      <c r="L29" s="93">
        <v>36413</v>
      </c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190" t="s">
        <v>246</v>
      </c>
      <c r="Y29" s="95" t="s">
        <v>247</v>
      </c>
      <c r="Z29" s="314" t="s">
        <v>61</v>
      </c>
      <c r="AA29" s="250">
        <v>39286</v>
      </c>
      <c r="AB29" s="96" t="s">
        <v>30</v>
      </c>
      <c r="AC29" s="170" t="s">
        <v>26</v>
      </c>
      <c r="AD29" s="97" t="s">
        <v>49</v>
      </c>
      <c r="AE29" s="315" t="s">
        <v>49</v>
      </c>
      <c r="AF29" s="315" t="s">
        <v>49</v>
      </c>
      <c r="AG29" s="315" t="s">
        <v>41</v>
      </c>
      <c r="AH29" s="315" t="s">
        <v>41</v>
      </c>
      <c r="AI29" s="315" t="s">
        <v>41</v>
      </c>
      <c r="AJ29" s="316" t="s">
        <v>41</v>
      </c>
      <c r="AK29" s="48" t="s">
        <v>41</v>
      </c>
      <c r="AL29" s="62">
        <v>5</v>
      </c>
      <c r="AM29" s="62"/>
      <c r="AN29" s="59" t="s">
        <v>192</v>
      </c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1"/>
    </row>
    <row r="30" spans="1:52" x14ac:dyDescent="0.2">
      <c r="A30" s="33">
        <f t="shared" si="1"/>
        <v>25</v>
      </c>
      <c r="B30" s="34" t="s">
        <v>4656</v>
      </c>
      <c r="C30" s="35" t="s">
        <v>4650</v>
      </c>
      <c r="D30" s="109" t="s">
        <v>4651</v>
      </c>
      <c r="E30" s="36" t="s">
        <v>36</v>
      </c>
      <c r="F30" s="34" t="s">
        <v>4652</v>
      </c>
      <c r="G30" s="37" t="s">
        <v>73</v>
      </c>
      <c r="H30" s="37" t="s">
        <v>73</v>
      </c>
      <c r="I30" s="318" t="s">
        <v>4653</v>
      </c>
      <c r="J30" s="38"/>
      <c r="K30" s="39" t="s">
        <v>42</v>
      </c>
      <c r="L30" s="120">
        <v>46073</v>
      </c>
      <c r="M30" s="112" t="s">
        <v>179</v>
      </c>
      <c r="N30" s="112"/>
      <c r="O30" s="112"/>
      <c r="P30" s="112"/>
      <c r="Q30" s="112"/>
      <c r="R30" s="112"/>
      <c r="S30" s="112"/>
      <c r="T30" s="112"/>
      <c r="U30" s="112"/>
      <c r="V30" s="112"/>
      <c r="W30" s="112" t="s">
        <v>44</v>
      </c>
      <c r="X30" s="318" t="s">
        <v>4654</v>
      </c>
      <c r="Y30" s="319" t="s">
        <v>4655</v>
      </c>
      <c r="Z30" s="44"/>
      <c r="AA30" s="45"/>
      <c r="AB30" s="101"/>
      <c r="AC30" s="36"/>
      <c r="AD30" s="317" t="s">
        <v>49</v>
      </c>
      <c r="AE30" s="315" t="s">
        <v>41</v>
      </c>
      <c r="AF30" s="315" t="s">
        <v>41</v>
      </c>
      <c r="AG30" s="315" t="s">
        <v>41</v>
      </c>
      <c r="AH30" s="315" t="s">
        <v>41</v>
      </c>
      <c r="AI30" s="315" t="s">
        <v>41</v>
      </c>
      <c r="AJ30" s="316" t="s">
        <v>41</v>
      </c>
      <c r="AK30" s="48" t="s">
        <v>49</v>
      </c>
      <c r="AL30" s="62" t="s">
        <v>32</v>
      </c>
      <c r="AM30" s="62"/>
      <c r="AN30" s="59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1"/>
    </row>
    <row r="31" spans="1:52" x14ac:dyDescent="0.2">
      <c r="A31" s="33">
        <f t="shared" si="1"/>
        <v>26</v>
      </c>
      <c r="B31" s="34" t="s">
        <v>248</v>
      </c>
      <c r="C31" s="35" t="s">
        <v>249</v>
      </c>
      <c r="D31" s="73" t="s">
        <v>250</v>
      </c>
      <c r="E31" s="36" t="s">
        <v>54</v>
      </c>
      <c r="F31" s="98" t="s">
        <v>251</v>
      </c>
      <c r="G31" s="37" t="s">
        <v>252</v>
      </c>
      <c r="H31" s="37" t="s">
        <v>57</v>
      </c>
      <c r="I31" s="34" t="s">
        <v>253</v>
      </c>
      <c r="J31" s="34" t="s">
        <v>254</v>
      </c>
      <c r="K31" s="39" t="s">
        <v>42</v>
      </c>
      <c r="L31" s="99" t="s">
        <v>255</v>
      </c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42" t="s">
        <v>4685</v>
      </c>
      <c r="Y31" s="100" t="s">
        <v>257</v>
      </c>
      <c r="Z31" s="44" t="s">
        <v>258</v>
      </c>
      <c r="AA31" s="45">
        <v>42935</v>
      </c>
      <c r="AB31" s="101" t="s">
        <v>30</v>
      </c>
      <c r="AC31" s="73" t="s">
        <v>26</v>
      </c>
      <c r="AD31" s="47" t="s">
        <v>49</v>
      </c>
      <c r="AE31" s="48" t="s">
        <v>49</v>
      </c>
      <c r="AF31" s="48" t="s">
        <v>49</v>
      </c>
      <c r="AG31" s="48" t="s">
        <v>49</v>
      </c>
      <c r="AH31" s="48" t="s">
        <v>49</v>
      </c>
      <c r="AI31" s="48" t="s">
        <v>49</v>
      </c>
      <c r="AJ31" s="49" t="s">
        <v>49</v>
      </c>
      <c r="AK31" s="48" t="s">
        <v>49</v>
      </c>
      <c r="AL31" s="62" t="s">
        <v>32</v>
      </c>
      <c r="AM31" s="62"/>
      <c r="AN31" s="59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1"/>
    </row>
    <row r="32" spans="1:52" x14ac:dyDescent="0.2">
      <c r="A32" s="33">
        <f t="shared" si="1"/>
        <v>27</v>
      </c>
      <c r="B32" s="34" t="s">
        <v>4626</v>
      </c>
      <c r="C32" s="35" t="s">
        <v>4641</v>
      </c>
      <c r="D32" s="73" t="s">
        <v>4628</v>
      </c>
      <c r="E32" s="36" t="s">
        <v>54</v>
      </c>
      <c r="F32" s="98" t="s">
        <v>4629</v>
      </c>
      <c r="G32" s="37" t="s">
        <v>176</v>
      </c>
      <c r="H32" s="37" t="s">
        <v>39</v>
      </c>
      <c r="I32" s="38" t="s">
        <v>4630</v>
      </c>
      <c r="J32" s="34" t="s">
        <v>41</v>
      </c>
      <c r="K32" s="39" t="s">
        <v>42</v>
      </c>
      <c r="L32" s="53">
        <v>46083</v>
      </c>
      <c r="M32" s="56"/>
      <c r="N32" s="56"/>
      <c r="O32" s="56"/>
      <c r="P32" s="56"/>
      <c r="Q32" s="56" t="s">
        <v>179</v>
      </c>
      <c r="R32" s="56"/>
      <c r="S32" s="56"/>
      <c r="T32" s="56"/>
      <c r="U32" s="56"/>
      <c r="V32" s="56"/>
      <c r="W32" s="56" t="s">
        <v>44</v>
      </c>
      <c r="X32" s="42" t="s">
        <v>4631</v>
      </c>
      <c r="Y32" s="311" t="s">
        <v>4632</v>
      </c>
      <c r="Z32" s="44"/>
      <c r="AA32" s="45"/>
      <c r="AB32" s="46"/>
      <c r="AC32" s="73"/>
      <c r="AD32" s="47" t="s">
        <v>49</v>
      </c>
      <c r="AE32" s="48"/>
      <c r="AF32" s="48"/>
      <c r="AG32" s="48"/>
      <c r="AH32" s="48"/>
      <c r="AI32" s="48"/>
      <c r="AJ32" s="49"/>
      <c r="AK32" s="48" t="s">
        <v>49</v>
      </c>
      <c r="AL32" s="62" t="s">
        <v>32</v>
      </c>
      <c r="AM32" s="62"/>
      <c r="AN32" s="59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1"/>
    </row>
    <row r="33" spans="1:52" x14ac:dyDescent="0.2">
      <c r="A33" s="33">
        <f t="shared" si="1"/>
        <v>28</v>
      </c>
      <c r="B33" s="34" t="s">
        <v>259</v>
      </c>
      <c r="C33" s="35" t="s">
        <v>260</v>
      </c>
      <c r="D33" s="36" t="s">
        <v>261</v>
      </c>
      <c r="E33" s="36" t="s">
        <v>54</v>
      </c>
      <c r="F33" s="34" t="s">
        <v>262</v>
      </c>
      <c r="G33" s="37" t="s">
        <v>176</v>
      </c>
      <c r="H33" s="37" t="s">
        <v>39</v>
      </c>
      <c r="I33" s="34" t="s">
        <v>263</v>
      </c>
      <c r="J33" s="34" t="s">
        <v>264</v>
      </c>
      <c r="K33" s="39" t="s">
        <v>42</v>
      </c>
      <c r="L33" s="40" t="s">
        <v>265</v>
      </c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42" t="s">
        <v>266</v>
      </c>
      <c r="Y33" s="60" t="s">
        <v>267</v>
      </c>
      <c r="Z33" s="44" t="s">
        <v>61</v>
      </c>
      <c r="AA33" s="45">
        <v>40815</v>
      </c>
      <c r="AB33" s="46" t="s">
        <v>30</v>
      </c>
      <c r="AC33" s="36" t="s">
        <v>26</v>
      </c>
      <c r="AD33" s="47" t="s">
        <v>49</v>
      </c>
      <c r="AE33" s="48" t="s">
        <v>49</v>
      </c>
      <c r="AF33" s="48" t="s">
        <v>41</v>
      </c>
      <c r="AG33" s="48" t="s">
        <v>41</v>
      </c>
      <c r="AH33" s="48" t="s">
        <v>41</v>
      </c>
      <c r="AI33" s="48" t="s">
        <v>41</v>
      </c>
      <c r="AJ33" s="49" t="s">
        <v>41</v>
      </c>
      <c r="AK33" s="48" t="s">
        <v>41</v>
      </c>
      <c r="AL33" s="62" t="s">
        <v>4587</v>
      </c>
      <c r="AM33" s="62"/>
      <c r="AN33" s="59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1"/>
    </row>
    <row r="34" spans="1:52" x14ac:dyDescent="0.2">
      <c r="A34" s="33">
        <f t="shared" si="1"/>
        <v>29</v>
      </c>
      <c r="B34" s="34" t="s">
        <v>4675</v>
      </c>
      <c r="C34" s="35" t="s">
        <v>4676</v>
      </c>
      <c r="D34" s="36" t="s">
        <v>4677</v>
      </c>
      <c r="E34" s="36" t="s">
        <v>4169</v>
      </c>
      <c r="F34" s="34" t="s">
        <v>4678</v>
      </c>
      <c r="G34" s="37" t="s">
        <v>176</v>
      </c>
      <c r="H34" s="37" t="s">
        <v>39</v>
      </c>
      <c r="I34" s="34" t="s">
        <v>41</v>
      </c>
      <c r="J34" s="34" t="s">
        <v>41</v>
      </c>
      <c r="K34" s="39" t="s">
        <v>42</v>
      </c>
      <c r="L34" s="53">
        <v>46132</v>
      </c>
      <c r="M34" s="56" t="s">
        <v>179</v>
      </c>
      <c r="N34" s="56" t="s">
        <v>179</v>
      </c>
      <c r="O34" s="56"/>
      <c r="P34" s="56"/>
      <c r="Q34" s="56"/>
      <c r="R34" s="56"/>
      <c r="S34" s="56"/>
      <c r="T34" s="56"/>
      <c r="U34" s="56"/>
      <c r="V34" s="56"/>
      <c r="W34" s="56" t="s">
        <v>44</v>
      </c>
      <c r="X34" s="42" t="s">
        <v>4679</v>
      </c>
      <c r="Y34" s="328" t="s">
        <v>4680</v>
      </c>
      <c r="Z34" s="44"/>
      <c r="AA34" s="45"/>
      <c r="AB34" s="46"/>
      <c r="AC34" s="36"/>
      <c r="AD34" s="47" t="s">
        <v>49</v>
      </c>
      <c r="AE34" s="48"/>
      <c r="AF34" s="48" t="s">
        <v>41</v>
      </c>
      <c r="AG34" s="48" t="s">
        <v>41</v>
      </c>
      <c r="AH34" s="48" t="s">
        <v>41</v>
      </c>
      <c r="AI34" s="48" t="s">
        <v>41</v>
      </c>
      <c r="AJ34" s="49" t="s">
        <v>41</v>
      </c>
      <c r="AK34" s="48" t="s">
        <v>49</v>
      </c>
      <c r="AL34" s="62" t="s">
        <v>32</v>
      </c>
      <c r="AM34" s="62" t="s">
        <v>4681</v>
      </c>
      <c r="AN34" s="59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1"/>
    </row>
    <row r="35" spans="1:52" x14ac:dyDescent="0.2">
      <c r="A35" s="33">
        <f t="shared" si="1"/>
        <v>30</v>
      </c>
      <c r="B35" s="34" t="s">
        <v>268</v>
      </c>
      <c r="C35" s="35" t="s">
        <v>269</v>
      </c>
      <c r="D35" s="36" t="s">
        <v>270</v>
      </c>
      <c r="E35" s="36" t="s">
        <v>54</v>
      </c>
      <c r="F35" s="34" t="s">
        <v>271</v>
      </c>
      <c r="G35" s="37" t="s">
        <v>56</v>
      </c>
      <c r="H35" s="37" t="s">
        <v>57</v>
      </c>
      <c r="I35" s="38" t="s">
        <v>272</v>
      </c>
      <c r="J35" s="34" t="s">
        <v>41</v>
      </c>
      <c r="K35" s="39" t="s">
        <v>42</v>
      </c>
      <c r="L35" s="40" t="s">
        <v>273</v>
      </c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2" t="s">
        <v>274</v>
      </c>
      <c r="Y35" s="52" t="s">
        <v>275</v>
      </c>
      <c r="Z35" s="44" t="s">
        <v>61</v>
      </c>
      <c r="AA35" s="45">
        <v>40280</v>
      </c>
      <c r="AB35" s="46" t="s">
        <v>30</v>
      </c>
      <c r="AC35" s="36" t="s">
        <v>26</v>
      </c>
      <c r="AD35" s="47" t="s">
        <v>49</v>
      </c>
      <c r="AE35" s="48" t="s">
        <v>49</v>
      </c>
      <c r="AF35" s="48" t="s">
        <v>49</v>
      </c>
      <c r="AG35" s="48" t="s">
        <v>49</v>
      </c>
      <c r="AH35" s="48" t="s">
        <v>49</v>
      </c>
      <c r="AI35" s="48" t="s">
        <v>41</v>
      </c>
      <c r="AJ35" s="49" t="s">
        <v>41</v>
      </c>
      <c r="AK35" s="48" t="s">
        <v>41</v>
      </c>
      <c r="AL35" s="62" t="s">
        <v>4589</v>
      </c>
      <c r="AM35" s="62"/>
      <c r="AN35" s="59"/>
      <c r="AO35" s="10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1"/>
    </row>
    <row r="36" spans="1:52" x14ac:dyDescent="0.2">
      <c r="A36" s="33">
        <f t="shared" si="1"/>
        <v>31</v>
      </c>
      <c r="B36" s="34" t="s">
        <v>277</v>
      </c>
      <c r="C36" s="35" t="s">
        <v>278</v>
      </c>
      <c r="D36" s="36" t="s">
        <v>279</v>
      </c>
      <c r="E36" s="36" t="s">
        <v>36</v>
      </c>
      <c r="F36" s="34" t="s">
        <v>280</v>
      </c>
      <c r="G36" s="37" t="s">
        <v>73</v>
      </c>
      <c r="H36" s="37" t="s">
        <v>73</v>
      </c>
      <c r="I36" s="38" t="s">
        <v>281</v>
      </c>
      <c r="J36" s="34" t="s">
        <v>41</v>
      </c>
      <c r="K36" s="39" t="s">
        <v>42</v>
      </c>
      <c r="L36" s="53" t="s">
        <v>282</v>
      </c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2" t="s">
        <v>283</v>
      </c>
      <c r="Y36" s="58" t="s">
        <v>284</v>
      </c>
      <c r="Z36" s="44" t="s">
        <v>285</v>
      </c>
      <c r="AA36" s="45">
        <v>41793</v>
      </c>
      <c r="AB36" s="46" t="s">
        <v>30</v>
      </c>
      <c r="AC36" s="36" t="s">
        <v>26</v>
      </c>
      <c r="AD36" s="47" t="s">
        <v>49</v>
      </c>
      <c r="AE36" s="48" t="s">
        <v>49</v>
      </c>
      <c r="AF36" s="48" t="s">
        <v>49</v>
      </c>
      <c r="AG36" s="48" t="s">
        <v>49</v>
      </c>
      <c r="AH36" s="48" t="s">
        <v>49</v>
      </c>
      <c r="AI36" s="48" t="s">
        <v>49</v>
      </c>
      <c r="AJ36" s="49" t="s">
        <v>49</v>
      </c>
      <c r="AK36" s="48" t="s">
        <v>49</v>
      </c>
      <c r="AL36" s="62" t="s">
        <v>32</v>
      </c>
      <c r="AM36" s="62"/>
      <c r="AN36" s="103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1"/>
    </row>
    <row r="37" spans="1:52" x14ac:dyDescent="0.2">
      <c r="A37" s="33">
        <f t="shared" si="1"/>
        <v>32</v>
      </c>
      <c r="B37" s="34" t="s">
        <v>286</v>
      </c>
      <c r="C37" s="35" t="s">
        <v>287</v>
      </c>
      <c r="D37" s="36" t="s">
        <v>288</v>
      </c>
      <c r="E37" s="36" t="s">
        <v>54</v>
      </c>
      <c r="F37" s="34" t="s">
        <v>289</v>
      </c>
      <c r="G37" s="37" t="s">
        <v>73</v>
      </c>
      <c r="H37" s="37" t="s">
        <v>73</v>
      </c>
      <c r="I37" s="38" t="s">
        <v>290</v>
      </c>
      <c r="J37" s="34" t="s">
        <v>41</v>
      </c>
      <c r="K37" s="39" t="s">
        <v>42</v>
      </c>
      <c r="L37" s="53">
        <v>40672</v>
      </c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2" t="s">
        <v>291</v>
      </c>
      <c r="Y37" s="69" t="s">
        <v>292</v>
      </c>
      <c r="Z37" s="44" t="s">
        <v>293</v>
      </c>
      <c r="AA37" s="45">
        <v>43200</v>
      </c>
      <c r="AB37" s="46" t="s">
        <v>30</v>
      </c>
      <c r="AC37" s="36" t="s">
        <v>26</v>
      </c>
      <c r="AD37" s="47" t="s">
        <v>49</v>
      </c>
      <c r="AE37" s="48" t="s">
        <v>49</v>
      </c>
      <c r="AF37" s="48" t="s">
        <v>49</v>
      </c>
      <c r="AG37" s="48" t="s">
        <v>49</v>
      </c>
      <c r="AH37" s="48" t="s">
        <v>41</v>
      </c>
      <c r="AI37" s="48" t="s">
        <v>41</v>
      </c>
      <c r="AJ37" s="49" t="s">
        <v>41</v>
      </c>
      <c r="AK37" s="48" t="s">
        <v>41</v>
      </c>
      <c r="AL37" s="62" t="s">
        <v>139</v>
      </c>
      <c r="AM37" s="62"/>
      <c r="AN37" s="59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1"/>
    </row>
    <row r="38" spans="1:52" x14ac:dyDescent="0.2">
      <c r="A38" s="33">
        <f t="shared" si="1"/>
        <v>33</v>
      </c>
      <c r="B38" s="34" t="s">
        <v>294</v>
      </c>
      <c r="C38" s="35" t="s">
        <v>295</v>
      </c>
      <c r="D38" s="36" t="s">
        <v>296</v>
      </c>
      <c r="E38" s="36" t="s">
        <v>54</v>
      </c>
      <c r="F38" s="34" t="s">
        <v>297</v>
      </c>
      <c r="G38" s="37" t="s">
        <v>252</v>
      </c>
      <c r="H38" s="37" t="s">
        <v>57</v>
      </c>
      <c r="I38" s="38" t="s">
        <v>298</v>
      </c>
      <c r="J38" s="34" t="s">
        <v>41</v>
      </c>
      <c r="K38" s="39" t="s">
        <v>42</v>
      </c>
      <c r="L38" s="53">
        <v>44845</v>
      </c>
      <c r="M38" s="41"/>
      <c r="N38" s="41"/>
      <c r="O38" s="41"/>
      <c r="P38" s="41"/>
      <c r="Q38" s="41"/>
      <c r="R38" s="41"/>
      <c r="S38" s="41" t="s">
        <v>44</v>
      </c>
      <c r="T38" s="41"/>
      <c r="U38" s="41"/>
      <c r="V38" s="41"/>
      <c r="W38" s="41"/>
      <c r="X38" s="42" t="s">
        <v>299</v>
      </c>
      <c r="Y38" s="58" t="s">
        <v>300</v>
      </c>
      <c r="Z38" s="44"/>
      <c r="AA38" s="45">
        <v>45642</v>
      </c>
      <c r="AB38" s="46"/>
      <c r="AC38" s="36"/>
      <c r="AD38" s="47" t="s">
        <v>49</v>
      </c>
      <c r="AE38" s="48" t="s">
        <v>41</v>
      </c>
      <c r="AF38" s="48" t="s">
        <v>41</v>
      </c>
      <c r="AG38" s="48" t="s">
        <v>49</v>
      </c>
      <c r="AH38" s="48" t="s">
        <v>49</v>
      </c>
      <c r="AI38" s="48" t="s">
        <v>49</v>
      </c>
      <c r="AJ38" s="49" t="s">
        <v>49</v>
      </c>
      <c r="AK38" s="48" t="s">
        <v>49</v>
      </c>
      <c r="AL38" s="62" t="s">
        <v>32</v>
      </c>
      <c r="AM38" s="62"/>
      <c r="AN38" s="59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1"/>
    </row>
    <row r="39" spans="1:52" x14ac:dyDescent="0.2">
      <c r="A39" s="33">
        <f t="shared" si="1"/>
        <v>34</v>
      </c>
      <c r="B39" s="34" t="s">
        <v>301</v>
      </c>
      <c r="C39" s="35" t="s">
        <v>302</v>
      </c>
      <c r="D39" s="36" t="s">
        <v>303</v>
      </c>
      <c r="E39" s="36" t="s">
        <v>54</v>
      </c>
      <c r="F39" s="34" t="s">
        <v>4619</v>
      </c>
      <c r="G39" s="37" t="s">
        <v>73</v>
      </c>
      <c r="H39" s="37" t="s">
        <v>73</v>
      </c>
      <c r="I39" s="38" t="s">
        <v>305</v>
      </c>
      <c r="J39" s="38" t="s">
        <v>306</v>
      </c>
      <c r="K39" s="39" t="s">
        <v>42</v>
      </c>
      <c r="L39" s="40" t="s">
        <v>307</v>
      </c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2" t="s">
        <v>308</v>
      </c>
      <c r="Y39" s="310" t="s">
        <v>4620</v>
      </c>
      <c r="Z39" s="44" t="s">
        <v>61</v>
      </c>
      <c r="AA39" s="45">
        <v>40280</v>
      </c>
      <c r="AB39" s="46" t="s">
        <v>30</v>
      </c>
      <c r="AC39" s="36" t="s">
        <v>26</v>
      </c>
      <c r="AD39" s="64" t="s">
        <v>120</v>
      </c>
      <c r="AE39" s="48" t="s">
        <v>120</v>
      </c>
      <c r="AF39" s="48" t="s">
        <v>120</v>
      </c>
      <c r="AG39" s="48" t="s">
        <v>120</v>
      </c>
      <c r="AH39" s="48" t="s">
        <v>120</v>
      </c>
      <c r="AI39" s="48" t="s">
        <v>120</v>
      </c>
      <c r="AJ39" s="49" t="s">
        <v>120</v>
      </c>
      <c r="AK39" s="48" t="s">
        <v>120</v>
      </c>
      <c r="AL39" s="62" t="s">
        <v>32</v>
      </c>
      <c r="AM39" s="62"/>
      <c r="AN39" s="59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1"/>
    </row>
    <row r="40" spans="1:52" x14ac:dyDescent="0.2">
      <c r="A40" s="33">
        <f t="shared" si="1"/>
        <v>35</v>
      </c>
      <c r="B40" s="34" t="s">
        <v>310</v>
      </c>
      <c r="C40" s="35" t="s">
        <v>311</v>
      </c>
      <c r="D40" s="104" t="s">
        <v>312</v>
      </c>
      <c r="E40" s="36" t="s">
        <v>54</v>
      </c>
      <c r="F40" s="34" t="s">
        <v>313</v>
      </c>
      <c r="G40" s="37" t="s">
        <v>214</v>
      </c>
      <c r="H40" s="37" t="s">
        <v>205</v>
      </c>
      <c r="I40" s="57" t="s">
        <v>314</v>
      </c>
      <c r="J40" s="34" t="s">
        <v>315</v>
      </c>
      <c r="K40" s="39" t="s">
        <v>42</v>
      </c>
      <c r="L40" s="40" t="s">
        <v>316</v>
      </c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2" t="s">
        <v>317</v>
      </c>
      <c r="Y40" s="321" t="s">
        <v>318</v>
      </c>
      <c r="Z40" s="44" t="s">
        <v>61</v>
      </c>
      <c r="AA40" s="45">
        <v>40815</v>
      </c>
      <c r="AB40" s="46" t="s">
        <v>30</v>
      </c>
      <c r="AC40" s="36" t="s">
        <v>26</v>
      </c>
      <c r="AD40" s="47" t="s">
        <v>49</v>
      </c>
      <c r="AE40" s="48" t="s">
        <v>49</v>
      </c>
      <c r="AF40" s="48" t="s">
        <v>49</v>
      </c>
      <c r="AG40" s="48" t="s">
        <v>49</v>
      </c>
      <c r="AH40" s="48" t="s">
        <v>49</v>
      </c>
      <c r="AI40" s="48" t="s">
        <v>49</v>
      </c>
      <c r="AJ40" s="49" t="s">
        <v>49</v>
      </c>
      <c r="AK40" s="48" t="s">
        <v>49</v>
      </c>
      <c r="AL40" s="62" t="s">
        <v>32</v>
      </c>
      <c r="AM40" s="62"/>
      <c r="AN40" s="59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1"/>
    </row>
    <row r="41" spans="1:52" x14ac:dyDescent="0.2">
      <c r="A41" s="33">
        <f t="shared" si="1"/>
        <v>36</v>
      </c>
      <c r="B41" s="34" t="s">
        <v>319</v>
      </c>
      <c r="C41" s="35" t="s">
        <v>320</v>
      </c>
      <c r="D41" s="36" t="s">
        <v>321</v>
      </c>
      <c r="E41" s="36" t="s">
        <v>54</v>
      </c>
      <c r="F41" s="34" t="s">
        <v>322</v>
      </c>
      <c r="G41" s="37" t="s">
        <v>323</v>
      </c>
      <c r="H41" s="37" t="s">
        <v>39</v>
      </c>
      <c r="I41" s="54" t="s">
        <v>324</v>
      </c>
      <c r="J41" s="34" t="s">
        <v>41</v>
      </c>
      <c r="K41" s="39" t="s">
        <v>42</v>
      </c>
      <c r="L41" s="53" t="s">
        <v>325</v>
      </c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42" t="s">
        <v>326</v>
      </c>
      <c r="Y41" s="58" t="s">
        <v>327</v>
      </c>
      <c r="Z41" s="44" t="s">
        <v>328</v>
      </c>
      <c r="AA41" s="45">
        <v>43200</v>
      </c>
      <c r="AB41" s="46" t="s">
        <v>30</v>
      </c>
      <c r="AC41" s="36" t="s">
        <v>26</v>
      </c>
      <c r="AD41" s="47" t="s">
        <v>49</v>
      </c>
      <c r="AE41" s="48" t="s">
        <v>49</v>
      </c>
      <c r="AF41" s="48" t="s">
        <v>49</v>
      </c>
      <c r="AG41" s="48" t="s">
        <v>49</v>
      </c>
      <c r="AH41" s="48" t="s">
        <v>49</v>
      </c>
      <c r="AI41" s="48" t="s">
        <v>49</v>
      </c>
      <c r="AJ41" s="49" t="s">
        <v>49</v>
      </c>
      <c r="AK41" s="48" t="s">
        <v>49</v>
      </c>
      <c r="AL41" s="65" t="s">
        <v>32</v>
      </c>
      <c r="AM41" s="65"/>
      <c r="AN41" s="59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1"/>
    </row>
    <row r="42" spans="1:52" x14ac:dyDescent="0.2">
      <c r="A42" s="33">
        <f t="shared" si="1"/>
        <v>37</v>
      </c>
      <c r="B42" s="34" t="s">
        <v>329</v>
      </c>
      <c r="C42" s="35" t="s">
        <v>330</v>
      </c>
      <c r="D42" s="105" t="s">
        <v>331</v>
      </c>
      <c r="E42" s="36" t="s">
        <v>54</v>
      </c>
      <c r="F42" s="34" t="s">
        <v>332</v>
      </c>
      <c r="G42" s="37" t="s">
        <v>38</v>
      </c>
      <c r="H42" s="37" t="s">
        <v>39</v>
      </c>
      <c r="I42" s="34" t="s">
        <v>333</v>
      </c>
      <c r="J42" s="34" t="s">
        <v>41</v>
      </c>
      <c r="K42" s="39" t="s">
        <v>42</v>
      </c>
      <c r="L42" s="53">
        <v>37202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57" t="s">
        <v>334</v>
      </c>
      <c r="Y42" s="58" t="s">
        <v>335</v>
      </c>
      <c r="Z42" s="44"/>
      <c r="AA42" s="45"/>
      <c r="AB42" s="46"/>
      <c r="AC42" s="36" t="s">
        <v>26</v>
      </c>
      <c r="AD42" s="47" t="s">
        <v>49</v>
      </c>
      <c r="AE42" s="48" t="s">
        <v>49</v>
      </c>
      <c r="AF42" s="48" t="s">
        <v>49</v>
      </c>
      <c r="AG42" s="48" t="s">
        <v>49</v>
      </c>
      <c r="AH42" s="48" t="s">
        <v>49</v>
      </c>
      <c r="AI42" s="48" t="s">
        <v>49</v>
      </c>
      <c r="AJ42" s="49" t="s">
        <v>49</v>
      </c>
      <c r="AK42" s="48" t="s">
        <v>41</v>
      </c>
      <c r="AL42" s="62" t="s">
        <v>148</v>
      </c>
      <c r="AM42" s="62"/>
      <c r="AN42" s="59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1"/>
    </row>
    <row r="43" spans="1:52" x14ac:dyDescent="0.2">
      <c r="A43" s="33">
        <f t="shared" si="1"/>
        <v>38</v>
      </c>
      <c r="B43" s="34" t="s">
        <v>336</v>
      </c>
      <c r="C43" s="35" t="s">
        <v>337</v>
      </c>
      <c r="D43" s="36" t="s">
        <v>338</v>
      </c>
      <c r="E43" s="36" t="s">
        <v>54</v>
      </c>
      <c r="F43" s="34" t="s">
        <v>339</v>
      </c>
      <c r="G43" s="37" t="s">
        <v>73</v>
      </c>
      <c r="H43" s="37" t="s">
        <v>73</v>
      </c>
      <c r="I43" s="38" t="s">
        <v>340</v>
      </c>
      <c r="J43" s="34" t="s">
        <v>41</v>
      </c>
      <c r="K43" s="39" t="s">
        <v>42</v>
      </c>
      <c r="L43" s="53">
        <v>45237</v>
      </c>
      <c r="M43" s="41"/>
      <c r="N43" s="70"/>
      <c r="O43" s="70"/>
      <c r="P43" s="70"/>
      <c r="Q43" s="70"/>
      <c r="R43" s="70"/>
      <c r="S43" s="70"/>
      <c r="T43" s="70" t="s">
        <v>44</v>
      </c>
      <c r="U43" s="70"/>
      <c r="V43" s="70"/>
      <c r="W43" s="70"/>
      <c r="X43" s="54" t="s">
        <v>343</v>
      </c>
      <c r="Y43" s="58" t="s">
        <v>344</v>
      </c>
      <c r="Z43" s="58"/>
      <c r="AA43" s="45">
        <v>45642</v>
      </c>
      <c r="AB43" s="46"/>
      <c r="AC43" s="36"/>
      <c r="AD43" s="47" t="s">
        <v>49</v>
      </c>
      <c r="AE43" s="48" t="s">
        <v>41</v>
      </c>
      <c r="AF43" s="48" t="s">
        <v>41</v>
      </c>
      <c r="AG43" s="48" t="s">
        <v>41</v>
      </c>
      <c r="AH43" s="48" t="s">
        <v>49</v>
      </c>
      <c r="AI43" s="48" t="s">
        <v>49</v>
      </c>
      <c r="AJ43" s="49" t="s">
        <v>49</v>
      </c>
      <c r="AK43" s="48" t="s">
        <v>49</v>
      </c>
      <c r="AL43" s="62" t="s">
        <v>32</v>
      </c>
      <c r="AM43" s="62"/>
      <c r="AN43" s="59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1"/>
    </row>
    <row r="44" spans="1:52" x14ac:dyDescent="0.2">
      <c r="A44" s="33">
        <f t="shared" si="1"/>
        <v>39</v>
      </c>
      <c r="B44" s="34" t="s">
        <v>345</v>
      </c>
      <c r="C44" s="35" t="s">
        <v>346</v>
      </c>
      <c r="D44" s="36" t="s">
        <v>347</v>
      </c>
      <c r="E44" s="36" t="s">
        <v>54</v>
      </c>
      <c r="F44" s="106" t="s">
        <v>348</v>
      </c>
      <c r="G44" s="37" t="s">
        <v>349</v>
      </c>
      <c r="H44" s="37" t="s">
        <v>350</v>
      </c>
      <c r="I44" s="38" t="s">
        <v>351</v>
      </c>
      <c r="J44" s="34" t="s">
        <v>41</v>
      </c>
      <c r="K44" s="39" t="s">
        <v>42</v>
      </c>
      <c r="L44" s="53" t="s">
        <v>352</v>
      </c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42" t="s">
        <v>353</v>
      </c>
      <c r="Y44" s="85" t="s">
        <v>354</v>
      </c>
      <c r="Z44" s="44" t="s">
        <v>355</v>
      </c>
      <c r="AA44" s="45">
        <v>42935</v>
      </c>
      <c r="AB44" s="46" t="s">
        <v>129</v>
      </c>
      <c r="AC44" s="36" t="s">
        <v>26</v>
      </c>
      <c r="AD44" s="47" t="s">
        <v>49</v>
      </c>
      <c r="AE44" s="48" t="s">
        <v>49</v>
      </c>
      <c r="AF44" s="48" t="s">
        <v>49</v>
      </c>
      <c r="AG44" s="48" t="s">
        <v>49</v>
      </c>
      <c r="AH44" s="48" t="s">
        <v>49</v>
      </c>
      <c r="AI44" s="48" t="s">
        <v>49</v>
      </c>
      <c r="AJ44" s="49" t="s">
        <v>49</v>
      </c>
      <c r="AK44" s="48" t="s">
        <v>49</v>
      </c>
      <c r="AL44" s="62" t="s">
        <v>32</v>
      </c>
      <c r="AM44" s="62"/>
      <c r="AN44" s="59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1"/>
    </row>
    <row r="45" spans="1:52" x14ac:dyDescent="0.2">
      <c r="A45" s="33">
        <f t="shared" si="1"/>
        <v>40</v>
      </c>
      <c r="B45" s="34" t="s">
        <v>356</v>
      </c>
      <c r="C45" s="35" t="s">
        <v>357</v>
      </c>
      <c r="D45" s="36" t="s">
        <v>358</v>
      </c>
      <c r="E45" s="36" t="s">
        <v>54</v>
      </c>
      <c r="F45" s="87" t="s">
        <v>359</v>
      </c>
      <c r="G45" s="37" t="s">
        <v>360</v>
      </c>
      <c r="H45" s="37" t="s">
        <v>350</v>
      </c>
      <c r="I45" s="34" t="s">
        <v>361</v>
      </c>
      <c r="J45" s="34" t="s">
        <v>41</v>
      </c>
      <c r="K45" s="39" t="s">
        <v>42</v>
      </c>
      <c r="L45" s="53">
        <v>37718</v>
      </c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42" t="s">
        <v>362</v>
      </c>
      <c r="Y45" s="52" t="s">
        <v>363</v>
      </c>
      <c r="Z45" s="44" t="s">
        <v>61</v>
      </c>
      <c r="AA45" s="45">
        <v>37877</v>
      </c>
      <c r="AB45" s="46" t="s">
        <v>30</v>
      </c>
      <c r="AC45" s="36" t="s">
        <v>26</v>
      </c>
      <c r="AD45" s="47" t="s">
        <v>49</v>
      </c>
      <c r="AE45" s="48" t="s">
        <v>49</v>
      </c>
      <c r="AF45" s="48" t="s">
        <v>49</v>
      </c>
      <c r="AG45" s="48" t="s">
        <v>49</v>
      </c>
      <c r="AH45" s="48" t="s">
        <v>49</v>
      </c>
      <c r="AI45" s="48" t="s">
        <v>49</v>
      </c>
      <c r="AJ45" s="49" t="s">
        <v>49</v>
      </c>
      <c r="AK45" s="48" t="s">
        <v>49</v>
      </c>
      <c r="AL45" s="62" t="s">
        <v>32</v>
      </c>
      <c r="AM45" s="62"/>
      <c r="AN45" s="59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1"/>
    </row>
    <row r="46" spans="1:52" x14ac:dyDescent="0.2">
      <c r="A46" s="33">
        <f t="shared" si="1"/>
        <v>41</v>
      </c>
      <c r="B46" s="107" t="s">
        <v>364</v>
      </c>
      <c r="C46" s="35" t="s">
        <v>365</v>
      </c>
      <c r="D46" s="36" t="s">
        <v>366</v>
      </c>
      <c r="E46" s="36" t="s">
        <v>54</v>
      </c>
      <c r="F46" s="34" t="s">
        <v>367</v>
      </c>
      <c r="G46" s="37" t="s">
        <v>243</v>
      </c>
      <c r="H46" s="37" t="s">
        <v>205</v>
      </c>
      <c r="I46" s="34" t="s">
        <v>368</v>
      </c>
      <c r="J46" s="34" t="s">
        <v>41</v>
      </c>
      <c r="K46" s="39" t="s">
        <v>42</v>
      </c>
      <c r="L46" s="40" t="s">
        <v>369</v>
      </c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2" t="s">
        <v>370</v>
      </c>
      <c r="Y46" s="100" t="s">
        <v>371</v>
      </c>
      <c r="Z46" s="44" t="s">
        <v>372</v>
      </c>
      <c r="AA46" s="45">
        <v>42966</v>
      </c>
      <c r="AB46" s="46" t="s">
        <v>30</v>
      </c>
      <c r="AC46" s="36" t="s">
        <v>26</v>
      </c>
      <c r="AD46" s="47" t="s">
        <v>49</v>
      </c>
      <c r="AE46" s="48" t="s">
        <v>49</v>
      </c>
      <c r="AF46" s="48" t="s">
        <v>49</v>
      </c>
      <c r="AG46" s="48" t="s">
        <v>41</v>
      </c>
      <c r="AH46" s="48" t="s">
        <v>41</v>
      </c>
      <c r="AI46" s="48" t="s">
        <v>41</v>
      </c>
      <c r="AJ46" s="49" t="s">
        <v>41</v>
      </c>
      <c r="AK46" s="48" t="s">
        <v>41</v>
      </c>
      <c r="AL46" s="62" t="s">
        <v>110</v>
      </c>
      <c r="AM46" s="62"/>
      <c r="AN46" s="59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1"/>
    </row>
    <row r="47" spans="1:52" x14ac:dyDescent="0.2">
      <c r="A47" s="33">
        <f t="shared" si="1"/>
        <v>42</v>
      </c>
      <c r="B47" s="34" t="s">
        <v>373</v>
      </c>
      <c r="C47" s="35" t="s">
        <v>374</v>
      </c>
      <c r="D47" s="36" t="s">
        <v>375</v>
      </c>
      <c r="E47" s="36" t="s">
        <v>54</v>
      </c>
      <c r="F47" s="34" t="s">
        <v>376</v>
      </c>
      <c r="G47" s="37" t="s">
        <v>377</v>
      </c>
      <c r="H47" s="37" t="s">
        <v>378</v>
      </c>
      <c r="I47" s="38" t="s">
        <v>379</v>
      </c>
      <c r="J47" s="34" t="s">
        <v>380</v>
      </c>
      <c r="K47" s="39" t="s">
        <v>42</v>
      </c>
      <c r="L47" s="53" t="s">
        <v>381</v>
      </c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42" t="s">
        <v>4642</v>
      </c>
      <c r="Y47" s="43" t="s">
        <v>383</v>
      </c>
      <c r="Z47" s="44" t="s">
        <v>384</v>
      </c>
      <c r="AA47" s="45">
        <v>42935</v>
      </c>
      <c r="AB47" s="46" t="s">
        <v>30</v>
      </c>
      <c r="AC47" s="36" t="s">
        <v>26</v>
      </c>
      <c r="AD47" s="47" t="s">
        <v>49</v>
      </c>
      <c r="AE47" s="48" t="s">
        <v>49</v>
      </c>
      <c r="AF47" s="48" t="s">
        <v>49</v>
      </c>
      <c r="AG47" s="48" t="s">
        <v>49</v>
      </c>
      <c r="AH47" s="48" t="s">
        <v>49</v>
      </c>
      <c r="AI47" s="48" t="s">
        <v>49</v>
      </c>
      <c r="AJ47" s="49" t="s">
        <v>49</v>
      </c>
      <c r="AK47" s="48" t="s">
        <v>49</v>
      </c>
      <c r="AL47" s="62" t="s">
        <v>32</v>
      </c>
      <c r="AM47" s="62"/>
      <c r="AN47" s="59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1"/>
    </row>
    <row r="48" spans="1:52" x14ac:dyDescent="0.2">
      <c r="A48" s="33">
        <f t="shared" si="1"/>
        <v>43</v>
      </c>
      <c r="B48" s="34" t="s">
        <v>385</v>
      </c>
      <c r="C48" s="35" t="s">
        <v>386</v>
      </c>
      <c r="D48" s="36" t="s">
        <v>387</v>
      </c>
      <c r="E48" s="36" t="s">
        <v>54</v>
      </c>
      <c r="F48" s="34" t="s">
        <v>388</v>
      </c>
      <c r="G48" s="37" t="s">
        <v>73</v>
      </c>
      <c r="H48" s="37" t="s">
        <v>73</v>
      </c>
      <c r="I48" s="34" t="s">
        <v>389</v>
      </c>
      <c r="J48" s="34" t="s">
        <v>380</v>
      </c>
      <c r="K48" s="39" t="s">
        <v>42</v>
      </c>
      <c r="L48" s="40" t="s">
        <v>390</v>
      </c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42" t="s">
        <v>391</v>
      </c>
      <c r="Y48" s="52" t="s">
        <v>392</v>
      </c>
      <c r="Z48" s="44" t="s">
        <v>393</v>
      </c>
      <c r="AA48" s="45">
        <v>43200</v>
      </c>
      <c r="AB48" s="46" t="s">
        <v>30</v>
      </c>
      <c r="AC48" s="36" t="s">
        <v>26</v>
      </c>
      <c r="AD48" s="47" t="s">
        <v>49</v>
      </c>
      <c r="AE48" s="48" t="s">
        <v>49</v>
      </c>
      <c r="AF48" s="48" t="s">
        <v>49</v>
      </c>
      <c r="AG48" s="48" t="s">
        <v>49</v>
      </c>
      <c r="AH48" s="48" t="s">
        <v>49</v>
      </c>
      <c r="AI48" s="48" t="s">
        <v>49</v>
      </c>
      <c r="AJ48" s="49" t="s">
        <v>49</v>
      </c>
      <c r="AK48" s="48" t="s">
        <v>49</v>
      </c>
      <c r="AL48" s="62" t="s">
        <v>32</v>
      </c>
      <c r="AM48" s="62"/>
      <c r="AN48" s="59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1"/>
    </row>
    <row r="49" spans="1:52" x14ac:dyDescent="0.2">
      <c r="A49" s="33">
        <f t="shared" si="1"/>
        <v>44</v>
      </c>
      <c r="B49" s="108" t="s">
        <v>394</v>
      </c>
      <c r="C49" s="35" t="s">
        <v>395</v>
      </c>
      <c r="D49" s="109" t="s">
        <v>396</v>
      </c>
      <c r="E49" s="36" t="s">
        <v>36</v>
      </c>
      <c r="F49" s="108" t="s">
        <v>397</v>
      </c>
      <c r="G49" s="37" t="s">
        <v>398</v>
      </c>
      <c r="H49" s="37" t="s">
        <v>205</v>
      </c>
      <c r="I49" s="108" t="s">
        <v>399</v>
      </c>
      <c r="J49" s="34" t="s">
        <v>41</v>
      </c>
      <c r="K49" s="39" t="s">
        <v>42</v>
      </c>
      <c r="L49" s="53">
        <v>40399</v>
      </c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2" t="s">
        <v>400</v>
      </c>
      <c r="Y49" s="69" t="s">
        <v>401</v>
      </c>
      <c r="Z49" s="44" t="s">
        <v>61</v>
      </c>
      <c r="AA49" s="45">
        <v>40815</v>
      </c>
      <c r="AB49" s="46" t="s">
        <v>30</v>
      </c>
      <c r="AC49" s="109" t="s">
        <v>26</v>
      </c>
      <c r="AD49" s="47" t="s">
        <v>49</v>
      </c>
      <c r="AE49" s="48" t="s">
        <v>49</v>
      </c>
      <c r="AF49" s="48" t="s">
        <v>49</v>
      </c>
      <c r="AG49" s="48" t="s">
        <v>49</v>
      </c>
      <c r="AH49" s="48" t="s">
        <v>49</v>
      </c>
      <c r="AI49" s="48" t="s">
        <v>49</v>
      </c>
      <c r="AJ49" s="49" t="s">
        <v>49</v>
      </c>
      <c r="AK49" s="48" t="s">
        <v>49</v>
      </c>
      <c r="AL49" s="62" t="s">
        <v>32</v>
      </c>
      <c r="AM49" s="62"/>
      <c r="AN49" s="59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1"/>
    </row>
    <row r="50" spans="1:52" x14ac:dyDescent="0.2">
      <c r="A50" s="33">
        <f t="shared" si="1"/>
        <v>45</v>
      </c>
      <c r="B50" s="107" t="s">
        <v>402</v>
      </c>
      <c r="C50" s="35" t="s">
        <v>403</v>
      </c>
      <c r="D50" s="36" t="s">
        <v>404</v>
      </c>
      <c r="E50" s="36" t="s">
        <v>54</v>
      </c>
      <c r="F50" s="87" t="s">
        <v>405</v>
      </c>
      <c r="G50" s="37" t="s">
        <v>73</v>
      </c>
      <c r="H50" s="37" t="s">
        <v>73</v>
      </c>
      <c r="I50" s="38" t="s">
        <v>406</v>
      </c>
      <c r="J50" s="34" t="s">
        <v>41</v>
      </c>
      <c r="K50" s="39" t="s">
        <v>42</v>
      </c>
      <c r="L50" s="53">
        <v>36895</v>
      </c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2" t="s">
        <v>407</v>
      </c>
      <c r="Y50" s="58" t="s">
        <v>408</v>
      </c>
      <c r="Z50" s="44" t="s">
        <v>61</v>
      </c>
      <c r="AA50" s="45">
        <v>40280</v>
      </c>
      <c r="AB50" s="46" t="s">
        <v>30</v>
      </c>
      <c r="AC50" s="36"/>
      <c r="AD50" s="47" t="s">
        <v>49</v>
      </c>
      <c r="AE50" s="48" t="s">
        <v>41</v>
      </c>
      <c r="AF50" s="48" t="s">
        <v>41</v>
      </c>
      <c r="AG50" s="48" t="s">
        <v>41</v>
      </c>
      <c r="AH50" s="48" t="s">
        <v>41</v>
      </c>
      <c r="AI50" s="48" t="s">
        <v>41</v>
      </c>
      <c r="AJ50" s="49" t="s">
        <v>41</v>
      </c>
      <c r="AK50" s="48" t="s">
        <v>41</v>
      </c>
      <c r="AL50" s="65" t="s">
        <v>4590</v>
      </c>
      <c r="AM50" s="65"/>
      <c r="AN50" s="59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1"/>
    </row>
    <row r="51" spans="1:52" x14ac:dyDescent="0.2">
      <c r="A51" s="33">
        <f t="shared" si="1"/>
        <v>46</v>
      </c>
      <c r="B51" s="108" t="s">
        <v>409</v>
      </c>
      <c r="C51" s="35" t="s">
        <v>410</v>
      </c>
      <c r="D51" s="36" t="s">
        <v>411</v>
      </c>
      <c r="E51" s="36" t="s">
        <v>36</v>
      </c>
      <c r="F51" s="34" t="s">
        <v>412</v>
      </c>
      <c r="G51" s="37" t="s">
        <v>413</v>
      </c>
      <c r="H51" s="37" t="s">
        <v>378</v>
      </c>
      <c r="I51" s="38" t="s">
        <v>414</v>
      </c>
      <c r="J51" s="38" t="s">
        <v>415</v>
      </c>
      <c r="K51" s="39" t="s">
        <v>42</v>
      </c>
      <c r="L51" s="53" t="s">
        <v>416</v>
      </c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42" t="s">
        <v>417</v>
      </c>
      <c r="Y51" s="58" t="s">
        <v>418</v>
      </c>
      <c r="Z51" s="44" t="s">
        <v>419</v>
      </c>
      <c r="AA51" s="45">
        <v>42935</v>
      </c>
      <c r="AB51" s="46" t="s">
        <v>129</v>
      </c>
      <c r="AC51" s="36">
        <v>1</v>
      </c>
      <c r="AD51" s="47" t="s">
        <v>49</v>
      </c>
      <c r="AE51" s="48" t="s">
        <v>41</v>
      </c>
      <c r="AF51" s="48" t="s">
        <v>41</v>
      </c>
      <c r="AG51" s="48" t="s">
        <v>41</v>
      </c>
      <c r="AH51" s="48" t="s">
        <v>41</v>
      </c>
      <c r="AI51" s="48" t="s">
        <v>41</v>
      </c>
      <c r="AJ51" s="49" t="s">
        <v>41</v>
      </c>
      <c r="AK51" s="48" t="s">
        <v>41</v>
      </c>
      <c r="AL51" s="110" t="s">
        <v>4591</v>
      </c>
      <c r="AM51" s="110"/>
      <c r="AN51" s="59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1"/>
    </row>
    <row r="52" spans="1:52" x14ac:dyDescent="0.2">
      <c r="A52" s="33">
        <f t="shared" si="1"/>
        <v>47</v>
      </c>
      <c r="B52" s="34" t="s">
        <v>420</v>
      </c>
      <c r="C52" s="35" t="s">
        <v>421</v>
      </c>
      <c r="D52" s="36" t="s">
        <v>422</v>
      </c>
      <c r="E52" s="36" t="s">
        <v>54</v>
      </c>
      <c r="F52" s="34" t="s">
        <v>423</v>
      </c>
      <c r="G52" s="37" t="s">
        <v>73</v>
      </c>
      <c r="H52" s="37" t="s">
        <v>73</v>
      </c>
      <c r="I52" s="107" t="s">
        <v>424</v>
      </c>
      <c r="J52" s="34" t="s">
        <v>425</v>
      </c>
      <c r="K52" s="39" t="s">
        <v>42</v>
      </c>
      <c r="L52" s="53">
        <v>40360</v>
      </c>
      <c r="M52" s="41"/>
      <c r="N52" s="111"/>
      <c r="O52" s="112"/>
      <c r="P52" s="111"/>
      <c r="Q52" s="112"/>
      <c r="R52" s="112"/>
      <c r="S52" s="112"/>
      <c r="T52" s="41"/>
      <c r="U52" s="41"/>
      <c r="V52" s="41"/>
      <c r="W52" s="41"/>
      <c r="X52" s="42" t="s">
        <v>426</v>
      </c>
      <c r="Y52" s="43" t="s">
        <v>427</v>
      </c>
      <c r="Z52" s="44" t="s">
        <v>61</v>
      </c>
      <c r="AA52" s="45">
        <v>40815</v>
      </c>
      <c r="AB52" s="46" t="s">
        <v>30</v>
      </c>
      <c r="AC52" s="36" t="s">
        <v>26</v>
      </c>
      <c r="AD52" s="64" t="s">
        <v>120</v>
      </c>
      <c r="AE52" s="48" t="s">
        <v>120</v>
      </c>
      <c r="AF52" s="48" t="s">
        <v>120</v>
      </c>
      <c r="AG52" s="48" t="s">
        <v>120</v>
      </c>
      <c r="AH52" s="48" t="s">
        <v>120</v>
      </c>
      <c r="AI52" s="48" t="s">
        <v>120</v>
      </c>
      <c r="AJ52" s="49" t="s">
        <v>120</v>
      </c>
      <c r="AK52" s="48" t="s">
        <v>120</v>
      </c>
      <c r="AL52" s="65" t="s">
        <v>32</v>
      </c>
      <c r="AM52" s="65"/>
      <c r="AN52" s="59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1"/>
    </row>
    <row r="53" spans="1:52" x14ac:dyDescent="0.2">
      <c r="A53" s="33">
        <f t="shared" si="1"/>
        <v>48</v>
      </c>
      <c r="B53" s="34" t="s">
        <v>428</v>
      </c>
      <c r="C53" s="35" t="s">
        <v>429</v>
      </c>
      <c r="D53" s="36" t="s">
        <v>430</v>
      </c>
      <c r="E53" s="36" t="s">
        <v>54</v>
      </c>
      <c r="F53" s="34" t="s">
        <v>431</v>
      </c>
      <c r="G53" s="37" t="s">
        <v>38</v>
      </c>
      <c r="H53" s="37" t="s">
        <v>39</v>
      </c>
      <c r="I53" s="113" t="s">
        <v>432</v>
      </c>
      <c r="J53" s="34" t="s">
        <v>41</v>
      </c>
      <c r="K53" s="39" t="s">
        <v>42</v>
      </c>
      <c r="L53" s="40" t="s">
        <v>433</v>
      </c>
      <c r="M53" s="56"/>
      <c r="N53" s="114"/>
      <c r="O53" s="115"/>
      <c r="P53" s="56"/>
      <c r="Q53" s="115"/>
      <c r="R53" s="115"/>
      <c r="S53" s="115"/>
      <c r="T53" s="56"/>
      <c r="U53" s="56"/>
      <c r="V53" s="56"/>
      <c r="W53" s="56"/>
      <c r="X53" s="42" t="s">
        <v>434</v>
      </c>
      <c r="Y53" s="69" t="s">
        <v>435</v>
      </c>
      <c r="Z53" s="44" t="s">
        <v>61</v>
      </c>
      <c r="AA53" s="45">
        <v>39286</v>
      </c>
      <c r="AB53" s="46" t="s">
        <v>30</v>
      </c>
      <c r="AC53" s="36" t="s">
        <v>26</v>
      </c>
      <c r="AD53" s="47" t="s">
        <v>49</v>
      </c>
      <c r="AE53" s="48" t="s">
        <v>49</v>
      </c>
      <c r="AF53" s="48" t="s">
        <v>49</v>
      </c>
      <c r="AG53" s="48" t="s">
        <v>49</v>
      </c>
      <c r="AH53" s="48" t="s">
        <v>49</v>
      </c>
      <c r="AI53" s="48" t="s">
        <v>49</v>
      </c>
      <c r="AJ53" s="49" t="s">
        <v>49</v>
      </c>
      <c r="AK53" s="48" t="s">
        <v>49</v>
      </c>
      <c r="AL53" s="62" t="s">
        <v>32</v>
      </c>
      <c r="AM53" s="62"/>
      <c r="AN53" s="59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1"/>
    </row>
    <row r="54" spans="1:52" x14ac:dyDescent="0.2">
      <c r="A54" s="33">
        <f t="shared" si="1"/>
        <v>49</v>
      </c>
      <c r="B54" s="34" t="s">
        <v>436</v>
      </c>
      <c r="C54" s="35" t="s">
        <v>437</v>
      </c>
      <c r="D54" s="36" t="s">
        <v>438</v>
      </c>
      <c r="E54" s="36" t="s">
        <v>54</v>
      </c>
      <c r="F54" s="34" t="s">
        <v>439</v>
      </c>
      <c r="G54" s="37" t="s">
        <v>377</v>
      </c>
      <c r="H54" s="37" t="s">
        <v>378</v>
      </c>
      <c r="I54" s="113" t="s">
        <v>440</v>
      </c>
      <c r="J54" s="34" t="s">
        <v>41</v>
      </c>
      <c r="K54" s="39" t="s">
        <v>42</v>
      </c>
      <c r="L54" s="53">
        <v>45244</v>
      </c>
      <c r="M54" s="56"/>
      <c r="N54" s="114"/>
      <c r="O54" s="115"/>
      <c r="P54" s="114"/>
      <c r="Q54" s="115"/>
      <c r="R54" s="115"/>
      <c r="S54" s="115"/>
      <c r="T54" s="56" t="s">
        <v>44</v>
      </c>
      <c r="U54" s="56"/>
      <c r="V54" s="56"/>
      <c r="W54" s="56"/>
      <c r="X54" s="42" t="s">
        <v>441</v>
      </c>
      <c r="Y54" s="83" t="s">
        <v>442</v>
      </c>
      <c r="Z54" s="44"/>
      <c r="AA54" s="45">
        <v>45642</v>
      </c>
      <c r="AB54" s="46"/>
      <c r="AC54" s="36"/>
      <c r="AD54" s="47" t="s">
        <v>49</v>
      </c>
      <c r="AE54" s="48" t="s">
        <v>41</v>
      </c>
      <c r="AF54" s="48" t="s">
        <v>41</v>
      </c>
      <c r="AG54" s="48" t="s">
        <v>41</v>
      </c>
      <c r="AH54" s="48" t="s">
        <v>49</v>
      </c>
      <c r="AI54" s="48" t="s">
        <v>49</v>
      </c>
      <c r="AJ54" s="49" t="s">
        <v>49</v>
      </c>
      <c r="AK54" s="48" t="s">
        <v>49</v>
      </c>
      <c r="AL54" s="62" t="s">
        <v>32</v>
      </c>
      <c r="AM54" s="62"/>
      <c r="AN54" s="59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1"/>
    </row>
    <row r="55" spans="1:52" x14ac:dyDescent="0.2">
      <c r="A55" s="33">
        <f t="shared" si="1"/>
        <v>50</v>
      </c>
      <c r="B55" s="34" t="s">
        <v>443</v>
      </c>
      <c r="C55" s="35" t="s">
        <v>444</v>
      </c>
      <c r="D55" s="36" t="s">
        <v>445</v>
      </c>
      <c r="E55" s="36" t="s">
        <v>36</v>
      </c>
      <c r="F55" s="34" t="s">
        <v>446</v>
      </c>
      <c r="G55" s="37" t="s">
        <v>360</v>
      </c>
      <c r="H55" s="37" t="s">
        <v>350</v>
      </c>
      <c r="I55" s="38" t="s">
        <v>447</v>
      </c>
      <c r="J55" s="34" t="s">
        <v>41</v>
      </c>
      <c r="K55" s="39" t="s">
        <v>42</v>
      </c>
      <c r="L55" s="53">
        <v>40670</v>
      </c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42" t="s">
        <v>448</v>
      </c>
      <c r="Y55" s="58" t="s">
        <v>449</v>
      </c>
      <c r="Z55" s="44" t="s">
        <v>450</v>
      </c>
      <c r="AA55" s="45">
        <v>42325</v>
      </c>
      <c r="AB55" s="46" t="s">
        <v>30</v>
      </c>
      <c r="AC55" s="36">
        <v>1</v>
      </c>
      <c r="AD55" s="47" t="s">
        <v>49</v>
      </c>
      <c r="AE55" s="48" t="s">
        <v>41</v>
      </c>
      <c r="AF55" s="48" t="s">
        <v>41</v>
      </c>
      <c r="AG55" s="48" t="s">
        <v>41</v>
      </c>
      <c r="AH55" s="48" t="s">
        <v>41</v>
      </c>
      <c r="AI55" s="48" t="s">
        <v>41</v>
      </c>
      <c r="AJ55" s="49" t="s">
        <v>41</v>
      </c>
      <c r="AK55" s="48" t="s">
        <v>41</v>
      </c>
      <c r="AL55" s="65">
        <v>9</v>
      </c>
      <c r="AM55" s="65"/>
      <c r="AN55" s="59" t="s">
        <v>451</v>
      </c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1"/>
    </row>
    <row r="56" spans="1:52" x14ac:dyDescent="0.2">
      <c r="A56" s="33">
        <f t="shared" si="1"/>
        <v>51</v>
      </c>
      <c r="B56" s="34" t="s">
        <v>452</v>
      </c>
      <c r="C56" s="35" t="s">
        <v>453</v>
      </c>
      <c r="D56" s="36" t="s">
        <v>454</v>
      </c>
      <c r="E56" s="36" t="s">
        <v>54</v>
      </c>
      <c r="F56" s="34" t="s">
        <v>455</v>
      </c>
      <c r="G56" s="37" t="s">
        <v>456</v>
      </c>
      <c r="H56" s="37" t="s">
        <v>187</v>
      </c>
      <c r="I56" s="34"/>
      <c r="J56" s="34" t="s">
        <v>41</v>
      </c>
      <c r="K56" s="39" t="s">
        <v>42</v>
      </c>
      <c r="L56" s="53">
        <v>36745</v>
      </c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42" t="s">
        <v>457</v>
      </c>
      <c r="Y56" s="69" t="s">
        <v>458</v>
      </c>
      <c r="Z56" s="44" t="s">
        <v>459</v>
      </c>
      <c r="AA56" s="45">
        <v>42325</v>
      </c>
      <c r="AB56" s="46" t="s">
        <v>30</v>
      </c>
      <c r="AC56" s="36">
        <v>1</v>
      </c>
      <c r="AD56" s="47" t="s">
        <v>49</v>
      </c>
      <c r="AE56" s="48" t="s">
        <v>41</v>
      </c>
      <c r="AF56" s="48" t="s">
        <v>41</v>
      </c>
      <c r="AG56" s="48" t="s">
        <v>41</v>
      </c>
      <c r="AH56" s="48" t="s">
        <v>41</v>
      </c>
      <c r="AI56" s="48" t="s">
        <v>41</v>
      </c>
      <c r="AJ56" s="49" t="s">
        <v>41</v>
      </c>
      <c r="AK56" s="48" t="s">
        <v>41</v>
      </c>
      <c r="AL56" s="65">
        <v>6</v>
      </c>
      <c r="AM56" s="65"/>
      <c r="AN56" s="59" t="s">
        <v>460</v>
      </c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1"/>
    </row>
    <row r="57" spans="1:52" x14ac:dyDescent="0.2">
      <c r="A57" s="33">
        <f t="shared" si="1"/>
        <v>52</v>
      </c>
      <c r="B57" s="34" t="s">
        <v>461</v>
      </c>
      <c r="C57" s="35" t="s">
        <v>462</v>
      </c>
      <c r="D57" s="36" t="s">
        <v>463</v>
      </c>
      <c r="E57" s="36" t="s">
        <v>36</v>
      </c>
      <c r="F57" s="34" t="s">
        <v>464</v>
      </c>
      <c r="G57" s="37" t="s">
        <v>73</v>
      </c>
      <c r="H57" s="37" t="s">
        <v>73</v>
      </c>
      <c r="I57" s="34" t="s">
        <v>465</v>
      </c>
      <c r="J57" s="34" t="s">
        <v>466</v>
      </c>
      <c r="K57" s="39" t="s">
        <v>42</v>
      </c>
      <c r="L57" s="40" t="s">
        <v>467</v>
      </c>
      <c r="M57" s="41"/>
      <c r="N57" s="41"/>
      <c r="O57" s="41"/>
      <c r="P57" s="41"/>
      <c r="Q57" s="41"/>
      <c r="R57" s="41"/>
      <c r="S57" s="41"/>
      <c r="T57" s="41" t="s">
        <v>468</v>
      </c>
      <c r="U57" s="41"/>
      <c r="V57" s="41"/>
      <c r="W57" s="41"/>
      <c r="X57" s="42" t="s">
        <v>469</v>
      </c>
      <c r="Y57" s="52" t="s">
        <v>470</v>
      </c>
      <c r="Z57" s="52"/>
      <c r="AA57" s="45">
        <v>45642</v>
      </c>
      <c r="AB57" s="46"/>
      <c r="AC57" s="36" t="s">
        <v>26</v>
      </c>
      <c r="AD57" s="47" t="s">
        <v>49</v>
      </c>
      <c r="AE57" s="48" t="s">
        <v>49</v>
      </c>
      <c r="AF57" s="48" t="s">
        <v>49</v>
      </c>
      <c r="AG57" s="48" t="s">
        <v>49</v>
      </c>
      <c r="AH57" s="48" t="s">
        <v>49</v>
      </c>
      <c r="AI57" s="48" t="s">
        <v>49</v>
      </c>
      <c r="AJ57" s="49" t="s">
        <v>49</v>
      </c>
      <c r="AK57" s="48" t="s">
        <v>49</v>
      </c>
      <c r="AL57" s="62" t="s">
        <v>32</v>
      </c>
      <c r="AM57" s="62"/>
      <c r="AN57" s="59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1"/>
    </row>
    <row r="58" spans="1:52" x14ac:dyDescent="0.2">
      <c r="A58" s="33">
        <f t="shared" si="1"/>
        <v>53</v>
      </c>
      <c r="B58" s="34" t="s">
        <v>471</v>
      </c>
      <c r="C58" s="35" t="s">
        <v>472</v>
      </c>
      <c r="D58" s="36" t="s">
        <v>473</v>
      </c>
      <c r="E58" s="36" t="s">
        <v>54</v>
      </c>
      <c r="F58" s="34" t="s">
        <v>4593</v>
      </c>
      <c r="G58" s="37" t="s">
        <v>73</v>
      </c>
      <c r="H58" s="37" t="s">
        <v>73</v>
      </c>
      <c r="I58" s="34" t="s">
        <v>474</v>
      </c>
      <c r="J58" s="34" t="s">
        <v>475</v>
      </c>
      <c r="K58" s="39" t="s">
        <v>42</v>
      </c>
      <c r="L58" s="53">
        <v>31057</v>
      </c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7" t="s">
        <v>476</v>
      </c>
      <c r="Y58" s="52" t="s">
        <v>477</v>
      </c>
      <c r="Z58" s="44" t="s">
        <v>478</v>
      </c>
      <c r="AA58" s="45">
        <v>44041</v>
      </c>
      <c r="AB58" s="46" t="s">
        <v>30</v>
      </c>
      <c r="AC58" s="36" t="s">
        <v>26</v>
      </c>
      <c r="AD58" s="61" t="s">
        <v>49</v>
      </c>
      <c r="AE58" s="48" t="s">
        <v>49</v>
      </c>
      <c r="AF58" s="48" t="s">
        <v>49</v>
      </c>
      <c r="AG58" s="48" t="s">
        <v>49</v>
      </c>
      <c r="AH58" s="48" t="s">
        <v>49</v>
      </c>
      <c r="AI58" s="48" t="s">
        <v>49</v>
      </c>
      <c r="AJ58" s="49" t="s">
        <v>49</v>
      </c>
      <c r="AK58" s="48" t="s">
        <v>41</v>
      </c>
      <c r="AL58" s="65" t="s">
        <v>148</v>
      </c>
      <c r="AM58" s="65"/>
      <c r="AN58" s="59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1"/>
    </row>
    <row r="59" spans="1:52" x14ac:dyDescent="0.2">
      <c r="A59" s="33">
        <f t="shared" si="1"/>
        <v>54</v>
      </c>
      <c r="B59" s="34" t="s">
        <v>479</v>
      </c>
      <c r="C59" s="35" t="s">
        <v>480</v>
      </c>
      <c r="D59" s="36" t="s">
        <v>481</v>
      </c>
      <c r="E59" s="36" t="s">
        <v>54</v>
      </c>
      <c r="F59" s="34" t="s">
        <v>482</v>
      </c>
      <c r="G59" s="37" t="s">
        <v>73</v>
      </c>
      <c r="H59" s="37" t="s">
        <v>73</v>
      </c>
      <c r="I59" s="34" t="s">
        <v>483</v>
      </c>
      <c r="J59" s="34" t="s">
        <v>41</v>
      </c>
      <c r="K59" s="39" t="s">
        <v>42</v>
      </c>
      <c r="L59" s="53">
        <v>34345</v>
      </c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42" t="s">
        <v>484</v>
      </c>
      <c r="Y59" s="52" t="s">
        <v>485</v>
      </c>
      <c r="Z59" s="44" t="s">
        <v>486</v>
      </c>
      <c r="AA59" s="45">
        <v>43200</v>
      </c>
      <c r="AB59" s="46" t="s">
        <v>30</v>
      </c>
      <c r="AC59" s="36" t="s">
        <v>26</v>
      </c>
      <c r="AD59" s="61" t="s">
        <v>49</v>
      </c>
      <c r="AE59" s="48" t="s">
        <v>49</v>
      </c>
      <c r="AF59" s="48" t="s">
        <v>49</v>
      </c>
      <c r="AG59" s="48" t="s">
        <v>49</v>
      </c>
      <c r="AH59" s="48" t="s">
        <v>49</v>
      </c>
      <c r="AI59" s="48" t="s">
        <v>49</v>
      </c>
      <c r="AJ59" s="49" t="s">
        <v>49</v>
      </c>
      <c r="AK59" s="48" t="s">
        <v>49</v>
      </c>
      <c r="AL59" s="62" t="s">
        <v>32</v>
      </c>
      <c r="AM59" s="62" t="s">
        <v>4681</v>
      </c>
      <c r="AN59" s="59" t="s">
        <v>4667</v>
      </c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1"/>
    </row>
    <row r="60" spans="1:52" x14ac:dyDescent="0.2">
      <c r="A60" s="33">
        <f t="shared" si="1"/>
        <v>55</v>
      </c>
      <c r="B60" s="34" t="s">
        <v>487</v>
      </c>
      <c r="C60" s="35" t="s">
        <v>488</v>
      </c>
      <c r="D60" s="36" t="s">
        <v>489</v>
      </c>
      <c r="E60" s="36" t="s">
        <v>54</v>
      </c>
      <c r="F60" s="34" t="s">
        <v>490</v>
      </c>
      <c r="G60" s="37" t="s">
        <v>73</v>
      </c>
      <c r="H60" s="37" t="s">
        <v>73</v>
      </c>
      <c r="I60" s="38" t="s">
        <v>491</v>
      </c>
      <c r="J60" s="34" t="s">
        <v>41</v>
      </c>
      <c r="K60" s="39" t="s">
        <v>42</v>
      </c>
      <c r="L60" s="53">
        <v>45310</v>
      </c>
      <c r="M60" s="56"/>
      <c r="N60" s="56"/>
      <c r="O60" s="56"/>
      <c r="P60" s="56"/>
      <c r="Q60" s="56"/>
      <c r="R60" s="56"/>
      <c r="S60" s="56"/>
      <c r="T60" s="56"/>
      <c r="U60" s="56" t="s">
        <v>44</v>
      </c>
      <c r="V60" s="56"/>
      <c r="W60" s="56"/>
      <c r="X60" s="42" t="s">
        <v>492</v>
      </c>
      <c r="Y60" s="43" t="s">
        <v>493</v>
      </c>
      <c r="Z60" s="44"/>
      <c r="AA60" s="45"/>
      <c r="AB60" s="46"/>
      <c r="AC60" s="36"/>
      <c r="AD60" s="61" t="s">
        <v>49</v>
      </c>
      <c r="AE60" s="48" t="s">
        <v>41</v>
      </c>
      <c r="AF60" s="48" t="s">
        <v>41</v>
      </c>
      <c r="AG60" s="48" t="s">
        <v>41</v>
      </c>
      <c r="AH60" s="48" t="s">
        <v>41</v>
      </c>
      <c r="AI60" s="48" t="s">
        <v>49</v>
      </c>
      <c r="AJ60" s="49" t="s">
        <v>41</v>
      </c>
      <c r="AK60" s="48" t="s">
        <v>41</v>
      </c>
      <c r="AL60" s="62" t="s">
        <v>276</v>
      </c>
      <c r="AM60" s="62"/>
      <c r="AN60" s="59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1"/>
    </row>
    <row r="61" spans="1:52" x14ac:dyDescent="0.2">
      <c r="A61" s="33">
        <f t="shared" si="1"/>
        <v>56</v>
      </c>
      <c r="B61" s="34" t="s">
        <v>494</v>
      </c>
      <c r="C61" s="35" t="s">
        <v>495</v>
      </c>
      <c r="D61" s="36" t="s">
        <v>496</v>
      </c>
      <c r="E61" s="36" t="s">
        <v>54</v>
      </c>
      <c r="F61" s="34" t="s">
        <v>497</v>
      </c>
      <c r="G61" s="37" t="s">
        <v>398</v>
      </c>
      <c r="H61" s="37" t="s">
        <v>205</v>
      </c>
      <c r="I61" s="34" t="s">
        <v>498</v>
      </c>
      <c r="J61" s="34" t="s">
        <v>41</v>
      </c>
      <c r="K61" s="39" t="s">
        <v>42</v>
      </c>
      <c r="L61" s="53">
        <v>36745</v>
      </c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2" t="s">
        <v>499</v>
      </c>
      <c r="Y61" s="116" t="s">
        <v>500</v>
      </c>
      <c r="Z61" s="44" t="s">
        <v>61</v>
      </c>
      <c r="AA61" s="45">
        <v>36803</v>
      </c>
      <c r="AB61" s="46" t="s">
        <v>129</v>
      </c>
      <c r="AC61" s="36" t="s">
        <v>26</v>
      </c>
      <c r="AD61" s="47" t="s">
        <v>49</v>
      </c>
      <c r="AE61" s="48" t="s">
        <v>49</v>
      </c>
      <c r="AF61" s="48" t="s">
        <v>49</v>
      </c>
      <c r="AG61" s="48" t="s">
        <v>49</v>
      </c>
      <c r="AH61" s="48" t="s">
        <v>49</v>
      </c>
      <c r="AI61" s="48" t="s">
        <v>41</v>
      </c>
      <c r="AJ61" s="49" t="s">
        <v>41</v>
      </c>
      <c r="AK61" s="48" t="s">
        <v>41</v>
      </c>
      <c r="AL61" s="62" t="s">
        <v>4589</v>
      </c>
      <c r="AM61" s="62"/>
      <c r="AN61" s="59"/>
      <c r="AO61" s="10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1"/>
    </row>
    <row r="62" spans="1:52" x14ac:dyDescent="0.2">
      <c r="A62" s="33">
        <f t="shared" si="1"/>
        <v>57</v>
      </c>
      <c r="B62" s="34" t="s">
        <v>501</v>
      </c>
      <c r="C62" s="35" t="s">
        <v>502</v>
      </c>
      <c r="D62" s="36" t="s">
        <v>503</v>
      </c>
      <c r="E62" s="36" t="s">
        <v>54</v>
      </c>
      <c r="F62" s="34" t="s">
        <v>504</v>
      </c>
      <c r="G62" s="37" t="s">
        <v>73</v>
      </c>
      <c r="H62" s="37" t="s">
        <v>73</v>
      </c>
      <c r="I62" s="38" t="s">
        <v>505</v>
      </c>
      <c r="J62" s="34" t="s">
        <v>41</v>
      </c>
      <c r="K62" s="39" t="s">
        <v>42</v>
      </c>
      <c r="L62" s="53">
        <v>45299</v>
      </c>
      <c r="M62" s="41"/>
      <c r="N62" s="41"/>
      <c r="O62" s="41"/>
      <c r="P62" s="41"/>
      <c r="Q62" s="41"/>
      <c r="R62" s="41"/>
      <c r="S62" s="41"/>
      <c r="T62" s="41"/>
      <c r="U62" s="41" t="s">
        <v>44</v>
      </c>
      <c r="V62" s="41"/>
      <c r="W62" s="41"/>
      <c r="X62" s="54" t="s">
        <v>506</v>
      </c>
      <c r="Y62" s="43" t="s">
        <v>507</v>
      </c>
      <c r="Z62" s="52"/>
      <c r="AA62" s="52"/>
      <c r="AB62" s="46"/>
      <c r="AC62" s="36"/>
      <c r="AD62" s="47" t="s">
        <v>49</v>
      </c>
      <c r="AE62" s="48" t="s">
        <v>41</v>
      </c>
      <c r="AF62" s="48" t="s">
        <v>41</v>
      </c>
      <c r="AG62" s="48" t="s">
        <v>41</v>
      </c>
      <c r="AH62" s="48" t="s">
        <v>41</v>
      </c>
      <c r="AI62" s="48" t="s">
        <v>49</v>
      </c>
      <c r="AJ62" s="49" t="s">
        <v>49</v>
      </c>
      <c r="AK62" s="48" t="s">
        <v>41</v>
      </c>
      <c r="AL62" s="65" t="s">
        <v>148</v>
      </c>
      <c r="AM62" s="65"/>
      <c r="AN62" s="59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1"/>
    </row>
    <row r="63" spans="1:52" x14ac:dyDescent="0.2">
      <c r="A63" s="33">
        <f t="shared" si="1"/>
        <v>58</v>
      </c>
      <c r="B63" s="34" t="s">
        <v>508</v>
      </c>
      <c r="C63" s="35" t="s">
        <v>509</v>
      </c>
      <c r="D63" s="36" t="s">
        <v>510</v>
      </c>
      <c r="E63" s="36" t="s">
        <v>54</v>
      </c>
      <c r="F63" s="34" t="s">
        <v>511</v>
      </c>
      <c r="G63" s="37" t="s">
        <v>176</v>
      </c>
      <c r="H63" s="37" t="s">
        <v>39</v>
      </c>
      <c r="I63" s="38" t="s">
        <v>512</v>
      </c>
      <c r="J63" s="34"/>
      <c r="K63" s="39" t="s">
        <v>42</v>
      </c>
      <c r="L63" s="40" t="s">
        <v>513</v>
      </c>
      <c r="M63" s="41" t="s">
        <v>179</v>
      </c>
      <c r="N63" s="41" t="s">
        <v>341</v>
      </c>
      <c r="O63" s="41" t="s">
        <v>514</v>
      </c>
      <c r="P63" s="41">
        <v>3</v>
      </c>
      <c r="Q63" s="41"/>
      <c r="R63" s="41" t="s">
        <v>44</v>
      </c>
      <c r="S63" s="41"/>
      <c r="T63" s="41"/>
      <c r="U63" s="41"/>
      <c r="V63" s="41"/>
      <c r="W63" s="41"/>
      <c r="X63" s="42" t="s">
        <v>515</v>
      </c>
      <c r="Y63" s="43" t="s">
        <v>516</v>
      </c>
      <c r="Z63" s="43"/>
      <c r="AA63" s="45">
        <v>45642</v>
      </c>
      <c r="AB63" s="46"/>
      <c r="AC63" s="36"/>
      <c r="AD63" s="47" t="s">
        <v>49</v>
      </c>
      <c r="AE63" s="48" t="s">
        <v>41</v>
      </c>
      <c r="AF63" s="48" t="s">
        <v>49</v>
      </c>
      <c r="AG63" s="48" t="s">
        <v>49</v>
      </c>
      <c r="AH63" s="48" t="s">
        <v>49</v>
      </c>
      <c r="AI63" s="48" t="s">
        <v>49</v>
      </c>
      <c r="AJ63" s="49" t="s">
        <v>49</v>
      </c>
      <c r="AK63" s="48" t="s">
        <v>49</v>
      </c>
      <c r="AL63" s="65" t="s">
        <v>32</v>
      </c>
      <c r="AM63" s="65"/>
      <c r="AN63" s="59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1"/>
    </row>
    <row r="64" spans="1:52" x14ac:dyDescent="0.2">
      <c r="A64" s="33">
        <f t="shared" si="1"/>
        <v>59</v>
      </c>
      <c r="B64" s="34" t="s">
        <v>517</v>
      </c>
      <c r="C64" s="35" t="s">
        <v>518</v>
      </c>
      <c r="D64" s="36" t="s">
        <v>519</v>
      </c>
      <c r="E64" s="36" t="s">
        <v>54</v>
      </c>
      <c r="F64" s="34" t="s">
        <v>520</v>
      </c>
      <c r="G64" s="37" t="s">
        <v>73</v>
      </c>
      <c r="H64" s="37" t="s">
        <v>73</v>
      </c>
      <c r="I64" s="34" t="s">
        <v>521</v>
      </c>
      <c r="J64" s="34"/>
      <c r="K64" s="39" t="s">
        <v>42</v>
      </c>
      <c r="L64" s="53">
        <v>37176</v>
      </c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2" t="s">
        <v>522</v>
      </c>
      <c r="Y64" s="55" t="s">
        <v>523</v>
      </c>
      <c r="Z64" s="44" t="s">
        <v>61</v>
      </c>
      <c r="AA64" s="45">
        <v>40280</v>
      </c>
      <c r="AB64" s="46" t="s">
        <v>30</v>
      </c>
      <c r="AC64" s="36" t="s">
        <v>26</v>
      </c>
      <c r="AD64" s="47" t="s">
        <v>49</v>
      </c>
      <c r="AE64" s="48" t="s">
        <v>49</v>
      </c>
      <c r="AF64" s="48" t="s">
        <v>49</v>
      </c>
      <c r="AG64" s="48" t="s">
        <v>49</v>
      </c>
      <c r="AH64" s="48" t="s">
        <v>49</v>
      </c>
      <c r="AI64" s="48" t="s">
        <v>49</v>
      </c>
      <c r="AJ64" s="49" t="s">
        <v>49</v>
      </c>
      <c r="AK64" s="48" t="s">
        <v>49</v>
      </c>
      <c r="AL64" s="65" t="s">
        <v>32</v>
      </c>
      <c r="AM64" s="65"/>
      <c r="AN64" s="59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1"/>
    </row>
    <row r="65" spans="1:52" x14ac:dyDescent="0.2">
      <c r="A65" s="33">
        <f t="shared" si="1"/>
        <v>60</v>
      </c>
      <c r="B65" s="34" t="s">
        <v>524</v>
      </c>
      <c r="C65" s="35" t="s">
        <v>525</v>
      </c>
      <c r="D65" s="36" t="s">
        <v>526</v>
      </c>
      <c r="E65" s="36" t="s">
        <v>54</v>
      </c>
      <c r="F65" s="34" t="s">
        <v>527</v>
      </c>
      <c r="G65" s="37" t="s">
        <v>528</v>
      </c>
      <c r="H65" s="37" t="s">
        <v>57</v>
      </c>
      <c r="I65" s="38" t="s">
        <v>529</v>
      </c>
      <c r="J65" s="34"/>
      <c r="K65" s="39" t="s">
        <v>42</v>
      </c>
      <c r="L65" s="53" t="s">
        <v>530</v>
      </c>
      <c r="M65" s="41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42" t="s">
        <v>531</v>
      </c>
      <c r="Y65" s="43" t="s">
        <v>532</v>
      </c>
      <c r="Z65" s="44" t="s">
        <v>533</v>
      </c>
      <c r="AA65" s="45">
        <v>44944</v>
      </c>
      <c r="AB65" s="46" t="s">
        <v>30</v>
      </c>
      <c r="AC65" s="36"/>
      <c r="AD65" s="47" t="s">
        <v>49</v>
      </c>
      <c r="AE65" s="48" t="s">
        <v>41</v>
      </c>
      <c r="AF65" s="48" t="s">
        <v>49</v>
      </c>
      <c r="AG65" s="48" t="s">
        <v>49</v>
      </c>
      <c r="AH65" s="48" t="s">
        <v>41</v>
      </c>
      <c r="AI65" s="48" t="s">
        <v>41</v>
      </c>
      <c r="AJ65" s="49" t="s">
        <v>41</v>
      </c>
      <c r="AK65" s="48" t="s">
        <v>41</v>
      </c>
      <c r="AL65" s="62" t="s">
        <v>139</v>
      </c>
      <c r="AM65" s="62"/>
      <c r="AN65" s="59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1"/>
    </row>
    <row r="66" spans="1:52" x14ac:dyDescent="0.2">
      <c r="A66" s="33">
        <f t="shared" si="1"/>
        <v>61</v>
      </c>
      <c r="B66" s="34" t="s">
        <v>534</v>
      </c>
      <c r="C66" s="35" t="s">
        <v>535</v>
      </c>
      <c r="D66" s="36" t="s">
        <v>536</v>
      </c>
      <c r="E66" s="36" t="s">
        <v>54</v>
      </c>
      <c r="F66" s="34" t="s">
        <v>537</v>
      </c>
      <c r="G66" s="37" t="s">
        <v>360</v>
      </c>
      <c r="H66" s="37" t="s">
        <v>350</v>
      </c>
      <c r="I66" s="34" t="s">
        <v>538</v>
      </c>
      <c r="J66" s="34" t="s">
        <v>41</v>
      </c>
      <c r="K66" s="39" t="s">
        <v>42</v>
      </c>
      <c r="L66" s="53">
        <v>37718</v>
      </c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2" t="s">
        <v>539</v>
      </c>
      <c r="Y66" s="58" t="s">
        <v>540</v>
      </c>
      <c r="Z66" s="44" t="s">
        <v>541</v>
      </c>
      <c r="AA66" s="45">
        <v>42935</v>
      </c>
      <c r="AB66" s="46" t="s">
        <v>30</v>
      </c>
      <c r="AC66" s="36" t="s">
        <v>26</v>
      </c>
      <c r="AD66" s="47" t="s">
        <v>49</v>
      </c>
      <c r="AE66" s="48" t="s">
        <v>49</v>
      </c>
      <c r="AF66" s="48" t="s">
        <v>49</v>
      </c>
      <c r="AG66" s="48" t="s">
        <v>49</v>
      </c>
      <c r="AH66" s="48" t="s">
        <v>49</v>
      </c>
      <c r="AI66" s="48" t="s">
        <v>49</v>
      </c>
      <c r="AJ66" s="49" t="s">
        <v>49</v>
      </c>
      <c r="AK66" s="48" t="s">
        <v>41</v>
      </c>
      <c r="AL66" s="65" t="s">
        <v>148</v>
      </c>
      <c r="AM66" s="65"/>
      <c r="AN66" s="59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1"/>
    </row>
    <row r="67" spans="1:52" x14ac:dyDescent="0.2">
      <c r="A67" s="33">
        <f t="shared" si="1"/>
        <v>62</v>
      </c>
      <c r="B67" s="34" t="s">
        <v>542</v>
      </c>
      <c r="C67" s="35" t="s">
        <v>543</v>
      </c>
      <c r="D67" s="36" t="s">
        <v>544</v>
      </c>
      <c r="E67" s="36" t="s">
        <v>54</v>
      </c>
      <c r="F67" s="34" t="s">
        <v>545</v>
      </c>
      <c r="G67" s="37" t="s">
        <v>350</v>
      </c>
      <c r="H67" s="37" t="s">
        <v>350</v>
      </c>
      <c r="I67" s="34">
        <v>85100503765</v>
      </c>
      <c r="J67" s="34" t="s">
        <v>546</v>
      </c>
      <c r="K67" s="39" t="s">
        <v>42</v>
      </c>
      <c r="L67" s="40" t="s">
        <v>547</v>
      </c>
      <c r="M67" s="41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42" t="s">
        <v>548</v>
      </c>
      <c r="Y67" s="100" t="s">
        <v>549</v>
      </c>
      <c r="Z67" s="44" t="s">
        <v>61</v>
      </c>
      <c r="AA67" s="45">
        <v>40815</v>
      </c>
      <c r="AB67" s="46" t="s">
        <v>30</v>
      </c>
      <c r="AC67" s="36" t="s">
        <v>26</v>
      </c>
      <c r="AD67" s="47" t="s">
        <v>49</v>
      </c>
      <c r="AE67" s="48" t="s">
        <v>49</v>
      </c>
      <c r="AF67" s="48" t="s">
        <v>49</v>
      </c>
      <c r="AG67" s="48" t="s">
        <v>49</v>
      </c>
      <c r="AH67" s="48" t="s">
        <v>49</v>
      </c>
      <c r="AI67" s="48" t="s">
        <v>49</v>
      </c>
      <c r="AJ67" s="49" t="s">
        <v>49</v>
      </c>
      <c r="AK67" s="48" t="s">
        <v>49</v>
      </c>
      <c r="AL67" s="62" t="s">
        <v>32</v>
      </c>
      <c r="AM67" s="62"/>
      <c r="AN67" s="59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1"/>
    </row>
    <row r="68" spans="1:52" x14ac:dyDescent="0.2">
      <c r="A68" s="33">
        <f t="shared" si="1"/>
        <v>63</v>
      </c>
      <c r="B68" s="34" t="s">
        <v>550</v>
      </c>
      <c r="C68" s="35" t="s">
        <v>551</v>
      </c>
      <c r="D68" s="36" t="s">
        <v>552</v>
      </c>
      <c r="E68" s="36" t="s">
        <v>54</v>
      </c>
      <c r="F68" s="34" t="s">
        <v>553</v>
      </c>
      <c r="G68" s="37" t="s">
        <v>73</v>
      </c>
      <c r="H68" s="37" t="s">
        <v>73</v>
      </c>
      <c r="I68" s="34" t="s">
        <v>554</v>
      </c>
      <c r="J68" s="34" t="s">
        <v>555</v>
      </c>
      <c r="K68" s="39" t="s">
        <v>42</v>
      </c>
      <c r="L68" s="40" t="s">
        <v>556</v>
      </c>
      <c r="M68" s="41"/>
      <c r="N68" s="41"/>
      <c r="O68" s="41"/>
      <c r="P68" s="41"/>
      <c r="Q68" s="112"/>
      <c r="R68" s="112"/>
      <c r="S68" s="112"/>
      <c r="T68" s="112"/>
      <c r="U68" s="41"/>
      <c r="V68" s="41"/>
      <c r="W68" s="41"/>
      <c r="X68" s="42" t="s">
        <v>557</v>
      </c>
      <c r="Y68" s="69" t="s">
        <v>558</v>
      </c>
      <c r="Z68" s="44" t="s">
        <v>61</v>
      </c>
      <c r="AA68" s="45">
        <v>36803</v>
      </c>
      <c r="AB68" s="46" t="s">
        <v>30</v>
      </c>
      <c r="AC68" s="36" t="s">
        <v>26</v>
      </c>
      <c r="AD68" s="47" t="s">
        <v>49</v>
      </c>
      <c r="AE68" s="48" t="s">
        <v>49</v>
      </c>
      <c r="AF68" s="48" t="s">
        <v>41</v>
      </c>
      <c r="AG68" s="48" t="s">
        <v>41</v>
      </c>
      <c r="AH68" s="48" t="s">
        <v>41</v>
      </c>
      <c r="AI68" s="48" t="s">
        <v>41</v>
      </c>
      <c r="AJ68" s="49" t="s">
        <v>41</v>
      </c>
      <c r="AK68" s="48" t="s">
        <v>41</v>
      </c>
      <c r="AL68" s="62" t="s">
        <v>4587</v>
      </c>
      <c r="AM68" s="62"/>
      <c r="AN68" s="59"/>
      <c r="AO68" s="10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1"/>
    </row>
    <row r="69" spans="1:52" x14ac:dyDescent="0.2">
      <c r="A69" s="33">
        <f t="shared" si="1"/>
        <v>64</v>
      </c>
      <c r="B69" s="34" t="s">
        <v>559</v>
      </c>
      <c r="C69" s="35" t="s">
        <v>560</v>
      </c>
      <c r="D69" s="36" t="s">
        <v>561</v>
      </c>
      <c r="E69" s="36" t="s">
        <v>54</v>
      </c>
      <c r="F69" s="34" t="s">
        <v>562</v>
      </c>
      <c r="G69" s="37" t="s">
        <v>39</v>
      </c>
      <c r="H69" s="37" t="s">
        <v>39</v>
      </c>
      <c r="I69" s="38" t="s">
        <v>563</v>
      </c>
      <c r="J69" s="72" t="s">
        <v>41</v>
      </c>
      <c r="K69" s="39" t="s">
        <v>42</v>
      </c>
      <c r="L69" s="53">
        <v>42071</v>
      </c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42" t="s">
        <v>564</v>
      </c>
      <c r="Y69" s="58" t="s">
        <v>565</v>
      </c>
      <c r="Z69" s="44" t="s">
        <v>566</v>
      </c>
      <c r="AA69" s="45">
        <v>42325</v>
      </c>
      <c r="AB69" s="46" t="s">
        <v>30</v>
      </c>
      <c r="AC69" s="36" t="s">
        <v>26</v>
      </c>
      <c r="AD69" s="47" t="s">
        <v>49</v>
      </c>
      <c r="AE69" s="48" t="s">
        <v>49</v>
      </c>
      <c r="AF69" s="48" t="s">
        <v>49</v>
      </c>
      <c r="AG69" s="48" t="s">
        <v>49</v>
      </c>
      <c r="AH69" s="48" t="s">
        <v>49</v>
      </c>
      <c r="AI69" s="48" t="s">
        <v>49</v>
      </c>
      <c r="AJ69" s="49" t="s">
        <v>49</v>
      </c>
      <c r="AK69" s="48" t="s">
        <v>41</v>
      </c>
      <c r="AL69" s="65" t="s">
        <v>148</v>
      </c>
      <c r="AM69" s="65"/>
      <c r="AN69" s="59"/>
      <c r="AO69" s="10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1"/>
    </row>
    <row r="70" spans="1:52" x14ac:dyDescent="0.2">
      <c r="A70" s="33">
        <f t="shared" si="1"/>
        <v>65</v>
      </c>
      <c r="B70" s="34" t="s">
        <v>567</v>
      </c>
      <c r="C70" s="35" t="s">
        <v>568</v>
      </c>
      <c r="D70" s="36" t="s">
        <v>569</v>
      </c>
      <c r="E70" s="36" t="s">
        <v>54</v>
      </c>
      <c r="F70" s="34" t="s">
        <v>570</v>
      </c>
      <c r="G70" s="37" t="s">
        <v>73</v>
      </c>
      <c r="H70" s="37" t="s">
        <v>73</v>
      </c>
      <c r="I70" s="38" t="s">
        <v>571</v>
      </c>
      <c r="J70" s="34" t="s">
        <v>41</v>
      </c>
      <c r="K70" s="39" t="s">
        <v>42</v>
      </c>
      <c r="L70" s="40" t="s">
        <v>572</v>
      </c>
      <c r="M70" s="41"/>
      <c r="N70" s="94"/>
      <c r="O70" s="94"/>
      <c r="P70" s="94"/>
      <c r="Q70" s="94"/>
      <c r="R70" s="94"/>
      <c r="S70" s="94"/>
      <c r="T70" s="94" t="s">
        <v>44</v>
      </c>
      <c r="U70" s="94"/>
      <c r="V70" s="94"/>
      <c r="W70" s="94"/>
      <c r="X70" s="42" t="s">
        <v>573</v>
      </c>
      <c r="Y70" s="58" t="s">
        <v>574</v>
      </c>
      <c r="Z70" s="58"/>
      <c r="AA70" s="45">
        <v>45642</v>
      </c>
      <c r="AB70" s="46"/>
      <c r="AC70" s="36"/>
      <c r="AD70" s="47" t="s">
        <v>49</v>
      </c>
      <c r="AE70" s="48" t="s">
        <v>41</v>
      </c>
      <c r="AF70" s="48" t="s">
        <v>41</v>
      </c>
      <c r="AG70" s="48" t="s">
        <v>41</v>
      </c>
      <c r="AH70" s="48" t="s">
        <v>49</v>
      </c>
      <c r="AI70" s="48" t="s">
        <v>49</v>
      </c>
      <c r="AJ70" s="49" t="s">
        <v>41</v>
      </c>
      <c r="AK70" s="48" t="s">
        <v>41</v>
      </c>
      <c r="AL70" s="62" t="s">
        <v>276</v>
      </c>
      <c r="AM70" s="62"/>
      <c r="AN70" s="59"/>
      <c r="AO70" s="117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1"/>
    </row>
    <row r="71" spans="1:52" x14ac:dyDescent="0.2">
      <c r="A71" s="33">
        <f t="shared" si="1"/>
        <v>66</v>
      </c>
      <c r="B71" s="34" t="s">
        <v>575</v>
      </c>
      <c r="C71" s="35" t="s">
        <v>576</v>
      </c>
      <c r="D71" s="36" t="s">
        <v>577</v>
      </c>
      <c r="E71" s="36" t="s">
        <v>54</v>
      </c>
      <c r="F71" s="34" t="s">
        <v>578</v>
      </c>
      <c r="G71" s="37" t="s">
        <v>4659</v>
      </c>
      <c r="H71" s="37" t="s">
        <v>205</v>
      </c>
      <c r="I71" s="34" t="s">
        <v>579</v>
      </c>
      <c r="J71" s="34"/>
      <c r="K71" s="39" t="s">
        <v>42</v>
      </c>
      <c r="L71" s="53">
        <v>40217</v>
      </c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2" t="s">
        <v>580</v>
      </c>
      <c r="Y71" s="52" t="s">
        <v>581</v>
      </c>
      <c r="Z71" s="44" t="s">
        <v>61</v>
      </c>
      <c r="AA71" s="45">
        <v>40815</v>
      </c>
      <c r="AB71" s="46" t="s">
        <v>30</v>
      </c>
      <c r="AC71" s="36" t="s">
        <v>26</v>
      </c>
      <c r="AD71" s="47" t="s">
        <v>49</v>
      </c>
      <c r="AE71" s="48" t="s">
        <v>49</v>
      </c>
      <c r="AF71" s="48" t="s">
        <v>49</v>
      </c>
      <c r="AG71" s="48" t="s">
        <v>49</v>
      </c>
      <c r="AH71" s="48" t="s">
        <v>49</v>
      </c>
      <c r="AI71" s="48" t="s">
        <v>49</v>
      </c>
      <c r="AJ71" s="49" t="s">
        <v>49</v>
      </c>
      <c r="AK71" s="48" t="s">
        <v>49</v>
      </c>
      <c r="AL71" s="62" t="s">
        <v>32</v>
      </c>
      <c r="AM71" s="62"/>
      <c r="AN71" s="59"/>
      <c r="AO71" s="117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1"/>
    </row>
    <row r="72" spans="1:52" x14ac:dyDescent="0.2">
      <c r="A72" s="33">
        <f t="shared" si="1"/>
        <v>67</v>
      </c>
      <c r="B72" s="34" t="s">
        <v>582</v>
      </c>
      <c r="C72" s="35" t="s">
        <v>583</v>
      </c>
      <c r="D72" s="36" t="s">
        <v>584</v>
      </c>
      <c r="E72" s="36" t="s">
        <v>54</v>
      </c>
      <c r="F72" s="34" t="s">
        <v>585</v>
      </c>
      <c r="G72" s="37" t="s">
        <v>205</v>
      </c>
      <c r="H72" s="37" t="s">
        <v>205</v>
      </c>
      <c r="I72" s="34" t="s">
        <v>586</v>
      </c>
      <c r="J72" s="34" t="s">
        <v>587</v>
      </c>
      <c r="K72" s="39" t="s">
        <v>42</v>
      </c>
      <c r="L72" s="53">
        <v>31054</v>
      </c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2" t="s">
        <v>588</v>
      </c>
      <c r="Y72" s="52" t="s">
        <v>589</v>
      </c>
      <c r="Z72" s="44" t="s">
        <v>61</v>
      </c>
      <c r="AA72" s="45">
        <v>39286</v>
      </c>
      <c r="AB72" s="46" t="s">
        <v>30</v>
      </c>
      <c r="AC72" s="36" t="s">
        <v>26</v>
      </c>
      <c r="AD72" s="47" t="s">
        <v>49</v>
      </c>
      <c r="AE72" s="48" t="s">
        <v>49</v>
      </c>
      <c r="AF72" s="48" t="s">
        <v>49</v>
      </c>
      <c r="AG72" s="48" t="s">
        <v>49</v>
      </c>
      <c r="AH72" s="48" t="s">
        <v>49</v>
      </c>
      <c r="AI72" s="48" t="s">
        <v>49</v>
      </c>
      <c r="AJ72" s="49" t="s">
        <v>41</v>
      </c>
      <c r="AK72" s="48" t="s">
        <v>41</v>
      </c>
      <c r="AL72" s="62" t="s">
        <v>276</v>
      </c>
      <c r="AM72" s="62"/>
      <c r="AN72" s="59"/>
      <c r="AO72" s="117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1"/>
    </row>
    <row r="73" spans="1:52" x14ac:dyDescent="0.2">
      <c r="A73" s="33">
        <f t="shared" ref="A73:A136" si="2">+A72+1</f>
        <v>68</v>
      </c>
      <c r="B73" s="34" t="s">
        <v>590</v>
      </c>
      <c r="C73" s="35" t="s">
        <v>591</v>
      </c>
      <c r="D73" s="36" t="s">
        <v>592</v>
      </c>
      <c r="E73" s="36" t="s">
        <v>54</v>
      </c>
      <c r="F73" s="34" t="s">
        <v>593</v>
      </c>
      <c r="G73" s="37" t="s">
        <v>323</v>
      </c>
      <c r="H73" s="37" t="s">
        <v>39</v>
      </c>
      <c r="I73" s="34" t="s">
        <v>594</v>
      </c>
      <c r="J73" s="72" t="s">
        <v>41</v>
      </c>
      <c r="K73" s="39" t="s">
        <v>42</v>
      </c>
      <c r="L73" s="53" t="s">
        <v>595</v>
      </c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2" t="s">
        <v>596</v>
      </c>
      <c r="Y73" s="52" t="s">
        <v>597</v>
      </c>
      <c r="Z73" s="52"/>
      <c r="AA73" s="45">
        <v>45642</v>
      </c>
      <c r="AB73" s="46"/>
      <c r="AC73" s="36" t="s">
        <v>26</v>
      </c>
      <c r="AD73" s="47" t="s">
        <v>49</v>
      </c>
      <c r="AE73" s="48" t="s">
        <v>49</v>
      </c>
      <c r="AF73" s="48" t="s">
        <v>49</v>
      </c>
      <c r="AG73" s="48" t="s">
        <v>49</v>
      </c>
      <c r="AH73" s="48" t="s">
        <v>49</v>
      </c>
      <c r="AI73" s="48" t="s">
        <v>49</v>
      </c>
      <c r="AJ73" s="49" t="s">
        <v>49</v>
      </c>
      <c r="AK73" s="48" t="s">
        <v>49</v>
      </c>
      <c r="AL73" s="65" t="s">
        <v>32</v>
      </c>
      <c r="AM73" s="65"/>
      <c r="AN73" s="59"/>
      <c r="AO73" s="117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1"/>
    </row>
    <row r="74" spans="1:52" x14ac:dyDescent="0.2">
      <c r="A74" s="33">
        <f t="shared" si="2"/>
        <v>69</v>
      </c>
      <c r="B74" s="34" t="s">
        <v>598</v>
      </c>
      <c r="C74" s="35" t="s">
        <v>599</v>
      </c>
      <c r="D74" s="36" t="s">
        <v>600</v>
      </c>
      <c r="E74" s="36" t="s">
        <v>54</v>
      </c>
      <c r="F74" s="34" t="s">
        <v>601</v>
      </c>
      <c r="G74" s="37" t="s">
        <v>38</v>
      </c>
      <c r="H74" s="37" t="s">
        <v>39</v>
      </c>
      <c r="I74" s="38" t="s">
        <v>602</v>
      </c>
      <c r="J74" s="72" t="s">
        <v>41</v>
      </c>
      <c r="K74" s="39" t="s">
        <v>42</v>
      </c>
      <c r="L74" s="53" t="s">
        <v>603</v>
      </c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42" t="s">
        <v>604</v>
      </c>
      <c r="Y74" s="58" t="s">
        <v>605</v>
      </c>
      <c r="Z74" s="44" t="s">
        <v>606</v>
      </c>
      <c r="AA74" s="45">
        <v>42935</v>
      </c>
      <c r="AB74" s="46" t="s">
        <v>30</v>
      </c>
      <c r="AC74" s="36" t="s">
        <v>26</v>
      </c>
      <c r="AD74" s="47" t="s">
        <v>49</v>
      </c>
      <c r="AE74" s="48" t="s">
        <v>49</v>
      </c>
      <c r="AF74" s="48" t="s">
        <v>49</v>
      </c>
      <c r="AG74" s="48" t="s">
        <v>49</v>
      </c>
      <c r="AH74" s="48" t="s">
        <v>49</v>
      </c>
      <c r="AI74" s="48" t="s">
        <v>49</v>
      </c>
      <c r="AJ74" s="49" t="s">
        <v>49</v>
      </c>
      <c r="AK74" s="48" t="s">
        <v>41</v>
      </c>
      <c r="AL74" s="62" t="s">
        <v>148</v>
      </c>
      <c r="AM74" s="62"/>
      <c r="AN74" s="59"/>
      <c r="AO74" s="10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1"/>
    </row>
    <row r="75" spans="1:52" x14ac:dyDescent="0.2">
      <c r="A75" s="33">
        <f t="shared" si="2"/>
        <v>70</v>
      </c>
      <c r="B75" s="34" t="s">
        <v>607</v>
      </c>
      <c r="C75" s="35" t="s">
        <v>608</v>
      </c>
      <c r="D75" s="36" t="s">
        <v>609</v>
      </c>
      <c r="E75" s="36" t="s">
        <v>54</v>
      </c>
      <c r="F75" s="34" t="s">
        <v>610</v>
      </c>
      <c r="G75" s="37" t="s">
        <v>73</v>
      </c>
      <c r="H75" s="37" t="s">
        <v>73</v>
      </c>
      <c r="I75" s="38" t="s">
        <v>611</v>
      </c>
      <c r="J75" s="72" t="s">
        <v>41</v>
      </c>
      <c r="K75" s="39" t="s">
        <v>42</v>
      </c>
      <c r="L75" s="53" t="s">
        <v>352</v>
      </c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42" t="s">
        <v>612</v>
      </c>
      <c r="Y75" s="58" t="s">
        <v>613</v>
      </c>
      <c r="Z75" s="44" t="s">
        <v>614</v>
      </c>
      <c r="AA75" s="45">
        <v>42325</v>
      </c>
      <c r="AB75" s="46" t="s">
        <v>30</v>
      </c>
      <c r="AC75" s="36" t="s">
        <v>26</v>
      </c>
      <c r="AD75" s="47" t="s">
        <v>49</v>
      </c>
      <c r="AE75" s="48" t="s">
        <v>49</v>
      </c>
      <c r="AF75" s="48" t="s">
        <v>49</v>
      </c>
      <c r="AG75" s="48" t="s">
        <v>49</v>
      </c>
      <c r="AH75" s="48" t="s">
        <v>49</v>
      </c>
      <c r="AI75" s="48" t="s">
        <v>49</v>
      </c>
      <c r="AJ75" s="49" t="s">
        <v>41</v>
      </c>
      <c r="AK75" s="48" t="s">
        <v>41</v>
      </c>
      <c r="AL75" s="62" t="s">
        <v>276</v>
      </c>
      <c r="AM75" s="62"/>
      <c r="AN75" s="59"/>
      <c r="AO75" s="118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1"/>
    </row>
    <row r="76" spans="1:52" x14ac:dyDescent="0.2">
      <c r="A76" s="33">
        <f t="shared" si="2"/>
        <v>71</v>
      </c>
      <c r="B76" s="34" t="s">
        <v>615</v>
      </c>
      <c r="C76" s="35" t="s">
        <v>616</v>
      </c>
      <c r="D76" s="36" t="s">
        <v>617</v>
      </c>
      <c r="E76" s="36" t="s">
        <v>54</v>
      </c>
      <c r="F76" s="34" t="s">
        <v>618</v>
      </c>
      <c r="G76" s="37" t="s">
        <v>73</v>
      </c>
      <c r="H76" s="37" t="s">
        <v>73</v>
      </c>
      <c r="I76" s="38" t="s">
        <v>619</v>
      </c>
      <c r="J76" s="72" t="s">
        <v>41</v>
      </c>
      <c r="K76" s="39" t="s">
        <v>42</v>
      </c>
      <c r="L76" s="53">
        <v>42134</v>
      </c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42" t="s">
        <v>620</v>
      </c>
      <c r="Y76" s="58" t="s">
        <v>621</v>
      </c>
      <c r="Z76" s="119" t="s">
        <v>622</v>
      </c>
      <c r="AA76" s="45">
        <v>42325</v>
      </c>
      <c r="AB76" s="46" t="s">
        <v>30</v>
      </c>
      <c r="AC76" s="36" t="s">
        <v>26</v>
      </c>
      <c r="AD76" s="47" t="s">
        <v>49</v>
      </c>
      <c r="AE76" s="48" t="s">
        <v>49</v>
      </c>
      <c r="AF76" s="48" t="s">
        <v>49</v>
      </c>
      <c r="AG76" s="48" t="s">
        <v>49</v>
      </c>
      <c r="AH76" s="48" t="s">
        <v>49</v>
      </c>
      <c r="AI76" s="48" t="s">
        <v>41</v>
      </c>
      <c r="AJ76" s="49" t="s">
        <v>41</v>
      </c>
      <c r="AK76" s="48" t="s">
        <v>41</v>
      </c>
      <c r="AL76" s="62" t="s">
        <v>4589</v>
      </c>
      <c r="AM76" s="62"/>
      <c r="AN76" s="59"/>
      <c r="AO76" s="118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1"/>
    </row>
    <row r="77" spans="1:52" x14ac:dyDescent="0.2">
      <c r="A77" s="33">
        <f t="shared" si="2"/>
        <v>72</v>
      </c>
      <c r="B77" s="34" t="s">
        <v>623</v>
      </c>
      <c r="C77" s="35" t="s">
        <v>624</v>
      </c>
      <c r="D77" s="36" t="s">
        <v>625</v>
      </c>
      <c r="E77" s="36" t="s">
        <v>54</v>
      </c>
      <c r="F77" s="34" t="s">
        <v>626</v>
      </c>
      <c r="G77" s="37" t="s">
        <v>176</v>
      </c>
      <c r="H77" s="37" t="s">
        <v>39</v>
      </c>
      <c r="I77" s="38" t="s">
        <v>627</v>
      </c>
      <c r="J77" s="72" t="s">
        <v>41</v>
      </c>
      <c r="K77" s="39" t="s">
        <v>42</v>
      </c>
      <c r="L77" s="53" t="s">
        <v>628</v>
      </c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42" t="s">
        <v>629</v>
      </c>
      <c r="Y77" s="58" t="s">
        <v>630</v>
      </c>
      <c r="Z77" s="84" t="s">
        <v>631</v>
      </c>
      <c r="AA77" s="45">
        <v>44650</v>
      </c>
      <c r="AB77" s="46" t="s">
        <v>30</v>
      </c>
      <c r="AC77" s="36" t="s">
        <v>26</v>
      </c>
      <c r="AD77" s="47" t="s">
        <v>49</v>
      </c>
      <c r="AE77" s="48" t="s">
        <v>49</v>
      </c>
      <c r="AF77" s="48" t="s">
        <v>49</v>
      </c>
      <c r="AG77" s="48" t="s">
        <v>49</v>
      </c>
      <c r="AH77" s="48" t="s">
        <v>49</v>
      </c>
      <c r="AI77" s="48" t="s">
        <v>41</v>
      </c>
      <c r="AJ77" s="49" t="s">
        <v>41</v>
      </c>
      <c r="AK77" s="48" t="s">
        <v>41</v>
      </c>
      <c r="AL77" s="62" t="s">
        <v>4589</v>
      </c>
      <c r="AM77" s="62"/>
      <c r="AN77" s="59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1"/>
    </row>
    <row r="78" spans="1:52" x14ac:dyDescent="0.2">
      <c r="A78" s="33">
        <f t="shared" si="2"/>
        <v>73</v>
      </c>
      <c r="B78" s="34" t="s">
        <v>632</v>
      </c>
      <c r="C78" s="35" t="s">
        <v>633</v>
      </c>
      <c r="D78" s="36" t="s">
        <v>634</v>
      </c>
      <c r="E78" s="36" t="s">
        <v>54</v>
      </c>
      <c r="F78" s="34" t="s">
        <v>635</v>
      </c>
      <c r="G78" s="37" t="s">
        <v>73</v>
      </c>
      <c r="H78" s="37" t="s">
        <v>73</v>
      </c>
      <c r="I78" s="38" t="s">
        <v>636</v>
      </c>
      <c r="J78" s="72" t="s">
        <v>41</v>
      </c>
      <c r="K78" s="39" t="s">
        <v>42</v>
      </c>
      <c r="L78" s="120">
        <v>45245</v>
      </c>
      <c r="M78" s="115"/>
      <c r="N78" s="115"/>
      <c r="O78" s="115"/>
      <c r="P78" s="115"/>
      <c r="Q78" s="115"/>
      <c r="R78" s="115"/>
      <c r="S78" s="115"/>
      <c r="T78" s="56" t="s">
        <v>44</v>
      </c>
      <c r="U78" s="56"/>
      <c r="V78" s="56"/>
      <c r="W78" s="56"/>
      <c r="X78" s="42" t="s">
        <v>637</v>
      </c>
      <c r="Y78" s="83" t="s">
        <v>638</v>
      </c>
      <c r="Z78" s="121"/>
      <c r="AA78" s="45">
        <v>45642</v>
      </c>
      <c r="AB78" s="101"/>
      <c r="AC78" s="36"/>
      <c r="AD78" s="47" t="s">
        <v>49</v>
      </c>
      <c r="AE78" s="48" t="s">
        <v>41</v>
      </c>
      <c r="AF78" s="48" t="s">
        <v>41</v>
      </c>
      <c r="AG78" s="48" t="s">
        <v>41</v>
      </c>
      <c r="AH78" s="48" t="s">
        <v>49</v>
      </c>
      <c r="AI78" s="48" t="s">
        <v>49</v>
      </c>
      <c r="AJ78" s="49" t="s">
        <v>49</v>
      </c>
      <c r="AK78" s="48" t="s">
        <v>49</v>
      </c>
      <c r="AL78" s="62" t="s">
        <v>32</v>
      </c>
      <c r="AM78" s="62"/>
      <c r="AN78" s="59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1"/>
    </row>
    <row r="79" spans="1:52" x14ac:dyDescent="0.2">
      <c r="A79" s="33">
        <f t="shared" si="2"/>
        <v>74</v>
      </c>
      <c r="B79" s="122" t="s">
        <v>639</v>
      </c>
      <c r="C79" s="123" t="s">
        <v>640</v>
      </c>
      <c r="D79" s="124" t="s">
        <v>641</v>
      </c>
      <c r="E79" s="36" t="s">
        <v>54</v>
      </c>
      <c r="F79" s="125" t="s">
        <v>642</v>
      </c>
      <c r="G79" s="126" t="s">
        <v>456</v>
      </c>
      <c r="H79" s="126" t="s">
        <v>187</v>
      </c>
      <c r="I79" s="127" t="s">
        <v>643</v>
      </c>
      <c r="J79" s="122" t="s">
        <v>41</v>
      </c>
      <c r="K79" s="128" t="s">
        <v>42</v>
      </c>
      <c r="L79" s="129" t="s">
        <v>644</v>
      </c>
      <c r="M79" s="130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42" t="s">
        <v>645</v>
      </c>
      <c r="Y79" s="58" t="s">
        <v>646</v>
      </c>
      <c r="Z79" s="44" t="s">
        <v>647</v>
      </c>
      <c r="AA79" s="131">
        <v>43200</v>
      </c>
      <c r="AB79" s="132" t="s">
        <v>30</v>
      </c>
      <c r="AC79" s="73" t="s">
        <v>26</v>
      </c>
      <c r="AD79" s="133" t="s">
        <v>49</v>
      </c>
      <c r="AE79" s="48" t="s">
        <v>49</v>
      </c>
      <c r="AF79" s="48" t="s">
        <v>49</v>
      </c>
      <c r="AG79" s="48" t="s">
        <v>49</v>
      </c>
      <c r="AH79" s="48" t="s">
        <v>49</v>
      </c>
      <c r="AI79" s="48" t="s">
        <v>49</v>
      </c>
      <c r="AJ79" s="49" t="s">
        <v>49</v>
      </c>
      <c r="AK79" s="48" t="s">
        <v>49</v>
      </c>
      <c r="AL79" s="62" t="s">
        <v>32</v>
      </c>
      <c r="AM79" s="232"/>
      <c r="AN79" s="134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1"/>
    </row>
    <row r="80" spans="1:52" x14ac:dyDescent="0.2">
      <c r="A80" s="33">
        <f t="shared" si="2"/>
        <v>75</v>
      </c>
      <c r="B80" s="122" t="s">
        <v>648</v>
      </c>
      <c r="C80" s="123" t="s">
        <v>649</v>
      </c>
      <c r="D80" s="124" t="s">
        <v>650</v>
      </c>
      <c r="E80" s="36" t="s">
        <v>241</v>
      </c>
      <c r="F80" s="125" t="s">
        <v>651</v>
      </c>
      <c r="G80" s="126" t="s">
        <v>205</v>
      </c>
      <c r="H80" s="126" t="s">
        <v>205</v>
      </c>
      <c r="I80" s="122" t="s">
        <v>652</v>
      </c>
      <c r="J80" s="122" t="s">
        <v>41</v>
      </c>
      <c r="K80" s="128" t="s">
        <v>42</v>
      </c>
      <c r="L80" s="129">
        <v>30353</v>
      </c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5" t="s">
        <v>653</v>
      </c>
      <c r="Y80" s="69" t="s">
        <v>654</v>
      </c>
      <c r="Z80" s="44" t="s">
        <v>61</v>
      </c>
      <c r="AA80" s="131">
        <v>37208</v>
      </c>
      <c r="AB80" s="132" t="s">
        <v>30</v>
      </c>
      <c r="AC80" s="73" t="s">
        <v>26</v>
      </c>
      <c r="AD80" s="133" t="s">
        <v>49</v>
      </c>
      <c r="AE80" s="48" t="s">
        <v>49</v>
      </c>
      <c r="AF80" s="48" t="s">
        <v>41</v>
      </c>
      <c r="AG80" s="48" t="s">
        <v>41</v>
      </c>
      <c r="AH80" s="48" t="s">
        <v>41</v>
      </c>
      <c r="AI80" s="48" t="s">
        <v>41</v>
      </c>
      <c r="AJ80" s="49" t="s">
        <v>41</v>
      </c>
      <c r="AK80" s="48" t="s">
        <v>41</v>
      </c>
      <c r="AL80" s="62" t="s">
        <v>4587</v>
      </c>
      <c r="AM80" s="232"/>
      <c r="AN80" s="134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1"/>
    </row>
    <row r="81" spans="1:52" x14ac:dyDescent="0.2">
      <c r="A81" s="33">
        <f t="shared" si="2"/>
        <v>76</v>
      </c>
      <c r="B81" s="34" t="s">
        <v>655</v>
      </c>
      <c r="C81" s="35" t="s">
        <v>656</v>
      </c>
      <c r="D81" s="73" t="s">
        <v>657</v>
      </c>
      <c r="E81" s="36" t="s">
        <v>54</v>
      </c>
      <c r="F81" s="98" t="s">
        <v>658</v>
      </c>
      <c r="G81" s="37" t="s">
        <v>252</v>
      </c>
      <c r="H81" s="37" t="s">
        <v>57</v>
      </c>
      <c r="I81" s="38" t="s">
        <v>659</v>
      </c>
      <c r="J81" s="34"/>
      <c r="K81" s="39" t="s">
        <v>42</v>
      </c>
      <c r="L81" s="53">
        <v>45398</v>
      </c>
      <c r="M81" s="56"/>
      <c r="N81" s="56"/>
      <c r="O81" s="56"/>
      <c r="P81" s="56"/>
      <c r="Q81" s="56"/>
      <c r="R81" s="56"/>
      <c r="S81" s="56"/>
      <c r="T81" s="56"/>
      <c r="U81" s="56" t="s">
        <v>44</v>
      </c>
      <c r="V81" s="56"/>
      <c r="W81" s="56"/>
      <c r="X81" s="54" t="s">
        <v>660</v>
      </c>
      <c r="Y81" s="58" t="s">
        <v>661</v>
      </c>
      <c r="Z81" s="44"/>
      <c r="AA81" s="45"/>
      <c r="AB81" s="46"/>
      <c r="AC81" s="73"/>
      <c r="AD81" s="47" t="s">
        <v>49</v>
      </c>
      <c r="AE81" s="48" t="s">
        <v>41</v>
      </c>
      <c r="AF81" s="48" t="s">
        <v>41</v>
      </c>
      <c r="AG81" s="48" t="s">
        <v>41</v>
      </c>
      <c r="AH81" s="48" t="s">
        <v>41</v>
      </c>
      <c r="AI81" s="48" t="s">
        <v>49</v>
      </c>
      <c r="AJ81" s="49" t="s">
        <v>41</v>
      </c>
      <c r="AK81" s="48" t="s">
        <v>41</v>
      </c>
      <c r="AL81" s="62" t="s">
        <v>276</v>
      </c>
      <c r="AM81" s="62"/>
      <c r="AN81" s="59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1"/>
    </row>
    <row r="82" spans="1:52" x14ac:dyDescent="0.2">
      <c r="A82" s="33">
        <f t="shared" si="2"/>
        <v>77</v>
      </c>
      <c r="B82" s="34" t="s">
        <v>662</v>
      </c>
      <c r="C82" s="35" t="s">
        <v>663</v>
      </c>
      <c r="D82" s="73" t="s">
        <v>664</v>
      </c>
      <c r="E82" s="36" t="s">
        <v>36</v>
      </c>
      <c r="F82" s="34" t="s">
        <v>665</v>
      </c>
      <c r="G82" s="37" t="s">
        <v>360</v>
      </c>
      <c r="H82" s="37" t="s">
        <v>350</v>
      </c>
      <c r="I82" s="38" t="s">
        <v>666</v>
      </c>
      <c r="J82" s="34" t="s">
        <v>41</v>
      </c>
      <c r="K82" s="39" t="s">
        <v>42</v>
      </c>
      <c r="L82" s="40" t="s">
        <v>667</v>
      </c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42" t="s">
        <v>668</v>
      </c>
      <c r="Y82" s="58" t="s">
        <v>669</v>
      </c>
      <c r="Z82" s="44" t="s">
        <v>61</v>
      </c>
      <c r="AA82" s="45">
        <v>36803</v>
      </c>
      <c r="AB82" s="46" t="s">
        <v>30</v>
      </c>
      <c r="AC82" s="73"/>
      <c r="AD82" s="47" t="s">
        <v>49</v>
      </c>
      <c r="AE82" s="48" t="s">
        <v>41</v>
      </c>
      <c r="AF82" s="48" t="s">
        <v>41</v>
      </c>
      <c r="AG82" s="48" t="s">
        <v>41</v>
      </c>
      <c r="AH82" s="48" t="s">
        <v>41</v>
      </c>
      <c r="AI82" s="48" t="s">
        <v>41</v>
      </c>
      <c r="AJ82" s="49" t="s">
        <v>41</v>
      </c>
      <c r="AK82" s="48" t="s">
        <v>41</v>
      </c>
      <c r="AL82" s="82" t="s">
        <v>4591</v>
      </c>
      <c r="AM82" s="82"/>
      <c r="AN82" s="59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1"/>
    </row>
    <row r="83" spans="1:52" x14ac:dyDescent="0.2">
      <c r="A83" s="33">
        <f t="shared" si="2"/>
        <v>78</v>
      </c>
      <c r="B83" s="34" t="s">
        <v>670</v>
      </c>
      <c r="C83" s="35" t="s">
        <v>671</v>
      </c>
      <c r="D83" s="73" t="s">
        <v>672</v>
      </c>
      <c r="E83" s="36" t="s">
        <v>54</v>
      </c>
      <c r="F83" s="34" t="s">
        <v>673</v>
      </c>
      <c r="G83" s="37" t="s">
        <v>323</v>
      </c>
      <c r="H83" s="37" t="s">
        <v>39</v>
      </c>
      <c r="I83" s="38" t="s">
        <v>674</v>
      </c>
      <c r="J83" s="34" t="s">
        <v>41</v>
      </c>
      <c r="K83" s="39" t="s">
        <v>42</v>
      </c>
      <c r="L83" s="53">
        <v>44318</v>
      </c>
      <c r="M83" s="56"/>
      <c r="N83" s="56"/>
      <c r="O83" s="56"/>
      <c r="P83" s="56"/>
      <c r="Q83" s="56"/>
      <c r="R83" s="56" t="s">
        <v>44</v>
      </c>
      <c r="S83" s="56"/>
      <c r="T83" s="56"/>
      <c r="U83" s="56"/>
      <c r="V83" s="56"/>
      <c r="W83" s="56"/>
      <c r="X83" s="57" t="s">
        <v>675</v>
      </c>
      <c r="Y83" s="58" t="s">
        <v>676</v>
      </c>
      <c r="Z83" s="44"/>
      <c r="AA83" s="45" t="s">
        <v>47</v>
      </c>
      <c r="AB83" s="46"/>
      <c r="AC83" s="73"/>
      <c r="AD83" s="47" t="s">
        <v>49</v>
      </c>
      <c r="AE83" s="48" t="s">
        <v>41</v>
      </c>
      <c r="AF83" s="48" t="s">
        <v>49</v>
      </c>
      <c r="AG83" s="48" t="s">
        <v>49</v>
      </c>
      <c r="AH83" s="48" t="s">
        <v>49</v>
      </c>
      <c r="AI83" s="48" t="s">
        <v>49</v>
      </c>
      <c r="AJ83" s="49" t="s">
        <v>41</v>
      </c>
      <c r="AK83" s="48" t="s">
        <v>41</v>
      </c>
      <c r="AL83" s="62" t="s">
        <v>276</v>
      </c>
      <c r="AM83" s="62"/>
      <c r="AN83" s="59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1"/>
    </row>
    <row r="84" spans="1:52" x14ac:dyDescent="0.2">
      <c r="A84" s="33">
        <f t="shared" si="2"/>
        <v>79</v>
      </c>
      <c r="B84" s="34" t="s">
        <v>677</v>
      </c>
      <c r="C84" s="35" t="s">
        <v>678</v>
      </c>
      <c r="D84" s="73" t="s">
        <v>679</v>
      </c>
      <c r="E84" s="36" t="s">
        <v>54</v>
      </c>
      <c r="F84" s="87" t="s">
        <v>680</v>
      </c>
      <c r="G84" s="37" t="s">
        <v>681</v>
      </c>
      <c r="H84" s="37" t="s">
        <v>378</v>
      </c>
      <c r="I84" s="38" t="s">
        <v>682</v>
      </c>
      <c r="J84" s="34" t="s">
        <v>41</v>
      </c>
      <c r="K84" s="39" t="s">
        <v>42</v>
      </c>
      <c r="L84" s="53">
        <v>45264</v>
      </c>
      <c r="M84" s="56"/>
      <c r="N84" s="56"/>
      <c r="O84" s="56"/>
      <c r="P84" s="56"/>
      <c r="Q84" s="56"/>
      <c r="R84" s="56"/>
      <c r="S84" s="56"/>
      <c r="T84" s="56" t="s">
        <v>44</v>
      </c>
      <c r="U84" s="56"/>
      <c r="V84" s="56"/>
      <c r="W84" s="56"/>
      <c r="X84" s="54" t="s">
        <v>683</v>
      </c>
      <c r="Y84" s="58" t="s">
        <v>684</v>
      </c>
      <c r="Z84" s="44"/>
      <c r="AA84" s="45">
        <v>45642</v>
      </c>
      <c r="AB84" s="46"/>
      <c r="AC84" s="73"/>
      <c r="AD84" s="47" t="s">
        <v>49</v>
      </c>
      <c r="AE84" s="48" t="s">
        <v>41</v>
      </c>
      <c r="AF84" s="48" t="s">
        <v>41</v>
      </c>
      <c r="AG84" s="48" t="s">
        <v>41</v>
      </c>
      <c r="AH84" s="48" t="s">
        <v>49</v>
      </c>
      <c r="AI84" s="48" t="s">
        <v>49</v>
      </c>
      <c r="AJ84" s="49" t="s">
        <v>49</v>
      </c>
      <c r="AK84" s="48" t="s">
        <v>49</v>
      </c>
      <c r="AL84" s="62" t="s">
        <v>32</v>
      </c>
      <c r="AM84" s="62"/>
      <c r="AN84" s="59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1"/>
    </row>
    <row r="85" spans="1:52" x14ac:dyDescent="0.2">
      <c r="A85" s="33">
        <f t="shared" si="2"/>
        <v>80</v>
      </c>
      <c r="B85" s="34" t="s">
        <v>685</v>
      </c>
      <c r="C85" s="35" t="s">
        <v>686</v>
      </c>
      <c r="D85" s="36" t="s">
        <v>687</v>
      </c>
      <c r="E85" s="36" t="s">
        <v>54</v>
      </c>
      <c r="F85" s="108" t="s">
        <v>688</v>
      </c>
      <c r="G85" s="37" t="s">
        <v>252</v>
      </c>
      <c r="H85" s="37" t="s">
        <v>57</v>
      </c>
      <c r="I85" s="136" t="s">
        <v>689</v>
      </c>
      <c r="J85" s="34" t="s">
        <v>41</v>
      </c>
      <c r="K85" s="39" t="s">
        <v>42</v>
      </c>
      <c r="L85" s="53">
        <v>36895</v>
      </c>
      <c r="M85" s="56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42" t="s">
        <v>4686</v>
      </c>
      <c r="Y85" s="43" t="s">
        <v>691</v>
      </c>
      <c r="Z85" s="44" t="s">
        <v>692</v>
      </c>
      <c r="AA85" s="45">
        <v>44041</v>
      </c>
      <c r="AB85" s="46" t="s">
        <v>30</v>
      </c>
      <c r="AC85" s="36" t="s">
        <v>26</v>
      </c>
      <c r="AD85" s="47" t="s">
        <v>49</v>
      </c>
      <c r="AE85" s="48" t="s">
        <v>49</v>
      </c>
      <c r="AF85" s="48" t="s">
        <v>49</v>
      </c>
      <c r="AG85" s="48" t="s">
        <v>49</v>
      </c>
      <c r="AH85" s="48" t="s">
        <v>49</v>
      </c>
      <c r="AI85" s="48" t="s">
        <v>49</v>
      </c>
      <c r="AJ85" s="49" t="s">
        <v>49</v>
      </c>
      <c r="AK85" s="48" t="s">
        <v>49</v>
      </c>
      <c r="AL85" s="65" t="s">
        <v>32</v>
      </c>
      <c r="AM85" s="323"/>
      <c r="AN85" s="138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1"/>
    </row>
    <row r="86" spans="1:52" x14ac:dyDescent="0.2">
      <c r="A86" s="33">
        <f t="shared" si="2"/>
        <v>81</v>
      </c>
      <c r="B86" s="139" t="s">
        <v>693</v>
      </c>
      <c r="C86" s="35" t="s">
        <v>694</v>
      </c>
      <c r="D86" s="36" t="s">
        <v>695</v>
      </c>
      <c r="E86" s="36" t="s">
        <v>36</v>
      </c>
      <c r="F86" s="34" t="s">
        <v>696</v>
      </c>
      <c r="G86" s="37" t="s">
        <v>528</v>
      </c>
      <c r="H86" s="37" t="s">
        <v>57</v>
      </c>
      <c r="I86" s="140" t="s">
        <v>697</v>
      </c>
      <c r="J86" s="34" t="s">
        <v>41</v>
      </c>
      <c r="K86" s="39" t="s">
        <v>42</v>
      </c>
      <c r="L86" s="53">
        <v>40497</v>
      </c>
      <c r="M86" s="41"/>
      <c r="N86" s="41"/>
      <c r="O86" s="41"/>
      <c r="P86" s="41"/>
      <c r="Q86" s="112"/>
      <c r="R86" s="112"/>
      <c r="S86" s="112"/>
      <c r="T86" s="41"/>
      <c r="U86" s="41"/>
      <c r="V86" s="41"/>
      <c r="W86" s="41"/>
      <c r="X86" s="42" t="s">
        <v>698</v>
      </c>
      <c r="Y86" s="58" t="s">
        <v>699</v>
      </c>
      <c r="Z86" s="44" t="s">
        <v>700</v>
      </c>
      <c r="AA86" s="45">
        <v>42325</v>
      </c>
      <c r="AB86" s="46" t="s">
        <v>30</v>
      </c>
      <c r="AC86" s="36" t="s">
        <v>26</v>
      </c>
      <c r="AD86" s="47" t="s">
        <v>49</v>
      </c>
      <c r="AE86" s="48" t="s">
        <v>49</v>
      </c>
      <c r="AF86" s="48" t="s">
        <v>49</v>
      </c>
      <c r="AG86" s="48" t="s">
        <v>49</v>
      </c>
      <c r="AH86" s="48" t="s">
        <v>49</v>
      </c>
      <c r="AI86" s="48" t="s">
        <v>49</v>
      </c>
      <c r="AJ86" s="49" t="s">
        <v>49</v>
      </c>
      <c r="AK86" s="48" t="s">
        <v>49</v>
      </c>
      <c r="AL86" s="62" t="s">
        <v>32</v>
      </c>
      <c r="AM86" s="62"/>
      <c r="AN86" s="103" t="s">
        <v>41</v>
      </c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1"/>
    </row>
    <row r="87" spans="1:52" x14ac:dyDescent="0.2">
      <c r="A87" s="33">
        <f t="shared" si="2"/>
        <v>82</v>
      </c>
      <c r="B87" s="108" t="s">
        <v>701</v>
      </c>
      <c r="C87" s="35" t="s">
        <v>702</v>
      </c>
      <c r="D87" s="36" t="s">
        <v>703</v>
      </c>
      <c r="E87" s="36" t="s">
        <v>54</v>
      </c>
      <c r="F87" s="34" t="s">
        <v>704</v>
      </c>
      <c r="G87" s="37" t="s">
        <v>73</v>
      </c>
      <c r="H87" s="37" t="s">
        <v>73</v>
      </c>
      <c r="I87" s="140" t="s">
        <v>705</v>
      </c>
      <c r="J87" s="34" t="s">
        <v>41</v>
      </c>
      <c r="K87" s="39" t="s">
        <v>42</v>
      </c>
      <c r="L87" s="53">
        <v>44323</v>
      </c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2" t="s">
        <v>706</v>
      </c>
      <c r="Y87" s="58" t="s">
        <v>707</v>
      </c>
      <c r="Z87" s="44" t="s">
        <v>708</v>
      </c>
      <c r="AA87" s="45">
        <v>44944</v>
      </c>
      <c r="AB87" s="46" t="s">
        <v>30</v>
      </c>
      <c r="AC87" s="36"/>
      <c r="AD87" s="47" t="s">
        <v>49</v>
      </c>
      <c r="AE87" s="48" t="s">
        <v>41</v>
      </c>
      <c r="AF87" s="48" t="s">
        <v>49</v>
      </c>
      <c r="AG87" s="48" t="s">
        <v>49</v>
      </c>
      <c r="AH87" s="48" t="s">
        <v>49</v>
      </c>
      <c r="AI87" s="48" t="s">
        <v>49</v>
      </c>
      <c r="AJ87" s="49" t="s">
        <v>41</v>
      </c>
      <c r="AK87" s="48" t="s">
        <v>41</v>
      </c>
      <c r="AL87" s="62" t="s">
        <v>276</v>
      </c>
      <c r="AM87" s="324"/>
      <c r="AN87" s="138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1"/>
    </row>
    <row r="88" spans="1:52" x14ac:dyDescent="0.2">
      <c r="A88" s="33">
        <f t="shared" si="2"/>
        <v>83</v>
      </c>
      <c r="B88" s="139" t="s">
        <v>709</v>
      </c>
      <c r="C88" s="35" t="s">
        <v>710</v>
      </c>
      <c r="D88" s="36" t="s">
        <v>711</v>
      </c>
      <c r="E88" s="36" t="s">
        <v>54</v>
      </c>
      <c r="F88" s="34" t="s">
        <v>712</v>
      </c>
      <c r="G88" s="37" t="s">
        <v>360</v>
      </c>
      <c r="H88" s="37" t="s">
        <v>350</v>
      </c>
      <c r="I88" s="141" t="s">
        <v>713</v>
      </c>
      <c r="J88" s="34" t="s">
        <v>41</v>
      </c>
      <c r="K88" s="39" t="s">
        <v>42</v>
      </c>
      <c r="L88" s="142" t="s">
        <v>714</v>
      </c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42" t="s">
        <v>715</v>
      </c>
      <c r="Y88" s="58" t="s">
        <v>716</v>
      </c>
      <c r="Z88" s="44" t="s">
        <v>717</v>
      </c>
      <c r="AA88" s="45">
        <v>42935</v>
      </c>
      <c r="AB88" s="46" t="s">
        <v>30</v>
      </c>
      <c r="AC88" s="36" t="s">
        <v>26</v>
      </c>
      <c r="AD88" s="47" t="s">
        <v>49</v>
      </c>
      <c r="AE88" s="48" t="s">
        <v>49</v>
      </c>
      <c r="AF88" s="48" t="s">
        <v>49</v>
      </c>
      <c r="AG88" s="48" t="s">
        <v>49</v>
      </c>
      <c r="AH88" s="48" t="s">
        <v>49</v>
      </c>
      <c r="AI88" s="48" t="s">
        <v>49</v>
      </c>
      <c r="AJ88" s="49" t="s">
        <v>49</v>
      </c>
      <c r="AK88" s="48" t="s">
        <v>49</v>
      </c>
      <c r="AL88" s="62" t="s">
        <v>32</v>
      </c>
      <c r="AM88" s="324" t="s">
        <v>4681</v>
      </c>
      <c r="AN88" s="138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1"/>
    </row>
    <row r="89" spans="1:52" x14ac:dyDescent="0.2">
      <c r="A89" s="33">
        <f t="shared" si="2"/>
        <v>84</v>
      </c>
      <c r="B89" s="108" t="s">
        <v>718</v>
      </c>
      <c r="C89" s="35" t="s">
        <v>719</v>
      </c>
      <c r="D89" s="36" t="s">
        <v>720</v>
      </c>
      <c r="E89" s="36" t="s">
        <v>54</v>
      </c>
      <c r="F89" s="34" t="s">
        <v>721</v>
      </c>
      <c r="G89" s="37" t="s">
        <v>360</v>
      </c>
      <c r="H89" s="37" t="s">
        <v>350</v>
      </c>
      <c r="I89" s="143" t="s">
        <v>722</v>
      </c>
      <c r="J89" s="34" t="s">
        <v>41</v>
      </c>
      <c r="K89" s="39" t="s">
        <v>42</v>
      </c>
      <c r="L89" s="142" t="s">
        <v>91</v>
      </c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42" t="s">
        <v>723</v>
      </c>
      <c r="Y89" s="58" t="s">
        <v>724</v>
      </c>
      <c r="Z89" s="119" t="s">
        <v>725</v>
      </c>
      <c r="AA89" s="45">
        <v>43200</v>
      </c>
      <c r="AB89" s="46" t="s">
        <v>30</v>
      </c>
      <c r="AC89" s="36" t="s">
        <v>26</v>
      </c>
      <c r="AD89" s="47" t="s">
        <v>49</v>
      </c>
      <c r="AE89" s="48" t="s">
        <v>49</v>
      </c>
      <c r="AF89" s="48" t="s">
        <v>49</v>
      </c>
      <c r="AG89" s="48" t="s">
        <v>49</v>
      </c>
      <c r="AH89" s="48" t="s">
        <v>49</v>
      </c>
      <c r="AI89" s="48" t="s">
        <v>49</v>
      </c>
      <c r="AJ89" s="49" t="s">
        <v>49</v>
      </c>
      <c r="AK89" s="48" t="s">
        <v>49</v>
      </c>
      <c r="AL89" s="62" t="s">
        <v>32</v>
      </c>
      <c r="AM89" s="62"/>
      <c r="AN89" s="59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1"/>
    </row>
    <row r="90" spans="1:52" x14ac:dyDescent="0.2">
      <c r="A90" s="33">
        <f t="shared" si="2"/>
        <v>85</v>
      </c>
      <c r="B90" s="108" t="s">
        <v>726</v>
      </c>
      <c r="C90" s="35" t="s">
        <v>727</v>
      </c>
      <c r="D90" s="36" t="s">
        <v>728</v>
      </c>
      <c r="E90" s="36" t="s">
        <v>54</v>
      </c>
      <c r="F90" s="34" t="s">
        <v>729</v>
      </c>
      <c r="G90" s="37" t="s">
        <v>205</v>
      </c>
      <c r="H90" s="37" t="s">
        <v>205</v>
      </c>
      <c r="I90" s="140" t="s">
        <v>730</v>
      </c>
      <c r="J90" s="34" t="s">
        <v>41</v>
      </c>
      <c r="K90" s="39" t="s">
        <v>42</v>
      </c>
      <c r="L90" s="142" t="s">
        <v>731</v>
      </c>
      <c r="M90" s="56"/>
      <c r="N90" s="56" t="s">
        <v>179</v>
      </c>
      <c r="O90" s="56"/>
      <c r="P90" s="56">
        <v>2</v>
      </c>
      <c r="Q90" s="56"/>
      <c r="R90" s="56"/>
      <c r="S90" s="56" t="s">
        <v>44</v>
      </c>
      <c r="T90" s="56"/>
      <c r="U90" s="56"/>
      <c r="V90" s="56" t="s">
        <v>732</v>
      </c>
      <c r="W90" s="56"/>
      <c r="X90" s="57" t="s">
        <v>733</v>
      </c>
      <c r="Y90" s="58" t="s">
        <v>734</v>
      </c>
      <c r="Z90" s="144" t="s">
        <v>735</v>
      </c>
      <c r="AA90" s="45">
        <v>44650</v>
      </c>
      <c r="AB90" s="46" t="s">
        <v>129</v>
      </c>
      <c r="AC90" s="36"/>
      <c r="AD90" s="47" t="s">
        <v>49</v>
      </c>
      <c r="AE90" s="48" t="s">
        <v>41</v>
      </c>
      <c r="AF90" s="48" t="s">
        <v>41</v>
      </c>
      <c r="AG90" s="48" t="s">
        <v>49</v>
      </c>
      <c r="AH90" s="48" t="s">
        <v>49</v>
      </c>
      <c r="AI90" s="48" t="s">
        <v>49</v>
      </c>
      <c r="AJ90" s="49" t="s">
        <v>49</v>
      </c>
      <c r="AK90" s="48" t="s">
        <v>49</v>
      </c>
      <c r="AL90" s="62" t="s">
        <v>32</v>
      </c>
      <c r="AM90" s="62"/>
      <c r="AN90" s="59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1"/>
    </row>
    <row r="91" spans="1:52" x14ac:dyDescent="0.2">
      <c r="A91" s="33">
        <f t="shared" si="2"/>
        <v>86</v>
      </c>
      <c r="B91" s="108" t="s">
        <v>736</v>
      </c>
      <c r="C91" s="35" t="s">
        <v>737</v>
      </c>
      <c r="D91" s="36" t="s">
        <v>738</v>
      </c>
      <c r="E91" s="36" t="s">
        <v>36</v>
      </c>
      <c r="F91" s="34" t="s">
        <v>739</v>
      </c>
      <c r="G91" s="37" t="s">
        <v>73</v>
      </c>
      <c r="H91" s="37" t="s">
        <v>73</v>
      </c>
      <c r="I91" s="140" t="s">
        <v>740</v>
      </c>
      <c r="J91" s="34" t="s">
        <v>41</v>
      </c>
      <c r="K91" s="39" t="s">
        <v>42</v>
      </c>
      <c r="L91" s="142">
        <v>45310</v>
      </c>
      <c r="M91" s="56"/>
      <c r="N91" s="56" t="s">
        <v>179</v>
      </c>
      <c r="O91" s="56"/>
      <c r="P91" s="56">
        <v>1</v>
      </c>
      <c r="Q91" s="56" t="s">
        <v>179</v>
      </c>
      <c r="R91" s="56"/>
      <c r="S91" s="56"/>
      <c r="T91" s="56"/>
      <c r="U91" s="56" t="s">
        <v>44</v>
      </c>
      <c r="V91" s="56"/>
      <c r="W91" s="56"/>
      <c r="X91" s="145" t="s">
        <v>741</v>
      </c>
      <c r="Y91" s="58" t="s">
        <v>742</v>
      </c>
      <c r="Z91" s="121"/>
      <c r="AA91" s="45"/>
      <c r="AB91" s="46"/>
      <c r="AC91" s="36"/>
      <c r="AD91" s="47" t="s">
        <v>49</v>
      </c>
      <c r="AE91" s="48" t="s">
        <v>41</v>
      </c>
      <c r="AF91" s="48" t="s">
        <v>41</v>
      </c>
      <c r="AG91" s="48" t="s">
        <v>41</v>
      </c>
      <c r="AH91" s="48" t="s">
        <v>41</v>
      </c>
      <c r="AI91" s="48" t="s">
        <v>49</v>
      </c>
      <c r="AJ91" s="49" t="s">
        <v>41</v>
      </c>
      <c r="AK91" s="48" t="s">
        <v>41</v>
      </c>
      <c r="AL91" s="62" t="s">
        <v>276</v>
      </c>
      <c r="AM91" s="62"/>
      <c r="AN91" s="59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1"/>
    </row>
    <row r="92" spans="1:52" x14ac:dyDescent="0.2">
      <c r="A92" s="33">
        <f t="shared" si="2"/>
        <v>87</v>
      </c>
      <c r="B92" s="108" t="s">
        <v>743</v>
      </c>
      <c r="C92" s="35" t="s">
        <v>744</v>
      </c>
      <c r="D92" s="36" t="s">
        <v>745</v>
      </c>
      <c r="E92" s="36" t="s">
        <v>54</v>
      </c>
      <c r="F92" s="34" t="s">
        <v>746</v>
      </c>
      <c r="G92" s="37" t="s">
        <v>747</v>
      </c>
      <c r="H92" s="37" t="s">
        <v>378</v>
      </c>
      <c r="I92" s="140" t="s">
        <v>748</v>
      </c>
      <c r="J92" s="34" t="s">
        <v>41</v>
      </c>
      <c r="K92" s="39" t="s">
        <v>42</v>
      </c>
      <c r="L92" s="142" t="s">
        <v>749</v>
      </c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42" t="s">
        <v>4687</v>
      </c>
      <c r="Y92" s="58" t="s">
        <v>751</v>
      </c>
      <c r="Z92" s="44" t="s">
        <v>752</v>
      </c>
      <c r="AA92" s="45">
        <v>44041</v>
      </c>
      <c r="AB92" s="46" t="s">
        <v>30</v>
      </c>
      <c r="AC92" s="36" t="s">
        <v>26</v>
      </c>
      <c r="AD92" s="47" t="s">
        <v>49</v>
      </c>
      <c r="AE92" s="48" t="s">
        <v>49</v>
      </c>
      <c r="AF92" s="48" t="s">
        <v>49</v>
      </c>
      <c r="AG92" s="48" t="s">
        <v>49</v>
      </c>
      <c r="AH92" s="48" t="s">
        <v>49</v>
      </c>
      <c r="AI92" s="48" t="s">
        <v>49</v>
      </c>
      <c r="AJ92" s="49" t="s">
        <v>49</v>
      </c>
      <c r="AK92" s="48" t="s">
        <v>49</v>
      </c>
      <c r="AL92" s="65" t="s">
        <v>32</v>
      </c>
      <c r="AM92" s="65"/>
      <c r="AN92" s="59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1"/>
    </row>
    <row r="93" spans="1:52" x14ac:dyDescent="0.2">
      <c r="A93" s="33">
        <f t="shared" si="2"/>
        <v>88</v>
      </c>
      <c r="B93" s="108" t="s">
        <v>753</v>
      </c>
      <c r="C93" s="35" t="s">
        <v>754</v>
      </c>
      <c r="D93" s="36" t="s">
        <v>755</v>
      </c>
      <c r="E93" s="36" t="s">
        <v>54</v>
      </c>
      <c r="F93" s="34" t="s">
        <v>756</v>
      </c>
      <c r="G93" s="37" t="s">
        <v>398</v>
      </c>
      <c r="H93" s="37" t="s">
        <v>205</v>
      </c>
      <c r="I93" s="140" t="s">
        <v>757</v>
      </c>
      <c r="J93" s="34" t="s">
        <v>41</v>
      </c>
      <c r="K93" s="39" t="s">
        <v>42</v>
      </c>
      <c r="L93" s="142" t="s">
        <v>758</v>
      </c>
      <c r="M93" s="56"/>
      <c r="N93" s="56"/>
      <c r="O93" s="56"/>
      <c r="P93" s="56"/>
      <c r="Q93" s="56"/>
      <c r="R93" s="56"/>
      <c r="S93" s="56"/>
      <c r="T93" s="56" t="s">
        <v>44</v>
      </c>
      <c r="U93" s="56"/>
      <c r="V93" s="56"/>
      <c r="W93" s="56"/>
      <c r="X93" s="42" t="s">
        <v>759</v>
      </c>
      <c r="Y93" s="58" t="s">
        <v>760</v>
      </c>
      <c r="Z93" s="44"/>
      <c r="AA93" s="45">
        <v>45642</v>
      </c>
      <c r="AB93" s="46"/>
      <c r="AC93" s="36"/>
      <c r="AD93" s="47" t="s">
        <v>49</v>
      </c>
      <c r="AE93" s="48" t="s">
        <v>41</v>
      </c>
      <c r="AF93" s="48" t="s">
        <v>41</v>
      </c>
      <c r="AG93" s="48" t="s">
        <v>41</v>
      </c>
      <c r="AH93" s="48" t="s">
        <v>49</v>
      </c>
      <c r="AI93" s="48" t="s">
        <v>49</v>
      </c>
      <c r="AJ93" s="49" t="s">
        <v>41</v>
      </c>
      <c r="AK93" s="48" t="s">
        <v>41</v>
      </c>
      <c r="AL93" s="65" t="s">
        <v>276</v>
      </c>
      <c r="AM93" s="65"/>
      <c r="AN93" s="59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1"/>
    </row>
    <row r="94" spans="1:52" x14ac:dyDescent="0.2">
      <c r="A94" s="33">
        <f t="shared" si="2"/>
        <v>89</v>
      </c>
      <c r="B94" s="34" t="s">
        <v>761</v>
      </c>
      <c r="C94" s="35" t="s">
        <v>762</v>
      </c>
      <c r="D94" s="36" t="s">
        <v>763</v>
      </c>
      <c r="E94" s="36" t="s">
        <v>54</v>
      </c>
      <c r="F94" s="34" t="s">
        <v>764</v>
      </c>
      <c r="G94" s="37" t="s">
        <v>176</v>
      </c>
      <c r="H94" s="37" t="s">
        <v>39</v>
      </c>
      <c r="I94" s="38" t="s">
        <v>765</v>
      </c>
      <c r="J94" s="34" t="s">
        <v>41</v>
      </c>
      <c r="K94" s="39" t="s">
        <v>42</v>
      </c>
      <c r="L94" s="40" t="s">
        <v>766</v>
      </c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42" t="s">
        <v>767</v>
      </c>
      <c r="Y94" s="58" t="s">
        <v>768</v>
      </c>
      <c r="Z94" s="44" t="s">
        <v>769</v>
      </c>
      <c r="AA94" s="45">
        <v>44944</v>
      </c>
      <c r="AB94" s="46" t="s">
        <v>30</v>
      </c>
      <c r="AC94" s="36" t="s">
        <v>26</v>
      </c>
      <c r="AD94" s="47" t="s">
        <v>49</v>
      </c>
      <c r="AE94" s="48" t="s">
        <v>49</v>
      </c>
      <c r="AF94" s="48" t="s">
        <v>49</v>
      </c>
      <c r="AG94" s="48" t="s">
        <v>49</v>
      </c>
      <c r="AH94" s="48" t="s">
        <v>49</v>
      </c>
      <c r="AI94" s="48" t="s">
        <v>49</v>
      </c>
      <c r="AJ94" s="49" t="s">
        <v>49</v>
      </c>
      <c r="AK94" s="48" t="s">
        <v>49</v>
      </c>
      <c r="AL94" s="62" t="s">
        <v>32</v>
      </c>
      <c r="AM94" s="62"/>
      <c r="AN94" s="59"/>
      <c r="AO94" s="32"/>
      <c r="AP94" s="32"/>
      <c r="AQ94" s="32"/>
      <c r="AR94" s="32">
        <f>2026-2062</f>
        <v>-36</v>
      </c>
      <c r="AS94" s="32"/>
      <c r="AT94" s="32"/>
      <c r="AU94" s="32"/>
      <c r="AV94" s="32"/>
      <c r="AW94" s="32"/>
      <c r="AX94" s="32"/>
      <c r="AY94" s="32"/>
      <c r="AZ94" s="31"/>
    </row>
    <row r="95" spans="1:52" x14ac:dyDescent="0.2">
      <c r="A95" s="33">
        <f t="shared" si="2"/>
        <v>90</v>
      </c>
      <c r="B95" s="34" t="s">
        <v>770</v>
      </c>
      <c r="C95" s="35" t="s">
        <v>771</v>
      </c>
      <c r="D95" s="36" t="s">
        <v>772</v>
      </c>
      <c r="E95" s="36" t="s">
        <v>54</v>
      </c>
      <c r="F95" s="34" t="s">
        <v>773</v>
      </c>
      <c r="G95" s="37" t="s">
        <v>252</v>
      </c>
      <c r="H95" s="37" t="s">
        <v>57</v>
      </c>
      <c r="I95" s="38" t="s">
        <v>774</v>
      </c>
      <c r="J95" s="34" t="s">
        <v>41</v>
      </c>
      <c r="K95" s="39" t="s">
        <v>42</v>
      </c>
      <c r="L95" s="53">
        <v>44938</v>
      </c>
      <c r="M95" s="56"/>
      <c r="N95" s="56"/>
      <c r="O95" s="56"/>
      <c r="P95" s="56"/>
      <c r="Q95" s="56"/>
      <c r="R95" s="56"/>
      <c r="S95" s="56"/>
      <c r="T95" s="56" t="s">
        <v>44</v>
      </c>
      <c r="U95" s="56"/>
      <c r="V95" s="56"/>
      <c r="W95" s="56"/>
      <c r="X95" s="38" t="s">
        <v>775</v>
      </c>
      <c r="Y95" s="58" t="s">
        <v>776</v>
      </c>
      <c r="Z95" s="44" t="s">
        <v>777</v>
      </c>
      <c r="AA95" s="45">
        <v>42325</v>
      </c>
      <c r="AB95" s="46" t="s">
        <v>30</v>
      </c>
      <c r="AC95" s="36"/>
      <c r="AD95" s="47" t="s">
        <v>49</v>
      </c>
      <c r="AE95" s="48" t="s">
        <v>41</v>
      </c>
      <c r="AF95" s="48" t="s">
        <v>41</v>
      </c>
      <c r="AG95" s="48" t="s">
        <v>41</v>
      </c>
      <c r="AH95" s="48" t="s">
        <v>49</v>
      </c>
      <c r="AI95" s="48" t="s">
        <v>49</v>
      </c>
      <c r="AJ95" s="49" t="s">
        <v>49</v>
      </c>
      <c r="AK95" s="48" t="s">
        <v>49</v>
      </c>
      <c r="AL95" s="62" t="s">
        <v>32</v>
      </c>
      <c r="AM95" s="62"/>
      <c r="AN95" s="59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1"/>
    </row>
    <row r="96" spans="1:52" x14ac:dyDescent="0.2">
      <c r="A96" s="33">
        <f t="shared" si="2"/>
        <v>91</v>
      </c>
      <c r="B96" s="34" t="s">
        <v>778</v>
      </c>
      <c r="C96" s="35" t="s">
        <v>779</v>
      </c>
      <c r="D96" s="36" t="s">
        <v>780</v>
      </c>
      <c r="E96" s="36" t="s">
        <v>54</v>
      </c>
      <c r="F96" s="34" t="s">
        <v>781</v>
      </c>
      <c r="G96" s="37" t="s">
        <v>176</v>
      </c>
      <c r="H96" s="37" t="s">
        <v>39</v>
      </c>
      <c r="I96" s="38" t="s">
        <v>782</v>
      </c>
      <c r="J96" s="34" t="s">
        <v>41</v>
      </c>
      <c r="K96" s="39" t="s">
        <v>42</v>
      </c>
      <c r="L96" s="40" t="s">
        <v>783</v>
      </c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42" t="s">
        <v>784</v>
      </c>
      <c r="Y96" s="58" t="s">
        <v>785</v>
      </c>
      <c r="Z96" s="44" t="s">
        <v>786</v>
      </c>
      <c r="AA96" s="45">
        <v>44944</v>
      </c>
      <c r="AB96" s="46" t="s">
        <v>30</v>
      </c>
      <c r="AC96" s="36" t="s">
        <v>26</v>
      </c>
      <c r="AD96" s="47" t="s">
        <v>49</v>
      </c>
      <c r="AE96" s="48" t="s">
        <v>49</v>
      </c>
      <c r="AF96" s="48" t="s">
        <v>41</v>
      </c>
      <c r="AG96" s="48" t="s">
        <v>41</v>
      </c>
      <c r="AH96" s="48" t="s">
        <v>41</v>
      </c>
      <c r="AI96" s="48" t="s">
        <v>41</v>
      </c>
      <c r="AJ96" s="49" t="s">
        <v>41</v>
      </c>
      <c r="AK96" s="48" t="s">
        <v>41</v>
      </c>
      <c r="AL96" s="62" t="s">
        <v>4587</v>
      </c>
      <c r="AM96" s="62"/>
      <c r="AN96" s="59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1"/>
    </row>
    <row r="97" spans="1:52" x14ac:dyDescent="0.2">
      <c r="A97" s="33">
        <f t="shared" si="2"/>
        <v>92</v>
      </c>
      <c r="B97" s="34" t="s">
        <v>787</v>
      </c>
      <c r="C97" s="35" t="s">
        <v>788</v>
      </c>
      <c r="D97" s="36" t="s">
        <v>789</v>
      </c>
      <c r="E97" s="36" t="s">
        <v>54</v>
      </c>
      <c r="F97" s="34" t="s">
        <v>790</v>
      </c>
      <c r="G97" s="37" t="s">
        <v>38</v>
      </c>
      <c r="H97" s="37" t="s">
        <v>39</v>
      </c>
      <c r="I97" s="34" t="s">
        <v>791</v>
      </c>
      <c r="J97" s="34" t="s">
        <v>41</v>
      </c>
      <c r="K97" s="39" t="s">
        <v>42</v>
      </c>
      <c r="L97" s="40" t="s">
        <v>792</v>
      </c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42" t="s">
        <v>793</v>
      </c>
      <c r="Y97" s="52" t="s">
        <v>794</v>
      </c>
      <c r="Z97" s="44" t="s">
        <v>795</v>
      </c>
      <c r="AA97" s="45">
        <v>44041</v>
      </c>
      <c r="AB97" s="46" t="s">
        <v>30</v>
      </c>
      <c r="AC97" s="36" t="s">
        <v>26</v>
      </c>
      <c r="AD97" s="47" t="s">
        <v>49</v>
      </c>
      <c r="AE97" s="48" t="s">
        <v>49</v>
      </c>
      <c r="AF97" s="48" t="s">
        <v>49</v>
      </c>
      <c r="AG97" s="48" t="s">
        <v>49</v>
      </c>
      <c r="AH97" s="48" t="s">
        <v>49</v>
      </c>
      <c r="AI97" s="48" t="s">
        <v>49</v>
      </c>
      <c r="AJ97" s="49" t="s">
        <v>49</v>
      </c>
      <c r="AK97" s="48" t="s">
        <v>49</v>
      </c>
      <c r="AL97" s="65" t="s">
        <v>32</v>
      </c>
      <c r="AM97" s="65"/>
      <c r="AN97" s="59"/>
      <c r="AO97" s="10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1"/>
    </row>
    <row r="98" spans="1:52" x14ac:dyDescent="0.2">
      <c r="A98" s="33">
        <f t="shared" si="2"/>
        <v>93</v>
      </c>
      <c r="B98" s="34" t="s">
        <v>796</v>
      </c>
      <c r="C98" s="35" t="s">
        <v>797</v>
      </c>
      <c r="D98" s="36" t="s">
        <v>4606</v>
      </c>
      <c r="E98" s="36" t="s">
        <v>36</v>
      </c>
      <c r="F98" s="34" t="s">
        <v>798</v>
      </c>
      <c r="G98" s="37" t="s">
        <v>39</v>
      </c>
      <c r="H98" s="37" t="s">
        <v>39</v>
      </c>
      <c r="I98" s="38" t="s">
        <v>799</v>
      </c>
      <c r="J98" s="34" t="s">
        <v>41</v>
      </c>
      <c r="K98" s="39" t="s">
        <v>42</v>
      </c>
      <c r="L98" s="40" t="s">
        <v>800</v>
      </c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 t="s">
        <v>732</v>
      </c>
      <c r="X98" s="42" t="s">
        <v>801</v>
      </c>
      <c r="Y98" s="55" t="s">
        <v>802</v>
      </c>
      <c r="Z98" s="44" t="s">
        <v>61</v>
      </c>
      <c r="AA98" s="45">
        <v>43200</v>
      </c>
      <c r="AB98" s="46" t="s">
        <v>30</v>
      </c>
      <c r="AC98" s="36" t="s">
        <v>26</v>
      </c>
      <c r="AD98" s="47" t="s">
        <v>49</v>
      </c>
      <c r="AE98" s="48" t="s">
        <v>49</v>
      </c>
      <c r="AF98" s="48" t="s">
        <v>49</v>
      </c>
      <c r="AG98" s="48" t="s">
        <v>49</v>
      </c>
      <c r="AH98" s="48" t="s">
        <v>49</v>
      </c>
      <c r="AI98" s="48" t="s">
        <v>49</v>
      </c>
      <c r="AJ98" s="49" t="s">
        <v>49</v>
      </c>
      <c r="AK98" s="48" t="s">
        <v>49</v>
      </c>
      <c r="AL98" s="62" t="s">
        <v>32</v>
      </c>
      <c r="AM98" s="62"/>
      <c r="AN98" s="59"/>
      <c r="AO98" s="10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1"/>
    </row>
    <row r="99" spans="1:52" x14ac:dyDescent="0.2">
      <c r="A99" s="33">
        <f t="shared" si="2"/>
        <v>94</v>
      </c>
      <c r="B99" s="34" t="s">
        <v>803</v>
      </c>
      <c r="C99" s="35" t="s">
        <v>804</v>
      </c>
      <c r="D99" s="36" t="s">
        <v>805</v>
      </c>
      <c r="E99" s="36" t="s">
        <v>54</v>
      </c>
      <c r="F99" s="34" t="s">
        <v>806</v>
      </c>
      <c r="G99" s="37" t="s">
        <v>73</v>
      </c>
      <c r="H99" s="37" t="s">
        <v>73</v>
      </c>
      <c r="I99" s="34" t="s">
        <v>807</v>
      </c>
      <c r="J99" s="34" t="s">
        <v>41</v>
      </c>
      <c r="K99" s="39" t="s">
        <v>42</v>
      </c>
      <c r="L99" s="40" t="s">
        <v>808</v>
      </c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2" t="s">
        <v>809</v>
      </c>
      <c r="Y99" s="52" t="s">
        <v>810</v>
      </c>
      <c r="Z99" s="44" t="s">
        <v>61</v>
      </c>
      <c r="AA99" s="45">
        <v>40815</v>
      </c>
      <c r="AB99" s="46" t="s">
        <v>30</v>
      </c>
      <c r="AC99" s="36" t="s">
        <v>26</v>
      </c>
      <c r="AD99" s="47" t="s">
        <v>49</v>
      </c>
      <c r="AE99" s="48" t="s">
        <v>49</v>
      </c>
      <c r="AF99" s="48" t="s">
        <v>49</v>
      </c>
      <c r="AG99" s="48" t="s">
        <v>49</v>
      </c>
      <c r="AH99" s="48" t="s">
        <v>49</v>
      </c>
      <c r="AI99" s="48" t="s">
        <v>49</v>
      </c>
      <c r="AJ99" s="49" t="s">
        <v>49</v>
      </c>
      <c r="AK99" s="48" t="s">
        <v>49</v>
      </c>
      <c r="AL99" s="62" t="s">
        <v>32</v>
      </c>
      <c r="AM99" s="62"/>
      <c r="AN99" s="59"/>
      <c r="AO99" s="10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1"/>
    </row>
    <row r="100" spans="1:52" x14ac:dyDescent="0.2">
      <c r="A100" s="33">
        <f t="shared" si="2"/>
        <v>95</v>
      </c>
      <c r="B100" s="34" t="s">
        <v>811</v>
      </c>
      <c r="C100" s="35" t="s">
        <v>812</v>
      </c>
      <c r="D100" s="73" t="s">
        <v>813</v>
      </c>
      <c r="E100" s="36" t="s">
        <v>54</v>
      </c>
      <c r="F100" s="98" t="s">
        <v>814</v>
      </c>
      <c r="G100" s="37" t="s">
        <v>360</v>
      </c>
      <c r="H100" s="37" t="s">
        <v>350</v>
      </c>
      <c r="I100" s="34" t="s">
        <v>815</v>
      </c>
      <c r="J100" s="34" t="s">
        <v>41</v>
      </c>
      <c r="K100" s="39" t="s">
        <v>42</v>
      </c>
      <c r="L100" s="53" t="s">
        <v>816</v>
      </c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42" t="s">
        <v>817</v>
      </c>
      <c r="Y100" s="69" t="s">
        <v>818</v>
      </c>
      <c r="Z100" s="44" t="s">
        <v>819</v>
      </c>
      <c r="AA100" s="45">
        <v>43200</v>
      </c>
      <c r="AB100" s="46" t="s">
        <v>30</v>
      </c>
      <c r="AC100" s="73" t="s">
        <v>26</v>
      </c>
      <c r="AD100" s="47" t="s">
        <v>49</v>
      </c>
      <c r="AE100" s="48" t="s">
        <v>49</v>
      </c>
      <c r="AF100" s="48" t="s">
        <v>49</v>
      </c>
      <c r="AG100" s="48" t="s">
        <v>49</v>
      </c>
      <c r="AH100" s="48" t="s">
        <v>49</v>
      </c>
      <c r="AI100" s="49" t="s">
        <v>41</v>
      </c>
      <c r="AJ100" s="49" t="s">
        <v>41</v>
      </c>
      <c r="AK100" s="48" t="s">
        <v>41</v>
      </c>
      <c r="AL100" s="62" t="s">
        <v>4589</v>
      </c>
      <c r="AM100" s="62"/>
      <c r="AN100" s="59"/>
      <c r="AO100" s="10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1"/>
    </row>
    <row r="101" spans="1:52" x14ac:dyDescent="0.2">
      <c r="A101" s="33">
        <f t="shared" si="2"/>
        <v>96</v>
      </c>
      <c r="B101" s="34" t="s">
        <v>820</v>
      </c>
      <c r="C101" s="35" t="s">
        <v>821</v>
      </c>
      <c r="D101" s="36" t="s">
        <v>822</v>
      </c>
      <c r="E101" s="36" t="s">
        <v>54</v>
      </c>
      <c r="F101" s="34" t="s">
        <v>823</v>
      </c>
      <c r="G101" s="37" t="s">
        <v>528</v>
      </c>
      <c r="H101" s="37" t="s">
        <v>57</v>
      </c>
      <c r="I101" s="38" t="s">
        <v>824</v>
      </c>
      <c r="J101" s="34" t="s">
        <v>41</v>
      </c>
      <c r="K101" s="39" t="s">
        <v>42</v>
      </c>
      <c r="L101" s="40" t="s">
        <v>825</v>
      </c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2" t="s">
        <v>826</v>
      </c>
      <c r="Y101" s="52" t="s">
        <v>827</v>
      </c>
      <c r="Z101" s="44" t="s">
        <v>828</v>
      </c>
      <c r="AA101" s="45">
        <v>44041</v>
      </c>
      <c r="AB101" s="46" t="s">
        <v>30</v>
      </c>
      <c r="AC101" s="36" t="s">
        <v>26</v>
      </c>
      <c r="AD101" s="47" t="s">
        <v>49</v>
      </c>
      <c r="AE101" s="48" t="s">
        <v>49</v>
      </c>
      <c r="AF101" s="48" t="s">
        <v>49</v>
      </c>
      <c r="AG101" s="48" t="s">
        <v>49</v>
      </c>
      <c r="AH101" s="48" t="s">
        <v>49</v>
      </c>
      <c r="AI101" s="48" t="s">
        <v>49</v>
      </c>
      <c r="AJ101" s="49" t="s">
        <v>49</v>
      </c>
      <c r="AK101" s="48" t="s">
        <v>49</v>
      </c>
      <c r="AL101" s="62" t="s">
        <v>32</v>
      </c>
      <c r="AM101" s="62"/>
      <c r="AN101" s="59"/>
      <c r="AO101" s="10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1"/>
    </row>
    <row r="102" spans="1:52" x14ac:dyDescent="0.2">
      <c r="A102" s="33">
        <f t="shared" si="2"/>
        <v>97</v>
      </c>
      <c r="B102" s="34" t="s">
        <v>829</v>
      </c>
      <c r="C102" s="35" t="s">
        <v>4618</v>
      </c>
      <c r="D102" s="36" t="s">
        <v>830</v>
      </c>
      <c r="E102" s="36" t="s">
        <v>54</v>
      </c>
      <c r="F102" s="34" t="s">
        <v>831</v>
      </c>
      <c r="G102" s="37" t="s">
        <v>747</v>
      </c>
      <c r="H102" s="37" t="s">
        <v>378</v>
      </c>
      <c r="I102" s="38" t="s">
        <v>832</v>
      </c>
      <c r="J102" s="34" t="s">
        <v>41</v>
      </c>
      <c r="K102" s="39" t="s">
        <v>42</v>
      </c>
      <c r="L102" s="40" t="s">
        <v>833</v>
      </c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42" t="s">
        <v>834</v>
      </c>
      <c r="Y102" s="58" t="s">
        <v>835</v>
      </c>
      <c r="Z102" s="44" t="s">
        <v>836</v>
      </c>
      <c r="AA102" s="45">
        <v>41793</v>
      </c>
      <c r="AB102" s="46" t="s">
        <v>30</v>
      </c>
      <c r="AC102" s="36" t="s">
        <v>26</v>
      </c>
      <c r="AD102" s="47" t="s">
        <v>49</v>
      </c>
      <c r="AE102" s="48" t="s">
        <v>49</v>
      </c>
      <c r="AF102" s="48" t="s">
        <v>49</v>
      </c>
      <c r="AG102" s="48" t="s">
        <v>49</v>
      </c>
      <c r="AH102" s="48" t="s">
        <v>49</v>
      </c>
      <c r="AI102" s="48" t="s">
        <v>49</v>
      </c>
      <c r="AJ102" s="49" t="s">
        <v>49</v>
      </c>
      <c r="AK102" s="48" t="s">
        <v>49</v>
      </c>
      <c r="AL102" s="62" t="s">
        <v>32</v>
      </c>
      <c r="AM102" s="62"/>
      <c r="AN102" s="59"/>
      <c r="AO102" s="10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1"/>
    </row>
    <row r="103" spans="1:52" x14ac:dyDescent="0.2">
      <c r="A103" s="33">
        <f t="shared" si="2"/>
        <v>98</v>
      </c>
      <c r="B103" s="34" t="s">
        <v>837</v>
      </c>
      <c r="C103" s="35" t="s">
        <v>838</v>
      </c>
      <c r="D103" s="36" t="s">
        <v>839</v>
      </c>
      <c r="E103" s="36" t="s">
        <v>54</v>
      </c>
      <c r="F103" s="34" t="s">
        <v>840</v>
      </c>
      <c r="G103" s="37" t="s">
        <v>38</v>
      </c>
      <c r="H103" s="37" t="s">
        <v>39</v>
      </c>
      <c r="I103" s="34" t="s">
        <v>841</v>
      </c>
      <c r="J103" s="38" t="s">
        <v>842</v>
      </c>
      <c r="K103" s="39" t="s">
        <v>42</v>
      </c>
      <c r="L103" s="40" t="s">
        <v>843</v>
      </c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2" t="s">
        <v>844</v>
      </c>
      <c r="Y103" s="100" t="s">
        <v>845</v>
      </c>
      <c r="Z103" s="44" t="s">
        <v>61</v>
      </c>
      <c r="AA103" s="45">
        <v>40280</v>
      </c>
      <c r="AB103" s="46" t="s">
        <v>30</v>
      </c>
      <c r="AC103" s="36" t="s">
        <v>26</v>
      </c>
      <c r="AD103" s="47" t="s">
        <v>49</v>
      </c>
      <c r="AE103" s="48" t="s">
        <v>49</v>
      </c>
      <c r="AF103" s="48" t="s">
        <v>49</v>
      </c>
      <c r="AG103" s="48" t="s">
        <v>49</v>
      </c>
      <c r="AH103" s="48" t="s">
        <v>49</v>
      </c>
      <c r="AI103" s="48" t="s">
        <v>49</v>
      </c>
      <c r="AJ103" s="49" t="s">
        <v>49</v>
      </c>
      <c r="AK103" s="48" t="s">
        <v>49</v>
      </c>
      <c r="AL103" s="62" t="s">
        <v>32</v>
      </c>
      <c r="AM103" s="62" t="s">
        <v>4681</v>
      </c>
      <c r="AN103" s="59"/>
      <c r="AO103" s="10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1"/>
    </row>
    <row r="104" spans="1:52" x14ac:dyDescent="0.2">
      <c r="A104" s="33">
        <f t="shared" si="2"/>
        <v>99</v>
      </c>
      <c r="B104" s="34" t="s">
        <v>846</v>
      </c>
      <c r="C104" s="35" t="s">
        <v>847</v>
      </c>
      <c r="D104" s="36" t="s">
        <v>848</v>
      </c>
      <c r="E104" s="36" t="s">
        <v>54</v>
      </c>
      <c r="F104" s="34" t="s">
        <v>849</v>
      </c>
      <c r="G104" s="37" t="s">
        <v>73</v>
      </c>
      <c r="H104" s="37" t="s">
        <v>73</v>
      </c>
      <c r="I104" s="38" t="s">
        <v>850</v>
      </c>
      <c r="J104" s="38" t="s">
        <v>41</v>
      </c>
      <c r="K104" s="39" t="s">
        <v>42</v>
      </c>
      <c r="L104" s="40" t="s">
        <v>851</v>
      </c>
      <c r="M104" s="41"/>
      <c r="N104" s="41"/>
      <c r="O104" s="41"/>
      <c r="P104" s="41"/>
      <c r="Q104" s="41"/>
      <c r="R104" s="41"/>
      <c r="S104" s="41"/>
      <c r="T104" s="41" t="s">
        <v>44</v>
      </c>
      <c r="U104" s="41"/>
      <c r="V104" s="41"/>
      <c r="W104" s="41"/>
      <c r="X104" s="42" t="s">
        <v>852</v>
      </c>
      <c r="Y104" s="146" t="s">
        <v>853</v>
      </c>
      <c r="Z104" s="44"/>
      <c r="AA104" s="45">
        <v>45642</v>
      </c>
      <c r="AB104" s="46"/>
      <c r="AC104" s="36"/>
      <c r="AD104" s="47" t="s">
        <v>49</v>
      </c>
      <c r="AE104" s="48" t="s">
        <v>41</v>
      </c>
      <c r="AF104" s="48" t="s">
        <v>41</v>
      </c>
      <c r="AG104" s="48" t="s">
        <v>41</v>
      </c>
      <c r="AH104" s="48" t="s">
        <v>49</v>
      </c>
      <c r="AI104" s="48" t="s">
        <v>49</v>
      </c>
      <c r="AJ104" s="49" t="s">
        <v>49</v>
      </c>
      <c r="AK104" s="48" t="s">
        <v>49</v>
      </c>
      <c r="AL104" s="62" t="s">
        <v>32</v>
      </c>
      <c r="AM104" s="62"/>
      <c r="AN104" s="59"/>
      <c r="AO104" s="102" t="s">
        <v>2569</v>
      </c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1"/>
    </row>
    <row r="105" spans="1:52" x14ac:dyDescent="0.2">
      <c r="A105" s="33">
        <f t="shared" si="2"/>
        <v>100</v>
      </c>
      <c r="B105" s="34" t="s">
        <v>854</v>
      </c>
      <c r="C105" s="35" t="s">
        <v>855</v>
      </c>
      <c r="D105" s="104" t="s">
        <v>856</v>
      </c>
      <c r="E105" s="36" t="s">
        <v>36</v>
      </c>
      <c r="F105" s="34" t="s">
        <v>857</v>
      </c>
      <c r="G105" s="37" t="s">
        <v>858</v>
      </c>
      <c r="H105" s="37" t="s">
        <v>57</v>
      </c>
      <c r="I105" s="38" t="s">
        <v>859</v>
      </c>
      <c r="J105" s="38" t="s">
        <v>41</v>
      </c>
      <c r="K105" s="39" t="s">
        <v>42</v>
      </c>
      <c r="L105" s="53">
        <v>45078</v>
      </c>
      <c r="M105" s="41"/>
      <c r="N105" s="41"/>
      <c r="O105" s="41"/>
      <c r="P105" s="41"/>
      <c r="Q105" s="41"/>
      <c r="R105" s="41"/>
      <c r="S105" s="41"/>
      <c r="T105" s="41" t="s">
        <v>44</v>
      </c>
      <c r="U105" s="41"/>
      <c r="V105" s="41"/>
      <c r="W105" s="41"/>
      <c r="X105" s="42" t="s">
        <v>860</v>
      </c>
      <c r="Y105" s="100" t="s">
        <v>861</v>
      </c>
      <c r="Z105" s="44" t="s">
        <v>862</v>
      </c>
      <c r="AA105" s="45">
        <v>44944</v>
      </c>
      <c r="AB105" s="101" t="s">
        <v>30</v>
      </c>
      <c r="AC105" s="36"/>
      <c r="AD105" s="47" t="s">
        <v>49</v>
      </c>
      <c r="AE105" s="48" t="s">
        <v>41</v>
      </c>
      <c r="AF105" s="48" t="s">
        <v>41</v>
      </c>
      <c r="AG105" s="48" t="s">
        <v>41</v>
      </c>
      <c r="AH105" s="48" t="s">
        <v>49</v>
      </c>
      <c r="AI105" s="48" t="s">
        <v>41</v>
      </c>
      <c r="AJ105" s="49" t="s">
        <v>41</v>
      </c>
      <c r="AK105" s="48" t="s">
        <v>41</v>
      </c>
      <c r="AL105" s="62" t="s">
        <v>4589</v>
      </c>
      <c r="AM105" s="62"/>
      <c r="AN105" s="59"/>
      <c r="AO105" s="10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1"/>
    </row>
    <row r="106" spans="1:52" x14ac:dyDescent="0.2">
      <c r="A106" s="33">
        <f t="shared" si="2"/>
        <v>101</v>
      </c>
      <c r="B106" s="34" t="s">
        <v>863</v>
      </c>
      <c r="C106" s="35" t="s">
        <v>864</v>
      </c>
      <c r="D106" s="109" t="s">
        <v>865</v>
      </c>
      <c r="E106" s="36" t="s">
        <v>54</v>
      </c>
      <c r="F106" s="108" t="s">
        <v>866</v>
      </c>
      <c r="G106" s="37" t="s">
        <v>73</v>
      </c>
      <c r="H106" s="37" t="s">
        <v>73</v>
      </c>
      <c r="I106" s="108" t="s">
        <v>867</v>
      </c>
      <c r="J106" s="108" t="s">
        <v>868</v>
      </c>
      <c r="K106" s="39" t="s">
        <v>42</v>
      </c>
      <c r="L106" s="40" t="s">
        <v>869</v>
      </c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42" t="s">
        <v>870</v>
      </c>
      <c r="Y106" s="58" t="s">
        <v>871</v>
      </c>
      <c r="Z106" s="44" t="s">
        <v>872</v>
      </c>
      <c r="AA106" s="45">
        <v>44041</v>
      </c>
      <c r="AB106" s="46" t="s">
        <v>30</v>
      </c>
      <c r="AC106" s="109" t="s">
        <v>26</v>
      </c>
      <c r="AD106" s="47" t="s">
        <v>49</v>
      </c>
      <c r="AE106" s="48" t="s">
        <v>49</v>
      </c>
      <c r="AF106" s="48" t="s">
        <v>49</v>
      </c>
      <c r="AG106" s="48" t="s">
        <v>49</v>
      </c>
      <c r="AH106" s="48" t="s">
        <v>49</v>
      </c>
      <c r="AI106" s="48" t="s">
        <v>49</v>
      </c>
      <c r="AJ106" s="49" t="s">
        <v>41</v>
      </c>
      <c r="AK106" s="48" t="s">
        <v>41</v>
      </c>
      <c r="AL106" s="62" t="s">
        <v>276</v>
      </c>
      <c r="AM106" s="62"/>
      <c r="AN106" s="59"/>
      <c r="AO106" s="10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1"/>
    </row>
    <row r="107" spans="1:52" x14ac:dyDescent="0.2">
      <c r="A107" s="33">
        <f t="shared" si="2"/>
        <v>102</v>
      </c>
      <c r="B107" s="34" t="s">
        <v>873</v>
      </c>
      <c r="C107" s="35" t="s">
        <v>874</v>
      </c>
      <c r="D107" s="73" t="s">
        <v>875</v>
      </c>
      <c r="E107" s="36" t="s">
        <v>54</v>
      </c>
      <c r="F107" s="98" t="s">
        <v>876</v>
      </c>
      <c r="G107" s="37" t="s">
        <v>398</v>
      </c>
      <c r="H107" s="37" t="s">
        <v>205</v>
      </c>
      <c r="I107" s="34" t="s">
        <v>877</v>
      </c>
      <c r="J107" s="34" t="s">
        <v>41</v>
      </c>
      <c r="K107" s="39" t="s">
        <v>42</v>
      </c>
      <c r="L107" s="40" t="s">
        <v>878</v>
      </c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42" t="s">
        <v>879</v>
      </c>
      <c r="Y107" s="55" t="s">
        <v>880</v>
      </c>
      <c r="Z107" s="44" t="s">
        <v>881</v>
      </c>
      <c r="AA107" s="45">
        <v>42935</v>
      </c>
      <c r="AB107" s="46" t="s">
        <v>30</v>
      </c>
      <c r="AC107" s="73" t="s">
        <v>26</v>
      </c>
      <c r="AD107" s="47" t="s">
        <v>49</v>
      </c>
      <c r="AE107" s="48" t="s">
        <v>49</v>
      </c>
      <c r="AF107" s="48" t="s">
        <v>49</v>
      </c>
      <c r="AG107" s="48" t="s">
        <v>49</v>
      </c>
      <c r="AH107" s="48" t="s">
        <v>49</v>
      </c>
      <c r="AI107" s="48" t="s">
        <v>49</v>
      </c>
      <c r="AJ107" s="49" t="s">
        <v>49</v>
      </c>
      <c r="AK107" s="48" t="s">
        <v>49</v>
      </c>
      <c r="AL107" s="65" t="s">
        <v>32</v>
      </c>
      <c r="AM107" s="65"/>
      <c r="AN107" s="59"/>
      <c r="AO107" s="10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1"/>
    </row>
    <row r="108" spans="1:52" x14ac:dyDescent="0.2">
      <c r="A108" s="33">
        <f t="shared" si="2"/>
        <v>103</v>
      </c>
      <c r="B108" s="34" t="s">
        <v>882</v>
      </c>
      <c r="C108" s="35" t="s">
        <v>883</v>
      </c>
      <c r="D108" s="36" t="s">
        <v>884</v>
      </c>
      <c r="E108" s="36" t="s">
        <v>54</v>
      </c>
      <c r="F108" s="34" t="s">
        <v>885</v>
      </c>
      <c r="G108" s="37" t="s">
        <v>176</v>
      </c>
      <c r="H108" s="37" t="s">
        <v>39</v>
      </c>
      <c r="I108" s="34" t="s">
        <v>886</v>
      </c>
      <c r="J108" s="34" t="s">
        <v>41</v>
      </c>
      <c r="K108" s="39" t="s">
        <v>42</v>
      </c>
      <c r="L108" s="40" t="s">
        <v>887</v>
      </c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2" t="s">
        <v>888</v>
      </c>
      <c r="Y108" s="58" t="s">
        <v>889</v>
      </c>
      <c r="Z108" s="44" t="s">
        <v>61</v>
      </c>
      <c r="AA108" s="45">
        <v>38593</v>
      </c>
      <c r="AB108" s="46" t="s">
        <v>30</v>
      </c>
      <c r="AC108" s="36"/>
      <c r="AD108" s="47" t="s">
        <v>49</v>
      </c>
      <c r="AE108" s="48" t="s">
        <v>41</v>
      </c>
      <c r="AF108" s="48" t="s">
        <v>41</v>
      </c>
      <c r="AG108" s="48" t="s">
        <v>41</v>
      </c>
      <c r="AH108" s="48" t="s">
        <v>41</v>
      </c>
      <c r="AI108" s="48" t="s">
        <v>41</v>
      </c>
      <c r="AJ108" s="49" t="s">
        <v>41</v>
      </c>
      <c r="AK108" s="48" t="s">
        <v>41</v>
      </c>
      <c r="AL108" s="82" t="s">
        <v>4592</v>
      </c>
      <c r="AM108" s="82"/>
      <c r="AN108" s="59" t="s">
        <v>890</v>
      </c>
      <c r="AO108" s="10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1"/>
    </row>
    <row r="109" spans="1:52" x14ac:dyDescent="0.2">
      <c r="A109" s="33">
        <f t="shared" si="2"/>
        <v>104</v>
      </c>
      <c r="B109" s="34" t="s">
        <v>891</v>
      </c>
      <c r="C109" s="35" t="s">
        <v>892</v>
      </c>
      <c r="D109" s="36" t="s">
        <v>893</v>
      </c>
      <c r="E109" s="36" t="s">
        <v>36</v>
      </c>
      <c r="F109" s="87" t="s">
        <v>894</v>
      </c>
      <c r="G109" s="37" t="s">
        <v>176</v>
      </c>
      <c r="H109" s="37" t="s">
        <v>39</v>
      </c>
      <c r="I109" s="34" t="s">
        <v>895</v>
      </c>
      <c r="J109" s="34" t="s">
        <v>41</v>
      </c>
      <c r="K109" s="39" t="s">
        <v>42</v>
      </c>
      <c r="L109" s="40" t="s">
        <v>896</v>
      </c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42" t="s">
        <v>897</v>
      </c>
      <c r="Y109" s="58" t="s">
        <v>898</v>
      </c>
      <c r="Z109" s="44" t="s">
        <v>899</v>
      </c>
      <c r="AA109" s="45">
        <v>42325</v>
      </c>
      <c r="AB109" s="46" t="s">
        <v>30</v>
      </c>
      <c r="AC109" s="36"/>
      <c r="AD109" s="47" t="s">
        <v>49</v>
      </c>
      <c r="AE109" s="48" t="s">
        <v>41</v>
      </c>
      <c r="AF109" s="48" t="s">
        <v>41</v>
      </c>
      <c r="AG109" s="48" t="s">
        <v>41</v>
      </c>
      <c r="AH109" s="48" t="s">
        <v>41</v>
      </c>
      <c r="AI109" s="48" t="s">
        <v>41</v>
      </c>
      <c r="AJ109" s="49" t="s">
        <v>41</v>
      </c>
      <c r="AK109" s="48" t="s">
        <v>41</v>
      </c>
      <c r="AL109" s="65" t="s">
        <v>4588</v>
      </c>
      <c r="AM109" s="65"/>
      <c r="AN109" s="59"/>
      <c r="AO109" s="117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1"/>
    </row>
    <row r="110" spans="1:52" x14ac:dyDescent="0.2">
      <c r="A110" s="33">
        <f t="shared" si="2"/>
        <v>105</v>
      </c>
      <c r="B110" s="34" t="s">
        <v>900</v>
      </c>
      <c r="C110" s="35" t="s">
        <v>901</v>
      </c>
      <c r="D110" s="36" t="s">
        <v>902</v>
      </c>
      <c r="E110" s="36" t="s">
        <v>54</v>
      </c>
      <c r="F110" s="34" t="s">
        <v>903</v>
      </c>
      <c r="G110" s="37" t="s">
        <v>73</v>
      </c>
      <c r="H110" s="37" t="s">
        <v>73</v>
      </c>
      <c r="I110" s="34" t="s">
        <v>904</v>
      </c>
      <c r="J110" s="34" t="s">
        <v>905</v>
      </c>
      <c r="K110" s="39" t="s">
        <v>42</v>
      </c>
      <c r="L110" s="53">
        <v>37051</v>
      </c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2" t="s">
        <v>906</v>
      </c>
      <c r="Y110" s="52" t="s">
        <v>907</v>
      </c>
      <c r="Z110" s="44" t="s">
        <v>908</v>
      </c>
      <c r="AA110" s="45">
        <v>42325</v>
      </c>
      <c r="AB110" s="46" t="s">
        <v>30</v>
      </c>
      <c r="AC110" s="36" t="s">
        <v>26</v>
      </c>
      <c r="AD110" s="47" t="s">
        <v>49</v>
      </c>
      <c r="AE110" s="48" t="s">
        <v>49</v>
      </c>
      <c r="AF110" s="48" t="s">
        <v>49</v>
      </c>
      <c r="AG110" s="48" t="s">
        <v>49</v>
      </c>
      <c r="AH110" s="48" t="s">
        <v>49</v>
      </c>
      <c r="AI110" s="48" t="s">
        <v>41</v>
      </c>
      <c r="AJ110" s="49" t="s">
        <v>41</v>
      </c>
      <c r="AK110" s="48" t="s">
        <v>41</v>
      </c>
      <c r="AL110" s="62" t="s">
        <v>4589</v>
      </c>
      <c r="AM110" s="62"/>
      <c r="AN110" s="59"/>
      <c r="AO110" s="10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1"/>
    </row>
    <row r="111" spans="1:52" x14ac:dyDescent="0.2">
      <c r="A111" s="33">
        <f t="shared" si="2"/>
        <v>106</v>
      </c>
      <c r="B111" s="34" t="s">
        <v>909</v>
      </c>
      <c r="C111" s="35" t="s">
        <v>910</v>
      </c>
      <c r="D111" s="36" t="s">
        <v>911</v>
      </c>
      <c r="E111" s="36" t="s">
        <v>54</v>
      </c>
      <c r="F111" s="108" t="s">
        <v>912</v>
      </c>
      <c r="G111" s="37" t="s">
        <v>73</v>
      </c>
      <c r="H111" s="37" t="s">
        <v>73</v>
      </c>
      <c r="I111" s="34" t="s">
        <v>913</v>
      </c>
      <c r="J111" s="34" t="s">
        <v>914</v>
      </c>
      <c r="K111" s="39" t="s">
        <v>42</v>
      </c>
      <c r="L111" s="40" t="s">
        <v>915</v>
      </c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42" t="s">
        <v>916</v>
      </c>
      <c r="Y111" s="58" t="s">
        <v>917</v>
      </c>
      <c r="Z111" s="44"/>
      <c r="AA111" s="45" t="s">
        <v>47</v>
      </c>
      <c r="AB111" s="46"/>
      <c r="AC111" s="36">
        <v>1</v>
      </c>
      <c r="AD111" s="47" t="s">
        <v>49</v>
      </c>
      <c r="AE111" s="48" t="s">
        <v>41</v>
      </c>
      <c r="AF111" s="48" t="s">
        <v>41</v>
      </c>
      <c r="AG111" s="48" t="s">
        <v>41</v>
      </c>
      <c r="AH111" s="48" t="s">
        <v>41</v>
      </c>
      <c r="AI111" s="48" t="s">
        <v>41</v>
      </c>
      <c r="AJ111" s="49" t="s">
        <v>41</v>
      </c>
      <c r="AK111" s="48" t="s">
        <v>41</v>
      </c>
      <c r="AL111" s="65" t="s">
        <v>4591</v>
      </c>
      <c r="AM111" s="65"/>
      <c r="AN111" s="59"/>
      <c r="AO111" s="10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1"/>
    </row>
    <row r="112" spans="1:52" x14ac:dyDescent="0.2">
      <c r="A112" s="33">
        <f t="shared" si="2"/>
        <v>107</v>
      </c>
      <c r="B112" s="34" t="s">
        <v>918</v>
      </c>
      <c r="C112" s="35" t="s">
        <v>919</v>
      </c>
      <c r="D112" s="36" t="s">
        <v>920</v>
      </c>
      <c r="E112" s="36" t="s">
        <v>54</v>
      </c>
      <c r="F112" s="34" t="s">
        <v>921</v>
      </c>
      <c r="G112" s="37" t="s">
        <v>73</v>
      </c>
      <c r="H112" s="37" t="s">
        <v>73</v>
      </c>
      <c r="I112" s="38" t="s">
        <v>922</v>
      </c>
      <c r="J112" s="34" t="s">
        <v>41</v>
      </c>
      <c r="K112" s="39" t="s">
        <v>42</v>
      </c>
      <c r="L112" s="120">
        <v>44478</v>
      </c>
      <c r="M112" s="112"/>
      <c r="N112" s="112"/>
      <c r="O112" s="112"/>
      <c r="P112" s="112"/>
      <c r="Q112" s="112"/>
      <c r="R112" s="112"/>
      <c r="S112" s="112"/>
      <c r="T112" s="41"/>
      <c r="U112" s="41"/>
      <c r="V112" s="41"/>
      <c r="W112" s="41"/>
      <c r="X112" s="42" t="s">
        <v>923</v>
      </c>
      <c r="Y112" s="43" t="s">
        <v>924</v>
      </c>
      <c r="Z112" s="44" t="s">
        <v>925</v>
      </c>
      <c r="AA112" s="45">
        <v>44944</v>
      </c>
      <c r="AB112" s="101" t="s">
        <v>30</v>
      </c>
      <c r="AC112" s="36"/>
      <c r="AD112" s="47" t="s">
        <v>49</v>
      </c>
      <c r="AE112" s="48" t="s">
        <v>41</v>
      </c>
      <c r="AF112" s="48" t="s">
        <v>49</v>
      </c>
      <c r="AG112" s="48" t="s">
        <v>49</v>
      </c>
      <c r="AH112" s="48" t="s">
        <v>49</v>
      </c>
      <c r="AI112" s="48" t="s">
        <v>49</v>
      </c>
      <c r="AJ112" s="49" t="s">
        <v>49</v>
      </c>
      <c r="AK112" s="48" t="s">
        <v>49</v>
      </c>
      <c r="AL112" s="62" t="s">
        <v>32</v>
      </c>
      <c r="AM112" s="62"/>
      <c r="AN112" s="59"/>
      <c r="AO112" s="10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1"/>
    </row>
    <row r="113" spans="1:52" x14ac:dyDescent="0.2">
      <c r="A113" s="33">
        <f t="shared" si="2"/>
        <v>108</v>
      </c>
      <c r="B113" s="107" t="s">
        <v>926</v>
      </c>
      <c r="C113" s="35" t="s">
        <v>927</v>
      </c>
      <c r="D113" s="36" t="s">
        <v>928</v>
      </c>
      <c r="E113" s="36" t="s">
        <v>54</v>
      </c>
      <c r="F113" s="34" t="s">
        <v>929</v>
      </c>
      <c r="G113" s="37" t="s">
        <v>73</v>
      </c>
      <c r="H113" s="37" t="s">
        <v>73</v>
      </c>
      <c r="I113" s="107" t="s">
        <v>930</v>
      </c>
      <c r="J113" s="34" t="s">
        <v>931</v>
      </c>
      <c r="K113" s="39" t="s">
        <v>42</v>
      </c>
      <c r="L113" s="99" t="s">
        <v>932</v>
      </c>
      <c r="M113" s="115"/>
      <c r="N113" s="147"/>
      <c r="O113" s="147"/>
      <c r="P113" s="147"/>
      <c r="Q113" s="147"/>
      <c r="R113" s="147"/>
      <c r="S113" s="147"/>
      <c r="T113" s="115"/>
      <c r="U113" s="56"/>
      <c r="V113" s="56"/>
      <c r="W113" s="56"/>
      <c r="X113" s="42" t="s">
        <v>933</v>
      </c>
      <c r="Y113" s="58" t="s">
        <v>934</v>
      </c>
      <c r="Z113" s="44" t="s">
        <v>61</v>
      </c>
      <c r="AA113" s="45">
        <v>40815</v>
      </c>
      <c r="AB113" s="148" t="s">
        <v>30</v>
      </c>
      <c r="AC113" s="36" t="s">
        <v>26</v>
      </c>
      <c r="AD113" s="47" t="s">
        <v>49</v>
      </c>
      <c r="AE113" s="48" t="s">
        <v>49</v>
      </c>
      <c r="AF113" s="48" t="s">
        <v>49</v>
      </c>
      <c r="AG113" s="48" t="s">
        <v>49</v>
      </c>
      <c r="AH113" s="48" t="s">
        <v>49</v>
      </c>
      <c r="AI113" s="48" t="s">
        <v>49</v>
      </c>
      <c r="AJ113" s="49" t="s">
        <v>49</v>
      </c>
      <c r="AK113" s="48" t="s">
        <v>41</v>
      </c>
      <c r="AL113" s="62" t="s">
        <v>148</v>
      </c>
      <c r="AM113" s="62"/>
      <c r="AN113" s="59"/>
      <c r="AO113" s="10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1"/>
    </row>
    <row r="114" spans="1:52" x14ac:dyDescent="0.2">
      <c r="A114" s="33">
        <f t="shared" si="2"/>
        <v>109</v>
      </c>
      <c r="B114" s="149" t="s">
        <v>935</v>
      </c>
      <c r="C114" s="150" t="s">
        <v>936</v>
      </c>
      <c r="D114" s="73" t="s">
        <v>937</v>
      </c>
      <c r="E114" s="36" t="s">
        <v>54</v>
      </c>
      <c r="F114" s="52" t="s">
        <v>938</v>
      </c>
      <c r="G114" s="151" t="s">
        <v>939</v>
      </c>
      <c r="H114" s="151" t="s">
        <v>205</v>
      </c>
      <c r="I114" s="113" t="s">
        <v>940</v>
      </c>
      <c r="J114" s="34"/>
      <c r="K114" s="39" t="s">
        <v>42</v>
      </c>
      <c r="L114" s="152" t="s">
        <v>941</v>
      </c>
      <c r="M114" s="115" t="s">
        <v>179</v>
      </c>
      <c r="N114" s="147" t="s">
        <v>179</v>
      </c>
      <c r="O114" s="147"/>
      <c r="P114" s="147">
        <v>6</v>
      </c>
      <c r="Q114" s="147" t="s">
        <v>942</v>
      </c>
      <c r="R114" s="147"/>
      <c r="S114" s="147"/>
      <c r="T114" s="115"/>
      <c r="U114" s="56"/>
      <c r="V114" s="56"/>
      <c r="W114" s="56"/>
      <c r="X114" s="42" t="s">
        <v>943</v>
      </c>
      <c r="Y114" s="58" t="s">
        <v>944</v>
      </c>
      <c r="Z114" s="44" t="s">
        <v>945</v>
      </c>
      <c r="AA114" s="153">
        <v>43200</v>
      </c>
      <c r="AB114" s="101" t="s">
        <v>30</v>
      </c>
      <c r="AC114" s="73">
        <v>1</v>
      </c>
      <c r="AD114" s="47" t="s">
        <v>49</v>
      </c>
      <c r="AE114" s="48" t="s">
        <v>41</v>
      </c>
      <c r="AF114" s="48" t="s">
        <v>41</v>
      </c>
      <c r="AG114" s="48" t="s">
        <v>41</v>
      </c>
      <c r="AH114" s="48" t="s">
        <v>41</v>
      </c>
      <c r="AI114" s="48" t="s">
        <v>41</v>
      </c>
      <c r="AJ114" s="49" t="s">
        <v>41</v>
      </c>
      <c r="AK114" s="48" t="s">
        <v>41</v>
      </c>
      <c r="AL114" s="82" t="s">
        <v>4592</v>
      </c>
      <c r="AM114" s="82"/>
      <c r="AN114" s="59"/>
      <c r="AO114" s="10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1"/>
    </row>
    <row r="115" spans="1:52" x14ac:dyDescent="0.2">
      <c r="A115" s="33">
        <f t="shared" si="2"/>
        <v>110</v>
      </c>
      <c r="B115" s="34" t="s">
        <v>946</v>
      </c>
      <c r="C115" s="35" t="s">
        <v>947</v>
      </c>
      <c r="D115" s="36" t="s">
        <v>948</v>
      </c>
      <c r="E115" s="36" t="s">
        <v>54</v>
      </c>
      <c r="F115" s="34" t="s">
        <v>949</v>
      </c>
      <c r="G115" s="37" t="s">
        <v>73</v>
      </c>
      <c r="H115" s="37" t="s">
        <v>73</v>
      </c>
      <c r="I115" s="34" t="s">
        <v>950</v>
      </c>
      <c r="J115" s="34" t="s">
        <v>951</v>
      </c>
      <c r="K115" s="39" t="s">
        <v>42</v>
      </c>
      <c r="L115" s="120">
        <v>35919</v>
      </c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42" t="s">
        <v>952</v>
      </c>
      <c r="Y115" s="58" t="s">
        <v>953</v>
      </c>
      <c r="Z115" s="44" t="s">
        <v>61</v>
      </c>
      <c r="AA115" s="45">
        <v>36641</v>
      </c>
      <c r="AB115" s="101" t="s">
        <v>30</v>
      </c>
      <c r="AC115" s="36" t="s">
        <v>26</v>
      </c>
      <c r="AD115" s="47" t="s">
        <v>49</v>
      </c>
      <c r="AE115" s="48" t="s">
        <v>49</v>
      </c>
      <c r="AF115" s="48" t="s">
        <v>49</v>
      </c>
      <c r="AG115" s="48" t="s">
        <v>49</v>
      </c>
      <c r="AH115" s="48" t="s">
        <v>49</v>
      </c>
      <c r="AI115" s="48" t="s">
        <v>49</v>
      </c>
      <c r="AJ115" s="49" t="s">
        <v>41</v>
      </c>
      <c r="AK115" s="48" t="s">
        <v>41</v>
      </c>
      <c r="AL115" s="62" t="s">
        <v>276</v>
      </c>
      <c r="AM115" s="62"/>
      <c r="AN115" s="59"/>
      <c r="AO115" s="117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1"/>
    </row>
    <row r="116" spans="1:52" x14ac:dyDescent="0.2">
      <c r="A116" s="33">
        <f t="shared" si="2"/>
        <v>111</v>
      </c>
      <c r="B116" s="108" t="s">
        <v>954</v>
      </c>
      <c r="C116" s="35" t="s">
        <v>955</v>
      </c>
      <c r="D116" s="36" t="s">
        <v>956</v>
      </c>
      <c r="E116" s="36" t="s">
        <v>54</v>
      </c>
      <c r="F116" s="34" t="s">
        <v>957</v>
      </c>
      <c r="G116" s="37" t="s">
        <v>958</v>
      </c>
      <c r="H116" s="37" t="s">
        <v>187</v>
      </c>
      <c r="I116" s="38" t="s">
        <v>959</v>
      </c>
      <c r="J116" s="34" t="s">
        <v>41</v>
      </c>
      <c r="K116" s="39" t="s">
        <v>42</v>
      </c>
      <c r="L116" s="120">
        <v>41947</v>
      </c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2" t="s">
        <v>960</v>
      </c>
      <c r="Y116" s="69" t="s">
        <v>961</v>
      </c>
      <c r="Z116" s="119" t="s">
        <v>61</v>
      </c>
      <c r="AA116" s="45">
        <v>36641</v>
      </c>
      <c r="AB116" s="101" t="s">
        <v>30</v>
      </c>
      <c r="AC116" s="36" t="s">
        <v>26</v>
      </c>
      <c r="AD116" s="47" t="s">
        <v>49</v>
      </c>
      <c r="AE116" s="48" t="s">
        <v>49</v>
      </c>
      <c r="AF116" s="48" t="s">
        <v>49</v>
      </c>
      <c r="AG116" s="48" t="s">
        <v>49</v>
      </c>
      <c r="AH116" s="48" t="s">
        <v>49</v>
      </c>
      <c r="AI116" s="48" t="s">
        <v>49</v>
      </c>
      <c r="AJ116" s="49" t="s">
        <v>49</v>
      </c>
      <c r="AK116" s="48" t="s">
        <v>49</v>
      </c>
      <c r="AL116" s="65" t="s">
        <v>32</v>
      </c>
      <c r="AM116" s="65"/>
      <c r="AN116" s="59"/>
      <c r="AO116" s="117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1"/>
    </row>
    <row r="117" spans="1:52" x14ac:dyDescent="0.2">
      <c r="A117" s="33">
        <f t="shared" si="2"/>
        <v>112</v>
      </c>
      <c r="B117" s="52" t="s">
        <v>962</v>
      </c>
      <c r="C117" s="150" t="s">
        <v>963</v>
      </c>
      <c r="D117" s="73" t="s">
        <v>964</v>
      </c>
      <c r="E117" s="36" t="s">
        <v>36</v>
      </c>
      <c r="F117" s="52" t="s">
        <v>965</v>
      </c>
      <c r="G117" s="151" t="s">
        <v>243</v>
      </c>
      <c r="H117" s="151" t="s">
        <v>205</v>
      </c>
      <c r="I117" s="113" t="s">
        <v>966</v>
      </c>
      <c r="J117" s="34"/>
      <c r="K117" s="39" t="s">
        <v>42</v>
      </c>
      <c r="L117" s="152" t="s">
        <v>216</v>
      </c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42" t="s">
        <v>967</v>
      </c>
      <c r="Y117" s="58" t="s">
        <v>968</v>
      </c>
      <c r="Z117" s="44" t="s">
        <v>969</v>
      </c>
      <c r="AA117" s="45">
        <v>44041</v>
      </c>
      <c r="AB117" s="101" t="s">
        <v>30</v>
      </c>
      <c r="AC117" s="73"/>
      <c r="AD117" s="47" t="s">
        <v>49</v>
      </c>
      <c r="AE117" s="48" t="s">
        <v>41</v>
      </c>
      <c r="AF117" s="48" t="s">
        <v>49</v>
      </c>
      <c r="AG117" s="48" t="s">
        <v>49</v>
      </c>
      <c r="AH117" s="48" t="s">
        <v>49</v>
      </c>
      <c r="AI117" s="48" t="s">
        <v>49</v>
      </c>
      <c r="AJ117" s="49" t="s">
        <v>49</v>
      </c>
      <c r="AK117" s="48" t="s">
        <v>49</v>
      </c>
      <c r="AL117" s="65" t="s">
        <v>32</v>
      </c>
      <c r="AM117" s="65"/>
      <c r="AN117" s="59"/>
      <c r="AO117" s="10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1"/>
    </row>
    <row r="118" spans="1:52" x14ac:dyDescent="0.2">
      <c r="A118" s="33">
        <f t="shared" si="2"/>
        <v>113</v>
      </c>
      <c r="B118" s="107" t="s">
        <v>970</v>
      </c>
      <c r="C118" s="35" t="s">
        <v>971</v>
      </c>
      <c r="D118" s="36" t="s">
        <v>972</v>
      </c>
      <c r="E118" s="36" t="s">
        <v>241</v>
      </c>
      <c r="F118" s="34" t="s">
        <v>973</v>
      </c>
      <c r="G118" s="37" t="s">
        <v>205</v>
      </c>
      <c r="H118" s="37" t="s">
        <v>205</v>
      </c>
      <c r="I118" s="34" t="s">
        <v>974</v>
      </c>
      <c r="J118" s="34" t="s">
        <v>975</v>
      </c>
      <c r="K118" s="39" t="s">
        <v>42</v>
      </c>
      <c r="L118" s="120" t="s">
        <v>976</v>
      </c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2" t="s">
        <v>977</v>
      </c>
      <c r="Y118" s="58" t="s">
        <v>978</v>
      </c>
      <c r="Z118" s="121" t="s">
        <v>979</v>
      </c>
      <c r="AA118" s="153">
        <v>44650</v>
      </c>
      <c r="AB118" s="101" t="s">
        <v>30</v>
      </c>
      <c r="AC118" s="36" t="s">
        <v>26</v>
      </c>
      <c r="AD118" s="47" t="s">
        <v>49</v>
      </c>
      <c r="AE118" s="48" t="s">
        <v>49</v>
      </c>
      <c r="AF118" s="48" t="s">
        <v>49</v>
      </c>
      <c r="AG118" s="48" t="s">
        <v>49</v>
      </c>
      <c r="AH118" s="48" t="s">
        <v>49</v>
      </c>
      <c r="AI118" s="48" t="s">
        <v>49</v>
      </c>
      <c r="AJ118" s="49" t="s">
        <v>49</v>
      </c>
      <c r="AK118" s="48" t="s">
        <v>49</v>
      </c>
      <c r="AL118" s="62" t="s">
        <v>32</v>
      </c>
      <c r="AM118" s="62"/>
      <c r="AN118" s="59"/>
      <c r="AO118" s="117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1"/>
    </row>
    <row r="119" spans="1:52" x14ac:dyDescent="0.2">
      <c r="A119" s="33">
        <f t="shared" si="2"/>
        <v>114</v>
      </c>
      <c r="B119" s="72" t="s">
        <v>980</v>
      </c>
      <c r="C119" s="35" t="s">
        <v>981</v>
      </c>
      <c r="D119" s="154" t="s">
        <v>982</v>
      </c>
      <c r="E119" s="36" t="s">
        <v>54</v>
      </c>
      <c r="F119" s="69" t="s">
        <v>983</v>
      </c>
      <c r="G119" s="75" t="s">
        <v>205</v>
      </c>
      <c r="H119" s="75" t="s">
        <v>205</v>
      </c>
      <c r="I119" s="72" t="s">
        <v>984</v>
      </c>
      <c r="J119" s="72" t="s">
        <v>985</v>
      </c>
      <c r="K119" s="77" t="s">
        <v>986</v>
      </c>
      <c r="L119" s="155">
        <v>32911</v>
      </c>
      <c r="M119" s="156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42" t="s">
        <v>987</v>
      </c>
      <c r="Y119" s="58" t="s">
        <v>988</v>
      </c>
      <c r="Z119" s="119" t="s">
        <v>989</v>
      </c>
      <c r="AA119" s="45">
        <v>41793</v>
      </c>
      <c r="AB119" s="101" t="s">
        <v>30</v>
      </c>
      <c r="AC119" s="154"/>
      <c r="AD119" s="81" t="s">
        <v>49</v>
      </c>
      <c r="AE119" s="48" t="s">
        <v>41</v>
      </c>
      <c r="AF119" s="48" t="s">
        <v>41</v>
      </c>
      <c r="AG119" s="48" t="s">
        <v>41</v>
      </c>
      <c r="AH119" s="48" t="s">
        <v>41</v>
      </c>
      <c r="AI119" s="48" t="s">
        <v>41</v>
      </c>
      <c r="AJ119" s="49" t="s">
        <v>41</v>
      </c>
      <c r="AK119" s="48" t="s">
        <v>41</v>
      </c>
      <c r="AL119" s="65" t="s">
        <v>4592</v>
      </c>
      <c r="AM119" s="65"/>
      <c r="AN119" s="59" t="s">
        <v>990</v>
      </c>
      <c r="AO119" s="10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1"/>
    </row>
    <row r="120" spans="1:52" x14ac:dyDescent="0.2">
      <c r="A120" s="33">
        <f t="shared" si="2"/>
        <v>115</v>
      </c>
      <c r="B120" s="108" t="s">
        <v>991</v>
      </c>
      <c r="C120" s="35" t="s">
        <v>992</v>
      </c>
      <c r="D120" s="36" t="s">
        <v>993</v>
      </c>
      <c r="E120" s="36" t="s">
        <v>54</v>
      </c>
      <c r="F120" s="34" t="s">
        <v>994</v>
      </c>
      <c r="G120" s="37" t="s">
        <v>73</v>
      </c>
      <c r="H120" s="37" t="s">
        <v>73</v>
      </c>
      <c r="I120" s="38" t="s">
        <v>995</v>
      </c>
      <c r="J120" s="34" t="s">
        <v>41</v>
      </c>
      <c r="K120" s="39" t="s">
        <v>42</v>
      </c>
      <c r="L120" s="120" t="s">
        <v>996</v>
      </c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2" t="s">
        <v>997</v>
      </c>
      <c r="Y120" s="58" t="s">
        <v>998</v>
      </c>
      <c r="Z120" s="121" t="s">
        <v>999</v>
      </c>
      <c r="AA120" s="153">
        <v>44650</v>
      </c>
      <c r="AB120" s="101" t="s">
        <v>30</v>
      </c>
      <c r="AC120" s="36" t="s">
        <v>26</v>
      </c>
      <c r="AD120" s="47" t="s">
        <v>49</v>
      </c>
      <c r="AE120" s="48" t="s">
        <v>49</v>
      </c>
      <c r="AF120" s="48" t="s">
        <v>49</v>
      </c>
      <c r="AG120" s="48" t="s">
        <v>49</v>
      </c>
      <c r="AH120" s="48" t="s">
        <v>49</v>
      </c>
      <c r="AI120" s="48" t="s">
        <v>49</v>
      </c>
      <c r="AJ120" s="49" t="s">
        <v>41</v>
      </c>
      <c r="AK120" s="48" t="s">
        <v>41</v>
      </c>
      <c r="AL120" s="62" t="s">
        <v>276</v>
      </c>
      <c r="AM120" s="62"/>
      <c r="AN120" s="59"/>
      <c r="AO120" s="117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1"/>
    </row>
    <row r="121" spans="1:52" x14ac:dyDescent="0.2">
      <c r="A121" s="33">
        <f t="shared" si="2"/>
        <v>116</v>
      </c>
      <c r="B121" s="34" t="s">
        <v>1000</v>
      </c>
      <c r="C121" s="35" t="s">
        <v>1001</v>
      </c>
      <c r="D121" s="36" t="s">
        <v>1002</v>
      </c>
      <c r="E121" s="36" t="s">
        <v>54</v>
      </c>
      <c r="F121" s="34" t="s">
        <v>1003</v>
      </c>
      <c r="G121" s="37" t="s">
        <v>73</v>
      </c>
      <c r="H121" s="37" t="s">
        <v>73</v>
      </c>
      <c r="I121" s="38" t="s">
        <v>1004</v>
      </c>
      <c r="J121" s="38" t="s">
        <v>1005</v>
      </c>
      <c r="K121" s="39" t="s">
        <v>42</v>
      </c>
      <c r="L121" s="99" t="s">
        <v>1006</v>
      </c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2" t="s">
        <v>1007</v>
      </c>
      <c r="Y121" s="52" t="s">
        <v>1008</v>
      </c>
      <c r="Z121" s="44" t="s">
        <v>61</v>
      </c>
      <c r="AA121" s="45">
        <v>37877</v>
      </c>
      <c r="AB121" s="101" t="s">
        <v>30</v>
      </c>
      <c r="AC121" s="36" t="s">
        <v>26</v>
      </c>
      <c r="AD121" s="47" t="s">
        <v>49</v>
      </c>
      <c r="AE121" s="48" t="s">
        <v>49</v>
      </c>
      <c r="AF121" s="48" t="s">
        <v>49</v>
      </c>
      <c r="AG121" s="48" t="s">
        <v>49</v>
      </c>
      <c r="AH121" s="48" t="s">
        <v>49</v>
      </c>
      <c r="AI121" s="48" t="s">
        <v>49</v>
      </c>
      <c r="AJ121" s="49" t="s">
        <v>49</v>
      </c>
      <c r="AK121" s="48" t="s">
        <v>49</v>
      </c>
      <c r="AL121" s="62" t="s">
        <v>32</v>
      </c>
      <c r="AM121" s="62"/>
      <c r="AN121" s="59"/>
      <c r="AO121" s="10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1"/>
    </row>
    <row r="122" spans="1:52" x14ac:dyDescent="0.2">
      <c r="A122" s="33">
        <f t="shared" si="2"/>
        <v>117</v>
      </c>
      <c r="B122" s="34" t="s">
        <v>1009</v>
      </c>
      <c r="C122" s="35" t="s">
        <v>1010</v>
      </c>
      <c r="D122" s="36" t="s">
        <v>1011</v>
      </c>
      <c r="E122" s="36" t="s">
        <v>54</v>
      </c>
      <c r="F122" s="34" t="s">
        <v>1012</v>
      </c>
      <c r="G122" s="37" t="s">
        <v>73</v>
      </c>
      <c r="H122" s="37" t="s">
        <v>73</v>
      </c>
      <c r="I122" s="38" t="s">
        <v>1013</v>
      </c>
      <c r="J122" s="38"/>
      <c r="K122" s="39" t="s">
        <v>42</v>
      </c>
      <c r="L122" s="99" t="s">
        <v>1014</v>
      </c>
      <c r="M122" s="41"/>
      <c r="N122" s="41"/>
      <c r="O122" s="41"/>
      <c r="P122" s="41"/>
      <c r="Q122" s="41"/>
      <c r="R122" s="41"/>
      <c r="S122" s="41"/>
      <c r="T122" s="41" t="s">
        <v>44</v>
      </c>
      <c r="U122" s="41"/>
      <c r="V122" s="41"/>
      <c r="W122" s="41"/>
      <c r="X122" s="42" t="s">
        <v>1015</v>
      </c>
      <c r="Y122" s="43" t="s">
        <v>1016</v>
      </c>
      <c r="Z122" s="44"/>
      <c r="AA122" s="45">
        <v>45642</v>
      </c>
      <c r="AB122" s="101"/>
      <c r="AC122" s="36"/>
      <c r="AD122" s="47" t="s">
        <v>49</v>
      </c>
      <c r="AE122" s="48" t="s">
        <v>41</v>
      </c>
      <c r="AF122" s="48" t="s">
        <v>41</v>
      </c>
      <c r="AG122" s="48" t="s">
        <v>41</v>
      </c>
      <c r="AH122" s="48" t="s">
        <v>49</v>
      </c>
      <c r="AI122" s="48" t="s">
        <v>49</v>
      </c>
      <c r="AJ122" s="49" t="s">
        <v>49</v>
      </c>
      <c r="AK122" s="48" t="s">
        <v>49</v>
      </c>
      <c r="AL122" s="65" t="s">
        <v>32</v>
      </c>
      <c r="AM122" s="65"/>
      <c r="AN122" s="103" t="s">
        <v>41</v>
      </c>
      <c r="AO122" s="10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1"/>
    </row>
    <row r="123" spans="1:52" x14ac:dyDescent="0.2">
      <c r="A123" s="33">
        <f t="shared" si="2"/>
        <v>118</v>
      </c>
      <c r="B123" s="34" t="s">
        <v>1017</v>
      </c>
      <c r="C123" s="35" t="s">
        <v>1018</v>
      </c>
      <c r="D123" s="36" t="s">
        <v>1019</v>
      </c>
      <c r="E123" s="36" t="s">
        <v>54</v>
      </c>
      <c r="F123" s="34" t="s">
        <v>1020</v>
      </c>
      <c r="G123" s="37" t="s">
        <v>73</v>
      </c>
      <c r="H123" s="37" t="s">
        <v>73</v>
      </c>
      <c r="I123" s="38" t="s">
        <v>1021</v>
      </c>
      <c r="J123" s="38" t="s">
        <v>41</v>
      </c>
      <c r="K123" s="39" t="s">
        <v>42</v>
      </c>
      <c r="L123" s="99" t="s">
        <v>1022</v>
      </c>
      <c r="M123" s="41"/>
      <c r="N123" s="41"/>
      <c r="O123" s="41"/>
      <c r="P123" s="41"/>
      <c r="Q123" s="41"/>
      <c r="R123" s="41"/>
      <c r="S123" s="41" t="s">
        <v>44</v>
      </c>
      <c r="T123" s="41"/>
      <c r="U123" s="41"/>
      <c r="V123" s="41"/>
      <c r="W123" s="41"/>
      <c r="X123" s="42" t="s">
        <v>1023</v>
      </c>
      <c r="Y123" s="55" t="s">
        <v>1024</v>
      </c>
      <c r="Z123" s="44" t="s">
        <v>1025</v>
      </c>
      <c r="AA123" s="45">
        <v>44944</v>
      </c>
      <c r="AB123" s="101" t="s">
        <v>30</v>
      </c>
      <c r="AC123" s="36"/>
      <c r="AD123" s="47" t="s">
        <v>49</v>
      </c>
      <c r="AE123" s="48" t="s">
        <v>41</v>
      </c>
      <c r="AF123" s="48" t="s">
        <v>41</v>
      </c>
      <c r="AG123" s="48" t="s">
        <v>49</v>
      </c>
      <c r="AH123" s="48" t="s">
        <v>49</v>
      </c>
      <c r="AI123" s="48" t="s">
        <v>49</v>
      </c>
      <c r="AJ123" s="49" t="s">
        <v>49</v>
      </c>
      <c r="AK123" s="48" t="s">
        <v>49</v>
      </c>
      <c r="AL123" s="62" t="s">
        <v>32</v>
      </c>
      <c r="AM123" s="62"/>
      <c r="AN123" s="59"/>
      <c r="AO123" s="10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1"/>
    </row>
    <row r="124" spans="1:52" x14ac:dyDescent="0.2">
      <c r="A124" s="33">
        <f t="shared" si="2"/>
        <v>119</v>
      </c>
      <c r="B124" s="34" t="s">
        <v>1026</v>
      </c>
      <c r="C124" s="35" t="s">
        <v>1027</v>
      </c>
      <c r="D124" s="36" t="s">
        <v>1028</v>
      </c>
      <c r="E124" s="36" t="s">
        <v>54</v>
      </c>
      <c r="F124" s="34" t="s">
        <v>1029</v>
      </c>
      <c r="G124" s="37" t="s">
        <v>858</v>
      </c>
      <c r="H124" s="37" t="s">
        <v>57</v>
      </c>
      <c r="I124" s="38" t="s">
        <v>1030</v>
      </c>
      <c r="J124" s="34"/>
      <c r="K124" s="39" t="s">
        <v>42</v>
      </c>
      <c r="L124" s="120">
        <v>43416</v>
      </c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42" t="s">
        <v>1031</v>
      </c>
      <c r="Y124" s="58" t="s">
        <v>1032</v>
      </c>
      <c r="Z124" s="44" t="s">
        <v>1033</v>
      </c>
      <c r="AA124" s="45">
        <v>44041</v>
      </c>
      <c r="AB124" s="101" t="s">
        <v>30</v>
      </c>
      <c r="AC124" s="36" t="s">
        <v>26</v>
      </c>
      <c r="AD124" s="47" t="s">
        <v>49</v>
      </c>
      <c r="AE124" s="48" t="s">
        <v>49</v>
      </c>
      <c r="AF124" s="48" t="s">
        <v>49</v>
      </c>
      <c r="AG124" s="48" t="s">
        <v>41</v>
      </c>
      <c r="AH124" s="48" t="s">
        <v>41</v>
      </c>
      <c r="AI124" s="48" t="s">
        <v>41</v>
      </c>
      <c r="AJ124" s="49" t="s">
        <v>41</v>
      </c>
      <c r="AK124" s="48" t="s">
        <v>41</v>
      </c>
      <c r="AL124" s="62" t="s">
        <v>110</v>
      </c>
      <c r="AM124" s="62"/>
      <c r="AN124" s="59"/>
      <c r="AO124" s="10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1"/>
    </row>
    <row r="125" spans="1:52" x14ac:dyDescent="0.2">
      <c r="A125" s="33">
        <f t="shared" si="2"/>
        <v>120</v>
      </c>
      <c r="B125" s="34" t="s">
        <v>1034</v>
      </c>
      <c r="C125" s="35" t="s">
        <v>1035</v>
      </c>
      <c r="D125" s="36" t="s">
        <v>1036</v>
      </c>
      <c r="E125" s="36" t="s">
        <v>54</v>
      </c>
      <c r="F125" s="34" t="s">
        <v>1037</v>
      </c>
      <c r="G125" s="37" t="s">
        <v>73</v>
      </c>
      <c r="H125" s="37" t="s">
        <v>73</v>
      </c>
      <c r="I125" s="107" t="s">
        <v>1038</v>
      </c>
      <c r="J125" s="34" t="s">
        <v>1039</v>
      </c>
      <c r="K125" s="39" t="s">
        <v>42</v>
      </c>
      <c r="L125" s="99" t="s">
        <v>1040</v>
      </c>
      <c r="M125" s="56" t="s">
        <v>179</v>
      </c>
      <c r="N125" s="137" t="s">
        <v>179</v>
      </c>
      <c r="O125" s="137"/>
      <c r="P125" s="137">
        <v>4</v>
      </c>
      <c r="Q125" s="137" t="s">
        <v>1041</v>
      </c>
      <c r="R125" s="137"/>
      <c r="S125" s="137"/>
      <c r="T125" s="137"/>
      <c r="U125" s="137"/>
      <c r="V125" s="137"/>
      <c r="W125" s="137"/>
      <c r="X125" s="42" t="s">
        <v>1042</v>
      </c>
      <c r="Y125" s="58" t="s">
        <v>1043</v>
      </c>
      <c r="Z125" s="44"/>
      <c r="AA125" s="45" t="s">
        <v>47</v>
      </c>
      <c r="AB125" s="101"/>
      <c r="AC125" s="36" t="s">
        <v>26</v>
      </c>
      <c r="AD125" s="47" t="s">
        <v>49</v>
      </c>
      <c r="AE125" s="48" t="s">
        <v>49</v>
      </c>
      <c r="AF125" s="48" t="s">
        <v>41</v>
      </c>
      <c r="AG125" s="48" t="s">
        <v>41</v>
      </c>
      <c r="AH125" s="48" t="s">
        <v>41</v>
      </c>
      <c r="AI125" s="48" t="s">
        <v>41</v>
      </c>
      <c r="AJ125" s="49" t="s">
        <v>41</v>
      </c>
      <c r="AK125" s="48" t="s">
        <v>41</v>
      </c>
      <c r="AL125" s="62" t="s">
        <v>4587</v>
      </c>
      <c r="AM125" s="62"/>
      <c r="AN125" s="59"/>
      <c r="AO125" s="10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1"/>
    </row>
    <row r="126" spans="1:52" x14ac:dyDescent="0.2">
      <c r="A126" s="33">
        <f t="shared" si="2"/>
        <v>121</v>
      </c>
      <c r="B126" s="34" t="s">
        <v>1044</v>
      </c>
      <c r="C126" s="35" t="s">
        <v>1045</v>
      </c>
      <c r="D126" s="36" t="s">
        <v>1046</v>
      </c>
      <c r="E126" s="36" t="s">
        <v>54</v>
      </c>
      <c r="F126" s="34" t="s">
        <v>1047</v>
      </c>
      <c r="G126" s="37" t="s">
        <v>73</v>
      </c>
      <c r="H126" s="37" t="s">
        <v>73</v>
      </c>
      <c r="I126" s="57" t="s">
        <v>1048</v>
      </c>
      <c r="J126" s="157" t="s">
        <v>1049</v>
      </c>
      <c r="K126" s="39" t="s">
        <v>42</v>
      </c>
      <c r="L126" s="120">
        <v>40287</v>
      </c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2" t="s">
        <v>1050</v>
      </c>
      <c r="Y126" s="55" t="s">
        <v>1051</v>
      </c>
      <c r="Z126" s="55"/>
      <c r="AA126" s="45" t="s">
        <v>47</v>
      </c>
      <c r="AB126" s="101"/>
      <c r="AC126" s="36" t="s">
        <v>26</v>
      </c>
      <c r="AD126" s="47" t="s">
        <v>49</v>
      </c>
      <c r="AE126" s="48" t="s">
        <v>49</v>
      </c>
      <c r="AF126" s="48" t="s">
        <v>49</v>
      </c>
      <c r="AG126" s="48" t="s">
        <v>49</v>
      </c>
      <c r="AH126" s="48" t="s">
        <v>49</v>
      </c>
      <c r="AI126" s="48" t="s">
        <v>49</v>
      </c>
      <c r="AJ126" s="49" t="s">
        <v>49</v>
      </c>
      <c r="AK126" s="48" t="s">
        <v>49</v>
      </c>
      <c r="AL126" s="62" t="s">
        <v>32</v>
      </c>
      <c r="AM126" s="62"/>
      <c r="AN126" s="59"/>
      <c r="AO126" s="10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1"/>
    </row>
    <row r="127" spans="1:52" x14ac:dyDescent="0.2">
      <c r="A127" s="33">
        <f t="shared" si="2"/>
        <v>122</v>
      </c>
      <c r="B127" s="34" t="s">
        <v>1052</v>
      </c>
      <c r="C127" s="35" t="s">
        <v>1053</v>
      </c>
      <c r="D127" s="36" t="s">
        <v>1054</v>
      </c>
      <c r="E127" s="36" t="s">
        <v>54</v>
      </c>
      <c r="F127" s="34" t="s">
        <v>1055</v>
      </c>
      <c r="G127" s="37" t="s">
        <v>456</v>
      </c>
      <c r="H127" s="37" t="s">
        <v>187</v>
      </c>
      <c r="I127" s="38" t="s">
        <v>1056</v>
      </c>
      <c r="J127" s="38" t="s">
        <v>1057</v>
      </c>
      <c r="K127" s="39" t="s">
        <v>42</v>
      </c>
      <c r="L127" s="99" t="s">
        <v>1058</v>
      </c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2" t="s">
        <v>1059</v>
      </c>
      <c r="Y127" s="58" t="s">
        <v>1060</v>
      </c>
      <c r="Z127" s="44" t="s">
        <v>61</v>
      </c>
      <c r="AA127" s="45">
        <v>40280</v>
      </c>
      <c r="AB127" s="101" t="s">
        <v>30</v>
      </c>
      <c r="AC127" s="36" t="s">
        <v>26</v>
      </c>
      <c r="AD127" s="47" t="s">
        <v>49</v>
      </c>
      <c r="AE127" s="48" t="s">
        <v>49</v>
      </c>
      <c r="AF127" s="48" t="s">
        <v>41</v>
      </c>
      <c r="AG127" s="48" t="s">
        <v>41</v>
      </c>
      <c r="AH127" s="48" t="s">
        <v>41</v>
      </c>
      <c r="AI127" s="48" t="s">
        <v>41</v>
      </c>
      <c r="AJ127" s="49" t="s">
        <v>41</v>
      </c>
      <c r="AK127" s="48" t="s">
        <v>41</v>
      </c>
      <c r="AL127" s="62" t="s">
        <v>4587</v>
      </c>
      <c r="AM127" s="62"/>
      <c r="AN127" s="59"/>
      <c r="AO127" s="10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1"/>
    </row>
    <row r="128" spans="1:52" x14ac:dyDescent="0.2">
      <c r="A128" s="33">
        <f t="shared" si="2"/>
        <v>123</v>
      </c>
      <c r="B128" s="34" t="s">
        <v>1061</v>
      </c>
      <c r="C128" s="35" t="s">
        <v>1062</v>
      </c>
      <c r="D128" s="36" t="s">
        <v>1063</v>
      </c>
      <c r="E128" s="36" t="s">
        <v>36</v>
      </c>
      <c r="F128" s="34" t="s">
        <v>1064</v>
      </c>
      <c r="G128" s="37" t="s">
        <v>73</v>
      </c>
      <c r="H128" s="37" t="s">
        <v>73</v>
      </c>
      <c r="I128" s="34" t="s">
        <v>1065</v>
      </c>
      <c r="J128" s="34" t="s">
        <v>41</v>
      </c>
      <c r="K128" s="39" t="s">
        <v>42</v>
      </c>
      <c r="L128" s="120">
        <v>37718</v>
      </c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2" t="s">
        <v>1066</v>
      </c>
      <c r="Y128" s="52" t="s">
        <v>1067</v>
      </c>
      <c r="Z128" s="44" t="s">
        <v>61</v>
      </c>
      <c r="AA128" s="45">
        <v>37877</v>
      </c>
      <c r="AB128" s="101" t="s">
        <v>30</v>
      </c>
      <c r="AC128" s="36"/>
      <c r="AD128" s="47" t="s">
        <v>49</v>
      </c>
      <c r="AE128" s="48" t="s">
        <v>41</v>
      </c>
      <c r="AF128" s="48" t="s">
        <v>41</v>
      </c>
      <c r="AG128" s="48" t="s">
        <v>41</v>
      </c>
      <c r="AH128" s="48" t="s">
        <v>41</v>
      </c>
      <c r="AI128" s="48" t="s">
        <v>41</v>
      </c>
      <c r="AJ128" s="49" t="s">
        <v>41</v>
      </c>
      <c r="AK128" s="48" t="s">
        <v>41</v>
      </c>
      <c r="AL128" s="65" t="s">
        <v>4590</v>
      </c>
      <c r="AM128" s="65"/>
      <c r="AN128" s="59" t="s">
        <v>1068</v>
      </c>
      <c r="AO128" s="10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1"/>
    </row>
    <row r="129" spans="1:52" x14ac:dyDescent="0.2">
      <c r="A129" s="33">
        <f t="shared" si="2"/>
        <v>124</v>
      </c>
      <c r="B129" s="34" t="s">
        <v>1069</v>
      </c>
      <c r="C129" s="35" t="s">
        <v>1070</v>
      </c>
      <c r="D129" s="36" t="s">
        <v>1071</v>
      </c>
      <c r="E129" s="36" t="s">
        <v>54</v>
      </c>
      <c r="F129" s="34" t="s">
        <v>1072</v>
      </c>
      <c r="G129" s="37" t="s">
        <v>4660</v>
      </c>
      <c r="H129" s="37" t="s">
        <v>39</v>
      </c>
      <c r="I129" s="34" t="s">
        <v>1073</v>
      </c>
      <c r="J129" s="34" t="s">
        <v>41</v>
      </c>
      <c r="K129" s="39" t="s">
        <v>42</v>
      </c>
      <c r="L129" s="99" t="s">
        <v>1074</v>
      </c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2" t="s">
        <v>1075</v>
      </c>
      <c r="Y129" s="100" t="s">
        <v>1076</v>
      </c>
      <c r="Z129" s="44" t="s">
        <v>61</v>
      </c>
      <c r="AA129" s="45">
        <v>37877</v>
      </c>
      <c r="AB129" s="101" t="s">
        <v>30</v>
      </c>
      <c r="AC129" s="36" t="s">
        <v>26</v>
      </c>
      <c r="AD129" s="47" t="s">
        <v>49</v>
      </c>
      <c r="AE129" s="48" t="s">
        <v>49</v>
      </c>
      <c r="AF129" s="48" t="s">
        <v>49</v>
      </c>
      <c r="AG129" s="48" t="s">
        <v>49</v>
      </c>
      <c r="AH129" s="48" t="s">
        <v>49</v>
      </c>
      <c r="AI129" s="48" t="s">
        <v>49</v>
      </c>
      <c r="AJ129" s="49" t="s">
        <v>49</v>
      </c>
      <c r="AK129" s="48" t="s">
        <v>49</v>
      </c>
      <c r="AL129" s="62" t="s">
        <v>32</v>
      </c>
      <c r="AM129" s="62"/>
      <c r="AN129" s="59"/>
      <c r="AO129" s="10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1"/>
    </row>
    <row r="130" spans="1:52" x14ac:dyDescent="0.2">
      <c r="A130" s="33">
        <f t="shared" si="2"/>
        <v>125</v>
      </c>
      <c r="B130" s="34" t="s">
        <v>1077</v>
      </c>
      <c r="C130" s="35" t="s">
        <v>1078</v>
      </c>
      <c r="D130" s="73" t="s">
        <v>1079</v>
      </c>
      <c r="E130" s="36" t="s">
        <v>54</v>
      </c>
      <c r="F130" s="98" t="s">
        <v>1080</v>
      </c>
      <c r="G130" s="37" t="s">
        <v>252</v>
      </c>
      <c r="H130" s="37" t="s">
        <v>57</v>
      </c>
      <c r="I130" s="38" t="s">
        <v>1081</v>
      </c>
      <c r="J130" s="38" t="s">
        <v>41</v>
      </c>
      <c r="K130" s="39" t="s">
        <v>42</v>
      </c>
      <c r="L130" s="99" t="s">
        <v>1082</v>
      </c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42" t="s">
        <v>1083</v>
      </c>
      <c r="Y130" s="69" t="s">
        <v>1084</v>
      </c>
      <c r="Z130" s="44" t="s">
        <v>1085</v>
      </c>
      <c r="AA130" s="45">
        <v>44041</v>
      </c>
      <c r="AB130" s="101" t="s">
        <v>30</v>
      </c>
      <c r="AC130" s="73" t="s">
        <v>26</v>
      </c>
      <c r="AD130" s="47" t="s">
        <v>49</v>
      </c>
      <c r="AE130" s="48" t="s">
        <v>49</v>
      </c>
      <c r="AF130" s="48" t="s">
        <v>49</v>
      </c>
      <c r="AG130" s="48" t="s">
        <v>49</v>
      </c>
      <c r="AH130" s="48" t="s">
        <v>49</v>
      </c>
      <c r="AI130" s="48" t="s">
        <v>49</v>
      </c>
      <c r="AJ130" s="49" t="s">
        <v>49</v>
      </c>
      <c r="AK130" s="48" t="s">
        <v>41</v>
      </c>
      <c r="AL130" s="65" t="s">
        <v>148</v>
      </c>
      <c r="AM130" s="65"/>
      <c r="AN130" s="59"/>
      <c r="AO130" s="10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1"/>
    </row>
    <row r="131" spans="1:52" x14ac:dyDescent="0.2">
      <c r="A131" s="33">
        <f t="shared" si="2"/>
        <v>126</v>
      </c>
      <c r="B131" s="34" t="s">
        <v>1086</v>
      </c>
      <c r="C131" s="35" t="s">
        <v>1087</v>
      </c>
      <c r="D131" s="36" t="s">
        <v>1088</v>
      </c>
      <c r="E131" s="36" t="s">
        <v>54</v>
      </c>
      <c r="F131" s="34" t="s">
        <v>1089</v>
      </c>
      <c r="G131" s="37" t="s">
        <v>73</v>
      </c>
      <c r="H131" s="37" t="s">
        <v>73</v>
      </c>
      <c r="I131" s="34" t="s">
        <v>1090</v>
      </c>
      <c r="J131" s="34" t="s">
        <v>41</v>
      </c>
      <c r="K131" s="39" t="s">
        <v>42</v>
      </c>
      <c r="L131" s="99" t="s">
        <v>1091</v>
      </c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2" t="s">
        <v>1092</v>
      </c>
      <c r="Y131" s="69" t="s">
        <v>1093</v>
      </c>
      <c r="Z131" s="44" t="s">
        <v>1094</v>
      </c>
      <c r="AA131" s="45">
        <v>43200</v>
      </c>
      <c r="AB131" s="101" t="s">
        <v>30</v>
      </c>
      <c r="AC131" s="36" t="s">
        <v>26</v>
      </c>
      <c r="AD131" s="47" t="s">
        <v>49</v>
      </c>
      <c r="AE131" s="48" t="s">
        <v>49</v>
      </c>
      <c r="AF131" s="48" t="s">
        <v>49</v>
      </c>
      <c r="AG131" s="48" t="s">
        <v>49</v>
      </c>
      <c r="AH131" s="48" t="s">
        <v>49</v>
      </c>
      <c r="AI131" s="48" t="s">
        <v>41</v>
      </c>
      <c r="AJ131" s="49" t="s">
        <v>41</v>
      </c>
      <c r="AK131" s="48" t="s">
        <v>41</v>
      </c>
      <c r="AL131" s="62" t="s">
        <v>4589</v>
      </c>
      <c r="AM131" s="62"/>
      <c r="AN131" s="59"/>
      <c r="AO131" s="10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1"/>
    </row>
    <row r="132" spans="1:52" x14ac:dyDescent="0.2">
      <c r="A132" s="33">
        <f t="shared" si="2"/>
        <v>127</v>
      </c>
      <c r="B132" s="34" t="s">
        <v>1095</v>
      </c>
      <c r="C132" s="35" t="s">
        <v>1096</v>
      </c>
      <c r="D132" s="73" t="s">
        <v>1097</v>
      </c>
      <c r="E132" s="36" t="s">
        <v>36</v>
      </c>
      <c r="F132" s="98" t="s">
        <v>1098</v>
      </c>
      <c r="G132" s="37" t="s">
        <v>73</v>
      </c>
      <c r="H132" s="37" t="s">
        <v>73</v>
      </c>
      <c r="I132" s="38" t="s">
        <v>1099</v>
      </c>
      <c r="J132" s="38" t="s">
        <v>41</v>
      </c>
      <c r="K132" s="39" t="s">
        <v>42</v>
      </c>
      <c r="L132" s="99" t="s">
        <v>1100</v>
      </c>
      <c r="M132" s="56"/>
      <c r="N132" s="56"/>
      <c r="O132" s="56"/>
      <c r="P132" s="56"/>
      <c r="Q132" s="56"/>
      <c r="R132" s="56"/>
      <c r="S132" s="56" t="s">
        <v>44</v>
      </c>
      <c r="T132" s="56"/>
      <c r="U132" s="56"/>
      <c r="V132" s="56"/>
      <c r="W132" s="56"/>
      <c r="X132" s="42" t="s">
        <v>1101</v>
      </c>
      <c r="Y132" s="58" t="s">
        <v>1102</v>
      </c>
      <c r="Z132" s="44" t="s">
        <v>1103</v>
      </c>
      <c r="AA132" s="45">
        <v>44944</v>
      </c>
      <c r="AB132" s="101" t="s">
        <v>30</v>
      </c>
      <c r="AC132" s="73"/>
      <c r="AD132" s="47" t="s">
        <v>49</v>
      </c>
      <c r="AE132" s="48" t="s">
        <v>41</v>
      </c>
      <c r="AF132" s="48" t="s">
        <v>41</v>
      </c>
      <c r="AG132" s="48" t="s">
        <v>49</v>
      </c>
      <c r="AH132" s="48" t="s">
        <v>49</v>
      </c>
      <c r="AI132" s="48" t="s">
        <v>41</v>
      </c>
      <c r="AJ132" s="49" t="s">
        <v>41</v>
      </c>
      <c r="AK132" s="48" t="s">
        <v>41</v>
      </c>
      <c r="AL132" s="62" t="s">
        <v>4589</v>
      </c>
      <c r="AM132" s="62"/>
      <c r="AN132" s="59"/>
      <c r="AO132" s="117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1"/>
    </row>
    <row r="133" spans="1:52" x14ac:dyDescent="0.2">
      <c r="A133" s="33">
        <f t="shared" si="2"/>
        <v>128</v>
      </c>
      <c r="B133" s="34" t="s">
        <v>1104</v>
      </c>
      <c r="C133" s="35" t="s">
        <v>1105</v>
      </c>
      <c r="D133" s="36" t="s">
        <v>1106</v>
      </c>
      <c r="E133" s="36" t="s">
        <v>54</v>
      </c>
      <c r="F133" s="34" t="s">
        <v>1107</v>
      </c>
      <c r="G133" s="37" t="s">
        <v>252</v>
      </c>
      <c r="H133" s="37" t="s">
        <v>57</v>
      </c>
      <c r="I133" s="38" t="s">
        <v>1108</v>
      </c>
      <c r="J133" s="34" t="s">
        <v>41</v>
      </c>
      <c r="K133" s="39" t="s">
        <v>42</v>
      </c>
      <c r="L133" s="158" t="s">
        <v>1109</v>
      </c>
      <c r="M133" s="41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42" t="s">
        <v>1110</v>
      </c>
      <c r="Y133" s="58" t="s">
        <v>1111</v>
      </c>
      <c r="Z133" s="44" t="s">
        <v>1112</v>
      </c>
      <c r="AA133" s="45">
        <v>44041</v>
      </c>
      <c r="AB133" s="101" t="s">
        <v>30</v>
      </c>
      <c r="AC133" s="36" t="s">
        <v>26</v>
      </c>
      <c r="AD133" s="47" t="s">
        <v>49</v>
      </c>
      <c r="AE133" s="48" t="s">
        <v>49</v>
      </c>
      <c r="AF133" s="48" t="s">
        <v>49</v>
      </c>
      <c r="AG133" s="48" t="s">
        <v>49</v>
      </c>
      <c r="AH133" s="48" t="s">
        <v>49</v>
      </c>
      <c r="AI133" s="48" t="s">
        <v>49</v>
      </c>
      <c r="AJ133" s="49" t="s">
        <v>49</v>
      </c>
      <c r="AK133" s="48" t="s">
        <v>49</v>
      </c>
      <c r="AL133" s="62" t="s">
        <v>32</v>
      </c>
      <c r="AM133" s="62"/>
      <c r="AN133" s="59"/>
      <c r="AO133" s="10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1"/>
    </row>
    <row r="134" spans="1:52" x14ac:dyDescent="0.2">
      <c r="A134" s="33">
        <f t="shared" si="2"/>
        <v>129</v>
      </c>
      <c r="B134" s="34" t="s">
        <v>1113</v>
      </c>
      <c r="C134" s="35" t="s">
        <v>1114</v>
      </c>
      <c r="D134" s="36" t="s">
        <v>1115</v>
      </c>
      <c r="E134" s="36" t="s">
        <v>54</v>
      </c>
      <c r="F134" s="98" t="s">
        <v>1116</v>
      </c>
      <c r="G134" s="37" t="s">
        <v>73</v>
      </c>
      <c r="H134" s="37" t="s">
        <v>73</v>
      </c>
      <c r="I134" s="34" t="s">
        <v>1117</v>
      </c>
      <c r="J134" s="34" t="s">
        <v>1118</v>
      </c>
      <c r="K134" s="39" t="s">
        <v>42</v>
      </c>
      <c r="L134" s="99" t="s">
        <v>1119</v>
      </c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42" t="s">
        <v>1120</v>
      </c>
      <c r="Y134" s="58" t="s">
        <v>1121</v>
      </c>
      <c r="Z134" s="44" t="s">
        <v>61</v>
      </c>
      <c r="AA134" s="45">
        <v>38593</v>
      </c>
      <c r="AB134" s="101" t="s">
        <v>30</v>
      </c>
      <c r="AC134" s="36" t="s">
        <v>26</v>
      </c>
      <c r="AD134" s="47" t="s">
        <v>49</v>
      </c>
      <c r="AE134" s="48" t="s">
        <v>49</v>
      </c>
      <c r="AF134" s="48" t="s">
        <v>49</v>
      </c>
      <c r="AG134" s="48" t="s">
        <v>49</v>
      </c>
      <c r="AH134" s="48" t="s">
        <v>49</v>
      </c>
      <c r="AI134" s="48" t="s">
        <v>49</v>
      </c>
      <c r="AJ134" s="49" t="s">
        <v>49</v>
      </c>
      <c r="AK134" s="48" t="s">
        <v>41</v>
      </c>
      <c r="AL134" s="62" t="s">
        <v>148</v>
      </c>
      <c r="AM134" s="62"/>
      <c r="AN134" s="59"/>
      <c r="AO134" s="10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1"/>
    </row>
    <row r="135" spans="1:52" x14ac:dyDescent="0.2">
      <c r="A135" s="33">
        <f t="shared" si="2"/>
        <v>130</v>
      </c>
      <c r="B135" s="34" t="s">
        <v>1122</v>
      </c>
      <c r="C135" s="35" t="s">
        <v>1123</v>
      </c>
      <c r="D135" s="36" t="s">
        <v>1124</v>
      </c>
      <c r="E135" s="36" t="s">
        <v>36</v>
      </c>
      <c r="F135" s="34" t="s">
        <v>1125</v>
      </c>
      <c r="G135" s="37" t="s">
        <v>73</v>
      </c>
      <c r="H135" s="37" t="s">
        <v>73</v>
      </c>
      <c r="I135" s="34" t="s">
        <v>1126</v>
      </c>
      <c r="J135" s="34" t="s">
        <v>41</v>
      </c>
      <c r="K135" s="39" t="s">
        <v>42</v>
      </c>
      <c r="L135" s="120">
        <v>34156</v>
      </c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42" t="s">
        <v>1127</v>
      </c>
      <c r="Y135" s="58" t="s">
        <v>1128</v>
      </c>
      <c r="Z135" s="44" t="s">
        <v>1129</v>
      </c>
      <c r="AA135" s="45" t="s">
        <v>1130</v>
      </c>
      <c r="AB135" s="101" t="s">
        <v>30</v>
      </c>
      <c r="AC135" s="36"/>
      <c r="AD135" s="47" t="s">
        <v>49</v>
      </c>
      <c r="AE135" s="48" t="s">
        <v>41</v>
      </c>
      <c r="AF135" s="48" t="s">
        <v>41</v>
      </c>
      <c r="AG135" s="48" t="s">
        <v>41</v>
      </c>
      <c r="AH135" s="48" t="s">
        <v>41</v>
      </c>
      <c r="AI135" s="48" t="s">
        <v>41</v>
      </c>
      <c r="AJ135" s="49" t="s">
        <v>41</v>
      </c>
      <c r="AK135" s="48" t="s">
        <v>41</v>
      </c>
      <c r="AL135" s="65" t="s">
        <v>4592</v>
      </c>
      <c r="AM135" s="65"/>
      <c r="AN135" s="59" t="s">
        <v>1068</v>
      </c>
      <c r="AO135" s="10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1"/>
    </row>
    <row r="136" spans="1:52" x14ac:dyDescent="0.2">
      <c r="A136" s="33">
        <f t="shared" si="2"/>
        <v>131</v>
      </c>
      <c r="B136" s="34" t="s">
        <v>1131</v>
      </c>
      <c r="C136" s="35" t="s">
        <v>1132</v>
      </c>
      <c r="D136" s="36" t="s">
        <v>1133</v>
      </c>
      <c r="E136" s="36" t="s">
        <v>54</v>
      </c>
      <c r="F136" s="87" t="s">
        <v>1134</v>
      </c>
      <c r="G136" s="37" t="s">
        <v>73</v>
      </c>
      <c r="H136" s="37" t="s">
        <v>73</v>
      </c>
      <c r="I136" s="107" t="s">
        <v>1135</v>
      </c>
      <c r="J136" s="34" t="s">
        <v>1136</v>
      </c>
      <c r="K136" s="39" t="s">
        <v>42</v>
      </c>
      <c r="L136" s="120">
        <v>31057</v>
      </c>
      <c r="M136" s="41" t="s">
        <v>179</v>
      </c>
      <c r="N136" s="41" t="s">
        <v>179</v>
      </c>
      <c r="O136" s="41"/>
      <c r="P136" s="41">
        <v>1</v>
      </c>
      <c r="Q136" s="41" t="s">
        <v>732</v>
      </c>
      <c r="R136" s="41"/>
      <c r="S136" s="41"/>
      <c r="T136" s="41"/>
      <c r="U136" s="41"/>
      <c r="V136" s="41"/>
      <c r="W136" s="41"/>
      <c r="X136" s="42" t="s">
        <v>1137</v>
      </c>
      <c r="Y136" s="69" t="s">
        <v>1138</v>
      </c>
      <c r="Z136" s="44" t="s">
        <v>61</v>
      </c>
      <c r="AA136" s="45">
        <v>34597</v>
      </c>
      <c r="AB136" s="101" t="s">
        <v>30</v>
      </c>
      <c r="AC136" s="36" t="s">
        <v>26</v>
      </c>
      <c r="AD136" s="64" t="s">
        <v>120</v>
      </c>
      <c r="AE136" s="48" t="s">
        <v>120</v>
      </c>
      <c r="AF136" s="48" t="s">
        <v>120</v>
      </c>
      <c r="AG136" s="48" t="s">
        <v>120</v>
      </c>
      <c r="AH136" s="48" t="s">
        <v>120</v>
      </c>
      <c r="AI136" s="48" t="s">
        <v>120</v>
      </c>
      <c r="AJ136" s="49" t="s">
        <v>41</v>
      </c>
      <c r="AK136" s="48" t="s">
        <v>41</v>
      </c>
      <c r="AL136" s="62" t="s">
        <v>276</v>
      </c>
      <c r="AM136" s="62"/>
      <c r="AN136" s="59"/>
      <c r="AO136" s="10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1"/>
    </row>
    <row r="137" spans="1:52" x14ac:dyDescent="0.2">
      <c r="A137" s="33">
        <f t="shared" ref="A137:A202" si="3">+A136+1</f>
        <v>132</v>
      </c>
      <c r="B137" s="34" t="s">
        <v>1139</v>
      </c>
      <c r="C137" s="35" t="s">
        <v>1140</v>
      </c>
      <c r="D137" s="36" t="s">
        <v>1141</v>
      </c>
      <c r="E137" s="36" t="s">
        <v>54</v>
      </c>
      <c r="F137" s="34" t="s">
        <v>1142</v>
      </c>
      <c r="G137" s="37" t="s">
        <v>252</v>
      </c>
      <c r="H137" s="37" t="s">
        <v>57</v>
      </c>
      <c r="I137" s="34" t="s">
        <v>1143</v>
      </c>
      <c r="J137" s="34" t="s">
        <v>1144</v>
      </c>
      <c r="K137" s="39" t="s">
        <v>42</v>
      </c>
      <c r="L137" s="120">
        <v>30355</v>
      </c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2" t="s">
        <v>1145</v>
      </c>
      <c r="Y137" s="58" t="s">
        <v>1146</v>
      </c>
      <c r="Z137" s="44" t="s">
        <v>61</v>
      </c>
      <c r="AA137" s="45">
        <v>34597</v>
      </c>
      <c r="AB137" s="101" t="s">
        <v>30</v>
      </c>
      <c r="AC137" s="36"/>
      <c r="AD137" s="47" t="s">
        <v>49</v>
      </c>
      <c r="AE137" s="48" t="s">
        <v>41</v>
      </c>
      <c r="AF137" s="48" t="s">
        <v>41</v>
      </c>
      <c r="AG137" s="48" t="s">
        <v>41</v>
      </c>
      <c r="AH137" s="48" t="s">
        <v>41</v>
      </c>
      <c r="AI137" s="48" t="s">
        <v>41</v>
      </c>
      <c r="AJ137" s="49" t="s">
        <v>41</v>
      </c>
      <c r="AK137" s="48" t="s">
        <v>41</v>
      </c>
      <c r="AL137" s="65" t="s">
        <v>4592</v>
      </c>
      <c r="AM137" s="65"/>
      <c r="AN137" s="59" t="s">
        <v>50</v>
      </c>
      <c r="AO137" s="117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1"/>
    </row>
    <row r="138" spans="1:52" x14ac:dyDescent="0.2">
      <c r="A138" s="33">
        <f t="shared" si="3"/>
        <v>133</v>
      </c>
      <c r="B138" s="34" t="s">
        <v>1147</v>
      </c>
      <c r="C138" s="35" t="s">
        <v>1148</v>
      </c>
      <c r="D138" s="36" t="s">
        <v>1149</v>
      </c>
      <c r="E138" s="36" t="s">
        <v>36</v>
      </c>
      <c r="F138" s="98" t="s">
        <v>1150</v>
      </c>
      <c r="G138" s="37" t="s">
        <v>4605</v>
      </c>
      <c r="H138" s="37" t="s">
        <v>205</v>
      </c>
      <c r="I138" s="38" t="s">
        <v>1151</v>
      </c>
      <c r="J138" s="38" t="s">
        <v>41</v>
      </c>
      <c r="K138" s="39" t="s">
        <v>42</v>
      </c>
      <c r="L138" s="120">
        <v>44290</v>
      </c>
      <c r="M138" s="56"/>
      <c r="N138" s="56"/>
      <c r="O138" s="56"/>
      <c r="P138" s="56"/>
      <c r="Q138" s="56"/>
      <c r="R138" s="56" t="s">
        <v>44</v>
      </c>
      <c r="S138" s="56"/>
      <c r="T138" s="56"/>
      <c r="U138" s="56"/>
      <c r="V138" s="56"/>
      <c r="W138" s="56"/>
      <c r="X138" s="42" t="s">
        <v>1152</v>
      </c>
      <c r="Y138" s="58" t="s">
        <v>1153</v>
      </c>
      <c r="Z138" s="44" t="s">
        <v>1154</v>
      </c>
      <c r="AA138" s="45">
        <v>44944</v>
      </c>
      <c r="AB138" s="101" t="s">
        <v>30</v>
      </c>
      <c r="AC138" s="36"/>
      <c r="AD138" s="47" t="s">
        <v>49</v>
      </c>
      <c r="AE138" s="48" t="s">
        <v>41</v>
      </c>
      <c r="AF138" s="48" t="s">
        <v>49</v>
      </c>
      <c r="AG138" s="48" t="s">
        <v>49</v>
      </c>
      <c r="AH138" s="48" t="s">
        <v>49</v>
      </c>
      <c r="AI138" s="48" t="s">
        <v>49</v>
      </c>
      <c r="AJ138" s="49" t="s">
        <v>49</v>
      </c>
      <c r="AK138" s="48" t="s">
        <v>49</v>
      </c>
      <c r="AL138" s="62" t="s">
        <v>32</v>
      </c>
      <c r="AM138" s="62"/>
      <c r="AN138" s="59"/>
      <c r="AO138" s="10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1"/>
    </row>
    <row r="139" spans="1:52" x14ac:dyDescent="0.2">
      <c r="A139" s="33">
        <f t="shared" si="3"/>
        <v>134</v>
      </c>
      <c r="B139" s="34" t="s">
        <v>1155</v>
      </c>
      <c r="C139" s="35" t="s">
        <v>1156</v>
      </c>
      <c r="D139" s="36" t="s">
        <v>1157</v>
      </c>
      <c r="E139" s="36" t="s">
        <v>54</v>
      </c>
      <c r="F139" s="108" t="s">
        <v>1158</v>
      </c>
      <c r="G139" s="37" t="s">
        <v>73</v>
      </c>
      <c r="H139" s="37" t="s">
        <v>73</v>
      </c>
      <c r="I139" s="108" t="s">
        <v>1159</v>
      </c>
      <c r="J139" s="34" t="s">
        <v>41</v>
      </c>
      <c r="K139" s="39" t="s">
        <v>42</v>
      </c>
      <c r="L139" s="99" t="s">
        <v>1160</v>
      </c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7" t="s">
        <v>1161</v>
      </c>
      <c r="Y139" s="58" t="s">
        <v>1162</v>
      </c>
      <c r="Z139" s="44" t="s">
        <v>61</v>
      </c>
      <c r="AA139" s="45">
        <v>42935</v>
      </c>
      <c r="AB139" s="101" t="s">
        <v>30</v>
      </c>
      <c r="AC139" s="36" t="s">
        <v>26</v>
      </c>
      <c r="AD139" s="47" t="s">
        <v>49</v>
      </c>
      <c r="AE139" s="48" t="s">
        <v>49</v>
      </c>
      <c r="AF139" s="48" t="s">
        <v>49</v>
      </c>
      <c r="AG139" s="48" t="s">
        <v>49</v>
      </c>
      <c r="AH139" s="48" t="s">
        <v>49</v>
      </c>
      <c r="AI139" s="48" t="s">
        <v>49</v>
      </c>
      <c r="AJ139" s="49" t="s">
        <v>49</v>
      </c>
      <c r="AK139" s="48" t="s">
        <v>49</v>
      </c>
      <c r="AL139" s="62" t="s">
        <v>32</v>
      </c>
      <c r="AM139" s="62"/>
      <c r="AN139" s="59"/>
      <c r="AO139" s="10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1"/>
    </row>
    <row r="140" spans="1:52" x14ac:dyDescent="0.2">
      <c r="A140" s="33">
        <f t="shared" si="3"/>
        <v>135</v>
      </c>
      <c r="B140" s="34" t="s">
        <v>1163</v>
      </c>
      <c r="C140" s="35" t="s">
        <v>1164</v>
      </c>
      <c r="D140" s="73" t="s">
        <v>1165</v>
      </c>
      <c r="E140" s="36" t="s">
        <v>54</v>
      </c>
      <c r="F140" s="98" t="s">
        <v>1166</v>
      </c>
      <c r="G140" s="37" t="s">
        <v>56</v>
      </c>
      <c r="H140" s="37" t="s">
        <v>57</v>
      </c>
      <c r="I140" s="140" t="s">
        <v>1167</v>
      </c>
      <c r="J140" s="34" t="s">
        <v>41</v>
      </c>
      <c r="K140" s="39" t="s">
        <v>42</v>
      </c>
      <c r="L140" s="120">
        <v>41951</v>
      </c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42" t="s">
        <v>1168</v>
      </c>
      <c r="Y140" s="58" t="s">
        <v>1169</v>
      </c>
      <c r="Z140" s="44" t="s">
        <v>61</v>
      </c>
      <c r="AA140" s="45">
        <v>41793</v>
      </c>
      <c r="AB140" s="101" t="s">
        <v>30</v>
      </c>
      <c r="AC140" s="73" t="s">
        <v>26</v>
      </c>
      <c r="AD140" s="47" t="s">
        <v>49</v>
      </c>
      <c r="AE140" s="48" t="s">
        <v>49</v>
      </c>
      <c r="AF140" s="48" t="s">
        <v>49</v>
      </c>
      <c r="AG140" s="48" t="s">
        <v>49</v>
      </c>
      <c r="AH140" s="48" t="s">
        <v>49</v>
      </c>
      <c r="AI140" s="48" t="s">
        <v>49</v>
      </c>
      <c r="AJ140" s="49" t="s">
        <v>49</v>
      </c>
      <c r="AK140" s="48" t="s">
        <v>49</v>
      </c>
      <c r="AL140" s="65" t="s">
        <v>32</v>
      </c>
      <c r="AM140" s="65"/>
      <c r="AN140" s="59"/>
      <c r="AO140" s="10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1"/>
    </row>
    <row r="141" spans="1:52" x14ac:dyDescent="0.2">
      <c r="A141" s="33">
        <f t="shared" si="3"/>
        <v>136</v>
      </c>
      <c r="B141" s="34" t="s">
        <v>1170</v>
      </c>
      <c r="C141" s="35" t="s">
        <v>1171</v>
      </c>
      <c r="D141" s="36" t="s">
        <v>1172</v>
      </c>
      <c r="E141" s="36" t="s">
        <v>54</v>
      </c>
      <c r="F141" s="34" t="s">
        <v>1173</v>
      </c>
      <c r="G141" s="37" t="s">
        <v>349</v>
      </c>
      <c r="H141" s="37" t="s">
        <v>350</v>
      </c>
      <c r="I141" s="34" t="s">
        <v>1174</v>
      </c>
      <c r="J141" s="38" t="s">
        <v>1175</v>
      </c>
      <c r="K141" s="39" t="s">
        <v>42</v>
      </c>
      <c r="L141" s="99" t="s">
        <v>59</v>
      </c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2" t="s">
        <v>1176</v>
      </c>
      <c r="Y141" s="43" t="s">
        <v>1177</v>
      </c>
      <c r="Z141" s="44" t="s">
        <v>1178</v>
      </c>
      <c r="AA141" s="45">
        <v>44041</v>
      </c>
      <c r="AB141" s="101" t="s">
        <v>30</v>
      </c>
      <c r="AC141" s="36" t="s">
        <v>26</v>
      </c>
      <c r="AD141" s="47" t="s">
        <v>49</v>
      </c>
      <c r="AE141" s="48" t="s">
        <v>49</v>
      </c>
      <c r="AF141" s="48" t="s">
        <v>49</v>
      </c>
      <c r="AG141" s="48" t="s">
        <v>49</v>
      </c>
      <c r="AH141" s="48" t="s">
        <v>49</v>
      </c>
      <c r="AI141" s="48" t="s">
        <v>41</v>
      </c>
      <c r="AJ141" s="49" t="s">
        <v>41</v>
      </c>
      <c r="AK141" s="48" t="s">
        <v>41</v>
      </c>
      <c r="AL141" s="62" t="s">
        <v>4589</v>
      </c>
      <c r="AM141" s="62"/>
      <c r="AN141" s="59"/>
      <c r="AO141" s="10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1"/>
    </row>
    <row r="142" spans="1:52" x14ac:dyDescent="0.2">
      <c r="A142" s="33">
        <f t="shared" si="3"/>
        <v>137</v>
      </c>
      <c r="B142" s="34" t="s">
        <v>1179</v>
      </c>
      <c r="C142" s="35" t="s">
        <v>1180</v>
      </c>
      <c r="D142" s="36" t="s">
        <v>1181</v>
      </c>
      <c r="E142" s="36" t="s">
        <v>36</v>
      </c>
      <c r="F142" s="34" t="s">
        <v>1182</v>
      </c>
      <c r="G142" s="37" t="s">
        <v>456</v>
      </c>
      <c r="H142" s="37" t="s">
        <v>187</v>
      </c>
      <c r="I142" s="38" t="s">
        <v>1183</v>
      </c>
      <c r="J142" s="38" t="s">
        <v>41</v>
      </c>
      <c r="K142" s="39" t="s">
        <v>42</v>
      </c>
      <c r="L142" s="159" t="s">
        <v>1184</v>
      </c>
      <c r="M142" s="70"/>
      <c r="N142" s="70"/>
      <c r="O142" s="70"/>
      <c r="P142" s="70"/>
      <c r="Q142" s="70"/>
      <c r="R142" s="70"/>
      <c r="S142" s="70" t="s">
        <v>44</v>
      </c>
      <c r="T142" s="70"/>
      <c r="U142" s="70"/>
      <c r="V142" s="70"/>
      <c r="W142" s="70"/>
      <c r="X142" s="54" t="s">
        <v>1185</v>
      </c>
      <c r="Y142" s="43" t="s">
        <v>1186</v>
      </c>
      <c r="Z142" s="44" t="s">
        <v>1154</v>
      </c>
      <c r="AA142" s="45">
        <v>44944</v>
      </c>
      <c r="AB142" s="160" t="s">
        <v>30</v>
      </c>
      <c r="AC142" s="36"/>
      <c r="AD142" s="47" t="s">
        <v>49</v>
      </c>
      <c r="AE142" s="48" t="s">
        <v>41</v>
      </c>
      <c r="AF142" s="48" t="s">
        <v>41</v>
      </c>
      <c r="AG142" s="48" t="s">
        <v>49</v>
      </c>
      <c r="AH142" s="48" t="s">
        <v>49</v>
      </c>
      <c r="AI142" s="48" t="s">
        <v>41</v>
      </c>
      <c r="AJ142" s="49" t="s">
        <v>41</v>
      </c>
      <c r="AK142" s="48" t="s">
        <v>41</v>
      </c>
      <c r="AL142" s="62" t="s">
        <v>4589</v>
      </c>
      <c r="AM142" s="324"/>
      <c r="AN142" s="138"/>
      <c r="AO142" s="10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1"/>
    </row>
    <row r="143" spans="1:52" x14ac:dyDescent="0.2">
      <c r="A143" s="33">
        <f t="shared" si="3"/>
        <v>138</v>
      </c>
      <c r="B143" s="34" t="s">
        <v>1187</v>
      </c>
      <c r="C143" s="35" t="s">
        <v>1188</v>
      </c>
      <c r="D143" s="73" t="s">
        <v>1189</v>
      </c>
      <c r="E143" s="36" t="s">
        <v>54</v>
      </c>
      <c r="F143" s="98" t="s">
        <v>1190</v>
      </c>
      <c r="G143" s="37" t="s">
        <v>858</v>
      </c>
      <c r="H143" s="37" t="s">
        <v>57</v>
      </c>
      <c r="I143" s="140" t="s">
        <v>1191</v>
      </c>
      <c r="J143" s="38" t="s">
        <v>1192</v>
      </c>
      <c r="K143" s="39" t="s">
        <v>42</v>
      </c>
      <c r="L143" s="161" t="s">
        <v>1193</v>
      </c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42" t="s">
        <v>1194</v>
      </c>
      <c r="Y143" s="58" t="s">
        <v>1195</v>
      </c>
      <c r="Z143" s="119" t="s">
        <v>1196</v>
      </c>
      <c r="AA143" s="45">
        <v>44041</v>
      </c>
      <c r="AB143" s="160" t="s">
        <v>30</v>
      </c>
      <c r="AC143" s="73" t="s">
        <v>26</v>
      </c>
      <c r="AD143" s="47" t="s">
        <v>49</v>
      </c>
      <c r="AE143" s="48" t="s">
        <v>49</v>
      </c>
      <c r="AF143" s="48" t="s">
        <v>49</v>
      </c>
      <c r="AG143" s="48" t="s">
        <v>49</v>
      </c>
      <c r="AH143" s="48" t="s">
        <v>49</v>
      </c>
      <c r="AI143" s="48" t="s">
        <v>41</v>
      </c>
      <c r="AJ143" s="49" t="s">
        <v>41</v>
      </c>
      <c r="AK143" s="48" t="s">
        <v>41</v>
      </c>
      <c r="AL143" s="62" t="s">
        <v>4589</v>
      </c>
      <c r="AM143" s="324"/>
      <c r="AN143" s="138"/>
      <c r="AO143" s="10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1"/>
    </row>
    <row r="144" spans="1:52" x14ac:dyDescent="0.2">
      <c r="A144" s="33">
        <f t="shared" si="3"/>
        <v>139</v>
      </c>
      <c r="B144" s="34" t="s">
        <v>1197</v>
      </c>
      <c r="C144" s="35" t="s">
        <v>1198</v>
      </c>
      <c r="D144" s="36" t="s">
        <v>1199</v>
      </c>
      <c r="E144" s="36" t="s">
        <v>36</v>
      </c>
      <c r="F144" s="34" t="s">
        <v>1200</v>
      </c>
      <c r="G144" s="37" t="s">
        <v>73</v>
      </c>
      <c r="H144" s="37" t="s">
        <v>73</v>
      </c>
      <c r="I144" s="34" t="s">
        <v>1201</v>
      </c>
      <c r="J144" s="34" t="s">
        <v>1202</v>
      </c>
      <c r="K144" s="39" t="s">
        <v>42</v>
      </c>
      <c r="L144" s="159" t="s">
        <v>1203</v>
      </c>
      <c r="M144" s="68"/>
      <c r="N144" s="68"/>
      <c r="O144" s="68"/>
      <c r="P144" s="68"/>
      <c r="Q144" s="68"/>
      <c r="R144" s="68"/>
      <c r="S144" s="68"/>
      <c r="T144" s="68" t="s">
        <v>732</v>
      </c>
      <c r="U144" s="68"/>
      <c r="V144" s="68"/>
      <c r="W144" s="68"/>
      <c r="X144" s="42" t="s">
        <v>1204</v>
      </c>
      <c r="Y144" s="58" t="s">
        <v>1205</v>
      </c>
      <c r="Z144" s="162"/>
      <c r="AA144" s="45" t="s">
        <v>47</v>
      </c>
      <c r="AB144" s="160"/>
      <c r="AC144" s="36" t="s">
        <v>26</v>
      </c>
      <c r="AD144" s="47" t="s">
        <v>49</v>
      </c>
      <c r="AE144" s="48" t="s">
        <v>49</v>
      </c>
      <c r="AF144" s="48" t="s">
        <v>49</v>
      </c>
      <c r="AG144" s="48" t="s">
        <v>49</v>
      </c>
      <c r="AH144" s="48" t="s">
        <v>49</v>
      </c>
      <c r="AI144" s="48" t="s">
        <v>49</v>
      </c>
      <c r="AJ144" s="49" t="s">
        <v>49</v>
      </c>
      <c r="AK144" s="48" t="s">
        <v>49</v>
      </c>
      <c r="AL144" s="62" t="s">
        <v>32</v>
      </c>
      <c r="AM144" s="324"/>
      <c r="AN144" s="138"/>
      <c r="AO144" s="102"/>
      <c r="AP144" s="3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1"/>
    </row>
    <row r="145" spans="1:52" x14ac:dyDescent="0.2">
      <c r="A145" s="33">
        <f t="shared" si="3"/>
        <v>140</v>
      </c>
      <c r="B145" s="107" t="s">
        <v>1206</v>
      </c>
      <c r="C145" s="35" t="s">
        <v>1207</v>
      </c>
      <c r="D145" s="36" t="s">
        <v>1208</v>
      </c>
      <c r="E145" s="36" t="s">
        <v>54</v>
      </c>
      <c r="F145" s="34" t="s">
        <v>1209</v>
      </c>
      <c r="G145" s="37" t="s">
        <v>176</v>
      </c>
      <c r="H145" s="37" t="s">
        <v>39</v>
      </c>
      <c r="I145" s="34" t="s">
        <v>1210</v>
      </c>
      <c r="J145" s="38" t="s">
        <v>1211</v>
      </c>
      <c r="K145" s="39" t="s">
        <v>42</v>
      </c>
      <c r="L145" s="99" t="s">
        <v>825</v>
      </c>
      <c r="M145" s="115"/>
      <c r="N145" s="147"/>
      <c r="O145" s="147"/>
      <c r="P145" s="147"/>
      <c r="Q145" s="147"/>
      <c r="R145" s="147"/>
      <c r="S145" s="115"/>
      <c r="T145" s="114"/>
      <c r="U145" s="115"/>
      <c r="V145" s="56"/>
      <c r="W145" s="56"/>
      <c r="X145" s="42" t="s">
        <v>1212</v>
      </c>
      <c r="Y145" s="58" t="s">
        <v>1213</v>
      </c>
      <c r="Z145" s="44" t="s">
        <v>61</v>
      </c>
      <c r="AA145" s="45">
        <v>39286</v>
      </c>
      <c r="AB145" s="101" t="s">
        <v>30</v>
      </c>
      <c r="AC145" s="36" t="s">
        <v>26</v>
      </c>
      <c r="AD145" s="47" t="s">
        <v>49</v>
      </c>
      <c r="AE145" s="48" t="s">
        <v>49</v>
      </c>
      <c r="AF145" s="48" t="s">
        <v>49</v>
      </c>
      <c r="AG145" s="48" t="s">
        <v>49</v>
      </c>
      <c r="AH145" s="48" t="s">
        <v>49</v>
      </c>
      <c r="AI145" s="48" t="s">
        <v>49</v>
      </c>
      <c r="AJ145" s="49" t="s">
        <v>49</v>
      </c>
      <c r="AK145" s="48" t="s">
        <v>49</v>
      </c>
      <c r="AL145" s="62" t="s">
        <v>32</v>
      </c>
      <c r="AM145" s="324"/>
      <c r="AN145" s="138"/>
      <c r="AO145" s="102"/>
      <c r="AP145" s="3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1"/>
    </row>
    <row r="146" spans="1:52" x14ac:dyDescent="0.2">
      <c r="A146" s="33">
        <f t="shared" si="3"/>
        <v>141</v>
      </c>
      <c r="B146" s="34" t="s">
        <v>1214</v>
      </c>
      <c r="C146" s="35" t="s">
        <v>1215</v>
      </c>
      <c r="D146" s="36" t="s">
        <v>1216</v>
      </c>
      <c r="E146" s="36" t="s">
        <v>36</v>
      </c>
      <c r="F146" s="34" t="s">
        <v>1217</v>
      </c>
      <c r="G146" s="37" t="s">
        <v>73</v>
      </c>
      <c r="H146" s="37" t="s">
        <v>73</v>
      </c>
      <c r="I146" s="34">
        <v>85781123929</v>
      </c>
      <c r="J146" s="34" t="s">
        <v>41</v>
      </c>
      <c r="K146" s="39" t="s">
        <v>42</v>
      </c>
      <c r="L146" s="163" t="s">
        <v>1218</v>
      </c>
      <c r="M146" s="115"/>
      <c r="N146" s="147"/>
      <c r="O146" s="147"/>
      <c r="P146" s="147"/>
      <c r="Q146" s="147"/>
      <c r="R146" s="147"/>
      <c r="S146" s="115"/>
      <c r="T146" s="114"/>
      <c r="U146" s="115"/>
      <c r="V146" s="56"/>
      <c r="W146" s="56"/>
      <c r="X146" s="42" t="s">
        <v>1219</v>
      </c>
      <c r="Y146" s="58" t="s">
        <v>1220</v>
      </c>
      <c r="Z146" s="121" t="s">
        <v>1221</v>
      </c>
      <c r="AA146" s="45">
        <v>44650</v>
      </c>
      <c r="AB146" s="164" t="s">
        <v>30</v>
      </c>
      <c r="AC146" s="36" t="s">
        <v>26</v>
      </c>
      <c r="AD146" s="47" t="s">
        <v>49</v>
      </c>
      <c r="AE146" s="48" t="s">
        <v>49</v>
      </c>
      <c r="AF146" s="48" t="s">
        <v>49</v>
      </c>
      <c r="AG146" s="48" t="s">
        <v>49</v>
      </c>
      <c r="AH146" s="48" t="s">
        <v>49</v>
      </c>
      <c r="AI146" s="48" t="s">
        <v>49</v>
      </c>
      <c r="AJ146" s="49" t="s">
        <v>49</v>
      </c>
      <c r="AK146" s="48" t="s">
        <v>49</v>
      </c>
      <c r="AL146" s="65" t="s">
        <v>32</v>
      </c>
      <c r="AM146" s="65"/>
      <c r="AN146" s="103"/>
      <c r="AO146" s="10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1"/>
    </row>
    <row r="147" spans="1:52" x14ac:dyDescent="0.2">
      <c r="A147" s="33">
        <f t="shared" si="3"/>
        <v>142</v>
      </c>
      <c r="B147" s="34" t="s">
        <v>1222</v>
      </c>
      <c r="C147" s="35" t="s">
        <v>1223</v>
      </c>
      <c r="D147" s="73" t="s">
        <v>1224</v>
      </c>
      <c r="E147" s="36" t="s">
        <v>54</v>
      </c>
      <c r="F147" s="98" t="s">
        <v>1225</v>
      </c>
      <c r="G147" s="37" t="s">
        <v>73</v>
      </c>
      <c r="H147" s="37" t="s">
        <v>73</v>
      </c>
      <c r="I147" s="140" t="s">
        <v>1226</v>
      </c>
      <c r="J147" s="34" t="s">
        <v>41</v>
      </c>
      <c r="K147" s="39" t="s">
        <v>42</v>
      </c>
      <c r="L147" s="165" t="s">
        <v>1227</v>
      </c>
      <c r="M147" s="115" t="s">
        <v>179</v>
      </c>
      <c r="N147" s="147" t="s">
        <v>179</v>
      </c>
      <c r="O147" s="147"/>
      <c r="P147" s="147">
        <v>6</v>
      </c>
      <c r="Q147" s="147" t="s">
        <v>1041</v>
      </c>
      <c r="R147" s="147"/>
      <c r="S147" s="115"/>
      <c r="T147" s="114"/>
      <c r="U147" s="115"/>
      <c r="V147" s="56"/>
      <c r="W147" s="56"/>
      <c r="X147" s="42" t="s">
        <v>1228</v>
      </c>
      <c r="Y147" s="58" t="s">
        <v>1229</v>
      </c>
      <c r="Z147" s="44"/>
      <c r="AA147" s="45" t="s">
        <v>47</v>
      </c>
      <c r="AB147" s="164"/>
      <c r="AC147" s="73"/>
      <c r="AD147" s="47" t="s">
        <v>49</v>
      </c>
      <c r="AE147" s="48" t="s">
        <v>41</v>
      </c>
      <c r="AF147" s="48" t="s">
        <v>41</v>
      </c>
      <c r="AG147" s="48" t="s">
        <v>41</v>
      </c>
      <c r="AH147" s="48" t="s">
        <v>41</v>
      </c>
      <c r="AI147" s="48" t="s">
        <v>41</v>
      </c>
      <c r="AJ147" s="49" t="s">
        <v>41</v>
      </c>
      <c r="AK147" s="48" t="s">
        <v>41</v>
      </c>
      <c r="AL147" s="65" t="s">
        <v>4588</v>
      </c>
      <c r="AM147" s="65"/>
      <c r="AN147" s="59" t="s">
        <v>1230</v>
      </c>
      <c r="AO147" s="10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1"/>
    </row>
    <row r="148" spans="1:52" x14ac:dyDescent="0.2">
      <c r="A148" s="33">
        <f t="shared" si="3"/>
        <v>143</v>
      </c>
      <c r="B148" s="38" t="s">
        <v>1231</v>
      </c>
      <c r="C148" s="35" t="s">
        <v>1232</v>
      </c>
      <c r="D148" s="36" t="s">
        <v>1233</v>
      </c>
      <c r="E148" s="36" t="s">
        <v>54</v>
      </c>
      <c r="F148" s="34" t="s">
        <v>1234</v>
      </c>
      <c r="G148" s="37" t="s">
        <v>39</v>
      </c>
      <c r="H148" s="37" t="s">
        <v>39</v>
      </c>
      <c r="I148" s="38" t="s">
        <v>1235</v>
      </c>
      <c r="J148" s="34" t="s">
        <v>41</v>
      </c>
      <c r="K148" s="39" t="s">
        <v>42</v>
      </c>
      <c r="L148" s="163" t="s">
        <v>1236</v>
      </c>
      <c r="M148" s="115"/>
      <c r="N148" s="147"/>
      <c r="O148" s="147"/>
      <c r="P148" s="147"/>
      <c r="Q148" s="147"/>
      <c r="R148" s="147"/>
      <c r="S148" s="115" t="s">
        <v>44</v>
      </c>
      <c r="T148" s="114" t="s">
        <v>732</v>
      </c>
      <c r="U148" s="115"/>
      <c r="V148" s="56"/>
      <c r="W148" s="56"/>
      <c r="X148" s="42" t="s">
        <v>1237</v>
      </c>
      <c r="Y148" s="58" t="s">
        <v>1238</v>
      </c>
      <c r="Z148" s="84" t="s">
        <v>1239</v>
      </c>
      <c r="AA148" s="45">
        <v>44650</v>
      </c>
      <c r="AB148" s="164" t="s">
        <v>30</v>
      </c>
      <c r="AC148" s="36"/>
      <c r="AD148" s="47" t="s">
        <v>49</v>
      </c>
      <c r="AE148" s="48" t="s">
        <v>41</v>
      </c>
      <c r="AF148" s="48" t="s">
        <v>41</v>
      </c>
      <c r="AG148" s="48" t="s">
        <v>49</v>
      </c>
      <c r="AH148" s="48" t="s">
        <v>49</v>
      </c>
      <c r="AI148" s="48" t="s">
        <v>49</v>
      </c>
      <c r="AJ148" s="49" t="s">
        <v>49</v>
      </c>
      <c r="AK148" s="48" t="s">
        <v>49</v>
      </c>
      <c r="AL148" s="65" t="s">
        <v>32</v>
      </c>
      <c r="AM148" s="65"/>
      <c r="AN148" s="59"/>
      <c r="AO148" s="10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1"/>
    </row>
    <row r="149" spans="1:52" x14ac:dyDescent="0.2">
      <c r="A149" s="33">
        <f t="shared" si="3"/>
        <v>144</v>
      </c>
      <c r="B149" s="34" t="s">
        <v>1240</v>
      </c>
      <c r="C149" s="35" t="s">
        <v>1241</v>
      </c>
      <c r="D149" s="36" t="s">
        <v>1242</v>
      </c>
      <c r="E149" s="36" t="s">
        <v>54</v>
      </c>
      <c r="F149" s="34" t="s">
        <v>4625</v>
      </c>
      <c r="G149" s="37" t="s">
        <v>360</v>
      </c>
      <c r="H149" s="37" t="s">
        <v>350</v>
      </c>
      <c r="I149" s="38" t="s">
        <v>1244</v>
      </c>
      <c r="J149" s="34"/>
      <c r="K149" s="39" t="s">
        <v>42</v>
      </c>
      <c r="L149" s="165" t="s">
        <v>1245</v>
      </c>
      <c r="M149" s="56"/>
      <c r="N149" s="115"/>
      <c r="O149" s="114"/>
      <c r="P149" s="115"/>
      <c r="Q149" s="114"/>
      <c r="R149" s="115"/>
      <c r="S149" s="115"/>
      <c r="T149" s="114"/>
      <c r="U149" s="115"/>
      <c r="V149" s="56"/>
      <c r="W149" s="56"/>
      <c r="X149" s="42" t="s">
        <v>1246</v>
      </c>
      <c r="Y149" s="58" t="s">
        <v>1247</v>
      </c>
      <c r="Z149" s="144" t="s">
        <v>1248</v>
      </c>
      <c r="AA149" s="45">
        <v>44650</v>
      </c>
      <c r="AB149" s="164" t="s">
        <v>30</v>
      </c>
      <c r="AC149" s="36" t="s">
        <v>26</v>
      </c>
      <c r="AD149" s="47" t="s">
        <v>49</v>
      </c>
      <c r="AE149" s="48" t="s">
        <v>49</v>
      </c>
      <c r="AF149" s="48" t="s">
        <v>49</v>
      </c>
      <c r="AG149" s="48" t="s">
        <v>49</v>
      </c>
      <c r="AH149" s="48" t="s">
        <v>49</v>
      </c>
      <c r="AI149" s="48" t="s">
        <v>49</v>
      </c>
      <c r="AJ149" s="49" t="s">
        <v>49</v>
      </c>
      <c r="AK149" s="48" t="s">
        <v>49</v>
      </c>
      <c r="AL149" s="65" t="s">
        <v>32</v>
      </c>
      <c r="AM149" s="65"/>
      <c r="AN149" s="59"/>
      <c r="AO149" s="10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1"/>
    </row>
    <row r="150" spans="1:52" x14ac:dyDescent="0.2">
      <c r="A150" s="33">
        <f t="shared" si="3"/>
        <v>145</v>
      </c>
      <c r="B150" s="34" t="s">
        <v>1249</v>
      </c>
      <c r="C150" s="35" t="s">
        <v>1250</v>
      </c>
      <c r="D150" s="36" t="s">
        <v>1251</v>
      </c>
      <c r="E150" s="36" t="s">
        <v>54</v>
      </c>
      <c r="F150" s="34" t="s">
        <v>1252</v>
      </c>
      <c r="G150" s="37" t="s">
        <v>176</v>
      </c>
      <c r="H150" s="37" t="s">
        <v>39</v>
      </c>
      <c r="I150" s="34" t="s">
        <v>1253</v>
      </c>
      <c r="J150" s="34" t="s">
        <v>41</v>
      </c>
      <c r="K150" s="39" t="s">
        <v>42</v>
      </c>
      <c r="L150" s="166" t="s">
        <v>1254</v>
      </c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2" t="s">
        <v>1255</v>
      </c>
      <c r="Y150" s="52" t="s">
        <v>1256</v>
      </c>
      <c r="Z150" s="44" t="s">
        <v>1257</v>
      </c>
      <c r="AA150" s="45">
        <v>42935</v>
      </c>
      <c r="AB150" s="101" t="s">
        <v>30</v>
      </c>
      <c r="AC150" s="36" t="s">
        <v>26</v>
      </c>
      <c r="AD150" s="47" t="s">
        <v>49</v>
      </c>
      <c r="AE150" s="48" t="s">
        <v>49</v>
      </c>
      <c r="AF150" s="48" t="s">
        <v>49</v>
      </c>
      <c r="AG150" s="48" t="s">
        <v>49</v>
      </c>
      <c r="AH150" s="48" t="s">
        <v>49</v>
      </c>
      <c r="AI150" s="48" t="s">
        <v>49</v>
      </c>
      <c r="AJ150" s="49" t="s">
        <v>49</v>
      </c>
      <c r="AK150" s="48" t="s">
        <v>49</v>
      </c>
      <c r="AL150" s="62" t="s">
        <v>32</v>
      </c>
      <c r="AM150" s="62"/>
      <c r="AN150" s="59"/>
      <c r="AO150" s="10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1"/>
    </row>
    <row r="151" spans="1:52" x14ac:dyDescent="0.2">
      <c r="A151" s="33">
        <f t="shared" si="3"/>
        <v>146</v>
      </c>
      <c r="B151" s="34" t="s">
        <v>1258</v>
      </c>
      <c r="C151" s="35" t="s">
        <v>1259</v>
      </c>
      <c r="D151" s="36" t="s">
        <v>1260</v>
      </c>
      <c r="E151" s="36" t="s">
        <v>54</v>
      </c>
      <c r="F151" s="34" t="s">
        <v>1261</v>
      </c>
      <c r="G151" s="37" t="s">
        <v>73</v>
      </c>
      <c r="H151" s="37" t="s">
        <v>73</v>
      </c>
      <c r="I151" s="38" t="s">
        <v>1262</v>
      </c>
      <c r="J151" s="34"/>
      <c r="K151" s="39" t="s">
        <v>42</v>
      </c>
      <c r="L151" s="120">
        <v>45376</v>
      </c>
      <c r="M151" s="56"/>
      <c r="N151" s="56"/>
      <c r="O151" s="56"/>
      <c r="P151" s="56"/>
      <c r="Q151" s="56"/>
      <c r="R151" s="56"/>
      <c r="S151" s="56"/>
      <c r="T151" s="56"/>
      <c r="U151" s="56" t="s">
        <v>44</v>
      </c>
      <c r="V151" s="56"/>
      <c r="W151" s="56"/>
      <c r="X151" s="42" t="s">
        <v>1263</v>
      </c>
      <c r="Y151" s="58" t="s">
        <v>1264</v>
      </c>
      <c r="Z151" s="121"/>
      <c r="AA151" s="45"/>
      <c r="AB151" s="101"/>
      <c r="AC151" s="36"/>
      <c r="AD151" s="47" t="s">
        <v>49</v>
      </c>
      <c r="AE151" s="48" t="s">
        <v>41</v>
      </c>
      <c r="AF151" s="48" t="s">
        <v>41</v>
      </c>
      <c r="AG151" s="48" t="s">
        <v>41</v>
      </c>
      <c r="AH151" s="48" t="s">
        <v>41</v>
      </c>
      <c r="AI151" s="48" t="s">
        <v>49</v>
      </c>
      <c r="AJ151" s="49" t="s">
        <v>49</v>
      </c>
      <c r="AK151" s="48" t="s">
        <v>49</v>
      </c>
      <c r="AL151" s="62" t="s">
        <v>32</v>
      </c>
      <c r="AM151" s="62"/>
      <c r="AN151" s="59"/>
      <c r="AO151" s="10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1"/>
    </row>
    <row r="152" spans="1:52" x14ac:dyDescent="0.2">
      <c r="A152" s="33">
        <f t="shared" si="3"/>
        <v>147</v>
      </c>
      <c r="B152" s="34" t="s">
        <v>1265</v>
      </c>
      <c r="C152" s="35" t="s">
        <v>1266</v>
      </c>
      <c r="D152" s="36" t="s">
        <v>1267</v>
      </c>
      <c r="E152" s="36" t="s">
        <v>36</v>
      </c>
      <c r="F152" s="34" t="s">
        <v>1268</v>
      </c>
      <c r="G152" s="37" t="s">
        <v>73</v>
      </c>
      <c r="H152" s="37" t="s">
        <v>73</v>
      </c>
      <c r="I152" s="42" t="s">
        <v>1269</v>
      </c>
      <c r="J152" s="34"/>
      <c r="K152" s="39" t="s">
        <v>42</v>
      </c>
      <c r="L152" s="120">
        <v>45607</v>
      </c>
      <c r="M152" s="56" t="s">
        <v>179</v>
      </c>
      <c r="N152" s="56" t="s">
        <v>179</v>
      </c>
      <c r="O152" s="56"/>
      <c r="P152" s="56">
        <v>1</v>
      </c>
      <c r="Q152" s="56"/>
      <c r="R152" s="56"/>
      <c r="S152" s="56"/>
      <c r="T152" s="56"/>
      <c r="U152" s="56" t="s">
        <v>44</v>
      </c>
      <c r="V152" s="56"/>
      <c r="W152" s="56"/>
      <c r="X152" s="42" t="s">
        <v>1270</v>
      </c>
      <c r="Y152" s="58" t="s">
        <v>1271</v>
      </c>
      <c r="Z152" s="121"/>
      <c r="AA152" s="45"/>
      <c r="AB152" s="101"/>
      <c r="AC152" s="36"/>
      <c r="AD152" s="47" t="s">
        <v>49</v>
      </c>
      <c r="AE152" s="48" t="s">
        <v>41</v>
      </c>
      <c r="AF152" s="48" t="s">
        <v>41</v>
      </c>
      <c r="AG152" s="48" t="s">
        <v>41</v>
      </c>
      <c r="AH152" s="48" t="s">
        <v>41</v>
      </c>
      <c r="AI152" s="48" t="s">
        <v>49</v>
      </c>
      <c r="AJ152" s="49" t="s">
        <v>41</v>
      </c>
      <c r="AK152" s="48" t="s">
        <v>41</v>
      </c>
      <c r="AL152" s="62" t="s">
        <v>276</v>
      </c>
      <c r="AM152" s="62"/>
      <c r="AN152" s="59"/>
      <c r="AO152" s="10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1"/>
    </row>
    <row r="153" spans="1:52" x14ac:dyDescent="0.2">
      <c r="A153" s="33">
        <f t="shared" si="3"/>
        <v>148</v>
      </c>
      <c r="B153" s="34" t="s">
        <v>1272</v>
      </c>
      <c r="C153" s="35" t="s">
        <v>1273</v>
      </c>
      <c r="D153" s="36" t="s">
        <v>1274</v>
      </c>
      <c r="E153" s="36" t="s">
        <v>36</v>
      </c>
      <c r="F153" s="34" t="s">
        <v>1275</v>
      </c>
      <c r="G153" s="37" t="s">
        <v>73</v>
      </c>
      <c r="H153" s="37" t="s">
        <v>73</v>
      </c>
      <c r="I153" s="38" t="s">
        <v>1276</v>
      </c>
      <c r="J153" s="34" t="s">
        <v>41</v>
      </c>
      <c r="K153" s="39" t="s">
        <v>42</v>
      </c>
      <c r="L153" s="166" t="s">
        <v>1277</v>
      </c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2" t="s">
        <v>1278</v>
      </c>
      <c r="Y153" s="52" t="s">
        <v>1279</v>
      </c>
      <c r="Z153" s="44" t="s">
        <v>1280</v>
      </c>
      <c r="AA153" s="45">
        <v>41793</v>
      </c>
      <c r="AB153" s="101" t="s">
        <v>30</v>
      </c>
      <c r="AC153" s="36" t="s">
        <v>26</v>
      </c>
      <c r="AD153" s="47" t="s">
        <v>49</v>
      </c>
      <c r="AE153" s="48" t="s">
        <v>49</v>
      </c>
      <c r="AF153" s="48" t="s">
        <v>49</v>
      </c>
      <c r="AG153" s="48" t="s">
        <v>49</v>
      </c>
      <c r="AH153" s="48" t="s">
        <v>49</v>
      </c>
      <c r="AI153" s="48" t="s">
        <v>41</v>
      </c>
      <c r="AJ153" s="49" t="s">
        <v>41</v>
      </c>
      <c r="AK153" s="48" t="s">
        <v>41</v>
      </c>
      <c r="AL153" s="62" t="s">
        <v>4589</v>
      </c>
      <c r="AM153" s="62"/>
      <c r="AN153" s="59"/>
      <c r="AO153" s="10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1"/>
    </row>
    <row r="154" spans="1:52" x14ac:dyDescent="0.2">
      <c r="A154" s="33">
        <f t="shared" si="3"/>
        <v>149</v>
      </c>
      <c r="B154" s="34" t="s">
        <v>1281</v>
      </c>
      <c r="C154" s="35" t="s">
        <v>1282</v>
      </c>
      <c r="D154" s="36" t="s">
        <v>1283</v>
      </c>
      <c r="E154" s="36" t="s">
        <v>54</v>
      </c>
      <c r="F154" s="34" t="s">
        <v>1284</v>
      </c>
      <c r="G154" s="37" t="s">
        <v>1285</v>
      </c>
      <c r="H154" s="37" t="s">
        <v>350</v>
      </c>
      <c r="I154" s="34" t="s">
        <v>1286</v>
      </c>
      <c r="J154" s="34" t="s">
        <v>41</v>
      </c>
      <c r="K154" s="39" t="s">
        <v>42</v>
      </c>
      <c r="L154" s="158" t="s">
        <v>1287</v>
      </c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42" t="s">
        <v>1288</v>
      </c>
      <c r="Y154" s="58" t="s">
        <v>1289</v>
      </c>
      <c r="Z154" s="44" t="s">
        <v>1290</v>
      </c>
      <c r="AA154" s="45">
        <v>42935</v>
      </c>
      <c r="AB154" s="101" t="s">
        <v>30</v>
      </c>
      <c r="AC154" s="36" t="s">
        <v>26</v>
      </c>
      <c r="AD154" s="47" t="s">
        <v>49</v>
      </c>
      <c r="AE154" s="48" t="s">
        <v>49</v>
      </c>
      <c r="AF154" s="48" t="s">
        <v>49</v>
      </c>
      <c r="AG154" s="48" t="s">
        <v>49</v>
      </c>
      <c r="AH154" s="48" t="s">
        <v>49</v>
      </c>
      <c r="AI154" s="48" t="s">
        <v>49</v>
      </c>
      <c r="AJ154" s="49" t="s">
        <v>41</v>
      </c>
      <c r="AK154" s="48" t="s">
        <v>41</v>
      </c>
      <c r="AL154" s="62" t="s">
        <v>276</v>
      </c>
      <c r="AM154" s="62"/>
      <c r="AN154" s="59"/>
      <c r="AO154" s="10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1"/>
    </row>
    <row r="155" spans="1:52" x14ac:dyDescent="0.2">
      <c r="A155" s="33">
        <f t="shared" si="3"/>
        <v>150</v>
      </c>
      <c r="B155" s="34" t="s">
        <v>1291</v>
      </c>
      <c r="C155" s="35" t="s">
        <v>1292</v>
      </c>
      <c r="D155" s="36" t="s">
        <v>1293</v>
      </c>
      <c r="E155" s="36" t="s">
        <v>54</v>
      </c>
      <c r="F155" s="34" t="s">
        <v>1294</v>
      </c>
      <c r="G155" s="37" t="s">
        <v>73</v>
      </c>
      <c r="H155" s="37" t="s">
        <v>73</v>
      </c>
      <c r="I155" s="167" t="s">
        <v>1295</v>
      </c>
      <c r="J155" s="57" t="s">
        <v>1296</v>
      </c>
      <c r="K155" s="39" t="s">
        <v>42</v>
      </c>
      <c r="L155" s="99" t="s">
        <v>307</v>
      </c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42" t="s">
        <v>1297</v>
      </c>
      <c r="Y155" s="100" t="s">
        <v>1298</v>
      </c>
      <c r="Z155" s="44" t="s">
        <v>61</v>
      </c>
      <c r="AA155" s="45">
        <v>39286</v>
      </c>
      <c r="AB155" s="101" t="s">
        <v>30</v>
      </c>
      <c r="AC155" s="36"/>
      <c r="AD155" s="47" t="s">
        <v>49</v>
      </c>
      <c r="AE155" s="48" t="s">
        <v>41</v>
      </c>
      <c r="AF155" s="48" t="s">
        <v>41</v>
      </c>
      <c r="AG155" s="48" t="s">
        <v>41</v>
      </c>
      <c r="AH155" s="48" t="s">
        <v>41</v>
      </c>
      <c r="AI155" s="48" t="s">
        <v>41</v>
      </c>
      <c r="AJ155" s="49" t="s">
        <v>41</v>
      </c>
      <c r="AK155" s="48" t="s">
        <v>41</v>
      </c>
      <c r="AL155" s="65" t="s">
        <v>4590</v>
      </c>
      <c r="AM155" s="65"/>
      <c r="AN155" s="59" t="s">
        <v>192</v>
      </c>
      <c r="AO155" s="10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1"/>
    </row>
    <row r="156" spans="1:52" x14ac:dyDescent="0.2">
      <c r="A156" s="33">
        <f t="shared" si="3"/>
        <v>151</v>
      </c>
      <c r="B156" s="34" t="s">
        <v>1299</v>
      </c>
      <c r="C156" s="35" t="s">
        <v>1300</v>
      </c>
      <c r="D156" s="36" t="s">
        <v>1301</v>
      </c>
      <c r="E156" s="36" t="s">
        <v>54</v>
      </c>
      <c r="F156" s="34" t="s">
        <v>1302</v>
      </c>
      <c r="G156" s="37" t="s">
        <v>186</v>
      </c>
      <c r="H156" s="37" t="s">
        <v>187</v>
      </c>
      <c r="I156" s="167" t="s">
        <v>1303</v>
      </c>
      <c r="J156" s="57" t="s">
        <v>41</v>
      </c>
      <c r="K156" s="39" t="s">
        <v>42</v>
      </c>
      <c r="L156" s="120">
        <v>45694</v>
      </c>
      <c r="M156" s="56"/>
      <c r="N156" s="56"/>
      <c r="O156" s="56"/>
      <c r="P156" s="56"/>
      <c r="Q156" s="56"/>
      <c r="R156" s="56"/>
      <c r="S156" s="56"/>
      <c r="T156" s="56"/>
      <c r="U156" s="56"/>
      <c r="V156" s="56" t="s">
        <v>44</v>
      </c>
      <c r="W156" s="56"/>
      <c r="X156" s="167" t="s">
        <v>1304</v>
      </c>
      <c r="Y156" s="146" t="s">
        <v>1305</v>
      </c>
      <c r="Z156" s="44"/>
      <c r="AA156" s="45"/>
      <c r="AB156" s="101"/>
      <c r="AC156" s="36"/>
      <c r="AD156" s="47" t="s">
        <v>49</v>
      </c>
      <c r="AE156" s="48" t="s">
        <v>41</v>
      </c>
      <c r="AF156" s="48" t="s">
        <v>41</v>
      </c>
      <c r="AG156" s="48" t="s">
        <v>41</v>
      </c>
      <c r="AH156" s="48" t="s">
        <v>41</v>
      </c>
      <c r="AI156" s="48" t="s">
        <v>41</v>
      </c>
      <c r="AJ156" s="49" t="s">
        <v>49</v>
      </c>
      <c r="AK156" s="48" t="s">
        <v>49</v>
      </c>
      <c r="AL156" s="65" t="s">
        <v>32</v>
      </c>
      <c r="AM156" s="65"/>
      <c r="AN156" s="59"/>
      <c r="AO156" s="10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1"/>
    </row>
    <row r="157" spans="1:52" x14ac:dyDescent="0.2">
      <c r="A157" s="33">
        <f t="shared" si="3"/>
        <v>152</v>
      </c>
      <c r="B157" s="34" t="s">
        <v>1306</v>
      </c>
      <c r="C157" s="35" t="s">
        <v>1307</v>
      </c>
      <c r="D157" s="36" t="s">
        <v>1308</v>
      </c>
      <c r="E157" s="36" t="s">
        <v>54</v>
      </c>
      <c r="F157" s="34" t="s">
        <v>1309</v>
      </c>
      <c r="G157" s="37" t="s">
        <v>186</v>
      </c>
      <c r="H157" s="37" t="s">
        <v>187</v>
      </c>
      <c r="I157" s="34" t="s">
        <v>1310</v>
      </c>
      <c r="J157" s="34" t="s">
        <v>41</v>
      </c>
      <c r="K157" s="39" t="s">
        <v>42</v>
      </c>
      <c r="L157" s="158" t="s">
        <v>1311</v>
      </c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2" t="s">
        <v>1312</v>
      </c>
      <c r="Y157" s="58" t="s">
        <v>1313</v>
      </c>
      <c r="Z157" s="44" t="s">
        <v>61</v>
      </c>
      <c r="AA157" s="45">
        <v>37208</v>
      </c>
      <c r="AB157" s="101" t="s">
        <v>30</v>
      </c>
      <c r="AC157" s="36" t="s">
        <v>26</v>
      </c>
      <c r="AD157" s="47" t="s">
        <v>49</v>
      </c>
      <c r="AE157" s="48" t="s">
        <v>49</v>
      </c>
      <c r="AF157" s="48" t="s">
        <v>49</v>
      </c>
      <c r="AG157" s="48" t="s">
        <v>49</v>
      </c>
      <c r="AH157" s="48" t="s">
        <v>49</v>
      </c>
      <c r="AI157" s="48" t="s">
        <v>49</v>
      </c>
      <c r="AJ157" s="49" t="s">
        <v>49</v>
      </c>
      <c r="AK157" s="48" t="s">
        <v>41</v>
      </c>
      <c r="AL157" s="65" t="s">
        <v>148</v>
      </c>
      <c r="AM157" s="65"/>
      <c r="AN157" s="59"/>
      <c r="AO157" s="10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1"/>
    </row>
    <row r="158" spans="1:52" x14ac:dyDescent="0.2">
      <c r="A158" s="33">
        <f t="shared" si="3"/>
        <v>153</v>
      </c>
      <c r="B158" s="34" t="s">
        <v>1314</v>
      </c>
      <c r="C158" s="35" t="s">
        <v>1315</v>
      </c>
      <c r="D158" s="36" t="s">
        <v>1316</v>
      </c>
      <c r="E158" s="36" t="s">
        <v>54</v>
      </c>
      <c r="F158" s="34" t="s">
        <v>1317</v>
      </c>
      <c r="G158" s="37" t="s">
        <v>858</v>
      </c>
      <c r="H158" s="37" t="s">
        <v>57</v>
      </c>
      <c r="I158" s="38" t="s">
        <v>1318</v>
      </c>
      <c r="J158" s="34" t="s">
        <v>41</v>
      </c>
      <c r="K158" s="39" t="s">
        <v>42</v>
      </c>
      <c r="L158" s="158" t="s">
        <v>1319</v>
      </c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2" t="s">
        <v>1320</v>
      </c>
      <c r="Y158" s="58" t="s">
        <v>1321</v>
      </c>
      <c r="Z158" s="119" t="s">
        <v>1322</v>
      </c>
      <c r="AA158" s="45">
        <v>44944</v>
      </c>
      <c r="AB158" s="101" t="s">
        <v>30</v>
      </c>
      <c r="AC158" s="36" t="s">
        <v>26</v>
      </c>
      <c r="AD158" s="47" t="s">
        <v>49</v>
      </c>
      <c r="AE158" s="48" t="s">
        <v>49</v>
      </c>
      <c r="AF158" s="48" t="s">
        <v>49</v>
      </c>
      <c r="AG158" s="48" t="s">
        <v>49</v>
      </c>
      <c r="AH158" s="48" t="s">
        <v>49</v>
      </c>
      <c r="AI158" s="48" t="s">
        <v>41</v>
      </c>
      <c r="AJ158" s="49" t="s">
        <v>41</v>
      </c>
      <c r="AK158" s="48" t="s">
        <v>41</v>
      </c>
      <c r="AL158" s="62" t="s">
        <v>4589</v>
      </c>
      <c r="AM158" s="62"/>
      <c r="AN158" s="59"/>
      <c r="AO158" s="102"/>
      <c r="AP158" s="3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1"/>
    </row>
    <row r="159" spans="1:52" x14ac:dyDescent="0.2">
      <c r="A159" s="33">
        <f t="shared" si="3"/>
        <v>154</v>
      </c>
      <c r="B159" s="34" t="s">
        <v>1323</v>
      </c>
      <c r="C159" s="35" t="s">
        <v>1324</v>
      </c>
      <c r="D159" s="36" t="s">
        <v>1325</v>
      </c>
      <c r="E159" s="36" t="s">
        <v>36</v>
      </c>
      <c r="F159" s="34" t="s">
        <v>1326</v>
      </c>
      <c r="G159" s="37" t="s">
        <v>377</v>
      </c>
      <c r="H159" s="37" t="s">
        <v>378</v>
      </c>
      <c r="I159" s="38" t="s">
        <v>1327</v>
      </c>
      <c r="J159" s="34" t="s">
        <v>41</v>
      </c>
      <c r="K159" s="39" t="s">
        <v>42</v>
      </c>
      <c r="L159" s="158" t="s">
        <v>1328</v>
      </c>
      <c r="M159" s="41"/>
      <c r="N159" s="41"/>
      <c r="O159" s="41"/>
      <c r="P159" s="41"/>
      <c r="Q159" s="41"/>
      <c r="R159" s="41"/>
      <c r="S159" s="168" t="s">
        <v>44</v>
      </c>
      <c r="T159" s="41"/>
      <c r="U159" s="41"/>
      <c r="V159" s="41"/>
      <c r="W159" s="41"/>
      <c r="X159" s="42" t="s">
        <v>1329</v>
      </c>
      <c r="Y159" s="58" t="s">
        <v>1330</v>
      </c>
      <c r="Z159" s="121" t="s">
        <v>1331</v>
      </c>
      <c r="AA159" s="45">
        <v>44650</v>
      </c>
      <c r="AB159" s="101" t="s">
        <v>30</v>
      </c>
      <c r="AC159" s="36"/>
      <c r="AD159" s="47" t="s">
        <v>49</v>
      </c>
      <c r="AE159" s="48"/>
      <c r="AF159" s="48" t="s">
        <v>41</v>
      </c>
      <c r="AG159" s="48" t="s">
        <v>49</v>
      </c>
      <c r="AH159" s="48" t="s">
        <v>41</v>
      </c>
      <c r="AI159" s="48" t="s">
        <v>41</v>
      </c>
      <c r="AJ159" s="49" t="s">
        <v>41</v>
      </c>
      <c r="AK159" s="48" t="s">
        <v>41</v>
      </c>
      <c r="AL159" s="62" t="s">
        <v>139</v>
      </c>
      <c r="AM159" s="62"/>
      <c r="AN159" s="59"/>
      <c r="AO159" s="102"/>
      <c r="AP159" s="3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1"/>
    </row>
    <row r="160" spans="1:52" x14ac:dyDescent="0.2">
      <c r="A160" s="33">
        <f t="shared" si="3"/>
        <v>155</v>
      </c>
      <c r="B160" s="34" t="s">
        <v>1332</v>
      </c>
      <c r="C160" s="35" t="s">
        <v>1333</v>
      </c>
      <c r="D160" s="36" t="s">
        <v>1334</v>
      </c>
      <c r="E160" s="36" t="s">
        <v>54</v>
      </c>
      <c r="F160" s="34" t="s">
        <v>1335</v>
      </c>
      <c r="G160" s="37" t="s">
        <v>73</v>
      </c>
      <c r="H160" s="37" t="s">
        <v>73</v>
      </c>
      <c r="I160" s="34" t="s">
        <v>1336</v>
      </c>
      <c r="J160" s="34" t="s">
        <v>1337</v>
      </c>
      <c r="K160" s="39" t="s">
        <v>42</v>
      </c>
      <c r="L160" s="158" t="s">
        <v>1338</v>
      </c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42" t="s">
        <v>1339</v>
      </c>
      <c r="Y160" s="58" t="s">
        <v>1340</v>
      </c>
      <c r="Z160" s="44" t="s">
        <v>1341</v>
      </c>
      <c r="AA160" s="45">
        <v>44944</v>
      </c>
      <c r="AB160" s="101" t="s">
        <v>30</v>
      </c>
      <c r="AC160" s="36" t="s">
        <v>26</v>
      </c>
      <c r="AD160" s="64" t="s">
        <v>120</v>
      </c>
      <c r="AE160" s="48" t="s">
        <v>120</v>
      </c>
      <c r="AF160" s="48" t="s">
        <v>120</v>
      </c>
      <c r="AG160" s="48" t="s">
        <v>120</v>
      </c>
      <c r="AH160" s="48" t="s">
        <v>120</v>
      </c>
      <c r="AI160" s="48" t="s">
        <v>120</v>
      </c>
      <c r="AJ160" s="49" t="s">
        <v>120</v>
      </c>
      <c r="AK160" s="48" t="s">
        <v>120</v>
      </c>
      <c r="AL160" s="62" t="s">
        <v>32</v>
      </c>
      <c r="AM160" s="62"/>
      <c r="AN160" s="59"/>
      <c r="AO160" s="10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1"/>
    </row>
    <row r="161" spans="1:52" x14ac:dyDescent="0.2">
      <c r="A161" s="33">
        <f t="shared" si="3"/>
        <v>156</v>
      </c>
      <c r="B161" s="34" t="s">
        <v>1342</v>
      </c>
      <c r="C161" s="35" t="s">
        <v>1343</v>
      </c>
      <c r="D161" s="36" t="s">
        <v>4616</v>
      </c>
      <c r="E161" s="36" t="s">
        <v>54</v>
      </c>
      <c r="F161" s="34" t="s">
        <v>1345</v>
      </c>
      <c r="G161" s="37" t="s">
        <v>176</v>
      </c>
      <c r="H161" s="37" t="s">
        <v>39</v>
      </c>
      <c r="I161" s="34" t="s">
        <v>1346</v>
      </c>
      <c r="J161" s="34" t="s">
        <v>41</v>
      </c>
      <c r="K161" s="39" t="s">
        <v>42</v>
      </c>
      <c r="L161" s="158" t="s">
        <v>1347</v>
      </c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42" t="s">
        <v>4617</v>
      </c>
      <c r="Y161" s="69" t="s">
        <v>1349</v>
      </c>
      <c r="Z161" s="69"/>
      <c r="AA161" s="45" t="s">
        <v>47</v>
      </c>
      <c r="AB161" s="101"/>
      <c r="AC161" s="36" t="s">
        <v>26</v>
      </c>
      <c r="AD161" s="47" t="s">
        <v>49</v>
      </c>
      <c r="AE161" s="48" t="s">
        <v>49</v>
      </c>
      <c r="AF161" s="48" t="s">
        <v>49</v>
      </c>
      <c r="AG161" s="48" t="s">
        <v>49</v>
      </c>
      <c r="AH161" s="48" t="s">
        <v>49</v>
      </c>
      <c r="AI161" s="48" t="s">
        <v>49</v>
      </c>
      <c r="AJ161" s="49" t="s">
        <v>49</v>
      </c>
      <c r="AK161" s="48" t="s">
        <v>49</v>
      </c>
      <c r="AL161" s="62" t="s">
        <v>32</v>
      </c>
      <c r="AM161" s="62"/>
      <c r="AN161" s="59"/>
      <c r="AO161" s="10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1"/>
    </row>
    <row r="162" spans="1:52" x14ac:dyDescent="0.2">
      <c r="A162" s="33">
        <f t="shared" si="3"/>
        <v>157</v>
      </c>
      <c r="B162" s="34" t="s">
        <v>1350</v>
      </c>
      <c r="C162" s="35" t="s">
        <v>1351</v>
      </c>
      <c r="D162" s="36" t="s">
        <v>1352</v>
      </c>
      <c r="E162" s="36" t="s">
        <v>36</v>
      </c>
      <c r="F162" s="98" t="s">
        <v>1353</v>
      </c>
      <c r="G162" s="37" t="s">
        <v>1354</v>
      </c>
      <c r="H162" s="37" t="s">
        <v>57</v>
      </c>
      <c r="I162" s="38" t="s">
        <v>1355</v>
      </c>
      <c r="J162" s="34" t="s">
        <v>41</v>
      </c>
      <c r="K162" s="39" t="s">
        <v>42</v>
      </c>
      <c r="L162" s="169" t="s">
        <v>59</v>
      </c>
      <c r="M162" s="56" t="s">
        <v>179</v>
      </c>
      <c r="N162" s="56" t="s">
        <v>179</v>
      </c>
      <c r="O162" s="56"/>
      <c r="P162" s="56">
        <v>6</v>
      </c>
      <c r="Q162" s="56" t="s">
        <v>942</v>
      </c>
      <c r="R162" s="56"/>
      <c r="S162" s="56"/>
      <c r="T162" s="56"/>
      <c r="U162" s="56"/>
      <c r="V162" s="56"/>
      <c r="W162" s="56"/>
      <c r="X162" s="42" t="s">
        <v>1356</v>
      </c>
      <c r="Y162" s="58" t="s">
        <v>1357</v>
      </c>
      <c r="Z162" s="58"/>
      <c r="AA162" s="45" t="s">
        <v>47</v>
      </c>
      <c r="AB162" s="46"/>
      <c r="AC162" s="73"/>
      <c r="AD162" s="47" t="s">
        <v>49</v>
      </c>
      <c r="AE162" s="48" t="s">
        <v>41</v>
      </c>
      <c r="AF162" s="48" t="s">
        <v>41</v>
      </c>
      <c r="AG162" s="48" t="s">
        <v>41</v>
      </c>
      <c r="AH162" s="48" t="s">
        <v>41</v>
      </c>
      <c r="AI162" s="48" t="s">
        <v>41</v>
      </c>
      <c r="AJ162" s="49" t="s">
        <v>41</v>
      </c>
      <c r="AK162" s="48" t="s">
        <v>41</v>
      </c>
      <c r="AL162" s="65" t="s">
        <v>4591</v>
      </c>
      <c r="AM162" s="65"/>
      <c r="AN162" s="59"/>
      <c r="AO162" s="10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1"/>
    </row>
    <row r="163" spans="1:52" x14ac:dyDescent="0.2">
      <c r="A163" s="33">
        <f t="shared" si="3"/>
        <v>158</v>
      </c>
      <c r="B163" s="34" t="s">
        <v>1358</v>
      </c>
      <c r="C163" s="35" t="s">
        <v>1359</v>
      </c>
      <c r="D163" s="36" t="s">
        <v>1360</v>
      </c>
      <c r="E163" s="36" t="s">
        <v>36</v>
      </c>
      <c r="F163" s="34" t="s">
        <v>1361</v>
      </c>
      <c r="G163" s="37" t="s">
        <v>252</v>
      </c>
      <c r="H163" s="37" t="s">
        <v>57</v>
      </c>
      <c r="I163" s="34" t="s">
        <v>1362</v>
      </c>
      <c r="J163" s="34" t="s">
        <v>41</v>
      </c>
      <c r="K163" s="39" t="s">
        <v>42</v>
      </c>
      <c r="L163" s="142" t="s">
        <v>1363</v>
      </c>
      <c r="M163" s="41" t="s">
        <v>179</v>
      </c>
      <c r="N163" s="41" t="s">
        <v>179</v>
      </c>
      <c r="O163" s="41"/>
      <c r="P163" s="41">
        <v>6</v>
      </c>
      <c r="Q163" s="41" t="s">
        <v>942</v>
      </c>
      <c r="R163" s="41"/>
      <c r="S163" s="41"/>
      <c r="T163" s="41"/>
      <c r="U163" s="41"/>
      <c r="V163" s="41"/>
      <c r="W163" s="41"/>
      <c r="X163" s="42" t="s">
        <v>1145</v>
      </c>
      <c r="Y163" s="58" t="s">
        <v>1364</v>
      </c>
      <c r="Z163" s="58"/>
      <c r="AA163" s="45" t="s">
        <v>47</v>
      </c>
      <c r="AB163" s="46"/>
      <c r="AC163" s="36"/>
      <c r="AD163" s="47" t="s">
        <v>49</v>
      </c>
      <c r="AE163" s="48" t="s">
        <v>41</v>
      </c>
      <c r="AF163" s="48" t="s">
        <v>41</v>
      </c>
      <c r="AG163" s="48" t="s">
        <v>41</v>
      </c>
      <c r="AH163" s="48" t="s">
        <v>41</v>
      </c>
      <c r="AI163" s="48" t="s">
        <v>41</v>
      </c>
      <c r="AJ163" s="49" t="s">
        <v>41</v>
      </c>
      <c r="AK163" s="48" t="s">
        <v>41</v>
      </c>
      <c r="AL163" s="65" t="s">
        <v>4591</v>
      </c>
      <c r="AM163" s="65"/>
      <c r="AN163" s="59" t="s">
        <v>460</v>
      </c>
      <c r="AO163" s="10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1"/>
    </row>
    <row r="164" spans="1:52" x14ac:dyDescent="0.2">
      <c r="A164" s="33">
        <f t="shared" si="3"/>
        <v>159</v>
      </c>
      <c r="B164" s="34" t="s">
        <v>1365</v>
      </c>
      <c r="C164" s="35" t="s">
        <v>1366</v>
      </c>
      <c r="D164" s="36" t="s">
        <v>1367</v>
      </c>
      <c r="E164" s="36" t="s">
        <v>54</v>
      </c>
      <c r="F164" s="34" t="s">
        <v>1368</v>
      </c>
      <c r="G164" s="37" t="s">
        <v>350</v>
      </c>
      <c r="H164" s="37" t="s">
        <v>350</v>
      </c>
      <c r="I164" s="34">
        <v>81226003225</v>
      </c>
      <c r="J164" s="34" t="s">
        <v>41</v>
      </c>
      <c r="K164" s="39" t="s">
        <v>42</v>
      </c>
      <c r="L164" s="158" t="s">
        <v>1369</v>
      </c>
      <c r="M164" s="56"/>
      <c r="N164" s="56"/>
      <c r="O164" s="56"/>
      <c r="P164" s="56"/>
      <c r="Q164" s="56"/>
      <c r="R164" s="56"/>
      <c r="S164" s="56"/>
      <c r="T164" s="56"/>
      <c r="U164" s="56" t="s">
        <v>44</v>
      </c>
      <c r="V164" s="56"/>
      <c r="W164" s="56"/>
      <c r="X164" s="42" t="s">
        <v>1370</v>
      </c>
      <c r="Y164" s="58" t="s">
        <v>1371</v>
      </c>
      <c r="Z164" s="69"/>
      <c r="AA164" s="45"/>
      <c r="AB164" s="101"/>
      <c r="AC164" s="36"/>
      <c r="AD164" s="47" t="s">
        <v>49</v>
      </c>
      <c r="AE164" s="48" t="s">
        <v>41</v>
      </c>
      <c r="AF164" s="48" t="s">
        <v>41</v>
      </c>
      <c r="AG164" s="48" t="s">
        <v>41</v>
      </c>
      <c r="AH164" s="48" t="s">
        <v>41</v>
      </c>
      <c r="AI164" s="48" t="s">
        <v>49</v>
      </c>
      <c r="AJ164" s="49" t="s">
        <v>49</v>
      </c>
      <c r="AK164" s="48" t="s">
        <v>49</v>
      </c>
      <c r="AL164" s="62" t="s">
        <v>32</v>
      </c>
      <c r="AM164" s="62"/>
      <c r="AN164" s="59"/>
      <c r="AO164" s="10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1"/>
    </row>
    <row r="165" spans="1:52" x14ac:dyDescent="0.2">
      <c r="A165" s="33">
        <f t="shared" si="3"/>
        <v>160</v>
      </c>
      <c r="B165" s="34" t="s">
        <v>4634</v>
      </c>
      <c r="C165" s="35" t="s">
        <v>4635</v>
      </c>
      <c r="D165" s="36" t="s">
        <v>4636</v>
      </c>
      <c r="E165" s="36" t="s">
        <v>4169</v>
      </c>
      <c r="F165" s="34" t="s">
        <v>4637</v>
      </c>
      <c r="G165" s="37" t="s">
        <v>73</v>
      </c>
      <c r="H165" s="37" t="s">
        <v>73</v>
      </c>
      <c r="I165" s="38" t="s">
        <v>4638</v>
      </c>
      <c r="J165" s="34"/>
      <c r="K165" s="39" t="s">
        <v>42</v>
      </c>
      <c r="L165" s="166">
        <v>46085</v>
      </c>
      <c r="M165" s="56"/>
      <c r="N165" s="56" t="s">
        <v>179</v>
      </c>
      <c r="O165" s="56"/>
      <c r="P165" s="56"/>
      <c r="Q165" s="56" t="s">
        <v>179</v>
      </c>
      <c r="R165" s="56"/>
      <c r="S165" s="56"/>
      <c r="T165" s="56"/>
      <c r="U165" s="56"/>
      <c r="V165" s="56"/>
      <c r="W165" s="56" t="s">
        <v>44</v>
      </c>
      <c r="X165" s="38" t="s">
        <v>4639</v>
      </c>
      <c r="Y165" s="310" t="s">
        <v>4640</v>
      </c>
      <c r="Z165" s="69"/>
      <c r="AA165" s="45"/>
      <c r="AB165" s="101"/>
      <c r="AC165" s="36"/>
      <c r="AD165" s="47" t="s">
        <v>49</v>
      </c>
      <c r="AE165" s="48" t="s">
        <v>41</v>
      </c>
      <c r="AF165" s="48" t="s">
        <v>41</v>
      </c>
      <c r="AG165" s="48" t="s">
        <v>41</v>
      </c>
      <c r="AH165" s="48" t="s">
        <v>41</v>
      </c>
      <c r="AI165" s="48" t="s">
        <v>41</v>
      </c>
      <c r="AJ165" s="49" t="s">
        <v>41</v>
      </c>
      <c r="AK165" s="48" t="s">
        <v>49</v>
      </c>
      <c r="AL165" s="62" t="s">
        <v>32</v>
      </c>
      <c r="AM165" s="62"/>
      <c r="AN165" s="59"/>
      <c r="AO165" s="10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1"/>
    </row>
    <row r="166" spans="1:52" x14ac:dyDescent="0.2">
      <c r="A166" s="33">
        <f t="shared" si="3"/>
        <v>161</v>
      </c>
      <c r="B166" s="34" t="s">
        <v>1372</v>
      </c>
      <c r="C166" s="35" t="s">
        <v>1373</v>
      </c>
      <c r="D166" s="36" t="s">
        <v>1374</v>
      </c>
      <c r="E166" s="36" t="s">
        <v>54</v>
      </c>
      <c r="F166" s="34" t="s">
        <v>1375</v>
      </c>
      <c r="G166" s="37" t="s">
        <v>73</v>
      </c>
      <c r="H166" s="37" t="s">
        <v>73</v>
      </c>
      <c r="I166" s="108" t="s">
        <v>1376</v>
      </c>
      <c r="J166" s="108" t="s">
        <v>1377</v>
      </c>
      <c r="K166" s="39" t="s">
        <v>42</v>
      </c>
      <c r="L166" s="99" t="s">
        <v>1378</v>
      </c>
      <c r="M166" s="56" t="s">
        <v>179</v>
      </c>
      <c r="N166" s="56" t="s">
        <v>179</v>
      </c>
      <c r="O166" s="56"/>
      <c r="P166" s="56">
        <v>4</v>
      </c>
      <c r="Q166" s="56" t="s">
        <v>1041</v>
      </c>
      <c r="R166" s="56"/>
      <c r="S166" s="56"/>
      <c r="T166" s="56"/>
      <c r="U166" s="56"/>
      <c r="V166" s="56"/>
      <c r="W166" s="56"/>
      <c r="X166" s="42" t="s">
        <v>1379</v>
      </c>
      <c r="Y166" s="58" t="s">
        <v>1380</v>
      </c>
      <c r="Z166" s="44"/>
      <c r="AA166" s="45" t="s">
        <v>47</v>
      </c>
      <c r="AB166" s="101"/>
      <c r="AC166" s="36" t="s">
        <v>26</v>
      </c>
      <c r="AD166" s="47" t="s">
        <v>49</v>
      </c>
      <c r="AE166" s="48" t="s">
        <v>49</v>
      </c>
      <c r="AF166" s="48" t="s">
        <v>41</v>
      </c>
      <c r="AG166" s="48" t="s">
        <v>41</v>
      </c>
      <c r="AH166" s="48" t="s">
        <v>41</v>
      </c>
      <c r="AI166" s="48" t="s">
        <v>41</v>
      </c>
      <c r="AJ166" s="49" t="s">
        <v>41</v>
      </c>
      <c r="AK166" s="48" t="s">
        <v>41</v>
      </c>
      <c r="AL166" s="62" t="s">
        <v>4587</v>
      </c>
      <c r="AM166" s="62"/>
      <c r="AN166" s="59"/>
      <c r="AO166" s="10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1"/>
    </row>
    <row r="167" spans="1:52" x14ac:dyDescent="0.2">
      <c r="A167" s="33">
        <f t="shared" si="3"/>
        <v>162</v>
      </c>
      <c r="B167" s="34" t="s">
        <v>1381</v>
      </c>
      <c r="C167" s="35" t="s">
        <v>1382</v>
      </c>
      <c r="D167" s="170" t="s">
        <v>1383</v>
      </c>
      <c r="E167" s="36" t="s">
        <v>54</v>
      </c>
      <c r="F167" s="34" t="s">
        <v>1384</v>
      </c>
      <c r="G167" s="37" t="s">
        <v>73</v>
      </c>
      <c r="H167" s="37" t="s">
        <v>73</v>
      </c>
      <c r="I167" s="107" t="s">
        <v>1385</v>
      </c>
      <c r="J167" s="171" t="s">
        <v>41</v>
      </c>
      <c r="K167" s="172" t="s">
        <v>42</v>
      </c>
      <c r="L167" s="173" t="s">
        <v>1363</v>
      </c>
      <c r="M167" s="70"/>
      <c r="N167" s="111"/>
      <c r="O167" s="111"/>
      <c r="P167" s="111"/>
      <c r="Q167" s="112"/>
      <c r="R167" s="112"/>
      <c r="S167" s="112"/>
      <c r="T167" s="41"/>
      <c r="U167" s="41"/>
      <c r="V167" s="41"/>
      <c r="W167" s="41"/>
      <c r="X167" s="42" t="s">
        <v>1386</v>
      </c>
      <c r="Y167" s="58" t="s">
        <v>1387</v>
      </c>
      <c r="Z167" s="44" t="s">
        <v>61</v>
      </c>
      <c r="AA167" s="45">
        <v>41793</v>
      </c>
      <c r="AB167" s="160" t="s">
        <v>30</v>
      </c>
      <c r="AC167" s="36" t="s">
        <v>26</v>
      </c>
      <c r="AD167" s="47" t="s">
        <v>49</v>
      </c>
      <c r="AE167" s="48" t="s">
        <v>49</v>
      </c>
      <c r="AF167" s="48" t="s">
        <v>41</v>
      </c>
      <c r="AG167" s="48" t="s">
        <v>41</v>
      </c>
      <c r="AH167" s="48" t="s">
        <v>41</v>
      </c>
      <c r="AI167" s="48" t="s">
        <v>41</v>
      </c>
      <c r="AJ167" s="49" t="s">
        <v>41</v>
      </c>
      <c r="AK167" s="48" t="s">
        <v>41</v>
      </c>
      <c r="AL167" s="62" t="s">
        <v>4587</v>
      </c>
      <c r="AM167" s="62"/>
      <c r="AN167" s="59"/>
      <c r="AO167" s="10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1"/>
    </row>
    <row r="168" spans="1:52" x14ac:dyDescent="0.2">
      <c r="A168" s="33">
        <f t="shared" si="3"/>
        <v>163</v>
      </c>
      <c r="B168" s="34" t="s">
        <v>1388</v>
      </c>
      <c r="C168" s="35" t="s">
        <v>1389</v>
      </c>
      <c r="D168" s="170" t="s">
        <v>1390</v>
      </c>
      <c r="E168" s="36" t="s">
        <v>36</v>
      </c>
      <c r="F168" s="34" t="s">
        <v>1391</v>
      </c>
      <c r="G168" s="37" t="s">
        <v>73</v>
      </c>
      <c r="H168" s="37" t="s">
        <v>73</v>
      </c>
      <c r="I168" s="108" t="s">
        <v>1392</v>
      </c>
      <c r="J168" s="108" t="s">
        <v>41</v>
      </c>
      <c r="K168" s="39" t="s">
        <v>42</v>
      </c>
      <c r="L168" s="99" t="s">
        <v>1393</v>
      </c>
      <c r="M168" s="115" t="s">
        <v>179</v>
      </c>
      <c r="N168" s="115" t="s">
        <v>179</v>
      </c>
      <c r="O168" s="115"/>
      <c r="P168" s="115">
        <v>3</v>
      </c>
      <c r="Q168" s="115"/>
      <c r="R168" s="115" t="s">
        <v>44</v>
      </c>
      <c r="S168" s="115"/>
      <c r="T168" s="56"/>
      <c r="U168" s="56"/>
      <c r="V168" s="56"/>
      <c r="W168" s="56"/>
      <c r="X168" s="42" t="s">
        <v>1394</v>
      </c>
      <c r="Y168" s="58" t="s">
        <v>1395</v>
      </c>
      <c r="Z168" s="58"/>
      <c r="AA168" s="45" t="s">
        <v>47</v>
      </c>
      <c r="AB168" s="101"/>
      <c r="AC168" s="36"/>
      <c r="AD168" s="47" t="s">
        <v>49</v>
      </c>
      <c r="AE168" s="48" t="s">
        <v>41</v>
      </c>
      <c r="AF168" s="48" t="s">
        <v>49</v>
      </c>
      <c r="AG168" s="48" t="s">
        <v>49</v>
      </c>
      <c r="AH168" s="48" t="s">
        <v>49</v>
      </c>
      <c r="AI168" s="48" t="s">
        <v>49</v>
      </c>
      <c r="AJ168" s="49" t="s">
        <v>49</v>
      </c>
      <c r="AK168" s="48" t="s">
        <v>49</v>
      </c>
      <c r="AL168" s="62" t="s">
        <v>32</v>
      </c>
      <c r="AM168" s="62"/>
      <c r="AN168" s="59"/>
      <c r="AO168" s="10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1"/>
    </row>
    <row r="169" spans="1:52" x14ac:dyDescent="0.2">
      <c r="A169" s="33">
        <f t="shared" si="3"/>
        <v>164</v>
      </c>
      <c r="B169" s="34" t="s">
        <v>1396</v>
      </c>
      <c r="C169" s="35" t="s">
        <v>1397</v>
      </c>
      <c r="D169" s="170" t="s">
        <v>1398</v>
      </c>
      <c r="E169" s="36" t="s">
        <v>54</v>
      </c>
      <c r="F169" s="34" t="s">
        <v>1399</v>
      </c>
      <c r="G169" s="37" t="s">
        <v>205</v>
      </c>
      <c r="H169" s="37" t="s">
        <v>205</v>
      </c>
      <c r="I169" s="34" t="s">
        <v>1400</v>
      </c>
      <c r="J169" s="34" t="s">
        <v>41</v>
      </c>
      <c r="K169" s="39" t="s">
        <v>42</v>
      </c>
      <c r="L169" s="99" t="s">
        <v>1401</v>
      </c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2" t="s">
        <v>1402</v>
      </c>
      <c r="Y169" s="58" t="s">
        <v>1403</v>
      </c>
      <c r="Z169" s="44" t="s">
        <v>61</v>
      </c>
      <c r="AA169" s="45">
        <v>36641</v>
      </c>
      <c r="AB169" s="101" t="s">
        <v>30</v>
      </c>
      <c r="AC169" s="36" t="s">
        <v>26</v>
      </c>
      <c r="AD169" s="47" t="s">
        <v>49</v>
      </c>
      <c r="AE169" s="48" t="s">
        <v>49</v>
      </c>
      <c r="AF169" s="48" t="s">
        <v>49</v>
      </c>
      <c r="AG169" s="48" t="s">
        <v>49</v>
      </c>
      <c r="AH169" s="48" t="s">
        <v>49</v>
      </c>
      <c r="AI169" s="48" t="s">
        <v>49</v>
      </c>
      <c r="AJ169" s="49" t="s">
        <v>49</v>
      </c>
      <c r="AK169" s="48" t="s">
        <v>49</v>
      </c>
      <c r="AL169" s="65" t="s">
        <v>32</v>
      </c>
      <c r="AM169" s="65"/>
      <c r="AN169" s="59"/>
      <c r="AO169" s="10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1"/>
    </row>
    <row r="170" spans="1:52" x14ac:dyDescent="0.2">
      <c r="A170" s="33">
        <f t="shared" si="3"/>
        <v>165</v>
      </c>
      <c r="B170" s="34" t="s">
        <v>1404</v>
      </c>
      <c r="C170" s="35" t="s">
        <v>1405</v>
      </c>
      <c r="D170" s="174" t="s">
        <v>1406</v>
      </c>
      <c r="E170" s="36" t="s">
        <v>54</v>
      </c>
      <c r="F170" s="34" t="s">
        <v>1407</v>
      </c>
      <c r="G170" s="37" t="s">
        <v>858</v>
      </c>
      <c r="H170" s="37" t="s">
        <v>57</v>
      </c>
      <c r="I170" s="34" t="s">
        <v>1408</v>
      </c>
      <c r="J170" s="34" t="s">
        <v>41</v>
      </c>
      <c r="K170" s="39" t="s">
        <v>42</v>
      </c>
      <c r="L170" s="99" t="s">
        <v>1409</v>
      </c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42" t="s">
        <v>1410</v>
      </c>
      <c r="Y170" s="58" t="s">
        <v>1411</v>
      </c>
      <c r="Z170" s="44" t="s">
        <v>1412</v>
      </c>
      <c r="AA170" s="45">
        <v>42935</v>
      </c>
      <c r="AB170" s="101" t="s">
        <v>30</v>
      </c>
      <c r="AC170" s="109" t="s">
        <v>26</v>
      </c>
      <c r="AD170" s="47" t="s">
        <v>49</v>
      </c>
      <c r="AE170" s="48" t="s">
        <v>49</v>
      </c>
      <c r="AF170" s="48" t="s">
        <v>49</v>
      </c>
      <c r="AG170" s="48" t="s">
        <v>49</v>
      </c>
      <c r="AH170" s="48" t="s">
        <v>49</v>
      </c>
      <c r="AI170" s="48" t="s">
        <v>49</v>
      </c>
      <c r="AJ170" s="49" t="s">
        <v>49</v>
      </c>
      <c r="AK170" s="48" t="s">
        <v>49</v>
      </c>
      <c r="AL170" s="62" t="s">
        <v>32</v>
      </c>
      <c r="AM170" s="62" t="s">
        <v>4681</v>
      </c>
      <c r="AN170" s="59"/>
      <c r="AO170" s="10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1"/>
    </row>
    <row r="171" spans="1:52" x14ac:dyDescent="0.2">
      <c r="A171" s="33">
        <f t="shared" si="3"/>
        <v>166</v>
      </c>
      <c r="B171" s="34" t="s">
        <v>1413</v>
      </c>
      <c r="C171" s="35" t="s">
        <v>1414</v>
      </c>
      <c r="D171" s="36" t="s">
        <v>1415</v>
      </c>
      <c r="E171" s="36" t="s">
        <v>54</v>
      </c>
      <c r="F171" s="34" t="s">
        <v>1416</v>
      </c>
      <c r="G171" s="37" t="s">
        <v>1417</v>
      </c>
      <c r="H171" s="37" t="s">
        <v>187</v>
      </c>
      <c r="I171" s="34" t="s">
        <v>1418</v>
      </c>
      <c r="J171" s="34" t="s">
        <v>1419</v>
      </c>
      <c r="K171" s="39" t="s">
        <v>42</v>
      </c>
      <c r="L171" s="158" t="s">
        <v>1420</v>
      </c>
      <c r="M171" s="56" t="s">
        <v>179</v>
      </c>
      <c r="N171" s="56" t="s">
        <v>179</v>
      </c>
      <c r="O171" s="56"/>
      <c r="P171" s="56">
        <v>6</v>
      </c>
      <c r="Q171" s="56" t="s">
        <v>942</v>
      </c>
      <c r="R171" s="56"/>
      <c r="S171" s="56"/>
      <c r="T171" s="56"/>
      <c r="U171" s="56"/>
      <c r="V171" s="56"/>
      <c r="W171" s="56"/>
      <c r="X171" s="42" t="s">
        <v>1421</v>
      </c>
      <c r="Y171" s="58" t="s">
        <v>1422</v>
      </c>
      <c r="Z171" s="58"/>
      <c r="AA171" s="45" t="s">
        <v>47</v>
      </c>
      <c r="AB171" s="101"/>
      <c r="AC171" s="36"/>
      <c r="AD171" s="47" t="s">
        <v>49</v>
      </c>
      <c r="AE171" s="48" t="s">
        <v>41</v>
      </c>
      <c r="AF171" s="48" t="s">
        <v>41</v>
      </c>
      <c r="AG171" s="48" t="s">
        <v>41</v>
      </c>
      <c r="AH171" s="48" t="s">
        <v>41</v>
      </c>
      <c r="AI171" s="48" t="s">
        <v>41</v>
      </c>
      <c r="AJ171" s="49" t="s">
        <v>41</v>
      </c>
      <c r="AK171" s="48" t="s">
        <v>41</v>
      </c>
      <c r="AL171" s="65" t="s">
        <v>4588</v>
      </c>
      <c r="AM171" s="65"/>
      <c r="AN171" s="59"/>
      <c r="AO171" s="117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1"/>
    </row>
    <row r="172" spans="1:52" x14ac:dyDescent="0.2">
      <c r="A172" s="33">
        <f t="shared" si="3"/>
        <v>167</v>
      </c>
      <c r="B172" s="34" t="s">
        <v>1423</v>
      </c>
      <c r="C172" s="35" t="s">
        <v>1424</v>
      </c>
      <c r="D172" s="36" t="s">
        <v>1425</v>
      </c>
      <c r="E172" s="36" t="s">
        <v>36</v>
      </c>
      <c r="F172" s="87" t="s">
        <v>1426</v>
      </c>
      <c r="G172" s="37" t="s">
        <v>360</v>
      </c>
      <c r="H172" s="37" t="s">
        <v>350</v>
      </c>
      <c r="I172" s="34" t="s">
        <v>1427</v>
      </c>
      <c r="J172" s="34" t="s">
        <v>41</v>
      </c>
      <c r="K172" s="39" t="s">
        <v>42</v>
      </c>
      <c r="L172" s="158" t="s">
        <v>1428</v>
      </c>
      <c r="M172" s="56" t="s">
        <v>179</v>
      </c>
      <c r="N172" s="56" t="s">
        <v>179</v>
      </c>
      <c r="O172" s="56"/>
      <c r="P172" s="56">
        <v>6</v>
      </c>
      <c r="Q172" s="56" t="s">
        <v>942</v>
      </c>
      <c r="R172" s="56"/>
      <c r="S172" s="56"/>
      <c r="T172" s="56"/>
      <c r="U172" s="56"/>
      <c r="V172" s="56"/>
      <c r="W172" s="56"/>
      <c r="X172" s="42" t="s">
        <v>1429</v>
      </c>
      <c r="Y172" s="52" t="s">
        <v>1430</v>
      </c>
      <c r="Z172" s="52"/>
      <c r="AA172" s="45" t="s">
        <v>47</v>
      </c>
      <c r="AB172" s="101"/>
      <c r="AC172" s="36">
        <v>1</v>
      </c>
      <c r="AD172" s="47" t="s">
        <v>49</v>
      </c>
      <c r="AE172" s="48" t="s">
        <v>41</v>
      </c>
      <c r="AF172" s="48" t="s">
        <v>41</v>
      </c>
      <c r="AG172" s="48" t="s">
        <v>41</v>
      </c>
      <c r="AH172" s="48" t="s">
        <v>41</v>
      </c>
      <c r="AI172" s="48" t="s">
        <v>41</v>
      </c>
      <c r="AJ172" s="49" t="s">
        <v>41</v>
      </c>
      <c r="AK172" s="48" t="s">
        <v>41</v>
      </c>
      <c r="AL172" s="65" t="s">
        <v>4588</v>
      </c>
      <c r="AM172" s="65"/>
      <c r="AN172" s="59" t="s">
        <v>1431</v>
      </c>
      <c r="AO172" s="117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1"/>
    </row>
    <row r="173" spans="1:52" x14ac:dyDescent="0.2">
      <c r="A173" s="33">
        <f t="shared" si="3"/>
        <v>168</v>
      </c>
      <c r="B173" s="34" t="s">
        <v>1432</v>
      </c>
      <c r="C173" s="35" t="s">
        <v>1433</v>
      </c>
      <c r="D173" s="36" t="s">
        <v>1434</v>
      </c>
      <c r="E173" s="36" t="s">
        <v>54</v>
      </c>
      <c r="F173" s="34" t="s">
        <v>1435</v>
      </c>
      <c r="G173" s="37" t="s">
        <v>38</v>
      </c>
      <c r="H173" s="37" t="s">
        <v>39</v>
      </c>
      <c r="I173" s="38" t="s">
        <v>1436</v>
      </c>
      <c r="J173" s="34" t="s">
        <v>41</v>
      </c>
      <c r="K173" s="39" t="s">
        <v>42</v>
      </c>
      <c r="L173" s="166" t="s">
        <v>1437</v>
      </c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42" t="s">
        <v>1438</v>
      </c>
      <c r="Y173" s="58" t="s">
        <v>1439</v>
      </c>
      <c r="Z173" s="44" t="s">
        <v>1440</v>
      </c>
      <c r="AA173" s="45">
        <v>44041</v>
      </c>
      <c r="AB173" s="101" t="s">
        <v>30</v>
      </c>
      <c r="AC173" s="36" t="s">
        <v>26</v>
      </c>
      <c r="AD173" s="175" t="s">
        <v>49</v>
      </c>
      <c r="AE173" s="48" t="s">
        <v>49</v>
      </c>
      <c r="AF173" s="48" t="s">
        <v>49</v>
      </c>
      <c r="AG173" s="48" t="s">
        <v>49</v>
      </c>
      <c r="AH173" s="48" t="s">
        <v>49</v>
      </c>
      <c r="AI173" s="48" t="s">
        <v>49</v>
      </c>
      <c r="AJ173" s="49" t="s">
        <v>41</v>
      </c>
      <c r="AK173" s="48" t="s">
        <v>41</v>
      </c>
      <c r="AL173" s="62" t="s">
        <v>276</v>
      </c>
      <c r="AM173" s="62"/>
      <c r="AN173" s="59"/>
      <c r="AO173" s="10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1"/>
    </row>
    <row r="174" spans="1:52" x14ac:dyDescent="0.2">
      <c r="A174" s="33">
        <f t="shared" si="3"/>
        <v>169</v>
      </c>
      <c r="B174" s="34" t="s">
        <v>1441</v>
      </c>
      <c r="C174" s="35" t="s">
        <v>1442</v>
      </c>
      <c r="D174" s="36" t="s">
        <v>1443</v>
      </c>
      <c r="E174" s="36" t="s">
        <v>54</v>
      </c>
      <c r="F174" s="34" t="s">
        <v>1444</v>
      </c>
      <c r="G174" s="37" t="s">
        <v>73</v>
      </c>
      <c r="H174" s="37" t="s">
        <v>73</v>
      </c>
      <c r="I174" s="34" t="s">
        <v>1445</v>
      </c>
      <c r="J174" s="34" t="s">
        <v>1445</v>
      </c>
      <c r="K174" s="39" t="s">
        <v>42</v>
      </c>
      <c r="L174" s="166" t="s">
        <v>1446</v>
      </c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42" t="s">
        <v>1447</v>
      </c>
      <c r="Y174" s="58" t="s">
        <v>1448</v>
      </c>
      <c r="Z174" s="44" t="s">
        <v>61</v>
      </c>
      <c r="AA174" s="45">
        <v>34597</v>
      </c>
      <c r="AB174" s="101" t="s">
        <v>30</v>
      </c>
      <c r="AC174" s="36" t="s">
        <v>26</v>
      </c>
      <c r="AD174" s="47" t="s">
        <v>49</v>
      </c>
      <c r="AE174" s="48" t="s">
        <v>49</v>
      </c>
      <c r="AF174" s="48" t="s">
        <v>49</v>
      </c>
      <c r="AG174" s="48" t="s">
        <v>49</v>
      </c>
      <c r="AH174" s="48" t="s">
        <v>49</v>
      </c>
      <c r="AI174" s="48" t="s">
        <v>49</v>
      </c>
      <c r="AJ174" s="49" t="s">
        <v>49</v>
      </c>
      <c r="AK174" s="48" t="s">
        <v>49</v>
      </c>
      <c r="AL174" s="65" t="s">
        <v>32</v>
      </c>
      <c r="AM174" s="65"/>
      <c r="AN174" s="59"/>
      <c r="AO174" s="10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1"/>
    </row>
    <row r="175" spans="1:52" x14ac:dyDescent="0.2">
      <c r="A175" s="33">
        <f t="shared" si="3"/>
        <v>170</v>
      </c>
      <c r="B175" s="34" t="s">
        <v>1449</v>
      </c>
      <c r="C175" s="35" t="s">
        <v>1450</v>
      </c>
      <c r="D175" s="36" t="s">
        <v>1451</v>
      </c>
      <c r="E175" s="36" t="s">
        <v>54</v>
      </c>
      <c r="F175" s="34" t="s">
        <v>1452</v>
      </c>
      <c r="G175" s="37" t="s">
        <v>73</v>
      </c>
      <c r="H175" s="37" t="s">
        <v>73</v>
      </c>
      <c r="I175" s="34" t="s">
        <v>1453</v>
      </c>
      <c r="J175" s="34" t="s">
        <v>41</v>
      </c>
      <c r="K175" s="39" t="s">
        <v>42</v>
      </c>
      <c r="L175" s="166" t="s">
        <v>1454</v>
      </c>
      <c r="M175" s="56"/>
      <c r="N175" s="56"/>
      <c r="O175" s="56"/>
      <c r="P175" s="56"/>
      <c r="Q175" s="56"/>
      <c r="R175" s="56" t="s">
        <v>44</v>
      </c>
      <c r="S175" s="56"/>
      <c r="T175" s="56"/>
      <c r="U175" s="56"/>
      <c r="V175" s="56"/>
      <c r="W175" s="56"/>
      <c r="X175" s="42" t="s">
        <v>1455</v>
      </c>
      <c r="Y175" s="58" t="s">
        <v>1456</v>
      </c>
      <c r="Z175" s="84" t="s">
        <v>1457</v>
      </c>
      <c r="AA175" s="45">
        <v>44650</v>
      </c>
      <c r="AB175" s="101" t="s">
        <v>129</v>
      </c>
      <c r="AC175" s="36"/>
      <c r="AD175" s="47" t="s">
        <v>49</v>
      </c>
      <c r="AE175" s="48" t="s">
        <v>41</v>
      </c>
      <c r="AF175" s="48" t="s">
        <v>49</v>
      </c>
      <c r="AG175" s="48" t="s">
        <v>41</v>
      </c>
      <c r="AH175" s="48" t="s">
        <v>41</v>
      </c>
      <c r="AI175" s="48" t="s">
        <v>41</v>
      </c>
      <c r="AJ175" s="49" t="s">
        <v>41</v>
      </c>
      <c r="AK175" s="48" t="s">
        <v>41</v>
      </c>
      <c r="AL175" s="62" t="s">
        <v>110</v>
      </c>
      <c r="AM175" s="62"/>
      <c r="AN175" s="59"/>
      <c r="AO175" s="10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1"/>
    </row>
    <row r="176" spans="1:52" x14ac:dyDescent="0.2">
      <c r="A176" s="33">
        <f t="shared" si="3"/>
        <v>171</v>
      </c>
      <c r="B176" s="34" t="s">
        <v>1458</v>
      </c>
      <c r="C176" s="35" t="s">
        <v>1459</v>
      </c>
      <c r="D176" s="36" t="s">
        <v>1460</v>
      </c>
      <c r="E176" s="36" t="s">
        <v>54</v>
      </c>
      <c r="F176" s="34" t="s">
        <v>1461</v>
      </c>
      <c r="G176" s="176" t="s">
        <v>4660</v>
      </c>
      <c r="H176" s="176" t="s">
        <v>39</v>
      </c>
      <c r="I176" s="34" t="s">
        <v>1462</v>
      </c>
      <c r="J176" s="34" t="s">
        <v>1463</v>
      </c>
      <c r="K176" s="39" t="s">
        <v>42</v>
      </c>
      <c r="L176" s="99" t="s">
        <v>1464</v>
      </c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42" t="s">
        <v>1465</v>
      </c>
      <c r="Y176" s="58" t="s">
        <v>1466</v>
      </c>
      <c r="Z176" s="44" t="s">
        <v>1467</v>
      </c>
      <c r="AA176" s="45">
        <v>44041</v>
      </c>
      <c r="AB176" s="101" t="s">
        <v>129</v>
      </c>
      <c r="AC176" s="36" t="s">
        <v>26</v>
      </c>
      <c r="AD176" s="47" t="s">
        <v>49</v>
      </c>
      <c r="AE176" s="48" t="s">
        <v>49</v>
      </c>
      <c r="AF176" s="48" t="s">
        <v>49</v>
      </c>
      <c r="AG176" s="48" t="s">
        <v>49</v>
      </c>
      <c r="AH176" s="48" t="s">
        <v>49</v>
      </c>
      <c r="AI176" s="48" t="s">
        <v>49</v>
      </c>
      <c r="AJ176" s="49" t="s">
        <v>49</v>
      </c>
      <c r="AK176" s="48" t="s">
        <v>49</v>
      </c>
      <c r="AL176" s="62" t="s">
        <v>32</v>
      </c>
      <c r="AM176" s="62"/>
      <c r="AN176" s="59"/>
      <c r="AO176" s="10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1"/>
    </row>
    <row r="177" spans="1:52" x14ac:dyDescent="0.2">
      <c r="A177" s="33">
        <f t="shared" si="3"/>
        <v>172</v>
      </c>
      <c r="B177" s="34" t="s">
        <v>1468</v>
      </c>
      <c r="C177" s="35" t="s">
        <v>1469</v>
      </c>
      <c r="D177" s="36" t="s">
        <v>1470</v>
      </c>
      <c r="E177" s="36" t="s">
        <v>36</v>
      </c>
      <c r="F177" s="34" t="s">
        <v>1471</v>
      </c>
      <c r="G177" s="176" t="s">
        <v>38</v>
      </c>
      <c r="H177" s="176" t="s">
        <v>39</v>
      </c>
      <c r="I177" s="38" t="s">
        <v>1472</v>
      </c>
      <c r="J177" s="34" t="s">
        <v>41</v>
      </c>
      <c r="K177" s="39" t="s">
        <v>42</v>
      </c>
      <c r="L177" s="120">
        <v>45320</v>
      </c>
      <c r="M177" s="56"/>
      <c r="N177" s="56"/>
      <c r="O177" s="56"/>
      <c r="P177" s="56"/>
      <c r="Q177" s="56"/>
      <c r="R177" s="115"/>
      <c r="S177" s="56"/>
      <c r="T177" s="56"/>
      <c r="U177" s="56" t="s">
        <v>44</v>
      </c>
      <c r="V177" s="56"/>
      <c r="W177" s="56"/>
      <c r="X177" s="42" t="s">
        <v>1473</v>
      </c>
      <c r="Y177" s="83" t="s">
        <v>1474</v>
      </c>
      <c r="Z177" s="44"/>
      <c r="AA177" s="45"/>
      <c r="AB177" s="101"/>
      <c r="AC177" s="36"/>
      <c r="AD177" s="47" t="s">
        <v>49</v>
      </c>
      <c r="AE177" s="48" t="s">
        <v>41</v>
      </c>
      <c r="AF177" s="48" t="s">
        <v>41</v>
      </c>
      <c r="AG177" s="48" t="s">
        <v>41</v>
      </c>
      <c r="AH177" s="48" t="s">
        <v>41</v>
      </c>
      <c r="AI177" s="48" t="s">
        <v>49</v>
      </c>
      <c r="AJ177" s="49" t="s">
        <v>49</v>
      </c>
      <c r="AK177" s="48" t="s">
        <v>41</v>
      </c>
      <c r="AL177" s="65" t="s">
        <v>148</v>
      </c>
      <c r="AM177" s="65"/>
      <c r="AN177" s="59"/>
      <c r="AO177" s="10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1"/>
    </row>
    <row r="178" spans="1:52" x14ac:dyDescent="0.2">
      <c r="A178" s="33">
        <f t="shared" si="3"/>
        <v>173</v>
      </c>
      <c r="B178" s="34" t="s">
        <v>1475</v>
      </c>
      <c r="C178" s="35" t="s">
        <v>1476</v>
      </c>
      <c r="D178" s="36" t="s">
        <v>1477</v>
      </c>
      <c r="E178" s="36" t="s">
        <v>36</v>
      </c>
      <c r="F178" s="34" t="s">
        <v>1478</v>
      </c>
      <c r="G178" s="37" t="s">
        <v>205</v>
      </c>
      <c r="H178" s="37" t="s">
        <v>205</v>
      </c>
      <c r="I178" s="34" t="s">
        <v>1479</v>
      </c>
      <c r="J178" s="34" t="s">
        <v>1480</v>
      </c>
      <c r="K178" s="39" t="s">
        <v>42</v>
      </c>
      <c r="L178" s="120">
        <v>37112</v>
      </c>
      <c r="M178" s="41"/>
      <c r="N178" s="41"/>
      <c r="O178" s="41"/>
      <c r="P178" s="41"/>
      <c r="Q178" s="41"/>
      <c r="R178" s="177"/>
      <c r="S178" s="112"/>
      <c r="T178" s="41" t="s">
        <v>732</v>
      </c>
      <c r="U178" s="41"/>
      <c r="V178" s="41"/>
      <c r="W178" s="41"/>
      <c r="X178" s="42" t="s">
        <v>1481</v>
      </c>
      <c r="Y178" s="58" t="s">
        <v>1482</v>
      </c>
      <c r="Z178" s="58"/>
      <c r="AA178" s="45">
        <v>45642</v>
      </c>
      <c r="AB178" s="101"/>
      <c r="AC178" s="36" t="s">
        <v>26</v>
      </c>
      <c r="AD178" s="47" t="s">
        <v>49</v>
      </c>
      <c r="AE178" s="48" t="s">
        <v>49</v>
      </c>
      <c r="AF178" s="48" t="s">
        <v>49</v>
      </c>
      <c r="AG178" s="48" t="s">
        <v>49</v>
      </c>
      <c r="AH178" s="48" t="s">
        <v>49</v>
      </c>
      <c r="AI178" s="48" t="s">
        <v>49</v>
      </c>
      <c r="AJ178" s="49" t="s">
        <v>49</v>
      </c>
      <c r="AK178" s="48" t="s">
        <v>49</v>
      </c>
      <c r="AL178" s="65" t="s">
        <v>32</v>
      </c>
      <c r="AM178" s="65"/>
      <c r="AN178" s="59"/>
      <c r="AO178" s="10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1"/>
    </row>
    <row r="179" spans="1:52" x14ac:dyDescent="0.2">
      <c r="A179" s="33">
        <f t="shared" si="3"/>
        <v>174</v>
      </c>
      <c r="B179" s="34" t="s">
        <v>1483</v>
      </c>
      <c r="C179" s="35" t="s">
        <v>1484</v>
      </c>
      <c r="D179" s="36" t="s">
        <v>1485</v>
      </c>
      <c r="E179" s="36" t="s">
        <v>54</v>
      </c>
      <c r="F179" s="34" t="s">
        <v>1486</v>
      </c>
      <c r="G179" s="37" t="s">
        <v>73</v>
      </c>
      <c r="H179" s="37" t="s">
        <v>73</v>
      </c>
      <c r="I179" s="34" t="s">
        <v>1445</v>
      </c>
      <c r="J179" s="34" t="s">
        <v>1445</v>
      </c>
      <c r="K179" s="39" t="s">
        <v>42</v>
      </c>
      <c r="L179" s="166" t="s">
        <v>1487</v>
      </c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2" t="s">
        <v>1488</v>
      </c>
      <c r="Y179" s="43" t="s">
        <v>1489</v>
      </c>
      <c r="Z179" s="44" t="s">
        <v>61</v>
      </c>
      <c r="AA179" s="45">
        <v>39286</v>
      </c>
      <c r="AB179" s="101" t="s">
        <v>30</v>
      </c>
      <c r="AC179" s="36" t="s">
        <v>26</v>
      </c>
      <c r="AD179" s="47" t="s">
        <v>49</v>
      </c>
      <c r="AE179" s="48" t="s">
        <v>49</v>
      </c>
      <c r="AF179" s="48" t="s">
        <v>49</v>
      </c>
      <c r="AG179" s="48" t="s">
        <v>49</v>
      </c>
      <c r="AH179" s="48" t="s">
        <v>49</v>
      </c>
      <c r="AI179" s="48" t="s">
        <v>49</v>
      </c>
      <c r="AJ179" s="49" t="s">
        <v>49</v>
      </c>
      <c r="AK179" s="48" t="s">
        <v>49</v>
      </c>
      <c r="AL179" s="65" t="s">
        <v>32</v>
      </c>
      <c r="AM179" s="65"/>
      <c r="AN179" s="59"/>
      <c r="AO179" s="10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1"/>
    </row>
    <row r="180" spans="1:52" x14ac:dyDescent="0.2">
      <c r="A180" s="33">
        <f t="shared" si="3"/>
        <v>175</v>
      </c>
      <c r="B180" s="34" t="s">
        <v>1490</v>
      </c>
      <c r="C180" s="35" t="s">
        <v>1491</v>
      </c>
      <c r="D180" s="36" t="s">
        <v>1492</v>
      </c>
      <c r="E180" s="36" t="s">
        <v>54</v>
      </c>
      <c r="F180" s="98" t="s">
        <v>1493</v>
      </c>
      <c r="G180" s="37" t="s">
        <v>528</v>
      </c>
      <c r="H180" s="37" t="s">
        <v>57</v>
      </c>
      <c r="I180" s="34" t="s">
        <v>1494</v>
      </c>
      <c r="J180" s="34" t="s">
        <v>1495</v>
      </c>
      <c r="K180" s="39" t="s">
        <v>42</v>
      </c>
      <c r="L180" s="99" t="s">
        <v>1496</v>
      </c>
      <c r="M180" s="115"/>
      <c r="N180" s="115"/>
      <c r="O180" s="115"/>
      <c r="P180" s="115"/>
      <c r="Q180" s="115"/>
      <c r="R180" s="115"/>
      <c r="S180" s="115"/>
      <c r="T180" s="56"/>
      <c r="U180" s="56"/>
      <c r="V180" s="56"/>
      <c r="W180" s="56"/>
      <c r="X180" s="42" t="s">
        <v>1497</v>
      </c>
      <c r="Y180" s="58" t="s">
        <v>1498</v>
      </c>
      <c r="Z180" s="44" t="s">
        <v>61</v>
      </c>
      <c r="AA180" s="45">
        <v>36641</v>
      </c>
      <c r="AB180" s="101" t="s">
        <v>30</v>
      </c>
      <c r="AC180" s="36" t="s">
        <v>26</v>
      </c>
      <c r="AD180" s="47" t="s">
        <v>49</v>
      </c>
      <c r="AE180" s="48" t="s">
        <v>49</v>
      </c>
      <c r="AF180" s="48" t="s">
        <v>41</v>
      </c>
      <c r="AG180" s="48" t="s">
        <v>41</v>
      </c>
      <c r="AH180" s="48" t="s">
        <v>41</v>
      </c>
      <c r="AI180" s="48" t="s">
        <v>41</v>
      </c>
      <c r="AJ180" s="49" t="s">
        <v>41</v>
      </c>
      <c r="AK180" s="48" t="s">
        <v>41</v>
      </c>
      <c r="AL180" s="62" t="s">
        <v>4587</v>
      </c>
      <c r="AM180" s="62"/>
      <c r="AN180" s="59"/>
      <c r="AO180" s="10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1"/>
    </row>
    <row r="181" spans="1:52" x14ac:dyDescent="0.2">
      <c r="A181" s="33">
        <f t="shared" si="3"/>
        <v>176</v>
      </c>
      <c r="B181" s="34" t="s">
        <v>1499</v>
      </c>
      <c r="C181" s="35" t="s">
        <v>1500</v>
      </c>
      <c r="D181" s="36" t="s">
        <v>4611</v>
      </c>
      <c r="E181" s="36" t="s">
        <v>54</v>
      </c>
      <c r="F181" s="34" t="s">
        <v>1501</v>
      </c>
      <c r="G181" s="37" t="s">
        <v>73</v>
      </c>
      <c r="H181" s="37" t="s">
        <v>73</v>
      </c>
      <c r="I181" s="34" t="s">
        <v>1502</v>
      </c>
      <c r="J181" s="34" t="s">
        <v>41</v>
      </c>
      <c r="K181" s="39" t="s">
        <v>42</v>
      </c>
      <c r="L181" s="99" t="s">
        <v>1503</v>
      </c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42" t="s">
        <v>4612</v>
      </c>
      <c r="Y181" s="58" t="s">
        <v>1504</v>
      </c>
      <c r="Z181" s="44" t="s">
        <v>61</v>
      </c>
      <c r="AA181" s="45">
        <v>36641</v>
      </c>
      <c r="AB181" s="101" t="s">
        <v>30</v>
      </c>
      <c r="AC181" s="36" t="s">
        <v>26</v>
      </c>
      <c r="AD181" s="47" t="s">
        <v>49</v>
      </c>
      <c r="AE181" s="48" t="s">
        <v>49</v>
      </c>
      <c r="AF181" s="48" t="s">
        <v>49</v>
      </c>
      <c r="AG181" s="48" t="s">
        <v>49</v>
      </c>
      <c r="AH181" s="48" t="s">
        <v>49</v>
      </c>
      <c r="AI181" s="48" t="s">
        <v>49</v>
      </c>
      <c r="AJ181" s="49" t="s">
        <v>49</v>
      </c>
      <c r="AK181" s="48" t="s">
        <v>49</v>
      </c>
      <c r="AL181" s="65" t="s">
        <v>32</v>
      </c>
      <c r="AM181" s="65"/>
      <c r="AN181" s="59"/>
      <c r="AO181" s="10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1"/>
    </row>
    <row r="182" spans="1:52" x14ac:dyDescent="0.2">
      <c r="A182" s="33">
        <f t="shared" si="3"/>
        <v>177</v>
      </c>
      <c r="B182" s="34" t="s">
        <v>1505</v>
      </c>
      <c r="C182" s="35" t="s">
        <v>1506</v>
      </c>
      <c r="D182" s="36" t="s">
        <v>1507</v>
      </c>
      <c r="E182" s="36" t="s">
        <v>54</v>
      </c>
      <c r="F182" s="34" t="s">
        <v>1508</v>
      </c>
      <c r="G182" s="37" t="s">
        <v>176</v>
      </c>
      <c r="H182" s="37" t="s">
        <v>39</v>
      </c>
      <c r="I182" s="34" t="s">
        <v>1509</v>
      </c>
      <c r="J182" s="34" t="s">
        <v>1509</v>
      </c>
      <c r="K182" s="39" t="s">
        <v>42</v>
      </c>
      <c r="L182" s="158" t="s">
        <v>1510</v>
      </c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2" t="s">
        <v>1511</v>
      </c>
      <c r="Y182" s="69" t="s">
        <v>1512</v>
      </c>
      <c r="Z182" s="44" t="s">
        <v>61</v>
      </c>
      <c r="AA182" s="45">
        <v>36803</v>
      </c>
      <c r="AB182" s="101" t="s">
        <v>30</v>
      </c>
      <c r="AC182" s="36"/>
      <c r="AD182" s="47" t="s">
        <v>49</v>
      </c>
      <c r="AE182" s="48" t="s">
        <v>49</v>
      </c>
      <c r="AF182" s="48" t="s">
        <v>49</v>
      </c>
      <c r="AG182" s="48" t="s">
        <v>49</v>
      </c>
      <c r="AH182" s="48" t="s">
        <v>49</v>
      </c>
      <c r="AI182" s="48" t="s">
        <v>49</v>
      </c>
      <c r="AJ182" s="49" t="s">
        <v>49</v>
      </c>
      <c r="AK182" s="48" t="s">
        <v>49</v>
      </c>
      <c r="AL182" s="65" t="s">
        <v>32</v>
      </c>
      <c r="AM182" s="65"/>
      <c r="AN182" s="59"/>
      <c r="AO182" s="10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1"/>
    </row>
    <row r="183" spans="1:52" x14ac:dyDescent="0.2">
      <c r="A183" s="33">
        <f t="shared" si="3"/>
        <v>178</v>
      </c>
      <c r="B183" s="34" t="s">
        <v>1513</v>
      </c>
      <c r="C183" s="35" t="s">
        <v>1514</v>
      </c>
      <c r="D183" s="89" t="s">
        <v>1515</v>
      </c>
      <c r="E183" s="36" t="s">
        <v>36</v>
      </c>
      <c r="F183" s="34" t="s">
        <v>1516</v>
      </c>
      <c r="G183" s="37" t="s">
        <v>205</v>
      </c>
      <c r="H183" s="37" t="s">
        <v>205</v>
      </c>
      <c r="I183" s="38" t="s">
        <v>1517</v>
      </c>
      <c r="J183" s="107" t="s">
        <v>41</v>
      </c>
      <c r="K183" s="39" t="s">
        <v>42</v>
      </c>
      <c r="L183" s="158" t="s">
        <v>1518</v>
      </c>
      <c r="M183" s="41"/>
      <c r="N183" s="41"/>
      <c r="O183" s="41"/>
      <c r="P183" s="41"/>
      <c r="Q183" s="41"/>
      <c r="R183" s="41"/>
      <c r="S183" s="41"/>
      <c r="T183" s="41" t="s">
        <v>44</v>
      </c>
      <c r="U183" s="41"/>
      <c r="V183" s="41"/>
      <c r="W183" s="41"/>
      <c r="X183" s="42" t="s">
        <v>1519</v>
      </c>
      <c r="Y183" s="58" t="s">
        <v>1520</v>
      </c>
      <c r="Z183" s="44"/>
      <c r="AA183" s="45">
        <v>45642</v>
      </c>
      <c r="AB183" s="101"/>
      <c r="AC183" s="36"/>
      <c r="AD183" s="47" t="s">
        <v>49</v>
      </c>
      <c r="AE183" s="48" t="s">
        <v>41</v>
      </c>
      <c r="AF183" s="48" t="s">
        <v>41</v>
      </c>
      <c r="AG183" s="48" t="s">
        <v>41</v>
      </c>
      <c r="AH183" s="48" t="s">
        <v>49</v>
      </c>
      <c r="AI183" s="48" t="s">
        <v>49</v>
      </c>
      <c r="AJ183" s="49" t="s">
        <v>49</v>
      </c>
      <c r="AK183" s="48" t="s">
        <v>49</v>
      </c>
      <c r="AL183" s="65" t="s">
        <v>32</v>
      </c>
      <c r="AM183" s="65"/>
      <c r="AN183" s="59"/>
      <c r="AO183" s="10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1"/>
    </row>
    <row r="184" spans="1:52" x14ac:dyDescent="0.2">
      <c r="A184" s="33">
        <f t="shared" si="3"/>
        <v>179</v>
      </c>
      <c r="B184" s="34" t="s">
        <v>1521</v>
      </c>
      <c r="C184" s="35" t="s">
        <v>1522</v>
      </c>
      <c r="D184" s="36" t="s">
        <v>1523</v>
      </c>
      <c r="E184" s="36" t="s">
        <v>54</v>
      </c>
      <c r="F184" s="34" t="s">
        <v>1524</v>
      </c>
      <c r="G184" s="37" t="s">
        <v>73</v>
      </c>
      <c r="H184" s="37" t="s">
        <v>73</v>
      </c>
      <c r="I184" s="38" t="s">
        <v>1525</v>
      </c>
      <c r="J184" s="38" t="s">
        <v>1525</v>
      </c>
      <c r="K184" s="178" t="s">
        <v>42</v>
      </c>
      <c r="L184" s="158" t="s">
        <v>1526</v>
      </c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42" t="s">
        <v>1527</v>
      </c>
      <c r="Y184" s="58" t="s">
        <v>1528</v>
      </c>
      <c r="Z184" s="44" t="s">
        <v>1529</v>
      </c>
      <c r="AA184" s="45">
        <v>42935</v>
      </c>
      <c r="AB184" s="180" t="s">
        <v>30</v>
      </c>
      <c r="AC184" s="36" t="s">
        <v>26</v>
      </c>
      <c r="AD184" s="181" t="s">
        <v>49</v>
      </c>
      <c r="AE184" s="48" t="s">
        <v>49</v>
      </c>
      <c r="AF184" s="48" t="s">
        <v>49</v>
      </c>
      <c r="AG184" s="48" t="s">
        <v>41</v>
      </c>
      <c r="AH184" s="48" t="s">
        <v>41</v>
      </c>
      <c r="AI184" s="48" t="s">
        <v>41</v>
      </c>
      <c r="AJ184" s="49" t="s">
        <v>41</v>
      </c>
      <c r="AK184" s="48" t="s">
        <v>41</v>
      </c>
      <c r="AL184" s="62" t="s">
        <v>110</v>
      </c>
      <c r="AM184" s="62"/>
      <c r="AN184" s="59"/>
      <c r="AO184" s="10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1"/>
    </row>
    <row r="185" spans="1:52" x14ac:dyDescent="0.2">
      <c r="A185" s="33">
        <f t="shared" si="3"/>
        <v>180</v>
      </c>
      <c r="B185" s="34" t="s">
        <v>1530</v>
      </c>
      <c r="C185" s="35" t="s">
        <v>1531</v>
      </c>
      <c r="D185" s="36" t="s">
        <v>1532</v>
      </c>
      <c r="E185" s="36" t="s">
        <v>36</v>
      </c>
      <c r="F185" s="87" t="s">
        <v>1533</v>
      </c>
      <c r="G185" s="182" t="s">
        <v>73</v>
      </c>
      <c r="H185" s="182" t="s">
        <v>73</v>
      </c>
      <c r="I185" s="183" t="s">
        <v>1534</v>
      </c>
      <c r="J185" s="38" t="s">
        <v>1534</v>
      </c>
      <c r="K185" s="178" t="s">
        <v>42</v>
      </c>
      <c r="L185" s="158" t="s">
        <v>1535</v>
      </c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42" t="s">
        <v>1536</v>
      </c>
      <c r="Y185" s="58" t="s">
        <v>1537</v>
      </c>
      <c r="Z185" s="119" t="s">
        <v>1538</v>
      </c>
      <c r="AA185" s="45">
        <v>42935</v>
      </c>
      <c r="AB185" s="180" t="s">
        <v>30</v>
      </c>
      <c r="AC185" s="36" t="s">
        <v>26</v>
      </c>
      <c r="AD185" s="181" t="s">
        <v>49</v>
      </c>
      <c r="AE185" s="48" t="s">
        <v>49</v>
      </c>
      <c r="AF185" s="48" t="s">
        <v>49</v>
      </c>
      <c r="AG185" s="48" t="s">
        <v>49</v>
      </c>
      <c r="AH185" s="48" t="s">
        <v>49</v>
      </c>
      <c r="AI185" s="48" t="s">
        <v>49</v>
      </c>
      <c r="AJ185" s="49" t="s">
        <v>49</v>
      </c>
      <c r="AK185" s="48" t="s">
        <v>49</v>
      </c>
      <c r="AL185" s="65" t="s">
        <v>32</v>
      </c>
      <c r="AM185" s="65"/>
      <c r="AN185" s="184"/>
      <c r="AO185" s="102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1"/>
    </row>
    <row r="186" spans="1:52" x14ac:dyDescent="0.2">
      <c r="A186" s="33">
        <f t="shared" si="3"/>
        <v>181</v>
      </c>
      <c r="B186" s="34" t="s">
        <v>1539</v>
      </c>
      <c r="C186" s="35" t="s">
        <v>1540</v>
      </c>
      <c r="D186" s="174" t="s">
        <v>4614</v>
      </c>
      <c r="E186" s="36" t="s">
        <v>54</v>
      </c>
      <c r="F186" s="108" t="s">
        <v>1542</v>
      </c>
      <c r="G186" s="37" t="s">
        <v>1285</v>
      </c>
      <c r="H186" s="37" t="s">
        <v>350</v>
      </c>
      <c r="I186" s="140" t="s">
        <v>1543</v>
      </c>
      <c r="J186" s="108" t="s">
        <v>41</v>
      </c>
      <c r="K186" s="39" t="s">
        <v>42</v>
      </c>
      <c r="L186" s="158" t="s">
        <v>1544</v>
      </c>
      <c r="M186" s="56"/>
      <c r="N186" s="56"/>
      <c r="O186" s="56"/>
      <c r="P186" s="56"/>
      <c r="Q186" s="56"/>
      <c r="R186" s="56"/>
      <c r="S186" s="56"/>
      <c r="T186" s="56" t="s">
        <v>44</v>
      </c>
      <c r="U186" s="56"/>
      <c r="V186" s="56"/>
      <c r="W186" s="56"/>
      <c r="X186" s="42" t="s">
        <v>1545</v>
      </c>
      <c r="Y186" s="58" t="s">
        <v>1546</v>
      </c>
      <c r="Z186" s="58"/>
      <c r="AA186" s="45">
        <v>45642</v>
      </c>
      <c r="AB186" s="101"/>
      <c r="AC186" s="109"/>
      <c r="AD186" s="47" t="s">
        <v>49</v>
      </c>
      <c r="AE186" s="48" t="s">
        <v>41</v>
      </c>
      <c r="AF186" s="48" t="s">
        <v>41</v>
      </c>
      <c r="AG186" s="48" t="s">
        <v>41</v>
      </c>
      <c r="AH186" s="48" t="s">
        <v>49</v>
      </c>
      <c r="AI186" s="48" t="s">
        <v>49</v>
      </c>
      <c r="AJ186" s="49" t="s">
        <v>49</v>
      </c>
      <c r="AK186" s="48" t="s">
        <v>49</v>
      </c>
      <c r="AL186" s="65" t="s">
        <v>32</v>
      </c>
      <c r="AM186" s="65"/>
      <c r="AN186" s="59"/>
      <c r="AO186" s="102"/>
      <c r="AP186" s="3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1"/>
    </row>
    <row r="187" spans="1:52" x14ac:dyDescent="0.2">
      <c r="A187" s="33">
        <f t="shared" si="3"/>
        <v>182</v>
      </c>
      <c r="B187" s="34" t="s">
        <v>1547</v>
      </c>
      <c r="C187" s="35" t="s">
        <v>1548</v>
      </c>
      <c r="D187" s="174" t="s">
        <v>1549</v>
      </c>
      <c r="E187" s="36" t="s">
        <v>54</v>
      </c>
      <c r="F187" s="185" t="s">
        <v>1550</v>
      </c>
      <c r="G187" s="126" t="s">
        <v>73</v>
      </c>
      <c r="H187" s="126" t="s">
        <v>73</v>
      </c>
      <c r="I187" s="139" t="s">
        <v>1551</v>
      </c>
      <c r="J187" s="108" t="s">
        <v>1552</v>
      </c>
      <c r="K187" s="39" t="s">
        <v>42</v>
      </c>
      <c r="L187" s="158" t="s">
        <v>1553</v>
      </c>
      <c r="M187" s="56"/>
      <c r="N187" s="137"/>
      <c r="O187" s="137"/>
      <c r="P187" s="137"/>
      <c r="Q187" s="137"/>
      <c r="R187" s="186"/>
      <c r="S187" s="115"/>
      <c r="T187" s="56"/>
      <c r="U187" s="56"/>
      <c r="V187" s="56"/>
      <c r="W187" s="56"/>
      <c r="X187" s="42" t="s">
        <v>1554</v>
      </c>
      <c r="Y187" s="58" t="s">
        <v>1555</v>
      </c>
      <c r="Z187" s="121" t="s">
        <v>1556</v>
      </c>
      <c r="AA187" s="45">
        <v>44650</v>
      </c>
      <c r="AB187" s="101" t="s">
        <v>30</v>
      </c>
      <c r="AC187" s="109" t="s">
        <v>26</v>
      </c>
      <c r="AD187" s="47" t="s">
        <v>49</v>
      </c>
      <c r="AE187" s="48" t="s">
        <v>49</v>
      </c>
      <c r="AF187" s="48" t="s">
        <v>49</v>
      </c>
      <c r="AG187" s="48" t="s">
        <v>49</v>
      </c>
      <c r="AH187" s="48" t="s">
        <v>49</v>
      </c>
      <c r="AI187" s="48" t="s">
        <v>49</v>
      </c>
      <c r="AJ187" s="49" t="s">
        <v>49</v>
      </c>
      <c r="AK187" s="48" t="s">
        <v>49</v>
      </c>
      <c r="AL187" s="62" t="s">
        <v>32</v>
      </c>
      <c r="AM187" s="62"/>
      <c r="AN187" s="59"/>
      <c r="AO187" s="10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1"/>
    </row>
    <row r="188" spans="1:52" x14ac:dyDescent="0.2">
      <c r="A188" s="33">
        <f t="shared" si="3"/>
        <v>183</v>
      </c>
      <c r="B188" s="34" t="s">
        <v>1557</v>
      </c>
      <c r="C188" s="35" t="s">
        <v>1558</v>
      </c>
      <c r="D188" s="174" t="s">
        <v>1559</v>
      </c>
      <c r="E188" s="36" t="s">
        <v>54</v>
      </c>
      <c r="F188" s="108" t="s">
        <v>1560</v>
      </c>
      <c r="G188" s="37" t="s">
        <v>73</v>
      </c>
      <c r="H188" s="37" t="s">
        <v>73</v>
      </c>
      <c r="I188" s="140" t="s">
        <v>1561</v>
      </c>
      <c r="J188" s="108"/>
      <c r="K188" s="39" t="s">
        <v>42</v>
      </c>
      <c r="L188" s="158" t="s">
        <v>1562</v>
      </c>
      <c r="M188" s="56"/>
      <c r="N188" s="56"/>
      <c r="O188" s="56"/>
      <c r="P188" s="56"/>
      <c r="Q188" s="115"/>
      <c r="R188" s="115" t="s">
        <v>44</v>
      </c>
      <c r="S188" s="115"/>
      <c r="T188" s="56"/>
      <c r="U188" s="56"/>
      <c r="V188" s="56"/>
      <c r="W188" s="56"/>
      <c r="X188" s="42" t="s">
        <v>1563</v>
      </c>
      <c r="Y188" s="58" t="s">
        <v>1564</v>
      </c>
      <c r="Z188" s="44" t="s">
        <v>1565</v>
      </c>
      <c r="AA188" s="45">
        <v>44944</v>
      </c>
      <c r="AB188" s="101" t="s">
        <v>30</v>
      </c>
      <c r="AC188" s="109"/>
      <c r="AD188" s="47" t="s">
        <v>49</v>
      </c>
      <c r="AE188" s="48" t="s">
        <v>41</v>
      </c>
      <c r="AF188" s="48" t="s">
        <v>49</v>
      </c>
      <c r="AG188" s="48" t="s">
        <v>49</v>
      </c>
      <c r="AH188" s="48" t="s">
        <v>49</v>
      </c>
      <c r="AI188" s="48" t="s">
        <v>49</v>
      </c>
      <c r="AJ188" s="49" t="s">
        <v>49</v>
      </c>
      <c r="AK188" s="48" t="s">
        <v>49</v>
      </c>
      <c r="AL188" s="62" t="s">
        <v>32</v>
      </c>
      <c r="AM188" s="62"/>
      <c r="AN188" s="59"/>
      <c r="AO188" s="10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1"/>
    </row>
    <row r="189" spans="1:52" x14ac:dyDescent="0.2">
      <c r="A189" s="33">
        <f t="shared" si="3"/>
        <v>184</v>
      </c>
      <c r="B189" s="34" t="s">
        <v>1566</v>
      </c>
      <c r="C189" s="35" t="s">
        <v>1567</v>
      </c>
      <c r="D189" s="36" t="s">
        <v>1568</v>
      </c>
      <c r="E189" s="36" t="s">
        <v>54</v>
      </c>
      <c r="F189" s="98" t="s">
        <v>1569</v>
      </c>
      <c r="G189" s="37" t="s">
        <v>73</v>
      </c>
      <c r="H189" s="37" t="s">
        <v>73</v>
      </c>
      <c r="I189" s="34" t="s">
        <v>1570</v>
      </c>
      <c r="J189" s="34" t="s">
        <v>1571</v>
      </c>
      <c r="K189" s="39" t="s">
        <v>42</v>
      </c>
      <c r="L189" s="158" t="s">
        <v>1572</v>
      </c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2" t="s">
        <v>1573</v>
      </c>
      <c r="Y189" s="52" t="s">
        <v>1574</v>
      </c>
      <c r="Z189" s="44" t="s">
        <v>61</v>
      </c>
      <c r="AA189" s="45">
        <v>36641</v>
      </c>
      <c r="AB189" s="101" t="s">
        <v>30</v>
      </c>
      <c r="AC189" s="36"/>
      <c r="AD189" s="47" t="s">
        <v>49</v>
      </c>
      <c r="AE189" s="48" t="s">
        <v>41</v>
      </c>
      <c r="AF189" s="48" t="s">
        <v>41</v>
      </c>
      <c r="AG189" s="48" t="s">
        <v>41</v>
      </c>
      <c r="AH189" s="48" t="s">
        <v>41</v>
      </c>
      <c r="AI189" s="48" t="s">
        <v>41</v>
      </c>
      <c r="AJ189" s="49" t="s">
        <v>41</v>
      </c>
      <c r="AK189" s="48" t="s">
        <v>41</v>
      </c>
      <c r="AL189" s="65" t="s">
        <v>4592</v>
      </c>
      <c r="AM189" s="65"/>
      <c r="AN189" s="59"/>
      <c r="AO189" s="10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1"/>
    </row>
    <row r="190" spans="1:52" x14ac:dyDescent="0.2">
      <c r="A190" s="33">
        <f t="shared" si="3"/>
        <v>185</v>
      </c>
      <c r="B190" s="34" t="s">
        <v>1575</v>
      </c>
      <c r="C190" s="35" t="s">
        <v>1576</v>
      </c>
      <c r="D190" s="36" t="s">
        <v>1577</v>
      </c>
      <c r="E190" s="36" t="s">
        <v>54</v>
      </c>
      <c r="F190" s="34" t="s">
        <v>1578</v>
      </c>
      <c r="G190" s="37" t="s">
        <v>73</v>
      </c>
      <c r="H190" s="37" t="s">
        <v>73</v>
      </c>
      <c r="I190" s="34" t="s">
        <v>1579</v>
      </c>
      <c r="J190" s="34" t="s">
        <v>1579</v>
      </c>
      <c r="K190" s="39" t="s">
        <v>42</v>
      </c>
      <c r="L190" s="99" t="s">
        <v>1580</v>
      </c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42" t="s">
        <v>1581</v>
      </c>
      <c r="Y190" s="52" t="s">
        <v>1582</v>
      </c>
      <c r="Z190" s="44" t="s">
        <v>61</v>
      </c>
      <c r="AA190" s="45">
        <v>40815</v>
      </c>
      <c r="AB190" s="101" t="s">
        <v>129</v>
      </c>
      <c r="AC190" s="73" t="s">
        <v>26</v>
      </c>
      <c r="AD190" s="61" t="s">
        <v>49</v>
      </c>
      <c r="AE190" s="48" t="s">
        <v>49</v>
      </c>
      <c r="AF190" s="48" t="s">
        <v>49</v>
      </c>
      <c r="AG190" s="48" t="s">
        <v>49</v>
      </c>
      <c r="AH190" s="48" t="s">
        <v>49</v>
      </c>
      <c r="AI190" s="48" t="s">
        <v>49</v>
      </c>
      <c r="AJ190" s="49" t="s">
        <v>49</v>
      </c>
      <c r="AK190" s="48" t="s">
        <v>49</v>
      </c>
      <c r="AL190" s="65" t="s">
        <v>32</v>
      </c>
      <c r="AM190" s="65"/>
      <c r="AN190" s="59"/>
      <c r="AO190" s="10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1"/>
    </row>
    <row r="191" spans="1:52" x14ac:dyDescent="0.2">
      <c r="A191" s="33">
        <f t="shared" si="3"/>
        <v>186</v>
      </c>
      <c r="B191" s="34" t="s">
        <v>1583</v>
      </c>
      <c r="C191" s="35" t="s">
        <v>1584</v>
      </c>
      <c r="D191" s="36" t="s">
        <v>1585</v>
      </c>
      <c r="E191" s="36" t="s">
        <v>54</v>
      </c>
      <c r="F191" s="98" t="s">
        <v>1586</v>
      </c>
      <c r="G191" s="37" t="s">
        <v>73</v>
      </c>
      <c r="H191" s="37" t="s">
        <v>73</v>
      </c>
      <c r="I191" s="54" t="s">
        <v>1587</v>
      </c>
      <c r="J191" s="34" t="s">
        <v>41</v>
      </c>
      <c r="K191" s="39" t="s">
        <v>42</v>
      </c>
      <c r="L191" s="158" t="s">
        <v>1588</v>
      </c>
      <c r="M191" s="56"/>
      <c r="N191" s="56"/>
      <c r="O191" s="56"/>
      <c r="P191" s="56"/>
      <c r="Q191" s="56"/>
      <c r="R191" s="56"/>
      <c r="S191" s="56"/>
      <c r="T191" s="56"/>
      <c r="U191" s="56"/>
      <c r="V191" s="56" t="s">
        <v>732</v>
      </c>
      <c r="W191" s="56"/>
      <c r="X191" s="54" t="s">
        <v>1589</v>
      </c>
      <c r="Y191" s="58" t="s">
        <v>1590</v>
      </c>
      <c r="Z191" s="44"/>
      <c r="AA191" s="45"/>
      <c r="AB191" s="101" t="s">
        <v>30</v>
      </c>
      <c r="AC191" s="36" t="s">
        <v>26</v>
      </c>
      <c r="AD191" s="47" t="s">
        <v>49</v>
      </c>
      <c r="AE191" s="48" t="s">
        <v>49</v>
      </c>
      <c r="AF191" s="48" t="s">
        <v>49</v>
      </c>
      <c r="AG191" s="48" t="s">
        <v>49</v>
      </c>
      <c r="AH191" s="48" t="s">
        <v>49</v>
      </c>
      <c r="AI191" s="48" t="s">
        <v>49</v>
      </c>
      <c r="AJ191" s="49" t="s">
        <v>49</v>
      </c>
      <c r="AK191" s="48" t="s">
        <v>49</v>
      </c>
      <c r="AL191" s="62" t="s">
        <v>32</v>
      </c>
      <c r="AM191" s="62"/>
      <c r="AN191" s="59"/>
      <c r="AO191" s="10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1"/>
    </row>
    <row r="192" spans="1:52" x14ac:dyDescent="0.2">
      <c r="A192" s="33">
        <f t="shared" si="3"/>
        <v>187</v>
      </c>
      <c r="B192" s="34" t="s">
        <v>1591</v>
      </c>
      <c r="C192" s="35" t="s">
        <v>1592</v>
      </c>
      <c r="D192" s="36" t="s">
        <v>1593</v>
      </c>
      <c r="E192" s="36" t="s">
        <v>54</v>
      </c>
      <c r="F192" s="98" t="s">
        <v>1594</v>
      </c>
      <c r="G192" s="37" t="s">
        <v>4605</v>
      </c>
      <c r="H192" s="37" t="s">
        <v>205</v>
      </c>
      <c r="I192" s="38" t="s">
        <v>1595</v>
      </c>
      <c r="J192" s="34" t="s">
        <v>41</v>
      </c>
      <c r="K192" s="39" t="s">
        <v>42</v>
      </c>
      <c r="L192" s="158" t="s">
        <v>1596</v>
      </c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42" t="s">
        <v>1152</v>
      </c>
      <c r="Y192" s="52" t="s">
        <v>1597</v>
      </c>
      <c r="Z192" s="44" t="s">
        <v>1598</v>
      </c>
      <c r="AA192" s="45">
        <v>44041</v>
      </c>
      <c r="AB192" s="101" t="s">
        <v>30</v>
      </c>
      <c r="AC192" s="36" t="s">
        <v>26</v>
      </c>
      <c r="AD192" s="47" t="s">
        <v>49</v>
      </c>
      <c r="AE192" s="48" t="s">
        <v>49</v>
      </c>
      <c r="AF192" s="48" t="s">
        <v>49</v>
      </c>
      <c r="AG192" s="48" t="s">
        <v>49</v>
      </c>
      <c r="AH192" s="48" t="s">
        <v>49</v>
      </c>
      <c r="AI192" s="48" t="s">
        <v>49</v>
      </c>
      <c r="AJ192" s="49" t="s">
        <v>49</v>
      </c>
      <c r="AK192" s="48" t="s">
        <v>49</v>
      </c>
      <c r="AL192" s="62" t="s">
        <v>32</v>
      </c>
      <c r="AM192" s="62"/>
      <c r="AN192" s="59"/>
      <c r="AO192" s="10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1"/>
    </row>
    <row r="193" spans="1:60" x14ac:dyDescent="0.2">
      <c r="A193" s="33">
        <f t="shared" si="3"/>
        <v>188</v>
      </c>
      <c r="B193" s="34" t="s">
        <v>1599</v>
      </c>
      <c r="C193" s="35" t="s">
        <v>1600</v>
      </c>
      <c r="D193" s="36" t="s">
        <v>1601</v>
      </c>
      <c r="E193" s="36" t="s">
        <v>54</v>
      </c>
      <c r="F193" s="98" t="s">
        <v>1602</v>
      </c>
      <c r="G193" s="37" t="s">
        <v>176</v>
      </c>
      <c r="H193" s="37" t="s">
        <v>39</v>
      </c>
      <c r="I193" s="57" t="s">
        <v>1603</v>
      </c>
      <c r="J193" s="34" t="s">
        <v>41</v>
      </c>
      <c r="K193" s="39" t="s">
        <v>42</v>
      </c>
      <c r="L193" s="158" t="s">
        <v>1604</v>
      </c>
      <c r="M193" s="56"/>
      <c r="N193" s="56"/>
      <c r="O193" s="56"/>
      <c r="P193" s="56"/>
      <c r="Q193" s="56"/>
      <c r="R193" s="56"/>
      <c r="S193" s="56"/>
      <c r="T193" s="56" t="s">
        <v>44</v>
      </c>
      <c r="U193" s="56"/>
      <c r="V193" s="56" t="s">
        <v>732</v>
      </c>
      <c r="W193" s="56"/>
      <c r="X193" s="42" t="s">
        <v>1605</v>
      </c>
      <c r="Y193" s="58" t="s">
        <v>1606</v>
      </c>
      <c r="Z193" s="58"/>
      <c r="AA193" s="45">
        <v>45642</v>
      </c>
      <c r="AB193" s="101"/>
      <c r="AC193" s="36"/>
      <c r="AD193" s="47" t="s">
        <v>49</v>
      </c>
      <c r="AE193" s="48" t="s">
        <v>41</v>
      </c>
      <c r="AF193" s="48" t="s">
        <v>41</v>
      </c>
      <c r="AG193" s="48" t="s">
        <v>41</v>
      </c>
      <c r="AH193" s="48" t="s">
        <v>49</v>
      </c>
      <c r="AI193" s="48" t="s">
        <v>49</v>
      </c>
      <c r="AJ193" s="49" t="s">
        <v>49</v>
      </c>
      <c r="AK193" s="48" t="s">
        <v>49</v>
      </c>
      <c r="AL193" s="65" t="s">
        <v>32</v>
      </c>
      <c r="AM193" s="65" t="s">
        <v>4681</v>
      </c>
      <c r="AN193" s="59"/>
      <c r="AO193" s="10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1"/>
    </row>
    <row r="194" spans="1:60" x14ac:dyDescent="0.2">
      <c r="A194" s="33">
        <f t="shared" si="3"/>
        <v>189</v>
      </c>
      <c r="B194" s="34" t="s">
        <v>1607</v>
      </c>
      <c r="C194" s="35" t="s">
        <v>1608</v>
      </c>
      <c r="D194" s="36" t="s">
        <v>1609</v>
      </c>
      <c r="E194" s="36" t="s">
        <v>36</v>
      </c>
      <c r="F194" s="98" t="s">
        <v>1610</v>
      </c>
      <c r="G194" s="37" t="s">
        <v>252</v>
      </c>
      <c r="H194" s="37" t="s">
        <v>57</v>
      </c>
      <c r="I194" s="38" t="s">
        <v>1611</v>
      </c>
      <c r="J194" s="34" t="s">
        <v>41</v>
      </c>
      <c r="K194" s="39" t="s">
        <v>42</v>
      </c>
      <c r="L194" s="158" t="s">
        <v>1604</v>
      </c>
      <c r="M194" s="56"/>
      <c r="N194" s="56"/>
      <c r="O194" s="56"/>
      <c r="P194" s="56"/>
      <c r="Q194" s="56"/>
      <c r="R194" s="56"/>
      <c r="S194" s="56"/>
      <c r="T194" s="56" t="s">
        <v>44</v>
      </c>
      <c r="U194" s="56"/>
      <c r="V194" s="56"/>
      <c r="W194" s="56"/>
      <c r="X194" s="42" t="s">
        <v>1612</v>
      </c>
      <c r="Y194" s="58" t="s">
        <v>1613</v>
      </c>
      <c r="Z194" s="58"/>
      <c r="AA194" s="45">
        <v>45642</v>
      </c>
      <c r="AB194" s="101"/>
      <c r="AC194" s="36"/>
      <c r="AD194" s="47" t="s">
        <v>49</v>
      </c>
      <c r="AE194" s="48" t="s">
        <v>41</v>
      </c>
      <c r="AF194" s="48" t="s">
        <v>41</v>
      </c>
      <c r="AG194" s="48" t="s">
        <v>41</v>
      </c>
      <c r="AH194" s="48" t="s">
        <v>49</v>
      </c>
      <c r="AI194" s="48" t="s">
        <v>41</v>
      </c>
      <c r="AJ194" s="49" t="s">
        <v>41</v>
      </c>
      <c r="AK194" s="48" t="s">
        <v>41</v>
      </c>
      <c r="AL194" s="62" t="s">
        <v>4589</v>
      </c>
      <c r="AM194" s="62"/>
      <c r="AN194" s="59"/>
      <c r="AO194" s="10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1"/>
    </row>
    <row r="195" spans="1:60" x14ac:dyDescent="0.2">
      <c r="A195" s="33">
        <f t="shared" si="3"/>
        <v>190</v>
      </c>
      <c r="B195" s="34" t="s">
        <v>1614</v>
      </c>
      <c r="C195" s="35" t="s">
        <v>1615</v>
      </c>
      <c r="D195" s="36" t="s">
        <v>1616</v>
      </c>
      <c r="E195" s="36" t="s">
        <v>54</v>
      </c>
      <c r="F195" s="98" t="s">
        <v>1166</v>
      </c>
      <c r="G195" s="37" t="s">
        <v>56</v>
      </c>
      <c r="H195" s="37" t="s">
        <v>57</v>
      </c>
      <c r="I195" s="38" t="s">
        <v>1617</v>
      </c>
      <c r="J195" s="34" t="s">
        <v>41</v>
      </c>
      <c r="K195" s="39" t="s">
        <v>42</v>
      </c>
      <c r="L195" s="158" t="s">
        <v>1618</v>
      </c>
      <c r="M195" s="115"/>
      <c r="N195" s="115"/>
      <c r="O195" s="115"/>
      <c r="P195" s="115"/>
      <c r="Q195" s="115"/>
      <c r="R195" s="115" t="s">
        <v>44</v>
      </c>
      <c r="S195" s="115"/>
      <c r="T195" s="56"/>
      <c r="U195" s="56"/>
      <c r="V195" s="56"/>
      <c r="W195" s="56"/>
      <c r="X195" s="42" t="s">
        <v>1619</v>
      </c>
      <c r="Y195" s="43" t="s">
        <v>1620</v>
      </c>
      <c r="Z195" s="44" t="s">
        <v>1621</v>
      </c>
      <c r="AA195" s="45">
        <v>44650</v>
      </c>
      <c r="AB195" s="101" t="s">
        <v>30</v>
      </c>
      <c r="AC195" s="36"/>
      <c r="AD195" s="47" t="s">
        <v>49</v>
      </c>
      <c r="AE195" s="48" t="s">
        <v>41</v>
      </c>
      <c r="AF195" s="48" t="s">
        <v>49</v>
      </c>
      <c r="AG195" s="48" t="s">
        <v>49</v>
      </c>
      <c r="AH195" s="48" t="s">
        <v>49</v>
      </c>
      <c r="AI195" s="48" t="s">
        <v>49</v>
      </c>
      <c r="AJ195" s="49" t="s">
        <v>49</v>
      </c>
      <c r="AK195" s="48" t="s">
        <v>49</v>
      </c>
      <c r="AL195" s="65" t="s">
        <v>32</v>
      </c>
      <c r="AM195" s="65"/>
      <c r="AN195" s="59"/>
      <c r="AO195" s="10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1"/>
    </row>
    <row r="196" spans="1:60" x14ac:dyDescent="0.2">
      <c r="A196" s="33">
        <f t="shared" si="3"/>
        <v>191</v>
      </c>
      <c r="B196" s="34" t="s">
        <v>1622</v>
      </c>
      <c r="C196" s="35" t="s">
        <v>1623</v>
      </c>
      <c r="D196" s="36" t="s">
        <v>1624</v>
      </c>
      <c r="E196" s="36" t="s">
        <v>54</v>
      </c>
      <c r="F196" s="34" t="s">
        <v>1625</v>
      </c>
      <c r="G196" s="37" t="s">
        <v>73</v>
      </c>
      <c r="H196" s="37" t="s">
        <v>73</v>
      </c>
      <c r="I196" s="38" t="s">
        <v>1626</v>
      </c>
      <c r="J196" s="34" t="s">
        <v>41</v>
      </c>
      <c r="K196" s="39" t="s">
        <v>42</v>
      </c>
      <c r="L196" s="187">
        <v>45315</v>
      </c>
      <c r="M196" s="188"/>
      <c r="N196" s="188"/>
      <c r="O196" s="188"/>
      <c r="P196" s="188"/>
      <c r="Q196" s="188"/>
      <c r="R196" s="188"/>
      <c r="S196" s="188"/>
      <c r="T196" s="188"/>
      <c r="U196" s="188" t="s">
        <v>44</v>
      </c>
      <c r="V196" s="188"/>
      <c r="W196" s="188"/>
      <c r="X196" s="38" t="s">
        <v>1627</v>
      </c>
      <c r="Y196" s="43" t="s">
        <v>1628</v>
      </c>
      <c r="Z196" s="44"/>
      <c r="AA196" s="45"/>
      <c r="AB196" s="164"/>
      <c r="AC196" s="36"/>
      <c r="AD196" s="47" t="s">
        <v>49</v>
      </c>
      <c r="AE196" s="48" t="s">
        <v>41</v>
      </c>
      <c r="AF196" s="48" t="s">
        <v>41</v>
      </c>
      <c r="AG196" s="48" t="s">
        <v>41</v>
      </c>
      <c r="AH196" s="48" t="s">
        <v>41</v>
      </c>
      <c r="AI196" s="48" t="s">
        <v>49</v>
      </c>
      <c r="AJ196" s="49" t="s">
        <v>49</v>
      </c>
      <c r="AK196" s="48" t="s">
        <v>49</v>
      </c>
      <c r="AL196" s="65" t="s">
        <v>32</v>
      </c>
      <c r="AM196" s="65"/>
      <c r="AN196" s="59"/>
      <c r="AO196" s="10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1"/>
    </row>
    <row r="197" spans="1:60" x14ac:dyDescent="0.2">
      <c r="A197" s="33">
        <f t="shared" si="3"/>
        <v>192</v>
      </c>
      <c r="B197" s="34" t="s">
        <v>1629</v>
      </c>
      <c r="C197" s="35" t="s">
        <v>1630</v>
      </c>
      <c r="D197" s="36" t="s">
        <v>1631</v>
      </c>
      <c r="E197" s="36" t="s">
        <v>54</v>
      </c>
      <c r="F197" s="98" t="s">
        <v>1632</v>
      </c>
      <c r="G197" s="37" t="s">
        <v>360</v>
      </c>
      <c r="H197" s="37" t="s">
        <v>350</v>
      </c>
      <c r="I197" s="34" t="s">
        <v>1633</v>
      </c>
      <c r="J197" s="34" t="s">
        <v>41</v>
      </c>
      <c r="K197" s="39" t="s">
        <v>42</v>
      </c>
      <c r="L197" s="165" t="s">
        <v>1634</v>
      </c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42" t="s">
        <v>1635</v>
      </c>
      <c r="Y197" s="58" t="s">
        <v>1636</v>
      </c>
      <c r="Z197" s="44" t="s">
        <v>1637</v>
      </c>
      <c r="AA197" s="45">
        <v>44041</v>
      </c>
      <c r="AB197" s="164" t="s">
        <v>30</v>
      </c>
      <c r="AC197" s="36" t="s">
        <v>26</v>
      </c>
      <c r="AD197" s="47" t="s">
        <v>49</v>
      </c>
      <c r="AE197" s="48" t="s">
        <v>49</v>
      </c>
      <c r="AF197" s="48" t="s">
        <v>49</v>
      </c>
      <c r="AG197" s="48" t="s">
        <v>49</v>
      </c>
      <c r="AH197" s="48" t="s">
        <v>49</v>
      </c>
      <c r="AI197" s="48" t="s">
        <v>49</v>
      </c>
      <c r="AJ197" s="49" t="s">
        <v>49</v>
      </c>
      <c r="AK197" s="48" t="s">
        <v>41</v>
      </c>
      <c r="AL197" s="62" t="s">
        <v>148</v>
      </c>
      <c r="AM197" s="62"/>
      <c r="AN197" s="59"/>
      <c r="AO197" s="10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1"/>
    </row>
    <row r="198" spans="1:60" x14ac:dyDescent="0.2">
      <c r="A198" s="33">
        <f t="shared" si="3"/>
        <v>193</v>
      </c>
      <c r="B198" s="34" t="s">
        <v>1638</v>
      </c>
      <c r="C198" s="35" t="s">
        <v>1639</v>
      </c>
      <c r="D198" s="36" t="s">
        <v>1640</v>
      </c>
      <c r="E198" s="36" t="s">
        <v>54</v>
      </c>
      <c r="F198" s="98" t="s">
        <v>1641</v>
      </c>
      <c r="G198" s="37" t="s">
        <v>73</v>
      </c>
      <c r="H198" s="37" t="s">
        <v>73</v>
      </c>
      <c r="I198" s="34" t="s">
        <v>1642</v>
      </c>
      <c r="J198" s="34" t="s">
        <v>41</v>
      </c>
      <c r="K198" s="39" t="s">
        <v>42</v>
      </c>
      <c r="L198" s="165">
        <v>31054</v>
      </c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42" t="s">
        <v>1643</v>
      </c>
      <c r="Y198" s="58" t="s">
        <v>1644</v>
      </c>
      <c r="Z198" s="44" t="s">
        <v>61</v>
      </c>
      <c r="AA198" s="45">
        <v>36641</v>
      </c>
      <c r="AB198" s="164" t="s">
        <v>30</v>
      </c>
      <c r="AC198" s="36"/>
      <c r="AD198" s="47" t="s">
        <v>49</v>
      </c>
      <c r="AE198" s="48" t="s">
        <v>41</v>
      </c>
      <c r="AF198" s="48" t="s">
        <v>41</v>
      </c>
      <c r="AG198" s="48" t="s">
        <v>41</v>
      </c>
      <c r="AH198" s="48" t="s">
        <v>41</v>
      </c>
      <c r="AI198" s="48" t="s">
        <v>41</v>
      </c>
      <c r="AJ198" s="49" t="s">
        <v>41</v>
      </c>
      <c r="AK198" s="48" t="s">
        <v>41</v>
      </c>
      <c r="AL198" s="62" t="s">
        <v>4590</v>
      </c>
      <c r="AM198" s="62"/>
      <c r="AN198" s="59" t="s">
        <v>192</v>
      </c>
      <c r="AO198" s="10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1"/>
    </row>
    <row r="199" spans="1:60" x14ac:dyDescent="0.2">
      <c r="A199" s="33">
        <f t="shared" si="3"/>
        <v>194</v>
      </c>
      <c r="B199" s="34" t="s">
        <v>1645</v>
      </c>
      <c r="C199" s="35" t="s">
        <v>1646</v>
      </c>
      <c r="D199" s="36" t="s">
        <v>1647</v>
      </c>
      <c r="E199" s="36" t="s">
        <v>54</v>
      </c>
      <c r="F199" s="34" t="s">
        <v>1648</v>
      </c>
      <c r="G199" s="37" t="s">
        <v>73</v>
      </c>
      <c r="H199" s="37" t="s">
        <v>73</v>
      </c>
      <c r="I199" s="34" t="s">
        <v>1649</v>
      </c>
      <c r="J199" s="34" t="s">
        <v>41</v>
      </c>
      <c r="K199" s="39" t="s">
        <v>42</v>
      </c>
      <c r="L199" s="189" t="s">
        <v>1650</v>
      </c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90" t="s">
        <v>1651</v>
      </c>
      <c r="Y199" s="58" t="s">
        <v>1652</v>
      </c>
      <c r="Z199" s="44" t="s">
        <v>61</v>
      </c>
      <c r="AA199" s="45">
        <v>36640</v>
      </c>
      <c r="AB199" s="191" t="s">
        <v>129</v>
      </c>
      <c r="AC199" s="36" t="s">
        <v>26</v>
      </c>
      <c r="AD199" s="47" t="s">
        <v>49</v>
      </c>
      <c r="AE199" s="48" t="s">
        <v>49</v>
      </c>
      <c r="AF199" s="48" t="s">
        <v>49</v>
      </c>
      <c r="AG199" s="48" t="s">
        <v>49</v>
      </c>
      <c r="AH199" s="48" t="s">
        <v>49</v>
      </c>
      <c r="AI199" s="48" t="s">
        <v>49</v>
      </c>
      <c r="AJ199" s="49" t="s">
        <v>49</v>
      </c>
      <c r="AK199" s="48" t="s">
        <v>49</v>
      </c>
      <c r="AL199" s="62" t="s">
        <v>32</v>
      </c>
      <c r="AM199" s="62"/>
      <c r="AN199" s="59"/>
      <c r="AO199" s="10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1"/>
    </row>
    <row r="200" spans="1:60" x14ac:dyDescent="0.2">
      <c r="A200" s="33">
        <f t="shared" si="3"/>
        <v>195</v>
      </c>
      <c r="B200" s="34" t="s">
        <v>1653</v>
      </c>
      <c r="C200" s="35" t="s">
        <v>1654</v>
      </c>
      <c r="D200" s="36" t="s">
        <v>1655</v>
      </c>
      <c r="E200" s="36" t="s">
        <v>241</v>
      </c>
      <c r="F200" s="34" t="s">
        <v>1656</v>
      </c>
      <c r="G200" s="37" t="s">
        <v>73</v>
      </c>
      <c r="H200" s="37" t="s">
        <v>73</v>
      </c>
      <c r="I200" s="34" t="s">
        <v>1657</v>
      </c>
      <c r="J200" s="34" t="s">
        <v>41</v>
      </c>
      <c r="K200" s="39" t="s">
        <v>42</v>
      </c>
      <c r="L200" s="158" t="s">
        <v>556</v>
      </c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57" t="s">
        <v>1658</v>
      </c>
      <c r="Y200" s="43" t="s">
        <v>1659</v>
      </c>
      <c r="Z200" s="44" t="s">
        <v>61</v>
      </c>
      <c r="AA200" s="45">
        <v>36641</v>
      </c>
      <c r="AB200" s="101" t="s">
        <v>30</v>
      </c>
      <c r="AC200" s="36" t="s">
        <v>26</v>
      </c>
      <c r="AD200" s="47" t="s">
        <v>49</v>
      </c>
      <c r="AE200" s="48" t="s">
        <v>49</v>
      </c>
      <c r="AF200" s="48" t="s">
        <v>49</v>
      </c>
      <c r="AG200" s="48" t="s">
        <v>49</v>
      </c>
      <c r="AH200" s="48" t="s">
        <v>49</v>
      </c>
      <c r="AI200" s="48" t="s">
        <v>49</v>
      </c>
      <c r="AJ200" s="49" t="s">
        <v>49</v>
      </c>
      <c r="AK200" s="48" t="s">
        <v>49</v>
      </c>
      <c r="AL200" s="65" t="s">
        <v>32</v>
      </c>
      <c r="AM200" s="65"/>
      <c r="AN200" s="103" t="s">
        <v>41</v>
      </c>
      <c r="AO200" s="10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1"/>
    </row>
    <row r="201" spans="1:60" x14ac:dyDescent="0.2">
      <c r="A201" s="33">
        <f t="shared" si="3"/>
        <v>196</v>
      </c>
      <c r="B201" s="34" t="s">
        <v>4669</v>
      </c>
      <c r="C201" s="35" t="s">
        <v>4670</v>
      </c>
      <c r="D201" s="36" t="s">
        <v>4671</v>
      </c>
      <c r="E201" s="36" t="s">
        <v>4169</v>
      </c>
      <c r="F201" s="34" t="s">
        <v>4672</v>
      </c>
      <c r="G201" s="37" t="s">
        <v>243</v>
      </c>
      <c r="H201" s="37" t="s">
        <v>205</v>
      </c>
      <c r="I201" s="34"/>
      <c r="J201" s="34"/>
      <c r="K201" s="39" t="s">
        <v>42</v>
      </c>
      <c r="L201" s="166">
        <v>46129</v>
      </c>
      <c r="M201" s="41" t="s">
        <v>179</v>
      </c>
      <c r="N201" s="41" t="s">
        <v>179</v>
      </c>
      <c r="O201" s="41"/>
      <c r="P201" s="41"/>
      <c r="Q201" s="41"/>
      <c r="R201" s="41"/>
      <c r="S201" s="41"/>
      <c r="T201" s="41"/>
      <c r="U201" s="41"/>
      <c r="V201" s="41"/>
      <c r="W201" s="41" t="s">
        <v>44</v>
      </c>
      <c r="X201" s="42" t="s">
        <v>4673</v>
      </c>
      <c r="Y201" s="322" t="s">
        <v>4674</v>
      </c>
      <c r="Z201" s="44"/>
      <c r="AA201" s="45"/>
      <c r="AB201" s="101"/>
      <c r="AC201" s="36"/>
      <c r="AD201" s="47" t="s">
        <v>49</v>
      </c>
      <c r="AE201" s="48" t="s">
        <v>41</v>
      </c>
      <c r="AF201" s="48" t="s">
        <v>41</v>
      </c>
      <c r="AG201" s="48" t="s">
        <v>41</v>
      </c>
      <c r="AH201" s="48" t="s">
        <v>41</v>
      </c>
      <c r="AI201" s="48" t="s">
        <v>41</v>
      </c>
      <c r="AJ201" s="48" t="s">
        <v>41</v>
      </c>
      <c r="AK201" s="48" t="s">
        <v>49</v>
      </c>
      <c r="AL201" s="65" t="s">
        <v>32</v>
      </c>
      <c r="AM201" s="65" t="s">
        <v>4681</v>
      </c>
      <c r="AN201" s="103"/>
      <c r="AO201" s="10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1"/>
    </row>
    <row r="202" spans="1:60" x14ac:dyDescent="0.2">
      <c r="A202" s="33">
        <f t="shared" si="3"/>
        <v>197</v>
      </c>
      <c r="B202" s="34" t="s">
        <v>1660</v>
      </c>
      <c r="C202" s="35" t="s">
        <v>1661</v>
      </c>
      <c r="D202" s="36" t="s">
        <v>1662</v>
      </c>
      <c r="E202" s="36" t="s">
        <v>36</v>
      </c>
      <c r="F202" s="34" t="s">
        <v>1663</v>
      </c>
      <c r="G202" s="37" t="s">
        <v>73</v>
      </c>
      <c r="H202" s="37" t="s">
        <v>73</v>
      </c>
      <c r="I202" s="34" t="s">
        <v>1664</v>
      </c>
      <c r="J202" s="34" t="s">
        <v>41</v>
      </c>
      <c r="K202" s="39" t="s">
        <v>42</v>
      </c>
      <c r="L202" s="120">
        <v>45143</v>
      </c>
      <c r="M202" s="56"/>
      <c r="N202" s="56"/>
      <c r="O202" s="56"/>
      <c r="P202" s="56"/>
      <c r="Q202" s="56"/>
      <c r="R202" s="56"/>
      <c r="S202" s="56"/>
      <c r="T202" s="56" t="s">
        <v>44</v>
      </c>
      <c r="U202" s="56"/>
      <c r="V202" s="56"/>
      <c r="W202" s="56"/>
      <c r="X202" s="42" t="s">
        <v>1665</v>
      </c>
      <c r="Y202" s="83" t="s">
        <v>1666</v>
      </c>
      <c r="Z202" s="44"/>
      <c r="AA202" s="45">
        <v>45642</v>
      </c>
      <c r="AB202" s="101"/>
      <c r="AC202" s="36"/>
      <c r="AD202" s="64" t="s">
        <v>120</v>
      </c>
      <c r="AE202" s="48" t="s">
        <v>41</v>
      </c>
      <c r="AF202" s="48" t="s">
        <v>41</v>
      </c>
      <c r="AG202" s="48" t="s">
        <v>41</v>
      </c>
      <c r="AH202" s="48" t="s">
        <v>120</v>
      </c>
      <c r="AI202" s="48" t="s">
        <v>120</v>
      </c>
      <c r="AJ202" s="49" t="s">
        <v>120</v>
      </c>
      <c r="AK202" s="48" t="s">
        <v>120</v>
      </c>
      <c r="AL202" s="62" t="s">
        <v>32</v>
      </c>
      <c r="AM202" s="62"/>
      <c r="AN202" s="59"/>
      <c r="AO202" s="10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1"/>
    </row>
    <row r="203" spans="1:60" x14ac:dyDescent="0.2">
      <c r="A203" s="33">
        <f t="shared" ref="A203:A265" si="4">+A202+1</f>
        <v>198</v>
      </c>
      <c r="B203" s="34" t="s">
        <v>1667</v>
      </c>
      <c r="C203" s="35" t="s">
        <v>1668</v>
      </c>
      <c r="D203" s="36" t="s">
        <v>1669</v>
      </c>
      <c r="E203" s="36" t="s">
        <v>54</v>
      </c>
      <c r="F203" s="34" t="s">
        <v>1670</v>
      </c>
      <c r="G203" s="37" t="s">
        <v>73</v>
      </c>
      <c r="H203" s="37" t="s">
        <v>73</v>
      </c>
      <c r="I203" s="34" t="s">
        <v>1671</v>
      </c>
      <c r="J203" s="34" t="s">
        <v>1671</v>
      </c>
      <c r="K203" s="39" t="s">
        <v>42</v>
      </c>
      <c r="L203" s="163" t="s">
        <v>1040</v>
      </c>
      <c r="M203" s="130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42" t="s">
        <v>1672</v>
      </c>
      <c r="Y203" s="43" t="s">
        <v>1673</v>
      </c>
      <c r="Z203" s="44" t="s">
        <v>61</v>
      </c>
      <c r="AA203" s="45">
        <v>36803</v>
      </c>
      <c r="AB203" s="164" t="s">
        <v>30</v>
      </c>
      <c r="AC203" s="36" t="s">
        <v>26</v>
      </c>
      <c r="AD203" s="61" t="s">
        <v>49</v>
      </c>
      <c r="AE203" s="48" t="s">
        <v>49</v>
      </c>
      <c r="AF203" s="48" t="s">
        <v>49</v>
      </c>
      <c r="AG203" s="48" t="s">
        <v>49</v>
      </c>
      <c r="AH203" s="48" t="s">
        <v>49</v>
      </c>
      <c r="AI203" s="48" t="s">
        <v>49</v>
      </c>
      <c r="AJ203" s="49" t="s">
        <v>49</v>
      </c>
      <c r="AK203" s="48" t="s">
        <v>49</v>
      </c>
      <c r="AL203" s="65" t="s">
        <v>32</v>
      </c>
      <c r="AM203" s="65"/>
      <c r="AN203" s="59"/>
      <c r="AO203" s="10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1"/>
    </row>
    <row r="204" spans="1:60" x14ac:dyDescent="0.2">
      <c r="A204" s="33">
        <f t="shared" si="4"/>
        <v>199</v>
      </c>
      <c r="B204" s="34" t="s">
        <v>1674</v>
      </c>
      <c r="C204" s="35" t="s">
        <v>1675</v>
      </c>
      <c r="D204" s="36" t="s">
        <v>4683</v>
      </c>
      <c r="E204" s="36" t="s">
        <v>36</v>
      </c>
      <c r="F204" s="87" t="s">
        <v>4684</v>
      </c>
      <c r="G204" s="37" t="s">
        <v>73</v>
      </c>
      <c r="H204" s="37" t="s">
        <v>73</v>
      </c>
      <c r="I204" s="34" t="s">
        <v>1678</v>
      </c>
      <c r="J204" s="34" t="s">
        <v>1679</v>
      </c>
      <c r="K204" s="39" t="s">
        <v>42</v>
      </c>
      <c r="L204" s="120">
        <v>34984</v>
      </c>
      <c r="M204" s="41" t="s">
        <v>179</v>
      </c>
      <c r="N204" s="41"/>
      <c r="O204" s="41"/>
      <c r="P204" s="41"/>
      <c r="Q204" s="41"/>
      <c r="R204" s="41"/>
      <c r="S204" s="41"/>
      <c r="T204" s="41"/>
      <c r="U204" s="41"/>
      <c r="V204" s="41"/>
      <c r="W204" s="41" t="s">
        <v>732</v>
      </c>
      <c r="X204" s="42" t="s">
        <v>1680</v>
      </c>
      <c r="Y204" s="43" t="s">
        <v>1681</v>
      </c>
      <c r="Z204" s="44" t="s">
        <v>61</v>
      </c>
      <c r="AA204" s="45">
        <v>40815</v>
      </c>
      <c r="AB204" s="101" t="s">
        <v>30</v>
      </c>
      <c r="AC204" s="36" t="s">
        <v>26</v>
      </c>
      <c r="AD204" s="47" t="s">
        <v>49</v>
      </c>
      <c r="AE204" s="48" t="s">
        <v>49</v>
      </c>
      <c r="AF204" s="48" t="s">
        <v>49</v>
      </c>
      <c r="AG204" s="48" t="s">
        <v>49</v>
      </c>
      <c r="AH204" s="48" t="s">
        <v>49</v>
      </c>
      <c r="AI204" s="48" t="s">
        <v>49</v>
      </c>
      <c r="AJ204" s="49" t="s">
        <v>49</v>
      </c>
      <c r="AK204" s="48" t="s">
        <v>49</v>
      </c>
      <c r="AL204" s="65" t="s">
        <v>32</v>
      </c>
      <c r="AM204" s="65"/>
      <c r="AN204" s="103" t="s">
        <v>41</v>
      </c>
      <c r="AO204" s="10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1"/>
    </row>
    <row r="205" spans="1:60" x14ac:dyDescent="0.2">
      <c r="A205" s="33">
        <f t="shared" si="4"/>
        <v>200</v>
      </c>
      <c r="B205" s="98" t="s">
        <v>1682</v>
      </c>
      <c r="C205" s="35" t="s">
        <v>1683</v>
      </c>
      <c r="D205" s="73" t="s">
        <v>1684</v>
      </c>
      <c r="E205" s="36" t="s">
        <v>36</v>
      </c>
      <c r="F205" s="192" t="s">
        <v>1685</v>
      </c>
      <c r="G205" s="37" t="s">
        <v>73</v>
      </c>
      <c r="H205" s="37" t="s">
        <v>73</v>
      </c>
      <c r="I205" s="193" t="s">
        <v>41</v>
      </c>
      <c r="J205" s="193" t="s">
        <v>1686</v>
      </c>
      <c r="K205" s="39" t="s">
        <v>42</v>
      </c>
      <c r="L205" s="194">
        <v>45728</v>
      </c>
      <c r="M205" s="137"/>
      <c r="N205" s="137"/>
      <c r="O205" s="137"/>
      <c r="P205" s="137"/>
      <c r="Q205" s="137"/>
      <c r="R205" s="137"/>
      <c r="S205" s="137"/>
      <c r="T205" s="137"/>
      <c r="U205" s="137"/>
      <c r="V205" s="137" t="s">
        <v>44</v>
      </c>
      <c r="W205" s="137"/>
      <c r="X205" s="193" t="s">
        <v>1687</v>
      </c>
      <c r="Y205" s="58" t="s">
        <v>1688</v>
      </c>
      <c r="Z205" s="58"/>
      <c r="AA205" s="58"/>
      <c r="AB205" s="101"/>
      <c r="AC205" s="36"/>
      <c r="AD205" s="47" t="s">
        <v>49</v>
      </c>
      <c r="AE205" s="48" t="s">
        <v>41</v>
      </c>
      <c r="AF205" s="48" t="s">
        <v>41</v>
      </c>
      <c r="AG205" s="48" t="s">
        <v>41</v>
      </c>
      <c r="AH205" s="48" t="s">
        <v>41</v>
      </c>
      <c r="AI205" s="48" t="s">
        <v>41</v>
      </c>
      <c r="AJ205" s="49" t="s">
        <v>49</v>
      </c>
      <c r="AK205" s="48" t="s">
        <v>49</v>
      </c>
      <c r="AL205" s="65" t="s">
        <v>32</v>
      </c>
      <c r="AM205" s="325"/>
      <c r="AN205" s="134"/>
      <c r="AO205" s="195"/>
      <c r="AP205" s="196"/>
      <c r="AQ205" s="196"/>
      <c r="AR205" s="196"/>
      <c r="AS205" s="196"/>
      <c r="AT205" s="196"/>
      <c r="AU205" s="196"/>
      <c r="AV205" s="196"/>
      <c r="AW205" s="196"/>
      <c r="AX205" s="196"/>
      <c r="AY205" s="196"/>
      <c r="AZ205" s="197"/>
      <c r="BA205" s="198"/>
      <c r="BB205" s="198"/>
      <c r="BC205" s="198"/>
      <c r="BD205" s="198"/>
      <c r="BE205" s="198"/>
      <c r="BF205" s="198"/>
      <c r="BG205" s="198"/>
      <c r="BH205" s="198"/>
    </row>
    <row r="206" spans="1:60" x14ac:dyDescent="0.2">
      <c r="A206" s="33">
        <f t="shared" si="4"/>
        <v>201</v>
      </c>
      <c r="B206" s="34" t="s">
        <v>1689</v>
      </c>
      <c r="C206" s="35" t="s">
        <v>1690</v>
      </c>
      <c r="D206" s="36" t="s">
        <v>1691</v>
      </c>
      <c r="E206" s="36" t="s">
        <v>54</v>
      </c>
      <c r="F206" s="34" t="s">
        <v>1692</v>
      </c>
      <c r="G206" s="37" t="s">
        <v>73</v>
      </c>
      <c r="H206" s="37" t="s">
        <v>73</v>
      </c>
      <c r="I206" s="34" t="s">
        <v>1671</v>
      </c>
      <c r="J206" s="34" t="s">
        <v>1671</v>
      </c>
      <c r="K206" s="39" t="s">
        <v>42</v>
      </c>
      <c r="L206" s="120">
        <v>30353</v>
      </c>
      <c r="M206" s="115"/>
      <c r="N206" s="115"/>
      <c r="O206" s="115"/>
      <c r="P206" s="115"/>
      <c r="Q206" s="115"/>
      <c r="R206" s="115"/>
      <c r="S206" s="115"/>
      <c r="T206" s="56"/>
      <c r="U206" s="56"/>
      <c r="V206" s="56"/>
      <c r="W206" s="56"/>
      <c r="X206" s="42" t="s">
        <v>1693</v>
      </c>
      <c r="Y206" s="58" t="s">
        <v>1694</v>
      </c>
      <c r="Z206" s="44" t="s">
        <v>1695</v>
      </c>
      <c r="AA206" s="45">
        <v>42325</v>
      </c>
      <c r="AB206" s="101" t="s">
        <v>30</v>
      </c>
      <c r="AC206" s="36" t="s">
        <v>26</v>
      </c>
      <c r="AD206" s="64" t="s">
        <v>120</v>
      </c>
      <c r="AE206" s="48" t="s">
        <v>120</v>
      </c>
      <c r="AF206" s="48" t="s">
        <v>120</v>
      </c>
      <c r="AG206" s="48" t="s">
        <v>120</v>
      </c>
      <c r="AH206" s="48" t="s">
        <v>120</v>
      </c>
      <c r="AI206" s="48" t="s">
        <v>120</v>
      </c>
      <c r="AJ206" s="49" t="s">
        <v>120</v>
      </c>
      <c r="AK206" s="48" t="s">
        <v>120</v>
      </c>
      <c r="AL206" s="65" t="s">
        <v>32</v>
      </c>
      <c r="AM206" s="325"/>
      <c r="AN206" s="134"/>
      <c r="AO206" s="10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1"/>
    </row>
    <row r="207" spans="1:60" x14ac:dyDescent="0.2">
      <c r="A207" s="33">
        <f t="shared" si="4"/>
        <v>202</v>
      </c>
      <c r="B207" s="34" t="s">
        <v>1696</v>
      </c>
      <c r="C207" s="35" t="s">
        <v>1697</v>
      </c>
      <c r="D207" s="36" t="s">
        <v>1698</v>
      </c>
      <c r="E207" s="36" t="s">
        <v>54</v>
      </c>
      <c r="F207" s="34" t="s">
        <v>1699</v>
      </c>
      <c r="G207" s="37" t="s">
        <v>73</v>
      </c>
      <c r="H207" s="37" t="s">
        <v>73</v>
      </c>
      <c r="I207" s="34" t="s">
        <v>1700</v>
      </c>
      <c r="J207" s="34" t="s">
        <v>1700</v>
      </c>
      <c r="K207" s="39" t="s">
        <v>42</v>
      </c>
      <c r="L207" s="194">
        <v>30353</v>
      </c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42" t="s">
        <v>1701</v>
      </c>
      <c r="Y207" s="58" t="s">
        <v>1702</v>
      </c>
      <c r="Z207" s="44" t="s">
        <v>61</v>
      </c>
      <c r="AA207" s="45">
        <v>34597</v>
      </c>
      <c r="AB207" s="191" t="s">
        <v>30</v>
      </c>
      <c r="AC207" s="36"/>
      <c r="AD207" s="47" t="s">
        <v>49</v>
      </c>
      <c r="AE207" s="48" t="s">
        <v>41</v>
      </c>
      <c r="AF207" s="48" t="s">
        <v>41</v>
      </c>
      <c r="AG207" s="48" t="s">
        <v>41</v>
      </c>
      <c r="AH207" s="48" t="s">
        <v>41</v>
      </c>
      <c r="AI207" s="48" t="s">
        <v>41</v>
      </c>
      <c r="AJ207" s="49" t="s">
        <v>41</v>
      </c>
      <c r="AK207" s="48" t="s">
        <v>41</v>
      </c>
      <c r="AL207" s="65" t="s">
        <v>4591</v>
      </c>
      <c r="AM207" s="65"/>
      <c r="AN207" s="59" t="s">
        <v>460</v>
      </c>
      <c r="AO207" s="10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1"/>
    </row>
    <row r="208" spans="1:60" x14ac:dyDescent="0.2">
      <c r="A208" s="33">
        <f t="shared" si="4"/>
        <v>203</v>
      </c>
      <c r="B208" s="34" t="s">
        <v>1703</v>
      </c>
      <c r="C208" s="35" t="s">
        <v>1704</v>
      </c>
      <c r="D208" s="36" t="s">
        <v>1705</v>
      </c>
      <c r="E208" s="36" t="s">
        <v>36</v>
      </c>
      <c r="F208" s="34" t="s">
        <v>1706</v>
      </c>
      <c r="G208" s="37" t="s">
        <v>214</v>
      </c>
      <c r="H208" s="37" t="s">
        <v>205</v>
      </c>
      <c r="I208" s="38" t="s">
        <v>1707</v>
      </c>
      <c r="J208" s="34"/>
      <c r="K208" s="39" t="s">
        <v>42</v>
      </c>
      <c r="L208" s="166" t="s">
        <v>1708</v>
      </c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42" t="s">
        <v>1709</v>
      </c>
      <c r="Y208" s="52" t="s">
        <v>1710</v>
      </c>
      <c r="Z208" s="44" t="s">
        <v>1711</v>
      </c>
      <c r="AA208" s="45">
        <v>44041</v>
      </c>
      <c r="AB208" s="101" t="s">
        <v>30</v>
      </c>
      <c r="AC208" s="36" t="s">
        <v>26</v>
      </c>
      <c r="AD208" s="47" t="s">
        <v>49</v>
      </c>
      <c r="AE208" s="48" t="s">
        <v>49</v>
      </c>
      <c r="AF208" s="48" t="s">
        <v>49</v>
      </c>
      <c r="AG208" s="48" t="s">
        <v>49</v>
      </c>
      <c r="AH208" s="48" t="s">
        <v>49</v>
      </c>
      <c r="AI208" s="48" t="s">
        <v>49</v>
      </c>
      <c r="AJ208" s="49" t="s">
        <v>49</v>
      </c>
      <c r="AK208" s="48" t="s">
        <v>49</v>
      </c>
      <c r="AL208" s="62" t="s">
        <v>32</v>
      </c>
      <c r="AM208" s="62"/>
      <c r="AN208" s="59"/>
      <c r="AO208" s="10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1"/>
    </row>
    <row r="209" spans="1:52" x14ac:dyDescent="0.2">
      <c r="A209" s="33">
        <f t="shared" si="4"/>
        <v>204</v>
      </c>
      <c r="B209" s="34" t="s">
        <v>1712</v>
      </c>
      <c r="C209" s="35" t="s">
        <v>1713</v>
      </c>
      <c r="D209" s="36" t="s">
        <v>1714</v>
      </c>
      <c r="E209" s="36" t="s">
        <v>36</v>
      </c>
      <c r="F209" s="34" t="s">
        <v>1715</v>
      </c>
      <c r="G209" s="37" t="s">
        <v>39</v>
      </c>
      <c r="H209" s="37" t="s">
        <v>39</v>
      </c>
      <c r="I209" s="34" t="s">
        <v>1716</v>
      </c>
      <c r="J209" s="34" t="s">
        <v>41</v>
      </c>
      <c r="K209" s="39" t="s">
        <v>42</v>
      </c>
      <c r="L209" s="120">
        <v>42010</v>
      </c>
      <c r="M209" s="56" t="s">
        <v>179</v>
      </c>
      <c r="N209" s="56" t="s">
        <v>179</v>
      </c>
      <c r="O209" s="56"/>
      <c r="P209" s="56">
        <v>2</v>
      </c>
      <c r="Q209" s="56"/>
      <c r="R209" s="56"/>
      <c r="S209" s="56"/>
      <c r="T209" s="56" t="s">
        <v>732</v>
      </c>
      <c r="U209" s="56"/>
      <c r="V209" s="56"/>
      <c r="W209" s="56"/>
      <c r="X209" s="57" t="s">
        <v>1717</v>
      </c>
      <c r="Y209" s="100" t="s">
        <v>1718</v>
      </c>
      <c r="Z209" s="44" t="s">
        <v>1719</v>
      </c>
      <c r="AA209" s="45">
        <v>42325</v>
      </c>
      <c r="AB209" s="101" t="s">
        <v>30</v>
      </c>
      <c r="AC209" s="36" t="s">
        <v>26</v>
      </c>
      <c r="AD209" s="47" t="s">
        <v>49</v>
      </c>
      <c r="AE209" s="48" t="s">
        <v>49</v>
      </c>
      <c r="AF209" s="48" t="s">
        <v>49</v>
      </c>
      <c r="AG209" s="48" t="s">
        <v>49</v>
      </c>
      <c r="AH209" s="48" t="s">
        <v>49</v>
      </c>
      <c r="AI209" s="48" t="s">
        <v>49</v>
      </c>
      <c r="AJ209" s="49" t="s">
        <v>49</v>
      </c>
      <c r="AK209" s="48" t="s">
        <v>49</v>
      </c>
      <c r="AL209" s="62" t="s">
        <v>32</v>
      </c>
      <c r="AM209" s="62"/>
      <c r="AN209" s="59"/>
      <c r="AO209" s="10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1"/>
    </row>
    <row r="210" spans="1:52" x14ac:dyDescent="0.2">
      <c r="A210" s="33">
        <f t="shared" si="4"/>
        <v>205</v>
      </c>
      <c r="B210" s="34" t="s">
        <v>1720</v>
      </c>
      <c r="C210" s="35" t="s">
        <v>1721</v>
      </c>
      <c r="D210" s="36" t="s">
        <v>1722</v>
      </c>
      <c r="E210" s="36" t="s">
        <v>36</v>
      </c>
      <c r="F210" s="34" t="s">
        <v>1723</v>
      </c>
      <c r="G210" s="37" t="s">
        <v>398</v>
      </c>
      <c r="H210" s="37" t="s">
        <v>205</v>
      </c>
      <c r="I210" s="38" t="s">
        <v>1724</v>
      </c>
      <c r="J210" s="34" t="s">
        <v>41</v>
      </c>
      <c r="K210" s="39" t="s">
        <v>42</v>
      </c>
      <c r="L210" s="120" t="s">
        <v>1725</v>
      </c>
      <c r="M210" s="56"/>
      <c r="N210" s="56" t="s">
        <v>179</v>
      </c>
      <c r="O210" s="56"/>
      <c r="P210" s="56">
        <v>2</v>
      </c>
      <c r="Q210" s="56" t="s">
        <v>179</v>
      </c>
      <c r="R210" s="56"/>
      <c r="S210" s="56"/>
      <c r="T210" s="56" t="s">
        <v>44</v>
      </c>
      <c r="U210" s="56"/>
      <c r="V210" s="56"/>
      <c r="W210" s="56"/>
      <c r="X210" s="54" t="s">
        <v>1726</v>
      </c>
      <c r="Y210" s="100" t="s">
        <v>1727</v>
      </c>
      <c r="Z210" s="44"/>
      <c r="AA210" s="45" t="s">
        <v>47</v>
      </c>
      <c r="AB210" s="101"/>
      <c r="AC210" s="36"/>
      <c r="AD210" s="47" t="s">
        <v>49</v>
      </c>
      <c r="AE210" s="48" t="s">
        <v>41</v>
      </c>
      <c r="AF210" s="48" t="s">
        <v>41</v>
      </c>
      <c r="AG210" s="48" t="s">
        <v>49</v>
      </c>
      <c r="AH210" s="48" t="s">
        <v>49</v>
      </c>
      <c r="AI210" s="48" t="s">
        <v>49</v>
      </c>
      <c r="AJ210" s="49" t="s">
        <v>49</v>
      </c>
      <c r="AK210" s="48" t="s">
        <v>49</v>
      </c>
      <c r="AL210" s="62" t="s">
        <v>32</v>
      </c>
      <c r="AM210" s="62"/>
      <c r="AN210" s="59"/>
      <c r="AO210" s="10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1"/>
    </row>
    <row r="211" spans="1:52" ht="15" customHeight="1" x14ac:dyDescent="0.2">
      <c r="A211" s="33">
        <f t="shared" si="4"/>
        <v>206</v>
      </c>
      <c r="B211" s="38" t="s">
        <v>1728</v>
      </c>
      <c r="C211" s="35" t="s">
        <v>1729</v>
      </c>
      <c r="D211" s="36" t="s">
        <v>1730</v>
      </c>
      <c r="E211" s="36" t="s">
        <v>54</v>
      </c>
      <c r="F211" s="34" t="s">
        <v>1731</v>
      </c>
      <c r="G211" s="37" t="s">
        <v>205</v>
      </c>
      <c r="H211" s="37" t="s">
        <v>205</v>
      </c>
      <c r="I211" s="199" t="s">
        <v>1732</v>
      </c>
      <c r="J211" s="34" t="s">
        <v>41</v>
      </c>
      <c r="K211" s="39" t="s">
        <v>42</v>
      </c>
      <c r="L211" s="120">
        <v>43292</v>
      </c>
      <c r="M211" s="137"/>
      <c r="N211" s="137"/>
      <c r="O211" s="137"/>
      <c r="P211" s="137"/>
      <c r="Q211" s="137"/>
      <c r="R211" s="137"/>
      <c r="S211" s="137"/>
      <c r="T211" s="137"/>
      <c r="U211" s="137"/>
      <c r="V211" s="137" t="s">
        <v>732</v>
      </c>
      <c r="W211" s="137"/>
      <c r="X211" s="42" t="s">
        <v>1733</v>
      </c>
      <c r="Y211" s="100" t="s">
        <v>1734</v>
      </c>
      <c r="Z211" s="44"/>
      <c r="AA211" s="45">
        <v>44041</v>
      </c>
      <c r="AB211" s="101" t="s">
        <v>30</v>
      </c>
      <c r="AC211" s="36" t="s">
        <v>26</v>
      </c>
      <c r="AD211" s="47" t="s">
        <v>49</v>
      </c>
      <c r="AE211" s="48" t="s">
        <v>49</v>
      </c>
      <c r="AF211" s="48" t="s">
        <v>49</v>
      </c>
      <c r="AG211" s="48" t="s">
        <v>49</v>
      </c>
      <c r="AH211" s="48" t="s">
        <v>49</v>
      </c>
      <c r="AI211" s="48" t="s">
        <v>49</v>
      </c>
      <c r="AJ211" s="49" t="s">
        <v>49</v>
      </c>
      <c r="AK211" s="48" t="s">
        <v>49</v>
      </c>
      <c r="AL211" s="62" t="s">
        <v>32</v>
      </c>
      <c r="AM211" s="62"/>
      <c r="AN211" s="59"/>
      <c r="AO211" s="10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1"/>
    </row>
    <row r="212" spans="1:52" ht="15" customHeight="1" x14ac:dyDescent="0.2">
      <c r="A212" s="33">
        <f t="shared" si="4"/>
        <v>207</v>
      </c>
      <c r="B212" s="38" t="s">
        <v>1735</v>
      </c>
      <c r="C212" s="35" t="s">
        <v>1736</v>
      </c>
      <c r="D212" s="36" t="s">
        <v>1737</v>
      </c>
      <c r="E212" s="36" t="s">
        <v>54</v>
      </c>
      <c r="F212" s="34" t="s">
        <v>1738</v>
      </c>
      <c r="G212" s="37" t="s">
        <v>73</v>
      </c>
      <c r="H212" s="37" t="s">
        <v>73</v>
      </c>
      <c r="I212" s="199" t="s">
        <v>1739</v>
      </c>
      <c r="J212" s="34" t="s">
        <v>41</v>
      </c>
      <c r="K212" s="39" t="s">
        <v>42</v>
      </c>
      <c r="L212" s="120">
        <v>45610</v>
      </c>
      <c r="M212" s="115"/>
      <c r="N212" s="115"/>
      <c r="O212" s="115"/>
      <c r="P212" s="115"/>
      <c r="Q212" s="115"/>
      <c r="R212" s="115"/>
      <c r="S212" s="115"/>
      <c r="T212" s="115"/>
      <c r="U212" s="115" t="s">
        <v>44</v>
      </c>
      <c r="V212" s="115"/>
      <c r="W212" s="115"/>
      <c r="X212" s="199" t="s">
        <v>1740</v>
      </c>
      <c r="Y212" s="100" t="s">
        <v>1741</v>
      </c>
      <c r="Z212" s="44"/>
      <c r="AA212" s="45"/>
      <c r="AB212" s="101"/>
      <c r="AC212" s="36"/>
      <c r="AD212" s="47" t="s">
        <v>49</v>
      </c>
      <c r="AE212" s="48" t="s">
        <v>41</v>
      </c>
      <c r="AF212" s="48" t="s">
        <v>41</v>
      </c>
      <c r="AG212" s="48" t="s">
        <v>41</v>
      </c>
      <c r="AH212" s="48" t="s">
        <v>41</v>
      </c>
      <c r="AI212" s="48" t="s">
        <v>49</v>
      </c>
      <c r="AJ212" s="49" t="s">
        <v>49</v>
      </c>
      <c r="AK212" s="48" t="s">
        <v>49</v>
      </c>
      <c r="AL212" s="62" t="s">
        <v>32</v>
      </c>
      <c r="AM212" s="62"/>
      <c r="AN212" s="59"/>
      <c r="AO212" s="10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1"/>
    </row>
    <row r="213" spans="1:52" x14ac:dyDescent="0.2">
      <c r="A213" s="33">
        <f t="shared" si="4"/>
        <v>208</v>
      </c>
      <c r="B213" s="34" t="s">
        <v>1742</v>
      </c>
      <c r="C213" s="35" t="s">
        <v>1743</v>
      </c>
      <c r="D213" s="36" t="s">
        <v>1744</v>
      </c>
      <c r="E213" s="36" t="s">
        <v>36</v>
      </c>
      <c r="F213" s="34" t="s">
        <v>1745</v>
      </c>
      <c r="G213" s="37" t="s">
        <v>323</v>
      </c>
      <c r="H213" s="37" t="s">
        <v>39</v>
      </c>
      <c r="I213" s="38" t="s">
        <v>1746</v>
      </c>
      <c r="J213" s="34"/>
      <c r="K213" s="39" t="s">
        <v>42</v>
      </c>
      <c r="L213" s="194">
        <v>42463</v>
      </c>
      <c r="M213" s="115"/>
      <c r="N213" s="114"/>
      <c r="O213" s="115"/>
      <c r="P213" s="114"/>
      <c r="Q213" s="115"/>
      <c r="R213" s="115"/>
      <c r="S213" s="115"/>
      <c r="T213" s="56"/>
      <c r="U213" s="56"/>
      <c r="V213" s="56"/>
      <c r="W213" s="56"/>
      <c r="X213" s="42" t="s">
        <v>1747</v>
      </c>
      <c r="Y213" s="100" t="s">
        <v>1748</v>
      </c>
      <c r="Z213" s="44" t="s">
        <v>61</v>
      </c>
      <c r="AA213" s="45">
        <v>42935</v>
      </c>
      <c r="AB213" s="191" t="s">
        <v>30</v>
      </c>
      <c r="AC213" s="36" t="s">
        <v>26</v>
      </c>
      <c r="AD213" s="47" t="s">
        <v>49</v>
      </c>
      <c r="AE213" s="48" t="s">
        <v>49</v>
      </c>
      <c r="AF213" s="48" t="s">
        <v>49</v>
      </c>
      <c r="AG213" s="48" t="s">
        <v>49</v>
      </c>
      <c r="AH213" s="48" t="s">
        <v>49</v>
      </c>
      <c r="AI213" s="48" t="s">
        <v>49</v>
      </c>
      <c r="AJ213" s="49" t="s">
        <v>49</v>
      </c>
      <c r="AK213" s="48" t="s">
        <v>49</v>
      </c>
      <c r="AL213" s="62" t="s">
        <v>32</v>
      </c>
      <c r="AM213" s="62"/>
      <c r="AN213" s="59"/>
      <c r="AO213" s="10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1"/>
    </row>
    <row r="214" spans="1:52" x14ac:dyDescent="0.2">
      <c r="A214" s="33">
        <f t="shared" si="4"/>
        <v>209</v>
      </c>
      <c r="B214" s="34" t="s">
        <v>1749</v>
      </c>
      <c r="C214" s="35" t="s">
        <v>1750</v>
      </c>
      <c r="D214" s="36" t="s">
        <v>1751</v>
      </c>
      <c r="E214" s="36" t="s">
        <v>54</v>
      </c>
      <c r="F214" s="34" t="s">
        <v>1752</v>
      </c>
      <c r="G214" s="37" t="s">
        <v>73</v>
      </c>
      <c r="H214" s="37" t="s">
        <v>73</v>
      </c>
      <c r="I214" s="34" t="s">
        <v>1753</v>
      </c>
      <c r="J214" s="34" t="s">
        <v>1753</v>
      </c>
      <c r="K214" s="39" t="s">
        <v>42</v>
      </c>
      <c r="L214" s="158" t="s">
        <v>1311</v>
      </c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2" t="s">
        <v>1754</v>
      </c>
      <c r="Y214" s="58" t="s">
        <v>1755</v>
      </c>
      <c r="Z214" s="44" t="s">
        <v>61</v>
      </c>
      <c r="AA214" s="45">
        <v>37208</v>
      </c>
      <c r="AB214" s="101" t="s">
        <v>30</v>
      </c>
      <c r="AC214" s="36" t="s">
        <v>26</v>
      </c>
      <c r="AD214" s="47" t="s">
        <v>49</v>
      </c>
      <c r="AE214" s="48" t="s">
        <v>49</v>
      </c>
      <c r="AF214" s="48" t="s">
        <v>49</v>
      </c>
      <c r="AG214" s="48" t="s">
        <v>49</v>
      </c>
      <c r="AH214" s="48" t="s">
        <v>49</v>
      </c>
      <c r="AI214" s="48" t="s">
        <v>49</v>
      </c>
      <c r="AJ214" s="49" t="s">
        <v>49</v>
      </c>
      <c r="AK214" s="48" t="s">
        <v>41</v>
      </c>
      <c r="AL214" s="62" t="s">
        <v>148</v>
      </c>
      <c r="AM214" s="62"/>
      <c r="AN214" s="103"/>
      <c r="AO214" s="10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1"/>
    </row>
    <row r="215" spans="1:52" x14ac:dyDescent="0.2">
      <c r="A215" s="33">
        <f t="shared" si="4"/>
        <v>210</v>
      </c>
      <c r="B215" s="34" t="s">
        <v>1756</v>
      </c>
      <c r="C215" s="35" t="s">
        <v>1757</v>
      </c>
      <c r="D215" s="36" t="s">
        <v>1758</v>
      </c>
      <c r="E215" s="36" t="s">
        <v>54</v>
      </c>
      <c r="F215" s="34" t="s">
        <v>1759</v>
      </c>
      <c r="G215" s="37" t="s">
        <v>73</v>
      </c>
      <c r="H215" s="37" t="s">
        <v>73</v>
      </c>
      <c r="I215" s="34">
        <v>85741499797</v>
      </c>
      <c r="J215" s="34" t="s">
        <v>41</v>
      </c>
      <c r="K215" s="39" t="s">
        <v>42</v>
      </c>
      <c r="L215" s="158" t="s">
        <v>1760</v>
      </c>
      <c r="M215" s="41"/>
      <c r="N215" s="41"/>
      <c r="O215" s="41"/>
      <c r="P215" s="41"/>
      <c r="Q215" s="41"/>
      <c r="R215" s="41"/>
      <c r="S215" s="41"/>
      <c r="T215" s="41" t="s">
        <v>44</v>
      </c>
      <c r="U215" s="41"/>
      <c r="V215" s="41"/>
      <c r="W215" s="41"/>
      <c r="X215" s="42" t="s">
        <v>1761</v>
      </c>
      <c r="Y215" s="58" t="s">
        <v>1762</v>
      </c>
      <c r="Z215" s="44"/>
      <c r="AA215" s="45">
        <v>45642</v>
      </c>
      <c r="AB215" s="101"/>
      <c r="AC215" s="36"/>
      <c r="AD215" s="47" t="s">
        <v>49</v>
      </c>
      <c r="AE215" s="48" t="s">
        <v>41</v>
      </c>
      <c r="AF215" s="48" t="s">
        <v>41</v>
      </c>
      <c r="AG215" s="48" t="s">
        <v>1763</v>
      </c>
      <c r="AH215" s="48" t="s">
        <v>49</v>
      </c>
      <c r="AI215" s="48" t="s">
        <v>49</v>
      </c>
      <c r="AJ215" s="49" t="s">
        <v>49</v>
      </c>
      <c r="AK215" s="48" t="s">
        <v>49</v>
      </c>
      <c r="AL215" s="62" t="s">
        <v>32</v>
      </c>
      <c r="AM215" s="62"/>
      <c r="AN215" s="59"/>
      <c r="AO215" s="10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1"/>
    </row>
    <row r="216" spans="1:52" x14ac:dyDescent="0.2">
      <c r="A216" s="33">
        <f t="shared" si="4"/>
        <v>211</v>
      </c>
      <c r="B216" s="34" t="s">
        <v>1764</v>
      </c>
      <c r="C216" s="35" t="s">
        <v>1765</v>
      </c>
      <c r="D216" s="36" t="s">
        <v>4664</v>
      </c>
      <c r="E216" s="36" t="s">
        <v>54</v>
      </c>
      <c r="F216" s="34" t="s">
        <v>1767</v>
      </c>
      <c r="G216" s="37" t="s">
        <v>73</v>
      </c>
      <c r="H216" s="37" t="s">
        <v>73</v>
      </c>
      <c r="I216" s="34" t="s">
        <v>1753</v>
      </c>
      <c r="J216" s="34" t="s">
        <v>1753</v>
      </c>
      <c r="K216" s="39" t="s">
        <v>42</v>
      </c>
      <c r="L216" s="120">
        <v>30353</v>
      </c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2" t="s">
        <v>1768</v>
      </c>
      <c r="Y216" s="58" t="s">
        <v>1769</v>
      </c>
      <c r="Z216" s="44" t="s">
        <v>1770</v>
      </c>
      <c r="AA216" s="45">
        <v>44041</v>
      </c>
      <c r="AB216" s="101" t="s">
        <v>30</v>
      </c>
      <c r="AC216" s="36" t="s">
        <v>26</v>
      </c>
      <c r="AD216" s="64" t="s">
        <v>120</v>
      </c>
      <c r="AE216" s="48" t="s">
        <v>120</v>
      </c>
      <c r="AF216" s="48" t="s">
        <v>120</v>
      </c>
      <c r="AG216" s="48" t="s">
        <v>120</v>
      </c>
      <c r="AH216" s="48" t="s">
        <v>120</v>
      </c>
      <c r="AI216" s="48" t="s">
        <v>120</v>
      </c>
      <c r="AJ216" s="49" t="s">
        <v>120</v>
      </c>
      <c r="AK216" s="48" t="s">
        <v>120</v>
      </c>
      <c r="AL216" s="62" t="s">
        <v>32</v>
      </c>
      <c r="AM216" s="62"/>
      <c r="AN216" s="59"/>
      <c r="AO216" s="10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1"/>
    </row>
    <row r="217" spans="1:52" x14ac:dyDescent="0.2">
      <c r="A217" s="33">
        <f t="shared" si="4"/>
        <v>212</v>
      </c>
      <c r="B217" s="34" t="s">
        <v>1771</v>
      </c>
      <c r="C217" s="35" t="s">
        <v>1772</v>
      </c>
      <c r="D217" s="36" t="s">
        <v>1773</v>
      </c>
      <c r="E217" s="36" t="s">
        <v>54</v>
      </c>
      <c r="F217" s="34" t="s">
        <v>1774</v>
      </c>
      <c r="G217" s="37" t="s">
        <v>360</v>
      </c>
      <c r="H217" s="37" t="s">
        <v>350</v>
      </c>
      <c r="I217" s="34" t="s">
        <v>1775</v>
      </c>
      <c r="J217" s="34" t="s">
        <v>41</v>
      </c>
      <c r="K217" s="39" t="s">
        <v>42</v>
      </c>
      <c r="L217" s="158" t="s">
        <v>1776</v>
      </c>
      <c r="M217" s="41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42" t="s">
        <v>1777</v>
      </c>
      <c r="Y217" s="52" t="s">
        <v>1778</v>
      </c>
      <c r="Z217" s="44" t="s">
        <v>61</v>
      </c>
      <c r="AA217" s="45">
        <v>40815</v>
      </c>
      <c r="AB217" s="101" t="s">
        <v>30</v>
      </c>
      <c r="AC217" s="36" t="s">
        <v>26</v>
      </c>
      <c r="AD217" s="47" t="s">
        <v>49</v>
      </c>
      <c r="AE217" s="48" t="s">
        <v>49</v>
      </c>
      <c r="AF217" s="48" t="s">
        <v>49</v>
      </c>
      <c r="AG217" s="48" t="s">
        <v>49</v>
      </c>
      <c r="AH217" s="48" t="s">
        <v>49</v>
      </c>
      <c r="AI217" s="48" t="s">
        <v>49</v>
      </c>
      <c r="AJ217" s="49" t="s">
        <v>49</v>
      </c>
      <c r="AK217" s="48" t="s">
        <v>49</v>
      </c>
      <c r="AL217" s="65" t="s">
        <v>32</v>
      </c>
      <c r="AM217" s="65"/>
      <c r="AN217" s="59"/>
      <c r="AO217" s="102"/>
      <c r="AP217" s="3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1"/>
    </row>
    <row r="218" spans="1:52" x14ac:dyDescent="0.2">
      <c r="A218" s="33">
        <f t="shared" si="4"/>
        <v>213</v>
      </c>
      <c r="B218" s="34" t="s">
        <v>1779</v>
      </c>
      <c r="C218" s="35" t="s">
        <v>1780</v>
      </c>
      <c r="D218" s="36" t="s">
        <v>1781</v>
      </c>
      <c r="E218" s="36" t="s">
        <v>36</v>
      </c>
      <c r="F218" s="34" t="s">
        <v>1782</v>
      </c>
      <c r="G218" s="37" t="s">
        <v>38</v>
      </c>
      <c r="H218" s="37" t="s">
        <v>39</v>
      </c>
      <c r="I218" s="38" t="s">
        <v>1783</v>
      </c>
      <c r="J218" s="34" t="s">
        <v>41</v>
      </c>
      <c r="K218" s="39" t="s">
        <v>42</v>
      </c>
      <c r="L218" s="99" t="s">
        <v>1650</v>
      </c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42" t="s">
        <v>1784</v>
      </c>
      <c r="Y218" s="52" t="s">
        <v>1785</v>
      </c>
      <c r="Z218" s="44" t="s">
        <v>1786</v>
      </c>
      <c r="AA218" s="45">
        <v>43200</v>
      </c>
      <c r="AB218" s="101" t="s">
        <v>30</v>
      </c>
      <c r="AC218" s="36" t="s">
        <v>26</v>
      </c>
      <c r="AD218" s="47" t="s">
        <v>49</v>
      </c>
      <c r="AE218" s="48" t="s">
        <v>49</v>
      </c>
      <c r="AF218" s="48" t="s">
        <v>49</v>
      </c>
      <c r="AG218" s="48" t="s">
        <v>49</v>
      </c>
      <c r="AH218" s="48" t="s">
        <v>49</v>
      </c>
      <c r="AI218" s="48" t="s">
        <v>49</v>
      </c>
      <c r="AJ218" s="49" t="s">
        <v>49</v>
      </c>
      <c r="AK218" s="48" t="s">
        <v>49</v>
      </c>
      <c r="AL218" s="65" t="s">
        <v>32</v>
      </c>
      <c r="AM218" s="65"/>
      <c r="AN218" s="59"/>
      <c r="AO218" s="102"/>
      <c r="AP218" s="3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1"/>
    </row>
    <row r="219" spans="1:52" x14ac:dyDescent="0.2">
      <c r="A219" s="33">
        <f t="shared" si="4"/>
        <v>214</v>
      </c>
      <c r="B219" s="34" t="s">
        <v>1787</v>
      </c>
      <c r="C219" s="35" t="s">
        <v>1788</v>
      </c>
      <c r="D219" s="36" t="s">
        <v>1789</v>
      </c>
      <c r="E219" s="36" t="s">
        <v>54</v>
      </c>
      <c r="F219" s="34" t="s">
        <v>1790</v>
      </c>
      <c r="G219" s="37" t="s">
        <v>73</v>
      </c>
      <c r="H219" s="37" t="s">
        <v>73</v>
      </c>
      <c r="I219" s="34" t="s">
        <v>1791</v>
      </c>
      <c r="J219" s="34" t="s">
        <v>41</v>
      </c>
      <c r="K219" s="39" t="s">
        <v>42</v>
      </c>
      <c r="L219" s="99" t="s">
        <v>1650</v>
      </c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42" t="s">
        <v>1792</v>
      </c>
      <c r="Y219" s="100" t="s">
        <v>1793</v>
      </c>
      <c r="Z219" s="44" t="s">
        <v>61</v>
      </c>
      <c r="AA219" s="45">
        <v>37208</v>
      </c>
      <c r="AB219" s="101" t="s">
        <v>30</v>
      </c>
      <c r="AC219" s="36" t="s">
        <v>26</v>
      </c>
      <c r="AD219" s="47" t="s">
        <v>49</v>
      </c>
      <c r="AE219" s="48" t="s">
        <v>49</v>
      </c>
      <c r="AF219" s="48" t="s">
        <v>41</v>
      </c>
      <c r="AG219" s="48" t="s">
        <v>41</v>
      </c>
      <c r="AH219" s="48" t="s">
        <v>41</v>
      </c>
      <c r="AI219" s="48" t="s">
        <v>41</v>
      </c>
      <c r="AJ219" s="49" t="s">
        <v>41</v>
      </c>
      <c r="AK219" s="48" t="s">
        <v>41</v>
      </c>
      <c r="AL219" s="62" t="s">
        <v>4587</v>
      </c>
      <c r="AM219" s="62"/>
      <c r="AN219" s="59"/>
      <c r="AO219" s="10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1"/>
    </row>
    <row r="220" spans="1:52" x14ac:dyDescent="0.2">
      <c r="A220" s="33">
        <f t="shared" si="4"/>
        <v>215</v>
      </c>
      <c r="B220" s="34" t="s">
        <v>1794</v>
      </c>
      <c r="C220" s="35" t="s">
        <v>1795</v>
      </c>
      <c r="D220" s="36" t="s">
        <v>1796</v>
      </c>
      <c r="E220" s="36" t="s">
        <v>54</v>
      </c>
      <c r="F220" s="87" t="s">
        <v>1797</v>
      </c>
      <c r="G220" s="37" t="s">
        <v>4660</v>
      </c>
      <c r="H220" s="37" t="s">
        <v>39</v>
      </c>
      <c r="I220" s="38" t="s">
        <v>1798</v>
      </c>
      <c r="J220" s="34" t="s">
        <v>41</v>
      </c>
      <c r="K220" s="39" t="s">
        <v>42</v>
      </c>
      <c r="L220" s="158" t="s">
        <v>1799</v>
      </c>
      <c r="M220" s="56"/>
      <c r="N220" s="56"/>
      <c r="O220" s="56"/>
      <c r="P220" s="56"/>
      <c r="Q220" s="56"/>
      <c r="R220" s="56"/>
      <c r="S220" s="56"/>
      <c r="T220" s="56"/>
      <c r="U220" s="56"/>
      <c r="V220" s="56" t="s">
        <v>732</v>
      </c>
      <c r="W220" s="56"/>
      <c r="X220" s="42" t="s">
        <v>1800</v>
      </c>
      <c r="Y220" s="69" t="s">
        <v>1801</v>
      </c>
      <c r="Z220" s="44"/>
      <c r="AA220" s="45"/>
      <c r="AB220" s="101"/>
      <c r="AC220" s="36" t="s">
        <v>26</v>
      </c>
      <c r="AD220" s="47" t="s">
        <v>49</v>
      </c>
      <c r="AE220" s="48" t="s">
        <v>49</v>
      </c>
      <c r="AF220" s="48" t="s">
        <v>49</v>
      </c>
      <c r="AG220" s="48" t="s">
        <v>49</v>
      </c>
      <c r="AH220" s="48" t="s">
        <v>49</v>
      </c>
      <c r="AI220" s="48" t="s">
        <v>49</v>
      </c>
      <c r="AJ220" s="49" t="s">
        <v>49</v>
      </c>
      <c r="AK220" s="48" t="s">
        <v>49</v>
      </c>
      <c r="AL220" s="65" t="s">
        <v>32</v>
      </c>
      <c r="AM220" s="65"/>
      <c r="AN220" s="59"/>
      <c r="AO220" s="10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1"/>
    </row>
    <row r="221" spans="1:52" x14ac:dyDescent="0.2">
      <c r="A221" s="33">
        <f t="shared" si="4"/>
        <v>216</v>
      </c>
      <c r="B221" s="34" t="s">
        <v>1802</v>
      </c>
      <c r="C221" s="35" t="s">
        <v>1803</v>
      </c>
      <c r="D221" s="36" t="s">
        <v>1804</v>
      </c>
      <c r="E221" s="36" t="s">
        <v>54</v>
      </c>
      <c r="F221" s="200" t="s">
        <v>1805</v>
      </c>
      <c r="G221" s="37" t="s">
        <v>528</v>
      </c>
      <c r="H221" s="37" t="s">
        <v>57</v>
      </c>
      <c r="I221" s="201" t="s">
        <v>1806</v>
      </c>
      <c r="J221" s="34" t="s">
        <v>41</v>
      </c>
      <c r="K221" s="39" t="s">
        <v>42</v>
      </c>
      <c r="L221" s="158" t="s">
        <v>1006</v>
      </c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2" t="s">
        <v>1807</v>
      </c>
      <c r="Y221" s="58" t="s">
        <v>1808</v>
      </c>
      <c r="Z221" s="44" t="s">
        <v>1809</v>
      </c>
      <c r="AA221" s="45">
        <v>43200</v>
      </c>
      <c r="AB221" s="101" t="s">
        <v>30</v>
      </c>
      <c r="AC221" s="36" t="s">
        <v>26</v>
      </c>
      <c r="AD221" s="47" t="s">
        <v>49</v>
      </c>
      <c r="AE221" s="48" t="s">
        <v>49</v>
      </c>
      <c r="AF221" s="48" t="s">
        <v>49</v>
      </c>
      <c r="AG221" s="48" t="s">
        <v>49</v>
      </c>
      <c r="AH221" s="48" t="s">
        <v>49</v>
      </c>
      <c r="AI221" s="48" t="s">
        <v>49</v>
      </c>
      <c r="AJ221" s="49" t="s">
        <v>41</v>
      </c>
      <c r="AK221" s="48" t="s">
        <v>41</v>
      </c>
      <c r="AL221" s="62" t="s">
        <v>276</v>
      </c>
      <c r="AM221" s="62"/>
      <c r="AN221" s="59"/>
      <c r="AO221" s="10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1"/>
    </row>
    <row r="222" spans="1:52" x14ac:dyDescent="0.2">
      <c r="A222" s="33">
        <f t="shared" si="4"/>
        <v>217</v>
      </c>
      <c r="B222" s="34" t="s">
        <v>1810</v>
      </c>
      <c r="C222" s="35" t="s">
        <v>1811</v>
      </c>
      <c r="D222" s="89" t="s">
        <v>1812</v>
      </c>
      <c r="E222" s="36" t="s">
        <v>36</v>
      </c>
      <c r="F222" s="200" t="s">
        <v>1813</v>
      </c>
      <c r="G222" s="37" t="s">
        <v>252</v>
      </c>
      <c r="H222" s="37" t="s">
        <v>57</v>
      </c>
      <c r="I222" s="201" t="s">
        <v>1814</v>
      </c>
      <c r="J222" s="34"/>
      <c r="K222" s="39" t="s">
        <v>42</v>
      </c>
      <c r="L222" s="158" t="s">
        <v>1815</v>
      </c>
      <c r="M222" s="41"/>
      <c r="N222" s="41"/>
      <c r="O222" s="41"/>
      <c r="P222" s="41"/>
      <c r="Q222" s="41"/>
      <c r="R222" s="41"/>
      <c r="S222" s="41"/>
      <c r="T222" s="41"/>
      <c r="U222" s="41"/>
      <c r="V222" s="41" t="s">
        <v>44</v>
      </c>
      <c r="W222" s="41"/>
      <c r="X222" s="201" t="s">
        <v>1816</v>
      </c>
      <c r="Y222" s="58" t="s">
        <v>1817</v>
      </c>
      <c r="Z222" s="44"/>
      <c r="AA222" s="45"/>
      <c r="AB222" s="101"/>
      <c r="AC222" s="36"/>
      <c r="AD222" s="47" t="s">
        <v>49</v>
      </c>
      <c r="AE222" s="48" t="s">
        <v>41</v>
      </c>
      <c r="AF222" s="48" t="s">
        <v>41</v>
      </c>
      <c r="AG222" s="48" t="s">
        <v>41</v>
      </c>
      <c r="AH222" s="48" t="s">
        <v>41</v>
      </c>
      <c r="AI222" s="48" t="s">
        <v>41</v>
      </c>
      <c r="AJ222" s="49" t="s">
        <v>49</v>
      </c>
      <c r="AK222" s="48" t="s">
        <v>49</v>
      </c>
      <c r="AL222" s="65" t="s">
        <v>32</v>
      </c>
      <c r="AM222" s="65"/>
      <c r="AN222" s="59"/>
      <c r="AO222" s="10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1"/>
    </row>
    <row r="223" spans="1:52" x14ac:dyDescent="0.2">
      <c r="A223" s="33">
        <f t="shared" si="4"/>
        <v>218</v>
      </c>
      <c r="B223" s="34" t="s">
        <v>1818</v>
      </c>
      <c r="C223" s="35" t="s">
        <v>1819</v>
      </c>
      <c r="D223" s="174" t="s">
        <v>1820</v>
      </c>
      <c r="E223" s="36" t="s">
        <v>54</v>
      </c>
      <c r="F223" s="34" t="s">
        <v>1821</v>
      </c>
      <c r="G223" s="37" t="s">
        <v>39</v>
      </c>
      <c r="H223" s="37" t="s">
        <v>39</v>
      </c>
      <c r="I223" s="34" t="s">
        <v>1822</v>
      </c>
      <c r="J223" s="34" t="s">
        <v>1823</v>
      </c>
      <c r="K223" s="39" t="s">
        <v>42</v>
      </c>
      <c r="L223" s="158" t="s">
        <v>1824</v>
      </c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2" t="s">
        <v>1825</v>
      </c>
      <c r="Y223" s="58" t="s">
        <v>1826</v>
      </c>
      <c r="Z223" s="44" t="s">
        <v>1827</v>
      </c>
      <c r="AA223" s="45">
        <v>43200</v>
      </c>
      <c r="AB223" s="101" t="s">
        <v>30</v>
      </c>
      <c r="AC223" s="109"/>
      <c r="AD223" s="47" t="s">
        <v>49</v>
      </c>
      <c r="AE223" s="48" t="s">
        <v>41</v>
      </c>
      <c r="AF223" s="48" t="s">
        <v>41</v>
      </c>
      <c r="AG223" s="48" t="s">
        <v>41</v>
      </c>
      <c r="AH223" s="48" t="s">
        <v>41</v>
      </c>
      <c r="AI223" s="48" t="s">
        <v>41</v>
      </c>
      <c r="AJ223" s="49" t="s">
        <v>41</v>
      </c>
      <c r="AK223" s="48" t="s">
        <v>41</v>
      </c>
      <c r="AL223" s="65" t="s">
        <v>4590</v>
      </c>
      <c r="AM223" s="65"/>
      <c r="AN223" s="59" t="s">
        <v>1828</v>
      </c>
      <c r="AO223" s="10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1"/>
    </row>
    <row r="224" spans="1:52" x14ac:dyDescent="0.2">
      <c r="A224" s="33">
        <f t="shared" si="4"/>
        <v>219</v>
      </c>
      <c r="B224" s="34" t="s">
        <v>1829</v>
      </c>
      <c r="C224" s="35" t="s">
        <v>1830</v>
      </c>
      <c r="D224" s="36" t="s">
        <v>1831</v>
      </c>
      <c r="E224" s="36" t="s">
        <v>36</v>
      </c>
      <c r="F224" s="108" t="s">
        <v>1832</v>
      </c>
      <c r="G224" s="37" t="s">
        <v>73</v>
      </c>
      <c r="H224" s="37" t="s">
        <v>73</v>
      </c>
      <c r="I224" s="38" t="s">
        <v>1833</v>
      </c>
      <c r="J224" s="38" t="s">
        <v>1834</v>
      </c>
      <c r="K224" s="39" t="s">
        <v>42</v>
      </c>
      <c r="L224" s="99" t="s">
        <v>1835</v>
      </c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42" t="s">
        <v>1836</v>
      </c>
      <c r="Y224" s="58" t="s">
        <v>1837</v>
      </c>
      <c r="Z224" s="44" t="s">
        <v>1838</v>
      </c>
      <c r="AA224" s="45">
        <v>43200</v>
      </c>
      <c r="AB224" s="101" t="s">
        <v>30</v>
      </c>
      <c r="AC224" s="36" t="s">
        <v>26</v>
      </c>
      <c r="AD224" s="47" t="s">
        <v>49</v>
      </c>
      <c r="AE224" s="48" t="s">
        <v>49</v>
      </c>
      <c r="AF224" s="48" t="s">
        <v>41</v>
      </c>
      <c r="AG224" s="48" t="s">
        <v>41</v>
      </c>
      <c r="AH224" s="48" t="s">
        <v>41</v>
      </c>
      <c r="AI224" s="48" t="s">
        <v>41</v>
      </c>
      <c r="AJ224" s="49" t="s">
        <v>41</v>
      </c>
      <c r="AK224" s="48" t="s">
        <v>41</v>
      </c>
      <c r="AL224" s="62" t="s">
        <v>4587</v>
      </c>
      <c r="AM224" s="62"/>
      <c r="AN224" s="59"/>
      <c r="AO224" s="10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1"/>
    </row>
    <row r="225" spans="1:52" x14ac:dyDescent="0.2">
      <c r="A225" s="33">
        <f t="shared" si="4"/>
        <v>220</v>
      </c>
      <c r="B225" s="34" t="s">
        <v>1839</v>
      </c>
      <c r="C225" s="35" t="s">
        <v>1840</v>
      </c>
      <c r="D225" s="36" t="s">
        <v>1841</v>
      </c>
      <c r="E225" s="36" t="s">
        <v>36</v>
      </c>
      <c r="F225" s="108" t="s">
        <v>1842</v>
      </c>
      <c r="G225" s="37" t="s">
        <v>205</v>
      </c>
      <c r="H225" s="37" t="s">
        <v>205</v>
      </c>
      <c r="I225" s="38" t="s">
        <v>1843</v>
      </c>
      <c r="J225" s="38" t="s">
        <v>41</v>
      </c>
      <c r="K225" s="39" t="s">
        <v>42</v>
      </c>
      <c r="L225" s="120">
        <v>44658</v>
      </c>
      <c r="M225" s="56"/>
      <c r="N225" s="56"/>
      <c r="O225" s="56"/>
      <c r="P225" s="56"/>
      <c r="Q225" s="56"/>
      <c r="R225" s="56"/>
      <c r="S225" s="56" t="s">
        <v>44</v>
      </c>
      <c r="T225" s="56"/>
      <c r="U225" s="56"/>
      <c r="V225" s="56"/>
      <c r="W225" s="56"/>
      <c r="X225" s="42" t="s">
        <v>1844</v>
      </c>
      <c r="Y225" s="58" t="s">
        <v>1845</v>
      </c>
      <c r="Z225" s="44" t="s">
        <v>1846</v>
      </c>
      <c r="AA225" s="45">
        <v>44944</v>
      </c>
      <c r="AB225" s="101" t="s">
        <v>30</v>
      </c>
      <c r="AC225" s="36"/>
      <c r="AD225" s="47" t="s">
        <v>49</v>
      </c>
      <c r="AE225" s="48" t="s">
        <v>41</v>
      </c>
      <c r="AF225" s="48" t="s">
        <v>41</v>
      </c>
      <c r="AG225" s="48" t="s">
        <v>49</v>
      </c>
      <c r="AH225" s="48" t="s">
        <v>49</v>
      </c>
      <c r="AI225" s="48" t="s">
        <v>49</v>
      </c>
      <c r="AJ225" s="49" t="s">
        <v>49</v>
      </c>
      <c r="AK225" s="48" t="s">
        <v>49</v>
      </c>
      <c r="AL225" s="62" t="s">
        <v>32</v>
      </c>
      <c r="AM225" s="62"/>
      <c r="AN225" s="59"/>
      <c r="AO225" s="10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1"/>
    </row>
    <row r="226" spans="1:52" x14ac:dyDescent="0.2">
      <c r="A226" s="33">
        <f t="shared" si="4"/>
        <v>221</v>
      </c>
      <c r="B226" s="108" t="s">
        <v>1847</v>
      </c>
      <c r="C226" s="35" t="s">
        <v>1848</v>
      </c>
      <c r="D226" s="174" t="s">
        <v>1849</v>
      </c>
      <c r="E226" s="36" t="s">
        <v>54</v>
      </c>
      <c r="F226" s="108" t="s">
        <v>1850</v>
      </c>
      <c r="G226" s="37" t="s">
        <v>73</v>
      </c>
      <c r="H226" s="37" t="s">
        <v>73</v>
      </c>
      <c r="I226" s="108" t="s">
        <v>1851</v>
      </c>
      <c r="J226" s="108" t="s">
        <v>1851</v>
      </c>
      <c r="K226" s="39" t="s">
        <v>42</v>
      </c>
      <c r="L226" s="158" t="s">
        <v>1852</v>
      </c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2" t="s">
        <v>1853</v>
      </c>
      <c r="Y226" s="58" t="s">
        <v>1854</v>
      </c>
      <c r="Z226" s="44" t="s">
        <v>1855</v>
      </c>
      <c r="AA226" s="45">
        <v>42935</v>
      </c>
      <c r="AB226" s="101" t="s">
        <v>30</v>
      </c>
      <c r="AC226" s="109" t="s">
        <v>26</v>
      </c>
      <c r="AD226" s="61" t="s">
        <v>49</v>
      </c>
      <c r="AE226" s="48" t="s">
        <v>49</v>
      </c>
      <c r="AF226" s="48" t="s">
        <v>49</v>
      </c>
      <c r="AG226" s="48" t="s">
        <v>49</v>
      </c>
      <c r="AH226" s="48" t="s">
        <v>49</v>
      </c>
      <c r="AI226" s="48" t="s">
        <v>41</v>
      </c>
      <c r="AJ226" s="49" t="s">
        <v>41</v>
      </c>
      <c r="AK226" s="48" t="s">
        <v>41</v>
      </c>
      <c r="AL226" s="62" t="s">
        <v>4589</v>
      </c>
      <c r="AM226" s="62"/>
      <c r="AN226" s="59"/>
      <c r="AO226" s="10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1"/>
    </row>
    <row r="227" spans="1:52" x14ac:dyDescent="0.2">
      <c r="A227" s="33">
        <f t="shared" si="4"/>
        <v>222</v>
      </c>
      <c r="B227" s="34" t="s">
        <v>1856</v>
      </c>
      <c r="C227" s="35" t="s">
        <v>1857</v>
      </c>
      <c r="D227" s="202" t="s">
        <v>1858</v>
      </c>
      <c r="E227" s="36" t="s">
        <v>54</v>
      </c>
      <c r="F227" s="87" t="s">
        <v>1859</v>
      </c>
      <c r="G227" s="37" t="s">
        <v>73</v>
      </c>
      <c r="H227" s="37" t="s">
        <v>73</v>
      </c>
      <c r="I227" s="107" t="s">
        <v>1860</v>
      </c>
      <c r="J227" s="34" t="s">
        <v>1861</v>
      </c>
      <c r="K227" s="39" t="s">
        <v>42</v>
      </c>
      <c r="L227" s="158" t="s">
        <v>1862</v>
      </c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2" t="s">
        <v>1863</v>
      </c>
      <c r="Y227" s="52" t="s">
        <v>1864</v>
      </c>
      <c r="Z227" s="44" t="s">
        <v>61</v>
      </c>
      <c r="AA227" s="45">
        <v>41793</v>
      </c>
      <c r="AB227" s="101" t="s">
        <v>30</v>
      </c>
      <c r="AC227" s="36" t="s">
        <v>26</v>
      </c>
      <c r="AD227" s="61" t="s">
        <v>49</v>
      </c>
      <c r="AE227" s="48" t="s">
        <v>49</v>
      </c>
      <c r="AF227" s="48" t="s">
        <v>49</v>
      </c>
      <c r="AG227" s="48" t="s">
        <v>49</v>
      </c>
      <c r="AH227" s="48" t="s">
        <v>49</v>
      </c>
      <c r="AI227" s="48" t="s">
        <v>49</v>
      </c>
      <c r="AJ227" s="49" t="s">
        <v>49</v>
      </c>
      <c r="AK227" s="48" t="s">
        <v>49</v>
      </c>
      <c r="AL227" s="65" t="s">
        <v>32</v>
      </c>
      <c r="AM227" s="65"/>
      <c r="AN227" s="59"/>
      <c r="AO227" s="10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1"/>
    </row>
    <row r="228" spans="1:52" x14ac:dyDescent="0.2">
      <c r="A228" s="33">
        <f t="shared" si="4"/>
        <v>223</v>
      </c>
      <c r="B228" s="34" t="s">
        <v>1865</v>
      </c>
      <c r="C228" s="35" t="s">
        <v>1866</v>
      </c>
      <c r="D228" s="104" t="s">
        <v>1867</v>
      </c>
      <c r="E228" s="36" t="s">
        <v>54</v>
      </c>
      <c r="F228" s="34" t="s">
        <v>1868</v>
      </c>
      <c r="G228" s="37" t="s">
        <v>73</v>
      </c>
      <c r="H228" s="37" t="s">
        <v>73</v>
      </c>
      <c r="I228" s="34" t="s">
        <v>1860</v>
      </c>
      <c r="J228" s="34" t="s">
        <v>1861</v>
      </c>
      <c r="K228" s="39" t="s">
        <v>42</v>
      </c>
      <c r="L228" s="99" t="s">
        <v>1869</v>
      </c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2" t="s">
        <v>1870</v>
      </c>
      <c r="Y228" s="52" t="s">
        <v>1871</v>
      </c>
      <c r="Z228" s="44" t="s">
        <v>1872</v>
      </c>
      <c r="AA228" s="45">
        <v>40876</v>
      </c>
      <c r="AB228" s="101" t="s">
        <v>30</v>
      </c>
      <c r="AC228" s="36" t="s">
        <v>26</v>
      </c>
      <c r="AD228" s="47" t="s">
        <v>49</v>
      </c>
      <c r="AE228" s="48" t="s">
        <v>49</v>
      </c>
      <c r="AF228" s="48" t="s">
        <v>49</v>
      </c>
      <c r="AG228" s="48" t="s">
        <v>49</v>
      </c>
      <c r="AH228" s="48" t="s">
        <v>49</v>
      </c>
      <c r="AI228" s="48" t="s">
        <v>49</v>
      </c>
      <c r="AJ228" s="49" t="s">
        <v>49</v>
      </c>
      <c r="AK228" s="48" t="s">
        <v>49</v>
      </c>
      <c r="AL228" s="65" t="s">
        <v>32</v>
      </c>
      <c r="AM228" s="65"/>
      <c r="AN228" s="59"/>
      <c r="AO228" s="10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1"/>
    </row>
    <row r="229" spans="1:52" x14ac:dyDescent="0.2">
      <c r="A229" s="33">
        <f t="shared" si="4"/>
        <v>224</v>
      </c>
      <c r="B229" s="34" t="s">
        <v>1873</v>
      </c>
      <c r="C229" s="35" t="s">
        <v>1874</v>
      </c>
      <c r="D229" s="174" t="s">
        <v>1875</v>
      </c>
      <c r="E229" s="36" t="s">
        <v>54</v>
      </c>
      <c r="F229" s="34" t="s">
        <v>1876</v>
      </c>
      <c r="G229" s="37" t="s">
        <v>73</v>
      </c>
      <c r="H229" s="37" t="s">
        <v>73</v>
      </c>
      <c r="I229" s="34" t="s">
        <v>1679</v>
      </c>
      <c r="J229" s="34" t="s">
        <v>1877</v>
      </c>
      <c r="K229" s="39" t="s">
        <v>42</v>
      </c>
      <c r="L229" s="120">
        <v>34984</v>
      </c>
      <c r="M229" s="56"/>
      <c r="N229" s="56"/>
      <c r="O229" s="56"/>
      <c r="P229" s="56"/>
      <c r="Q229" s="56"/>
      <c r="R229" s="56"/>
      <c r="S229" s="56"/>
      <c r="T229" s="56"/>
      <c r="U229" s="56" t="s">
        <v>732</v>
      </c>
      <c r="V229" s="56"/>
      <c r="W229" s="56"/>
      <c r="X229" s="42" t="s">
        <v>1879</v>
      </c>
      <c r="Y229" s="58" t="s">
        <v>1880</v>
      </c>
      <c r="Z229" s="44"/>
      <c r="AA229" s="45"/>
      <c r="AB229" s="101"/>
      <c r="AC229" s="36" t="s">
        <v>26</v>
      </c>
      <c r="AD229" s="47" t="s">
        <v>49</v>
      </c>
      <c r="AE229" s="48" t="s">
        <v>49</v>
      </c>
      <c r="AF229" s="48" t="s">
        <v>49</v>
      </c>
      <c r="AG229" s="48" t="s">
        <v>49</v>
      </c>
      <c r="AH229" s="48" t="s">
        <v>49</v>
      </c>
      <c r="AI229" s="48" t="s">
        <v>49</v>
      </c>
      <c r="AJ229" s="49" t="s">
        <v>49</v>
      </c>
      <c r="AK229" s="48" t="s">
        <v>49</v>
      </c>
      <c r="AL229" s="65" t="s">
        <v>32</v>
      </c>
      <c r="AM229" s="65"/>
      <c r="AN229" s="59"/>
      <c r="AO229" s="10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1"/>
    </row>
    <row r="230" spans="1:52" x14ac:dyDescent="0.2">
      <c r="A230" s="33">
        <f t="shared" si="4"/>
        <v>225</v>
      </c>
      <c r="B230" s="34" t="s">
        <v>1881</v>
      </c>
      <c r="C230" s="35" t="s">
        <v>1882</v>
      </c>
      <c r="D230" s="174" t="s">
        <v>1883</v>
      </c>
      <c r="E230" s="36" t="s">
        <v>54</v>
      </c>
      <c r="F230" s="34" t="s">
        <v>1884</v>
      </c>
      <c r="G230" s="37" t="s">
        <v>73</v>
      </c>
      <c r="H230" s="37" t="s">
        <v>73</v>
      </c>
      <c r="I230" s="38" t="s">
        <v>1885</v>
      </c>
      <c r="J230" s="34" t="s">
        <v>1886</v>
      </c>
      <c r="K230" s="39" t="s">
        <v>42</v>
      </c>
      <c r="L230" s="120" t="s">
        <v>1887</v>
      </c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42" t="s">
        <v>1888</v>
      </c>
      <c r="Y230" s="58" t="s">
        <v>1889</v>
      </c>
      <c r="Z230" s="44" t="s">
        <v>1890</v>
      </c>
      <c r="AA230" s="45">
        <v>44041</v>
      </c>
      <c r="AB230" s="101" t="s">
        <v>30</v>
      </c>
      <c r="AC230" s="36" t="s">
        <v>26</v>
      </c>
      <c r="AD230" s="47" t="s">
        <v>49</v>
      </c>
      <c r="AE230" s="48" t="s">
        <v>49</v>
      </c>
      <c r="AF230" s="48" t="s">
        <v>49</v>
      </c>
      <c r="AG230" s="48" t="s">
        <v>49</v>
      </c>
      <c r="AH230" s="48" t="s">
        <v>49</v>
      </c>
      <c r="AI230" s="48" t="s">
        <v>49</v>
      </c>
      <c r="AJ230" s="49" t="s">
        <v>49</v>
      </c>
      <c r="AK230" s="48" t="s">
        <v>41</v>
      </c>
      <c r="AL230" s="65" t="s">
        <v>148</v>
      </c>
      <c r="AM230" s="65"/>
      <c r="AN230" s="59"/>
      <c r="AO230" s="10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1"/>
    </row>
    <row r="231" spans="1:52" x14ac:dyDescent="0.2">
      <c r="A231" s="33">
        <f t="shared" si="4"/>
        <v>226</v>
      </c>
      <c r="B231" s="72" t="s">
        <v>1891</v>
      </c>
      <c r="C231" s="35" t="s">
        <v>1892</v>
      </c>
      <c r="D231" s="36" t="s">
        <v>1893</v>
      </c>
      <c r="E231" s="36" t="s">
        <v>54</v>
      </c>
      <c r="F231" s="72" t="s">
        <v>1894</v>
      </c>
      <c r="G231" s="75" t="s">
        <v>252</v>
      </c>
      <c r="H231" s="75" t="s">
        <v>57</v>
      </c>
      <c r="I231" s="72" t="s">
        <v>1895</v>
      </c>
      <c r="J231" s="72" t="s">
        <v>41</v>
      </c>
      <c r="K231" s="77" t="s">
        <v>42</v>
      </c>
      <c r="L231" s="203" t="s">
        <v>556</v>
      </c>
      <c r="M231" s="156"/>
      <c r="N231" s="204"/>
      <c r="O231" s="205"/>
      <c r="P231" s="204"/>
      <c r="Q231" s="205"/>
      <c r="R231" s="205"/>
      <c r="S231" s="205"/>
      <c r="T231" s="156"/>
      <c r="U231" s="156" t="s">
        <v>732</v>
      </c>
      <c r="V231" s="156"/>
      <c r="W231" s="156"/>
      <c r="X231" s="42" t="s">
        <v>1896</v>
      </c>
      <c r="Y231" s="52" t="s">
        <v>1897</v>
      </c>
      <c r="Z231" s="44"/>
      <c r="AA231" s="45"/>
      <c r="AB231" s="206"/>
      <c r="AC231" s="154" t="s">
        <v>26</v>
      </c>
      <c r="AD231" s="81" t="s">
        <v>49</v>
      </c>
      <c r="AE231" s="48" t="s">
        <v>49</v>
      </c>
      <c r="AF231" s="48" t="s">
        <v>49</v>
      </c>
      <c r="AG231" s="48" t="s">
        <v>49</v>
      </c>
      <c r="AH231" s="48" t="s">
        <v>49</v>
      </c>
      <c r="AI231" s="48" t="s">
        <v>49</v>
      </c>
      <c r="AJ231" s="49" t="s">
        <v>49</v>
      </c>
      <c r="AK231" s="48" t="s">
        <v>49</v>
      </c>
      <c r="AL231" s="62" t="s">
        <v>32</v>
      </c>
      <c r="AM231" s="62"/>
      <c r="AN231" s="59"/>
      <c r="AO231" s="10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1"/>
    </row>
    <row r="232" spans="1:52" x14ac:dyDescent="0.2">
      <c r="A232" s="33">
        <f t="shared" si="4"/>
        <v>227</v>
      </c>
      <c r="B232" s="34" t="s">
        <v>1898</v>
      </c>
      <c r="C232" s="35" t="s">
        <v>1899</v>
      </c>
      <c r="D232" s="36" t="s">
        <v>1900</v>
      </c>
      <c r="E232" s="36" t="s">
        <v>54</v>
      </c>
      <c r="F232" s="34" t="s">
        <v>1901</v>
      </c>
      <c r="G232" s="37" t="s">
        <v>205</v>
      </c>
      <c r="H232" s="37" t="s">
        <v>205</v>
      </c>
      <c r="I232" s="34" t="s">
        <v>1902</v>
      </c>
      <c r="J232" s="34" t="s">
        <v>1903</v>
      </c>
      <c r="K232" s="39" t="s">
        <v>42</v>
      </c>
      <c r="L232" s="120">
        <v>34761</v>
      </c>
      <c r="M232" s="41"/>
      <c r="N232" s="177"/>
      <c r="O232" s="112"/>
      <c r="P232" s="177"/>
      <c r="Q232" s="112"/>
      <c r="R232" s="112"/>
      <c r="S232" s="112"/>
      <c r="T232" s="41"/>
      <c r="U232" s="41"/>
      <c r="V232" s="41"/>
      <c r="W232" s="41"/>
      <c r="X232" s="42" t="s">
        <v>1904</v>
      </c>
      <c r="Y232" s="43" t="s">
        <v>1905</v>
      </c>
      <c r="Z232" s="44" t="s">
        <v>61</v>
      </c>
      <c r="AA232" s="45">
        <v>36641</v>
      </c>
      <c r="AB232" s="101" t="s">
        <v>30</v>
      </c>
      <c r="AC232" s="36" t="s">
        <v>26</v>
      </c>
      <c r="AD232" s="47" t="s">
        <v>49</v>
      </c>
      <c r="AE232" s="48" t="s">
        <v>49</v>
      </c>
      <c r="AF232" s="48" t="s">
        <v>49</v>
      </c>
      <c r="AG232" s="48" t="s">
        <v>49</v>
      </c>
      <c r="AH232" s="48" t="s">
        <v>49</v>
      </c>
      <c r="AI232" s="48" t="s">
        <v>41</v>
      </c>
      <c r="AJ232" s="49" t="s">
        <v>41</v>
      </c>
      <c r="AK232" s="48" t="s">
        <v>41</v>
      </c>
      <c r="AL232" s="62" t="s">
        <v>4589</v>
      </c>
      <c r="AM232" s="62"/>
      <c r="AN232" s="59"/>
      <c r="AO232" s="10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1"/>
    </row>
    <row r="233" spans="1:52" x14ac:dyDescent="0.2">
      <c r="A233" s="33">
        <f t="shared" si="4"/>
        <v>228</v>
      </c>
      <c r="B233" s="34" t="s">
        <v>1906</v>
      </c>
      <c r="C233" s="35" t="s">
        <v>1907</v>
      </c>
      <c r="D233" s="36" t="s">
        <v>1908</v>
      </c>
      <c r="E233" s="36" t="s">
        <v>54</v>
      </c>
      <c r="F233" s="34" t="s">
        <v>1909</v>
      </c>
      <c r="G233" s="37" t="s">
        <v>205</v>
      </c>
      <c r="H233" s="37" t="s">
        <v>205</v>
      </c>
      <c r="I233" s="34" t="s">
        <v>1910</v>
      </c>
      <c r="J233" s="34" t="s">
        <v>41</v>
      </c>
      <c r="K233" s="39" t="s">
        <v>42</v>
      </c>
      <c r="L233" s="120">
        <v>33428</v>
      </c>
      <c r="M233" s="56"/>
      <c r="N233" s="114"/>
      <c r="O233" s="115"/>
      <c r="P233" s="114"/>
      <c r="Q233" s="115"/>
      <c r="R233" s="115"/>
      <c r="S233" s="115"/>
      <c r="T233" s="56"/>
      <c r="U233" s="56"/>
      <c r="V233" s="56"/>
      <c r="W233" s="56"/>
      <c r="X233" s="42" t="s">
        <v>1911</v>
      </c>
      <c r="Y233" s="43" t="s">
        <v>1912</v>
      </c>
      <c r="Z233" s="119" t="s">
        <v>61</v>
      </c>
      <c r="AA233" s="45">
        <v>36641</v>
      </c>
      <c r="AB233" s="101" t="s">
        <v>30</v>
      </c>
      <c r="AC233" s="36" t="s">
        <v>26</v>
      </c>
      <c r="AD233" s="47" t="s">
        <v>49</v>
      </c>
      <c r="AE233" s="48" t="s">
        <v>49</v>
      </c>
      <c r="AF233" s="48" t="s">
        <v>49</v>
      </c>
      <c r="AG233" s="48" t="s">
        <v>49</v>
      </c>
      <c r="AH233" s="48" t="s">
        <v>41</v>
      </c>
      <c r="AI233" s="48" t="s">
        <v>41</v>
      </c>
      <c r="AJ233" s="49" t="s">
        <v>41</v>
      </c>
      <c r="AK233" s="48" t="s">
        <v>41</v>
      </c>
      <c r="AL233" s="62" t="s">
        <v>139</v>
      </c>
      <c r="AM233" s="62"/>
      <c r="AN233" s="59"/>
      <c r="AO233" s="102"/>
      <c r="AP233" s="3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1"/>
    </row>
    <row r="234" spans="1:52" ht="18" customHeight="1" x14ac:dyDescent="0.2">
      <c r="A234" s="33">
        <f t="shared" si="4"/>
        <v>229</v>
      </c>
      <c r="B234" s="107" t="s">
        <v>1913</v>
      </c>
      <c r="C234" s="35" t="s">
        <v>1914</v>
      </c>
      <c r="D234" s="36" t="s">
        <v>1915</v>
      </c>
      <c r="E234" s="36" t="s">
        <v>54</v>
      </c>
      <c r="F234" s="34" t="s">
        <v>1916</v>
      </c>
      <c r="G234" s="37" t="s">
        <v>73</v>
      </c>
      <c r="H234" s="37" t="s">
        <v>73</v>
      </c>
      <c r="I234" s="183" t="s">
        <v>1917</v>
      </c>
      <c r="J234" s="34" t="s">
        <v>41</v>
      </c>
      <c r="K234" s="39" t="s">
        <v>42</v>
      </c>
      <c r="L234" s="120">
        <v>44447</v>
      </c>
      <c r="M234" s="56"/>
      <c r="N234" s="186"/>
      <c r="O234" s="115"/>
      <c r="P234" s="186"/>
      <c r="Q234" s="115"/>
      <c r="R234" s="115" t="s">
        <v>44</v>
      </c>
      <c r="S234" s="115"/>
      <c r="T234" s="56"/>
      <c r="U234" s="56"/>
      <c r="V234" s="56"/>
      <c r="W234" s="56"/>
      <c r="X234" s="42" t="s">
        <v>1918</v>
      </c>
      <c r="Y234" s="43" t="s">
        <v>1919</v>
      </c>
      <c r="Z234" s="207" t="s">
        <v>1920</v>
      </c>
      <c r="AA234" s="45">
        <v>44944</v>
      </c>
      <c r="AB234" s="101" t="s">
        <v>30</v>
      </c>
      <c r="AC234" s="36"/>
      <c r="AD234" s="47" t="s">
        <v>49</v>
      </c>
      <c r="AE234" s="48" t="s">
        <v>41</v>
      </c>
      <c r="AF234" s="48" t="s">
        <v>49</v>
      </c>
      <c r="AG234" s="48" t="s">
        <v>49</v>
      </c>
      <c r="AH234" s="48" t="s">
        <v>49</v>
      </c>
      <c r="AI234" s="48" t="s">
        <v>41</v>
      </c>
      <c r="AJ234" s="49" t="s">
        <v>41</v>
      </c>
      <c r="AK234" s="48" t="s">
        <v>41</v>
      </c>
      <c r="AL234" s="62" t="s">
        <v>4589</v>
      </c>
      <c r="AM234" s="62"/>
      <c r="AN234" s="59"/>
      <c r="AO234" s="102"/>
      <c r="AP234" s="3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1"/>
    </row>
    <row r="235" spans="1:52" x14ac:dyDescent="0.2">
      <c r="A235" s="33">
        <f t="shared" si="4"/>
        <v>230</v>
      </c>
      <c r="B235" s="34" t="s">
        <v>1921</v>
      </c>
      <c r="C235" s="35" t="s">
        <v>1922</v>
      </c>
      <c r="D235" s="36" t="s">
        <v>1923</v>
      </c>
      <c r="E235" s="36" t="s">
        <v>54</v>
      </c>
      <c r="F235" s="34" t="s">
        <v>1924</v>
      </c>
      <c r="G235" s="37" t="s">
        <v>176</v>
      </c>
      <c r="H235" s="37" t="s">
        <v>39</v>
      </c>
      <c r="I235" s="38" t="s">
        <v>1925</v>
      </c>
      <c r="J235" s="34" t="s">
        <v>41</v>
      </c>
      <c r="K235" s="39" t="s">
        <v>42</v>
      </c>
      <c r="L235" s="120">
        <v>45803</v>
      </c>
      <c r="M235" s="56"/>
      <c r="N235" s="147"/>
      <c r="O235" s="115"/>
      <c r="P235" s="56"/>
      <c r="Q235" s="115" t="s">
        <v>179</v>
      </c>
      <c r="R235" s="115"/>
      <c r="S235" s="115"/>
      <c r="T235" s="56"/>
      <c r="U235" s="56"/>
      <c r="V235" s="56" t="s">
        <v>44</v>
      </c>
      <c r="W235" s="56"/>
      <c r="X235" s="38" t="s">
        <v>1926</v>
      </c>
      <c r="Y235" s="55" t="s">
        <v>1927</v>
      </c>
      <c r="Z235" s="207"/>
      <c r="AA235" s="45"/>
      <c r="AB235" s="101"/>
      <c r="AC235" s="36"/>
      <c r="AD235" s="47" t="s">
        <v>49</v>
      </c>
      <c r="AE235" s="48" t="s">
        <v>41</v>
      </c>
      <c r="AF235" s="48" t="s">
        <v>41</v>
      </c>
      <c r="AG235" s="48" t="s">
        <v>41</v>
      </c>
      <c r="AH235" s="48" t="s">
        <v>41</v>
      </c>
      <c r="AI235" s="48" t="s">
        <v>41</v>
      </c>
      <c r="AJ235" s="49" t="s">
        <v>49</v>
      </c>
      <c r="AK235" s="48" t="s">
        <v>49</v>
      </c>
      <c r="AL235" s="62" t="s">
        <v>32</v>
      </c>
      <c r="AM235" s="62"/>
      <c r="AN235" s="59"/>
      <c r="AO235" s="102"/>
      <c r="AP235" s="3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1"/>
    </row>
    <row r="236" spans="1:52" x14ac:dyDescent="0.2">
      <c r="A236" s="33">
        <f t="shared" si="4"/>
        <v>231</v>
      </c>
      <c r="B236" s="108" t="s">
        <v>1928</v>
      </c>
      <c r="C236" s="35" t="s">
        <v>1929</v>
      </c>
      <c r="D236" s="36" t="s">
        <v>1930</v>
      </c>
      <c r="E236" s="36" t="s">
        <v>54</v>
      </c>
      <c r="F236" s="34" t="s">
        <v>1931</v>
      </c>
      <c r="G236" s="37" t="s">
        <v>243</v>
      </c>
      <c r="H236" s="37" t="s">
        <v>205</v>
      </c>
      <c r="I236" s="140" t="s">
        <v>1932</v>
      </c>
      <c r="J236" s="34" t="s">
        <v>41</v>
      </c>
      <c r="K236" s="39" t="s">
        <v>42</v>
      </c>
      <c r="L236" s="120">
        <v>43070</v>
      </c>
      <c r="M236" s="56"/>
      <c r="N236" s="114"/>
      <c r="O236" s="115"/>
      <c r="P236" s="114"/>
      <c r="Q236" s="115"/>
      <c r="R236" s="115"/>
      <c r="S236" s="115"/>
      <c r="T236" s="56"/>
      <c r="U236" s="56"/>
      <c r="V236" s="56"/>
      <c r="W236" s="56"/>
      <c r="X236" s="42" t="s">
        <v>1933</v>
      </c>
      <c r="Y236" s="52" t="s">
        <v>1934</v>
      </c>
      <c r="Z236" s="44" t="s">
        <v>1935</v>
      </c>
      <c r="AA236" s="45">
        <v>42935</v>
      </c>
      <c r="AB236" s="101" t="s">
        <v>30</v>
      </c>
      <c r="AC236" s="73" t="s">
        <v>26</v>
      </c>
      <c r="AD236" s="47" t="s">
        <v>49</v>
      </c>
      <c r="AE236" s="48" t="s">
        <v>49</v>
      </c>
      <c r="AF236" s="48" t="s">
        <v>49</v>
      </c>
      <c r="AG236" s="48" t="s">
        <v>49</v>
      </c>
      <c r="AH236" s="48" t="s">
        <v>49</v>
      </c>
      <c r="AI236" s="48" t="s">
        <v>49</v>
      </c>
      <c r="AJ236" s="49" t="s">
        <v>49</v>
      </c>
      <c r="AK236" s="48" t="s">
        <v>49</v>
      </c>
      <c r="AL236" s="62" t="s">
        <v>32</v>
      </c>
      <c r="AM236" s="62"/>
      <c r="AN236" s="59"/>
      <c r="AO236" s="117"/>
      <c r="AP236" s="32"/>
      <c r="AQ236" s="32"/>
      <c r="AR236" s="32"/>
      <c r="AS236" s="32"/>
      <c r="AT236" s="32"/>
      <c r="AU236" s="32"/>
      <c r="AV236" s="32"/>
      <c r="AW236" s="32"/>
      <c r="AX236" s="32"/>
      <c r="AY236" s="32"/>
      <c r="AZ236" s="31"/>
    </row>
    <row r="237" spans="1:52" x14ac:dyDescent="0.2">
      <c r="A237" s="33">
        <f t="shared" si="4"/>
        <v>232</v>
      </c>
      <c r="B237" s="34" t="s">
        <v>1936</v>
      </c>
      <c r="C237" s="35" t="s">
        <v>1937</v>
      </c>
      <c r="D237" s="36" t="s">
        <v>1938</v>
      </c>
      <c r="E237" s="36" t="s">
        <v>54</v>
      </c>
      <c r="F237" s="34" t="s">
        <v>1939</v>
      </c>
      <c r="G237" s="37" t="s">
        <v>323</v>
      </c>
      <c r="H237" s="37" t="s">
        <v>39</v>
      </c>
      <c r="I237" s="34" t="s">
        <v>1940</v>
      </c>
      <c r="J237" s="34" t="s">
        <v>41</v>
      </c>
      <c r="K237" s="39" t="s">
        <v>42</v>
      </c>
      <c r="L237" s="120">
        <v>37718</v>
      </c>
      <c r="M237" s="41"/>
      <c r="N237" s="177"/>
      <c r="O237" s="112"/>
      <c r="P237" s="177"/>
      <c r="Q237" s="112"/>
      <c r="R237" s="112"/>
      <c r="S237" s="41"/>
      <c r="T237" s="41"/>
      <c r="U237" s="41"/>
      <c r="V237" s="41"/>
      <c r="W237" s="41"/>
      <c r="X237" s="42" t="s">
        <v>1941</v>
      </c>
      <c r="Y237" s="52" t="s">
        <v>1942</v>
      </c>
      <c r="Z237" s="44" t="s">
        <v>61</v>
      </c>
      <c r="AA237" s="45">
        <v>38593</v>
      </c>
      <c r="AB237" s="101" t="s">
        <v>30</v>
      </c>
      <c r="AC237" s="36" t="s">
        <v>26</v>
      </c>
      <c r="AD237" s="47" t="s">
        <v>49</v>
      </c>
      <c r="AE237" s="48" t="s">
        <v>49</v>
      </c>
      <c r="AF237" s="48" t="s">
        <v>49</v>
      </c>
      <c r="AG237" s="48" t="s">
        <v>41</v>
      </c>
      <c r="AH237" s="48" t="s">
        <v>41</v>
      </c>
      <c r="AI237" s="48" t="s">
        <v>41</v>
      </c>
      <c r="AJ237" s="49" t="s">
        <v>41</v>
      </c>
      <c r="AK237" s="48" t="s">
        <v>41</v>
      </c>
      <c r="AL237" s="62" t="s">
        <v>110</v>
      </c>
      <c r="AM237" s="62"/>
      <c r="AN237" s="59"/>
      <c r="AO237" s="10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1"/>
    </row>
    <row r="238" spans="1:52" x14ac:dyDescent="0.2">
      <c r="A238" s="33">
        <f t="shared" si="4"/>
        <v>233</v>
      </c>
      <c r="B238" s="34" t="s">
        <v>4668</v>
      </c>
      <c r="C238" s="35" t="s">
        <v>1944</v>
      </c>
      <c r="D238" s="36" t="s">
        <v>1945</v>
      </c>
      <c r="E238" s="36" t="s">
        <v>54</v>
      </c>
      <c r="F238" s="98" t="s">
        <v>1946</v>
      </c>
      <c r="G238" s="37" t="s">
        <v>73</v>
      </c>
      <c r="H238" s="37" t="s">
        <v>73</v>
      </c>
      <c r="I238" s="38" t="s">
        <v>1947</v>
      </c>
      <c r="J238" s="34" t="s">
        <v>41</v>
      </c>
      <c r="K238" s="39" t="s">
        <v>42</v>
      </c>
      <c r="L238" s="120">
        <v>45084</v>
      </c>
      <c r="M238" s="41"/>
      <c r="N238" s="177"/>
      <c r="O238" s="112"/>
      <c r="P238" s="177">
        <v>1</v>
      </c>
      <c r="Q238" s="112"/>
      <c r="R238" s="112"/>
      <c r="S238" s="41"/>
      <c r="T238" s="41" t="s">
        <v>44</v>
      </c>
      <c r="U238" s="41"/>
      <c r="V238" s="41"/>
      <c r="W238" s="41"/>
      <c r="X238" s="42" t="s">
        <v>1948</v>
      </c>
      <c r="Y238" s="55" t="s">
        <v>1949</v>
      </c>
      <c r="Z238" s="119"/>
      <c r="AA238" s="45" t="s">
        <v>47</v>
      </c>
      <c r="AB238" s="101"/>
      <c r="AC238" s="36"/>
      <c r="AD238" s="66" t="s">
        <v>130</v>
      </c>
      <c r="AE238" s="48" t="s">
        <v>41</v>
      </c>
      <c r="AF238" s="48" t="s">
        <v>41</v>
      </c>
      <c r="AG238" s="48" t="s">
        <v>41</v>
      </c>
      <c r="AH238" s="48" t="s">
        <v>130</v>
      </c>
      <c r="AI238" s="48" t="s">
        <v>130</v>
      </c>
      <c r="AJ238" s="49" t="s">
        <v>130</v>
      </c>
      <c r="AK238" s="48" t="s">
        <v>130</v>
      </c>
      <c r="AL238" s="65" t="s">
        <v>32</v>
      </c>
      <c r="AM238" s="65"/>
      <c r="AN238" s="59"/>
      <c r="AO238" s="102"/>
      <c r="AP238" s="3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1"/>
    </row>
    <row r="239" spans="1:52" x14ac:dyDescent="0.2">
      <c r="A239" s="33">
        <f t="shared" si="4"/>
        <v>234</v>
      </c>
      <c r="B239" s="34" t="s">
        <v>1950</v>
      </c>
      <c r="C239" s="35" t="s">
        <v>1951</v>
      </c>
      <c r="D239" s="36" t="s">
        <v>1952</v>
      </c>
      <c r="E239" s="36" t="s">
        <v>54</v>
      </c>
      <c r="F239" s="34" t="s">
        <v>1953</v>
      </c>
      <c r="G239" s="37" t="s">
        <v>39</v>
      </c>
      <c r="H239" s="37" t="s">
        <v>39</v>
      </c>
      <c r="I239" s="38" t="s">
        <v>1954</v>
      </c>
      <c r="J239" s="34" t="s">
        <v>41</v>
      </c>
      <c r="K239" s="39" t="s">
        <v>42</v>
      </c>
      <c r="L239" s="120" t="s">
        <v>1955</v>
      </c>
      <c r="M239" s="41"/>
      <c r="N239" s="41"/>
      <c r="O239" s="41"/>
      <c r="P239" s="41"/>
      <c r="Q239" s="41"/>
      <c r="R239" s="41"/>
      <c r="S239" s="41" t="s">
        <v>44</v>
      </c>
      <c r="T239" s="41"/>
      <c r="U239" s="41"/>
      <c r="V239" s="41" t="s">
        <v>732</v>
      </c>
      <c r="W239" s="41"/>
      <c r="X239" s="42" t="s">
        <v>1956</v>
      </c>
      <c r="Y239" s="43" t="s">
        <v>1957</v>
      </c>
      <c r="Z239" s="84" t="s">
        <v>1958</v>
      </c>
      <c r="AA239" s="45">
        <v>44650</v>
      </c>
      <c r="AB239" s="101" t="s">
        <v>30</v>
      </c>
      <c r="AC239" s="36"/>
      <c r="AD239" s="47" t="s">
        <v>49</v>
      </c>
      <c r="AE239" s="48" t="s">
        <v>41</v>
      </c>
      <c r="AF239" s="48" t="s">
        <v>41</v>
      </c>
      <c r="AG239" s="48" t="s">
        <v>49</v>
      </c>
      <c r="AH239" s="48" t="s">
        <v>49</v>
      </c>
      <c r="AI239" s="48" t="s">
        <v>49</v>
      </c>
      <c r="AJ239" s="49" t="s">
        <v>49</v>
      </c>
      <c r="AK239" s="48" t="s">
        <v>49</v>
      </c>
      <c r="AL239" s="62" t="s">
        <v>32</v>
      </c>
      <c r="AM239" s="62"/>
      <c r="AN239" s="59"/>
      <c r="AO239" s="102"/>
      <c r="AP239" s="3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1"/>
    </row>
    <row r="240" spans="1:52" ht="26.25" customHeight="1" x14ac:dyDescent="0.2">
      <c r="A240" s="33">
        <f t="shared" si="4"/>
        <v>235</v>
      </c>
      <c r="B240" s="34" t="s">
        <v>1959</v>
      </c>
      <c r="C240" s="35" t="s">
        <v>1960</v>
      </c>
      <c r="D240" s="36" t="s">
        <v>1961</v>
      </c>
      <c r="E240" s="36" t="s">
        <v>54</v>
      </c>
      <c r="F240" s="34" t="s">
        <v>1962</v>
      </c>
      <c r="G240" s="37" t="s">
        <v>73</v>
      </c>
      <c r="H240" s="37" t="s">
        <v>73</v>
      </c>
      <c r="I240" s="34" t="s">
        <v>1963</v>
      </c>
      <c r="J240" s="34" t="s">
        <v>1964</v>
      </c>
      <c r="K240" s="39" t="s">
        <v>42</v>
      </c>
      <c r="L240" s="120" t="s">
        <v>628</v>
      </c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57" t="s">
        <v>1965</v>
      </c>
      <c r="Y240" s="43" t="s">
        <v>1966</v>
      </c>
      <c r="Z240" s="207" t="s">
        <v>1967</v>
      </c>
      <c r="AA240" s="45">
        <v>44944</v>
      </c>
      <c r="AB240" s="101" t="s">
        <v>30</v>
      </c>
      <c r="AC240" s="36" t="s">
        <v>26</v>
      </c>
      <c r="AD240" s="47" t="s">
        <v>49</v>
      </c>
      <c r="AE240" s="48" t="s">
        <v>49</v>
      </c>
      <c r="AF240" s="48" t="s">
        <v>49</v>
      </c>
      <c r="AG240" s="48" t="s">
        <v>49</v>
      </c>
      <c r="AH240" s="48" t="s">
        <v>49</v>
      </c>
      <c r="AI240" s="48" t="s">
        <v>49</v>
      </c>
      <c r="AJ240" s="49" t="s">
        <v>49</v>
      </c>
      <c r="AK240" s="48" t="s">
        <v>49</v>
      </c>
      <c r="AL240" s="65" t="s">
        <v>32</v>
      </c>
      <c r="AM240" s="325"/>
      <c r="AN240" s="134"/>
      <c r="AO240" s="102"/>
      <c r="AP240" s="3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1"/>
    </row>
    <row r="241" spans="1:52" x14ac:dyDescent="0.2">
      <c r="A241" s="33">
        <f t="shared" si="4"/>
        <v>236</v>
      </c>
      <c r="B241" s="34" t="s">
        <v>1968</v>
      </c>
      <c r="C241" s="35" t="s">
        <v>1969</v>
      </c>
      <c r="D241" s="36" t="s">
        <v>1970</v>
      </c>
      <c r="E241" s="36" t="s">
        <v>54</v>
      </c>
      <c r="F241" s="34" t="s">
        <v>1971</v>
      </c>
      <c r="G241" s="37" t="s">
        <v>73</v>
      </c>
      <c r="H241" s="37" t="s">
        <v>73</v>
      </c>
      <c r="I241" s="38" t="s">
        <v>1972</v>
      </c>
      <c r="J241" s="34" t="s">
        <v>41</v>
      </c>
      <c r="K241" s="39" t="s">
        <v>42</v>
      </c>
      <c r="L241" s="120">
        <v>45143</v>
      </c>
      <c r="M241" s="41"/>
      <c r="N241" s="41"/>
      <c r="O241" s="41"/>
      <c r="P241" s="41"/>
      <c r="Q241" s="41"/>
      <c r="R241" s="41"/>
      <c r="S241" s="41"/>
      <c r="T241" s="41" t="s">
        <v>44</v>
      </c>
      <c r="U241" s="41"/>
      <c r="V241" s="41"/>
      <c r="W241" s="41"/>
      <c r="X241" s="38" t="s">
        <v>1973</v>
      </c>
      <c r="Y241" s="43" t="s">
        <v>1974</v>
      </c>
      <c r="Z241" s="44"/>
      <c r="AA241" s="45" t="s">
        <v>47</v>
      </c>
      <c r="AB241" s="101"/>
      <c r="AC241" s="36"/>
      <c r="AD241" s="47" t="s">
        <v>49</v>
      </c>
      <c r="AE241" s="48" t="s">
        <v>41</v>
      </c>
      <c r="AF241" s="48" t="s">
        <v>41</v>
      </c>
      <c r="AG241" s="48" t="s">
        <v>41</v>
      </c>
      <c r="AH241" s="48" t="s">
        <v>49</v>
      </c>
      <c r="AI241" s="48" t="s">
        <v>49</v>
      </c>
      <c r="AJ241" s="49" t="s">
        <v>49</v>
      </c>
      <c r="AK241" s="48" t="s">
        <v>49</v>
      </c>
      <c r="AL241" s="62" t="s">
        <v>32</v>
      </c>
      <c r="AM241" s="232"/>
      <c r="AN241" s="134"/>
      <c r="AO241" s="10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1"/>
    </row>
    <row r="242" spans="1:52" x14ac:dyDescent="0.2">
      <c r="A242" s="33">
        <f t="shared" si="4"/>
        <v>237</v>
      </c>
      <c r="B242" s="34" t="s">
        <v>1975</v>
      </c>
      <c r="C242" s="35" t="s">
        <v>1976</v>
      </c>
      <c r="D242" s="36" t="s">
        <v>1977</v>
      </c>
      <c r="E242" s="36" t="s">
        <v>54</v>
      </c>
      <c r="F242" s="34" t="s">
        <v>1978</v>
      </c>
      <c r="G242" s="37" t="s">
        <v>4605</v>
      </c>
      <c r="H242" s="37" t="s">
        <v>205</v>
      </c>
      <c r="I242" s="38" t="s">
        <v>1979</v>
      </c>
      <c r="J242" s="34" t="s">
        <v>41</v>
      </c>
      <c r="K242" s="39" t="s">
        <v>42</v>
      </c>
      <c r="L242" s="120">
        <v>45357</v>
      </c>
      <c r="M242" s="112"/>
      <c r="N242" s="112"/>
      <c r="O242" s="112"/>
      <c r="P242" s="112"/>
      <c r="Q242" s="112" t="s">
        <v>179</v>
      </c>
      <c r="R242" s="112"/>
      <c r="S242" s="112"/>
      <c r="T242" s="41"/>
      <c r="U242" s="41" t="s">
        <v>44</v>
      </c>
      <c r="V242" s="41"/>
      <c r="W242" s="41"/>
      <c r="X242" s="54" t="s">
        <v>1980</v>
      </c>
      <c r="Y242" s="43" t="s">
        <v>1981</v>
      </c>
      <c r="Z242" s="44"/>
      <c r="AA242" s="45"/>
      <c r="AB242" s="101"/>
      <c r="AC242" s="36"/>
      <c r="AD242" s="47" t="s">
        <v>49</v>
      </c>
      <c r="AE242" s="48" t="s">
        <v>41</v>
      </c>
      <c r="AF242" s="48" t="s">
        <v>41</v>
      </c>
      <c r="AG242" s="48" t="s">
        <v>41</v>
      </c>
      <c r="AH242" s="48" t="s">
        <v>41</v>
      </c>
      <c r="AI242" s="48" t="s">
        <v>49</v>
      </c>
      <c r="AJ242" s="49" t="s">
        <v>41</v>
      </c>
      <c r="AK242" s="48" t="s">
        <v>41</v>
      </c>
      <c r="AL242" s="62" t="s">
        <v>276</v>
      </c>
      <c r="AM242" s="62"/>
      <c r="AN242" s="59"/>
      <c r="AO242" s="102"/>
      <c r="AP242" s="3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1"/>
    </row>
    <row r="243" spans="1:52" x14ac:dyDescent="0.2">
      <c r="A243" s="33">
        <f t="shared" si="4"/>
        <v>238</v>
      </c>
      <c r="B243" s="122" t="s">
        <v>1982</v>
      </c>
      <c r="C243" s="123" t="s">
        <v>1983</v>
      </c>
      <c r="D243" s="202" t="s">
        <v>1984</v>
      </c>
      <c r="E243" s="36" t="s">
        <v>54</v>
      </c>
      <c r="F243" s="122" t="s">
        <v>1985</v>
      </c>
      <c r="G243" s="126" t="s">
        <v>73</v>
      </c>
      <c r="H243" s="126" t="s">
        <v>73</v>
      </c>
      <c r="I243" s="122" t="s">
        <v>1986</v>
      </c>
      <c r="J243" s="127" t="s">
        <v>1987</v>
      </c>
      <c r="K243" s="128" t="s">
        <v>42</v>
      </c>
      <c r="L243" s="194">
        <v>42465</v>
      </c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42" t="s">
        <v>1988</v>
      </c>
      <c r="Y243" s="58" t="s">
        <v>1989</v>
      </c>
      <c r="Z243" s="119" t="s">
        <v>1990</v>
      </c>
      <c r="AA243" s="45">
        <v>42935</v>
      </c>
      <c r="AB243" s="191" t="s">
        <v>30</v>
      </c>
      <c r="AC243" s="36" t="s">
        <v>26</v>
      </c>
      <c r="AD243" s="133" t="s">
        <v>49</v>
      </c>
      <c r="AE243" s="48" t="s">
        <v>49</v>
      </c>
      <c r="AF243" s="48" t="s">
        <v>49</v>
      </c>
      <c r="AG243" s="48" t="s">
        <v>49</v>
      </c>
      <c r="AH243" s="48" t="s">
        <v>49</v>
      </c>
      <c r="AI243" s="48" t="s">
        <v>49</v>
      </c>
      <c r="AJ243" s="49" t="s">
        <v>49</v>
      </c>
      <c r="AK243" s="48" t="s">
        <v>49</v>
      </c>
      <c r="AL243" s="62" t="s">
        <v>32</v>
      </c>
      <c r="AM243" s="232"/>
      <c r="AN243" s="134"/>
      <c r="AO243" s="117"/>
      <c r="AP243" s="32"/>
      <c r="AQ243" s="32"/>
      <c r="AR243" s="32"/>
      <c r="AS243" s="32"/>
      <c r="AT243" s="32"/>
      <c r="AU243" s="32"/>
      <c r="AV243" s="32"/>
      <c r="AW243" s="32"/>
      <c r="AX243" s="32"/>
      <c r="AY243" s="32"/>
      <c r="AZ243" s="31"/>
    </row>
    <row r="244" spans="1:52" x14ac:dyDescent="0.2">
      <c r="A244" s="33">
        <f t="shared" si="4"/>
        <v>239</v>
      </c>
      <c r="B244" s="122" t="s">
        <v>1991</v>
      </c>
      <c r="C244" s="123" t="s">
        <v>1992</v>
      </c>
      <c r="D244" s="202" t="s">
        <v>1993</v>
      </c>
      <c r="E244" s="36" t="s">
        <v>36</v>
      </c>
      <c r="F244" s="122" t="s">
        <v>1994</v>
      </c>
      <c r="G244" s="126" t="s">
        <v>73</v>
      </c>
      <c r="H244" s="126" t="s">
        <v>73</v>
      </c>
      <c r="I244" s="122" t="s">
        <v>1995</v>
      </c>
      <c r="J244" s="122" t="s">
        <v>1996</v>
      </c>
      <c r="K244" s="128" t="s">
        <v>42</v>
      </c>
      <c r="L244" s="99" t="s">
        <v>1997</v>
      </c>
      <c r="M244" s="115"/>
      <c r="N244" s="115"/>
      <c r="O244" s="115"/>
      <c r="P244" s="115"/>
      <c r="Q244" s="115"/>
      <c r="R244" s="115"/>
      <c r="S244" s="115"/>
      <c r="T244" s="56"/>
      <c r="U244" s="56"/>
      <c r="V244" s="56" t="s">
        <v>732</v>
      </c>
      <c r="W244" s="56"/>
      <c r="X244" s="42" t="s">
        <v>1998</v>
      </c>
      <c r="Y244" s="52" t="s">
        <v>1999</v>
      </c>
      <c r="Z244" s="208" t="s">
        <v>2000</v>
      </c>
      <c r="AA244" s="45">
        <v>44650</v>
      </c>
      <c r="AB244" s="101" t="s">
        <v>30</v>
      </c>
      <c r="AC244" s="36" t="s">
        <v>26</v>
      </c>
      <c r="AD244" s="133" t="s">
        <v>49</v>
      </c>
      <c r="AE244" s="48" t="s">
        <v>49</v>
      </c>
      <c r="AF244" s="48" t="s">
        <v>49</v>
      </c>
      <c r="AG244" s="48" t="s">
        <v>49</v>
      </c>
      <c r="AH244" s="48" t="s">
        <v>49</v>
      </c>
      <c r="AI244" s="48" t="s">
        <v>49</v>
      </c>
      <c r="AJ244" s="49" t="s">
        <v>49</v>
      </c>
      <c r="AK244" s="48" t="s">
        <v>49</v>
      </c>
      <c r="AL244" s="65" t="s">
        <v>32</v>
      </c>
      <c r="AM244" s="325"/>
      <c r="AN244" s="134"/>
      <c r="AO244" s="102"/>
      <c r="AP244" s="3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1"/>
    </row>
    <row r="245" spans="1:52" x14ac:dyDescent="0.2">
      <c r="A245" s="33">
        <f t="shared" si="4"/>
        <v>240</v>
      </c>
      <c r="B245" s="122" t="s">
        <v>2001</v>
      </c>
      <c r="C245" s="123" t="s">
        <v>2002</v>
      </c>
      <c r="D245" s="202" t="s">
        <v>2003</v>
      </c>
      <c r="E245" s="36" t="s">
        <v>36</v>
      </c>
      <c r="F245" s="122" t="s">
        <v>2004</v>
      </c>
      <c r="G245" s="126" t="s">
        <v>176</v>
      </c>
      <c r="H245" s="126" t="s">
        <v>39</v>
      </c>
      <c r="I245" s="127" t="s">
        <v>2005</v>
      </c>
      <c r="J245" s="122" t="s">
        <v>41</v>
      </c>
      <c r="K245" s="128" t="s">
        <v>42</v>
      </c>
      <c r="L245" s="120">
        <v>45740</v>
      </c>
      <c r="M245" s="56"/>
      <c r="N245" s="56"/>
      <c r="O245" s="56"/>
      <c r="P245" s="56"/>
      <c r="Q245" s="56"/>
      <c r="R245" s="56"/>
      <c r="S245" s="56"/>
      <c r="T245" s="56"/>
      <c r="U245" s="56"/>
      <c r="V245" s="56" t="s">
        <v>44</v>
      </c>
      <c r="W245" s="130"/>
      <c r="X245" s="127" t="s">
        <v>2006</v>
      </c>
      <c r="Y245" s="43" t="s">
        <v>2007</v>
      </c>
      <c r="Z245" s="208"/>
      <c r="AA245" s="45"/>
      <c r="AB245" s="101"/>
      <c r="AC245" s="36"/>
      <c r="AD245" s="133" t="s">
        <v>49</v>
      </c>
      <c r="AE245" s="48" t="s">
        <v>41</v>
      </c>
      <c r="AF245" s="48" t="s">
        <v>41</v>
      </c>
      <c r="AG245" s="48" t="s">
        <v>41</v>
      </c>
      <c r="AH245" s="48" t="s">
        <v>41</v>
      </c>
      <c r="AI245" s="48" t="s">
        <v>41</v>
      </c>
      <c r="AJ245" s="49" t="s">
        <v>49</v>
      </c>
      <c r="AK245" s="48" t="s">
        <v>49</v>
      </c>
      <c r="AL245" s="65" t="s">
        <v>32</v>
      </c>
      <c r="AM245" s="325"/>
      <c r="AN245" s="134"/>
      <c r="AO245" s="102"/>
      <c r="AP245" s="3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1"/>
    </row>
    <row r="246" spans="1:52" x14ac:dyDescent="0.2">
      <c r="A246" s="33">
        <f t="shared" si="4"/>
        <v>241</v>
      </c>
      <c r="B246" s="34" t="s">
        <v>2008</v>
      </c>
      <c r="C246" s="35" t="s">
        <v>2009</v>
      </c>
      <c r="D246" s="36" t="s">
        <v>2010</v>
      </c>
      <c r="E246" s="36" t="s">
        <v>54</v>
      </c>
      <c r="F246" s="34" t="s">
        <v>2011</v>
      </c>
      <c r="G246" s="37" t="s">
        <v>73</v>
      </c>
      <c r="H246" s="37" t="s">
        <v>73</v>
      </c>
      <c r="I246" s="34" t="s">
        <v>2012</v>
      </c>
      <c r="J246" s="34" t="s">
        <v>41</v>
      </c>
      <c r="K246" s="39" t="s">
        <v>42</v>
      </c>
      <c r="L246" s="99" t="s">
        <v>2013</v>
      </c>
      <c r="M246" s="56"/>
      <c r="N246" s="56"/>
      <c r="O246" s="56"/>
      <c r="P246" s="56"/>
      <c r="Q246" s="56"/>
      <c r="R246" s="56"/>
      <c r="S246" s="56"/>
      <c r="T246" s="56"/>
      <c r="U246" s="56"/>
      <c r="V246" s="56" t="s">
        <v>732</v>
      </c>
      <c r="W246" s="186"/>
      <c r="X246" s="209" t="s">
        <v>2014</v>
      </c>
      <c r="Y246" s="52" t="s">
        <v>2015</v>
      </c>
      <c r="Z246" s="44" t="s">
        <v>61</v>
      </c>
      <c r="AA246" s="45">
        <v>38593</v>
      </c>
      <c r="AB246" s="101" t="s">
        <v>30</v>
      </c>
      <c r="AC246" s="36" t="s">
        <v>26</v>
      </c>
      <c r="AD246" s="47" t="s">
        <v>49</v>
      </c>
      <c r="AE246" s="48" t="s">
        <v>49</v>
      </c>
      <c r="AF246" s="48" t="s">
        <v>49</v>
      </c>
      <c r="AG246" s="48" t="s">
        <v>49</v>
      </c>
      <c r="AH246" s="48" t="s">
        <v>49</v>
      </c>
      <c r="AI246" s="48" t="s">
        <v>49</v>
      </c>
      <c r="AJ246" s="49" t="s">
        <v>49</v>
      </c>
      <c r="AK246" s="48" t="s">
        <v>49</v>
      </c>
      <c r="AL246" s="65" t="s">
        <v>32</v>
      </c>
      <c r="AM246" s="65"/>
      <c r="AN246" s="59"/>
      <c r="AO246" s="102"/>
      <c r="AP246" s="32"/>
      <c r="AQ246" s="32"/>
      <c r="AR246" s="32"/>
      <c r="AS246" s="32"/>
      <c r="AT246" s="32"/>
      <c r="AU246" s="32"/>
      <c r="AV246" s="32"/>
      <c r="AW246" s="32"/>
      <c r="AX246" s="32"/>
      <c r="AY246" s="32"/>
      <c r="AZ246" s="210"/>
    </row>
    <row r="247" spans="1:52" x14ac:dyDescent="0.2">
      <c r="A247" s="33">
        <f t="shared" si="4"/>
        <v>242</v>
      </c>
      <c r="B247" s="107" t="s">
        <v>2016</v>
      </c>
      <c r="C247" s="35" t="s">
        <v>2017</v>
      </c>
      <c r="D247" s="36" t="s">
        <v>2018</v>
      </c>
      <c r="E247" s="36" t="s">
        <v>54</v>
      </c>
      <c r="F247" s="185" t="s">
        <v>2019</v>
      </c>
      <c r="G247" s="37" t="s">
        <v>176</v>
      </c>
      <c r="H247" s="37" t="s">
        <v>39</v>
      </c>
      <c r="I247" s="34" t="s">
        <v>2020</v>
      </c>
      <c r="J247" s="34" t="s">
        <v>41</v>
      </c>
      <c r="K247" s="39" t="s">
        <v>42</v>
      </c>
      <c r="L247" s="120">
        <v>41187</v>
      </c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42" t="s">
        <v>2021</v>
      </c>
      <c r="Y247" s="58" t="s">
        <v>2022</v>
      </c>
      <c r="Z247" s="44" t="s">
        <v>61</v>
      </c>
      <c r="AA247" s="45">
        <v>36641</v>
      </c>
      <c r="AB247" s="101" t="s">
        <v>30</v>
      </c>
      <c r="AC247" s="36" t="s">
        <v>26</v>
      </c>
      <c r="AD247" s="47" t="s">
        <v>49</v>
      </c>
      <c r="AE247" s="48" t="s">
        <v>49</v>
      </c>
      <c r="AF247" s="48" t="s">
        <v>49</v>
      </c>
      <c r="AG247" s="48" t="s">
        <v>41</v>
      </c>
      <c r="AH247" s="48" t="s">
        <v>41</v>
      </c>
      <c r="AI247" s="48" t="s">
        <v>41</v>
      </c>
      <c r="AJ247" s="49" t="s">
        <v>41</v>
      </c>
      <c r="AK247" s="48" t="s">
        <v>41</v>
      </c>
      <c r="AL247" s="62" t="s">
        <v>110</v>
      </c>
      <c r="AM247" s="62"/>
      <c r="AN247" s="59"/>
      <c r="AO247" s="117"/>
      <c r="AP247" s="32"/>
      <c r="AQ247" s="32"/>
      <c r="AR247" s="32"/>
      <c r="AS247" s="32"/>
      <c r="AT247" s="32"/>
      <c r="AU247" s="32"/>
      <c r="AV247" s="32"/>
      <c r="AW247" s="32"/>
      <c r="AX247" s="32"/>
      <c r="AY247" s="32"/>
      <c r="AZ247" s="31"/>
    </row>
    <row r="248" spans="1:52" x14ac:dyDescent="0.2">
      <c r="A248" s="33">
        <f t="shared" si="4"/>
        <v>243</v>
      </c>
      <c r="B248" s="108" t="s">
        <v>2023</v>
      </c>
      <c r="C248" s="35" t="s">
        <v>2024</v>
      </c>
      <c r="D248" s="36" t="s">
        <v>2025</v>
      </c>
      <c r="E248" s="36" t="s">
        <v>36</v>
      </c>
      <c r="F248" s="108" t="s">
        <v>2026</v>
      </c>
      <c r="G248" s="37" t="s">
        <v>73</v>
      </c>
      <c r="H248" s="37" t="s">
        <v>73</v>
      </c>
      <c r="I248" s="34" t="s">
        <v>2027</v>
      </c>
      <c r="J248" s="34" t="s">
        <v>2028</v>
      </c>
      <c r="K248" s="39" t="s">
        <v>42</v>
      </c>
      <c r="L248" s="120">
        <v>41918</v>
      </c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42" t="s">
        <v>2029</v>
      </c>
      <c r="Y248" s="58" t="s">
        <v>2030</v>
      </c>
      <c r="Z248" s="44" t="s">
        <v>2031</v>
      </c>
      <c r="AA248" s="45">
        <v>42325</v>
      </c>
      <c r="AB248" s="101" t="s">
        <v>30</v>
      </c>
      <c r="AC248" s="36" t="s">
        <v>26</v>
      </c>
      <c r="AD248" s="47" t="s">
        <v>49</v>
      </c>
      <c r="AE248" s="48" t="s">
        <v>49</v>
      </c>
      <c r="AF248" s="48" t="s">
        <v>49</v>
      </c>
      <c r="AG248" s="48" t="s">
        <v>49</v>
      </c>
      <c r="AH248" s="48" t="s">
        <v>49</v>
      </c>
      <c r="AI248" s="48" t="s">
        <v>49</v>
      </c>
      <c r="AJ248" s="49" t="s">
        <v>49</v>
      </c>
      <c r="AK248" s="48" t="s">
        <v>49</v>
      </c>
      <c r="AL248" s="62" t="s">
        <v>32</v>
      </c>
      <c r="AM248" s="62"/>
      <c r="AN248" s="59"/>
      <c r="AO248" s="10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1"/>
    </row>
    <row r="249" spans="1:52" x14ac:dyDescent="0.2">
      <c r="A249" s="33">
        <f t="shared" si="4"/>
        <v>244</v>
      </c>
      <c r="B249" s="34" t="s">
        <v>2032</v>
      </c>
      <c r="C249" s="35" t="s">
        <v>2033</v>
      </c>
      <c r="D249" s="36" t="s">
        <v>2034</v>
      </c>
      <c r="E249" s="36" t="s">
        <v>54</v>
      </c>
      <c r="F249" s="185" t="s">
        <v>2035</v>
      </c>
      <c r="G249" s="37" t="s">
        <v>73</v>
      </c>
      <c r="H249" s="37" t="s">
        <v>73</v>
      </c>
      <c r="I249" s="34" t="s">
        <v>2036</v>
      </c>
      <c r="J249" s="136" t="s">
        <v>2036</v>
      </c>
      <c r="K249" s="39" t="s">
        <v>42</v>
      </c>
      <c r="L249" s="99" t="s">
        <v>2037</v>
      </c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42" t="s">
        <v>2038</v>
      </c>
      <c r="Y249" s="58" t="s">
        <v>2039</v>
      </c>
      <c r="Z249" s="44" t="s">
        <v>61</v>
      </c>
      <c r="AA249" s="45">
        <v>40815</v>
      </c>
      <c r="AB249" s="101" t="s">
        <v>30</v>
      </c>
      <c r="AC249" s="36" t="s">
        <v>26</v>
      </c>
      <c r="AD249" s="61" t="s">
        <v>49</v>
      </c>
      <c r="AE249" s="48" t="s">
        <v>49</v>
      </c>
      <c r="AF249" s="48" t="s">
        <v>49</v>
      </c>
      <c r="AG249" s="48" t="s">
        <v>49</v>
      </c>
      <c r="AH249" s="48" t="s">
        <v>49</v>
      </c>
      <c r="AI249" s="48" t="s">
        <v>49</v>
      </c>
      <c r="AJ249" s="49" t="s">
        <v>49</v>
      </c>
      <c r="AK249" s="48" t="s">
        <v>49</v>
      </c>
      <c r="AL249" s="62" t="s">
        <v>32</v>
      </c>
      <c r="AM249" s="62"/>
      <c r="AN249" s="59"/>
      <c r="AO249" s="10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1"/>
    </row>
    <row r="250" spans="1:52" x14ac:dyDescent="0.2">
      <c r="A250" s="33">
        <f t="shared" si="4"/>
        <v>245</v>
      </c>
      <c r="B250" s="34" t="s">
        <v>2040</v>
      </c>
      <c r="C250" s="35" t="s">
        <v>2041</v>
      </c>
      <c r="D250" s="36" t="s">
        <v>2042</v>
      </c>
      <c r="E250" s="36" t="s">
        <v>241</v>
      </c>
      <c r="F250" s="34" t="s">
        <v>2043</v>
      </c>
      <c r="G250" s="37" t="s">
        <v>73</v>
      </c>
      <c r="H250" s="37" t="s">
        <v>73</v>
      </c>
      <c r="I250" s="34" t="s">
        <v>1445</v>
      </c>
      <c r="J250" s="34" t="s">
        <v>1445</v>
      </c>
      <c r="K250" s="39" t="s">
        <v>42</v>
      </c>
      <c r="L250" s="120">
        <v>31054</v>
      </c>
      <c r="M250" s="41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42" t="s">
        <v>2044</v>
      </c>
      <c r="Y250" s="58" t="s">
        <v>2045</v>
      </c>
      <c r="Z250" s="44" t="s">
        <v>61</v>
      </c>
      <c r="AA250" s="45">
        <v>40815</v>
      </c>
      <c r="AB250" s="101" t="s">
        <v>30</v>
      </c>
      <c r="AC250" s="36" t="s">
        <v>26</v>
      </c>
      <c r="AD250" s="47" t="s">
        <v>49</v>
      </c>
      <c r="AE250" s="48" t="s">
        <v>49</v>
      </c>
      <c r="AF250" s="48" t="s">
        <v>49</v>
      </c>
      <c r="AG250" s="48" t="s">
        <v>41</v>
      </c>
      <c r="AH250" s="48" t="s">
        <v>41</v>
      </c>
      <c r="AI250" s="48" t="s">
        <v>41</v>
      </c>
      <c r="AJ250" s="49" t="s">
        <v>41</v>
      </c>
      <c r="AK250" s="48" t="s">
        <v>41</v>
      </c>
      <c r="AL250" s="62" t="s">
        <v>110</v>
      </c>
      <c r="AM250" s="62"/>
      <c r="AN250" s="59"/>
      <c r="AO250" s="102"/>
      <c r="AP250" s="3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1"/>
    </row>
    <row r="251" spans="1:52" x14ac:dyDescent="0.2">
      <c r="A251" s="33">
        <f t="shared" si="4"/>
        <v>246</v>
      </c>
      <c r="B251" s="34" t="s">
        <v>2046</v>
      </c>
      <c r="C251" s="35" t="s">
        <v>2047</v>
      </c>
      <c r="D251" s="36" t="s">
        <v>2048</v>
      </c>
      <c r="E251" s="36" t="s">
        <v>54</v>
      </c>
      <c r="F251" s="34" t="s">
        <v>2049</v>
      </c>
      <c r="G251" s="37" t="s">
        <v>73</v>
      </c>
      <c r="H251" s="37" t="s">
        <v>73</v>
      </c>
      <c r="I251" s="34" t="s">
        <v>2050</v>
      </c>
      <c r="J251" s="34" t="s">
        <v>2051</v>
      </c>
      <c r="K251" s="39" t="s">
        <v>986</v>
      </c>
      <c r="L251" s="99" t="s">
        <v>2052</v>
      </c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42" t="s">
        <v>2053</v>
      </c>
      <c r="Y251" s="58" t="s">
        <v>2054</v>
      </c>
      <c r="Z251" s="44" t="s">
        <v>2055</v>
      </c>
      <c r="AA251" s="45">
        <v>42325</v>
      </c>
      <c r="AB251" s="101" t="s">
        <v>30</v>
      </c>
      <c r="AC251" s="36"/>
      <c r="AD251" s="66" t="s">
        <v>130</v>
      </c>
      <c r="AE251" s="48" t="s">
        <v>41</v>
      </c>
      <c r="AF251" s="48" t="s">
        <v>41</v>
      </c>
      <c r="AG251" s="48" t="s">
        <v>41</v>
      </c>
      <c r="AH251" s="48" t="s">
        <v>41</v>
      </c>
      <c r="AI251" s="48" t="s">
        <v>41</v>
      </c>
      <c r="AJ251" s="49" t="s">
        <v>41</v>
      </c>
      <c r="AK251" s="48" t="s">
        <v>41</v>
      </c>
      <c r="AL251" s="65" t="s">
        <v>4588</v>
      </c>
      <c r="AM251" s="65"/>
      <c r="AN251" s="59"/>
      <c r="AO251" s="10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1"/>
    </row>
    <row r="252" spans="1:52" ht="15" customHeight="1" x14ac:dyDescent="0.2">
      <c r="A252" s="33">
        <f t="shared" si="4"/>
        <v>247</v>
      </c>
      <c r="B252" s="34" t="s">
        <v>2056</v>
      </c>
      <c r="C252" s="35" t="s">
        <v>2057</v>
      </c>
      <c r="D252" s="36" t="s">
        <v>2058</v>
      </c>
      <c r="E252" s="36" t="s">
        <v>54</v>
      </c>
      <c r="F252" s="34" t="s">
        <v>2059</v>
      </c>
      <c r="G252" s="37" t="s">
        <v>350</v>
      </c>
      <c r="H252" s="37" t="s">
        <v>350</v>
      </c>
      <c r="I252" s="38" t="s">
        <v>2060</v>
      </c>
      <c r="J252" s="34" t="s">
        <v>41</v>
      </c>
      <c r="K252" s="39" t="s">
        <v>42</v>
      </c>
      <c r="L252" s="120">
        <v>44568</v>
      </c>
      <c r="M252" s="56"/>
      <c r="N252" s="56"/>
      <c r="O252" s="56"/>
      <c r="P252" s="56"/>
      <c r="Q252" s="56"/>
      <c r="R252" s="56"/>
      <c r="S252" s="56" t="s">
        <v>44</v>
      </c>
      <c r="T252" s="56"/>
      <c r="U252" s="56"/>
      <c r="V252" s="56"/>
      <c r="W252" s="56"/>
      <c r="X252" s="42" t="s">
        <v>2061</v>
      </c>
      <c r="Y252" s="58" t="s">
        <v>2062</v>
      </c>
      <c r="Z252" s="211" t="s">
        <v>2063</v>
      </c>
      <c r="AA252" s="45">
        <v>44944</v>
      </c>
      <c r="AB252" s="101" t="s">
        <v>30</v>
      </c>
      <c r="AC252" s="36"/>
      <c r="AD252" s="61" t="s">
        <v>49</v>
      </c>
      <c r="AE252" s="48" t="s">
        <v>41</v>
      </c>
      <c r="AF252" s="48" t="s">
        <v>41</v>
      </c>
      <c r="AG252" s="48" t="s">
        <v>49</v>
      </c>
      <c r="AH252" s="48" t="s">
        <v>49</v>
      </c>
      <c r="AI252" s="48" t="s">
        <v>49</v>
      </c>
      <c r="AJ252" s="49" t="s">
        <v>49</v>
      </c>
      <c r="AK252" s="48" t="s">
        <v>49</v>
      </c>
      <c r="AL252" s="62" t="s">
        <v>32</v>
      </c>
      <c r="AM252" s="62"/>
      <c r="AN252" s="59"/>
      <c r="AO252" s="10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1"/>
    </row>
    <row r="253" spans="1:52" ht="15" customHeight="1" x14ac:dyDescent="0.2">
      <c r="A253" s="33">
        <f t="shared" si="4"/>
        <v>248</v>
      </c>
      <c r="B253" s="34" t="s">
        <v>2064</v>
      </c>
      <c r="C253" s="35" t="s">
        <v>2065</v>
      </c>
      <c r="D253" s="36" t="s">
        <v>2066</v>
      </c>
      <c r="E253" s="36" t="s">
        <v>54</v>
      </c>
      <c r="F253" s="98" t="s">
        <v>2067</v>
      </c>
      <c r="G253" s="37" t="s">
        <v>39</v>
      </c>
      <c r="H253" s="37" t="s">
        <v>39</v>
      </c>
      <c r="I253" s="34" t="s">
        <v>2068</v>
      </c>
      <c r="J253" s="34" t="s">
        <v>2068</v>
      </c>
      <c r="K253" s="39" t="s">
        <v>42</v>
      </c>
      <c r="L253" s="120">
        <v>42254</v>
      </c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42" t="s">
        <v>2069</v>
      </c>
      <c r="Y253" s="58" t="s">
        <v>2070</v>
      </c>
      <c r="Z253" s="44" t="s">
        <v>2071</v>
      </c>
      <c r="AA253" s="45">
        <v>42325</v>
      </c>
      <c r="AB253" s="101" t="s">
        <v>30</v>
      </c>
      <c r="AC253" s="73" t="s">
        <v>26</v>
      </c>
      <c r="AD253" s="47" t="s">
        <v>49</v>
      </c>
      <c r="AE253" s="48" t="s">
        <v>49</v>
      </c>
      <c r="AF253" s="48" t="s">
        <v>49</v>
      </c>
      <c r="AG253" s="48" t="s">
        <v>49</v>
      </c>
      <c r="AH253" s="48" t="s">
        <v>49</v>
      </c>
      <c r="AI253" s="48" t="s">
        <v>49</v>
      </c>
      <c r="AJ253" s="49" t="s">
        <v>49</v>
      </c>
      <c r="AK253" s="48" t="s">
        <v>41</v>
      </c>
      <c r="AL253" s="65" t="s">
        <v>148</v>
      </c>
      <c r="AM253" s="65"/>
      <c r="AN253" s="59"/>
      <c r="AO253" s="10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1"/>
    </row>
    <row r="254" spans="1:52" ht="15" customHeight="1" x14ac:dyDescent="0.2">
      <c r="A254" s="33">
        <f t="shared" si="4"/>
        <v>249</v>
      </c>
      <c r="B254" s="34" t="s">
        <v>2072</v>
      </c>
      <c r="C254" s="35" t="s">
        <v>2073</v>
      </c>
      <c r="D254" s="36" t="s">
        <v>2074</v>
      </c>
      <c r="E254" s="36" t="s">
        <v>54</v>
      </c>
      <c r="F254" s="34" t="s">
        <v>2075</v>
      </c>
      <c r="G254" s="37" t="s">
        <v>4659</v>
      </c>
      <c r="H254" s="37" t="s">
        <v>205</v>
      </c>
      <c r="I254" s="38" t="s">
        <v>2076</v>
      </c>
      <c r="J254" s="34" t="s">
        <v>41</v>
      </c>
      <c r="K254" s="39" t="s">
        <v>42</v>
      </c>
      <c r="L254" s="120" t="s">
        <v>2077</v>
      </c>
      <c r="M254" s="41"/>
      <c r="N254" s="41"/>
      <c r="O254" s="41"/>
      <c r="P254" s="41"/>
      <c r="Q254" s="41"/>
      <c r="R254" s="41"/>
      <c r="S254" s="41" t="s">
        <v>44</v>
      </c>
      <c r="T254" s="41"/>
      <c r="U254" s="41"/>
      <c r="V254" s="41"/>
      <c r="W254" s="41"/>
      <c r="X254" s="42" t="s">
        <v>2078</v>
      </c>
      <c r="Y254" s="58" t="s">
        <v>2079</v>
      </c>
      <c r="Z254" s="211" t="s">
        <v>2080</v>
      </c>
      <c r="AA254" s="45">
        <v>44944</v>
      </c>
      <c r="AB254" s="101" t="s">
        <v>30</v>
      </c>
      <c r="AC254" s="36"/>
      <c r="AD254" s="47" t="s">
        <v>49</v>
      </c>
      <c r="AE254" s="48" t="s">
        <v>41</v>
      </c>
      <c r="AF254" s="48" t="s">
        <v>41</v>
      </c>
      <c r="AG254" s="48" t="s">
        <v>49</v>
      </c>
      <c r="AH254" s="48" t="s">
        <v>49</v>
      </c>
      <c r="AI254" s="48" t="s">
        <v>49</v>
      </c>
      <c r="AJ254" s="49" t="s">
        <v>49</v>
      </c>
      <c r="AK254" s="48" t="s">
        <v>49</v>
      </c>
      <c r="AL254" s="62" t="s">
        <v>32</v>
      </c>
      <c r="AM254" s="62"/>
      <c r="AN254" s="59"/>
      <c r="AO254" s="10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1"/>
    </row>
    <row r="255" spans="1:52" ht="15" customHeight="1" x14ac:dyDescent="0.2">
      <c r="A255" s="33">
        <f t="shared" si="4"/>
        <v>250</v>
      </c>
      <c r="B255" s="34" t="s">
        <v>2081</v>
      </c>
      <c r="C255" s="35" t="s">
        <v>2082</v>
      </c>
      <c r="D255" s="36" t="s">
        <v>2083</v>
      </c>
      <c r="E255" s="36" t="s">
        <v>54</v>
      </c>
      <c r="F255" s="34" t="s">
        <v>2084</v>
      </c>
      <c r="G255" s="37" t="s">
        <v>377</v>
      </c>
      <c r="H255" s="37" t="s">
        <v>378</v>
      </c>
      <c r="I255" s="212" t="s">
        <v>2085</v>
      </c>
      <c r="J255" s="34" t="s">
        <v>41</v>
      </c>
      <c r="K255" s="39" t="s">
        <v>42</v>
      </c>
      <c r="L255" s="120">
        <v>36528</v>
      </c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2" t="s">
        <v>2086</v>
      </c>
      <c r="Y255" s="83" t="s">
        <v>2087</v>
      </c>
      <c r="Z255" s="44"/>
      <c r="AA255" s="45">
        <v>45642</v>
      </c>
      <c r="AB255" s="101"/>
      <c r="AC255" s="36" t="s">
        <v>26</v>
      </c>
      <c r="AD255" s="47" t="s">
        <v>49</v>
      </c>
      <c r="AE255" s="48" t="s">
        <v>49</v>
      </c>
      <c r="AF255" s="48" t="s">
        <v>49</v>
      </c>
      <c r="AG255" s="48" t="s">
        <v>49</v>
      </c>
      <c r="AH255" s="48" t="s">
        <v>41</v>
      </c>
      <c r="AI255" s="48" t="s">
        <v>41</v>
      </c>
      <c r="AJ255" s="49" t="s">
        <v>41</v>
      </c>
      <c r="AK255" s="48" t="s">
        <v>41</v>
      </c>
      <c r="AL255" s="65" t="s">
        <v>139</v>
      </c>
      <c r="AM255" s="65"/>
      <c r="AN255" s="59"/>
      <c r="AO255" s="10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1"/>
    </row>
    <row r="256" spans="1:52" ht="15" customHeight="1" x14ac:dyDescent="0.2">
      <c r="A256" s="33">
        <f t="shared" si="4"/>
        <v>251</v>
      </c>
      <c r="B256" s="34" t="s">
        <v>2088</v>
      </c>
      <c r="C256" s="35" t="s">
        <v>2089</v>
      </c>
      <c r="D256" s="36" t="s">
        <v>2090</v>
      </c>
      <c r="E256" s="36" t="s">
        <v>54</v>
      </c>
      <c r="F256" s="34" t="s">
        <v>2091</v>
      </c>
      <c r="G256" s="37" t="s">
        <v>323</v>
      </c>
      <c r="H256" s="37" t="s">
        <v>39</v>
      </c>
      <c r="I256" s="38" t="s">
        <v>2092</v>
      </c>
      <c r="J256" s="34" t="s">
        <v>41</v>
      </c>
      <c r="K256" s="39" t="s">
        <v>42</v>
      </c>
      <c r="L256" s="120" t="s">
        <v>2093</v>
      </c>
      <c r="M256" s="41"/>
      <c r="N256" s="41"/>
      <c r="O256" s="41"/>
      <c r="P256" s="41"/>
      <c r="Q256" s="41"/>
      <c r="R256" s="41"/>
      <c r="S256" s="41" t="s">
        <v>44</v>
      </c>
      <c r="T256" s="41"/>
      <c r="U256" s="41"/>
      <c r="V256" s="41"/>
      <c r="W256" s="41"/>
      <c r="X256" s="42" t="s">
        <v>2094</v>
      </c>
      <c r="Y256" s="58" t="s">
        <v>2095</v>
      </c>
      <c r="Z256" s="211" t="s">
        <v>2096</v>
      </c>
      <c r="AA256" s="45">
        <v>44944</v>
      </c>
      <c r="AB256" s="101" t="s">
        <v>30</v>
      </c>
      <c r="AC256" s="36"/>
      <c r="AD256" s="47" t="s">
        <v>49</v>
      </c>
      <c r="AE256" s="48" t="s">
        <v>41</v>
      </c>
      <c r="AF256" s="48" t="s">
        <v>41</v>
      </c>
      <c r="AG256" s="48" t="s">
        <v>49</v>
      </c>
      <c r="AH256" s="48" t="s">
        <v>49</v>
      </c>
      <c r="AI256" s="48" t="s">
        <v>49</v>
      </c>
      <c r="AJ256" s="49" t="s">
        <v>49</v>
      </c>
      <c r="AK256" s="48" t="s">
        <v>49</v>
      </c>
      <c r="AL256" s="62" t="s">
        <v>32</v>
      </c>
      <c r="AM256" s="62"/>
      <c r="AN256" s="59"/>
      <c r="AO256" s="102"/>
      <c r="AP256" s="3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1"/>
    </row>
    <row r="257" spans="1:52" x14ac:dyDescent="0.2">
      <c r="A257" s="33">
        <f t="shared" si="4"/>
        <v>252</v>
      </c>
      <c r="B257" s="34" t="s">
        <v>2097</v>
      </c>
      <c r="C257" s="35" t="s">
        <v>2098</v>
      </c>
      <c r="D257" s="36" t="s">
        <v>2099</v>
      </c>
      <c r="E257" s="36" t="s">
        <v>54</v>
      </c>
      <c r="F257" s="98" t="s">
        <v>2100</v>
      </c>
      <c r="G257" s="37" t="s">
        <v>73</v>
      </c>
      <c r="H257" s="37" t="s">
        <v>73</v>
      </c>
      <c r="I257" s="34" t="s">
        <v>2101</v>
      </c>
      <c r="J257" s="34" t="s">
        <v>2102</v>
      </c>
      <c r="K257" s="39" t="s">
        <v>42</v>
      </c>
      <c r="L257" s="99" t="s">
        <v>2103</v>
      </c>
      <c r="M257" s="112"/>
      <c r="N257" s="112"/>
      <c r="O257" s="112"/>
      <c r="P257" s="112"/>
      <c r="Q257" s="112"/>
      <c r="R257" s="112"/>
      <c r="S257" s="112"/>
      <c r="T257" s="41"/>
      <c r="U257" s="41"/>
      <c r="V257" s="41"/>
      <c r="W257" s="41"/>
      <c r="X257" s="42" t="s">
        <v>2104</v>
      </c>
      <c r="Y257" s="58" t="s">
        <v>2105</v>
      </c>
      <c r="Z257" s="44" t="s">
        <v>2106</v>
      </c>
      <c r="AA257" s="45">
        <v>42325</v>
      </c>
      <c r="AB257" s="101" t="s">
        <v>30</v>
      </c>
      <c r="AC257" s="36" t="s">
        <v>26</v>
      </c>
      <c r="AD257" s="47" t="s">
        <v>49</v>
      </c>
      <c r="AE257" s="48" t="s">
        <v>49</v>
      </c>
      <c r="AF257" s="48" t="s">
        <v>41</v>
      </c>
      <c r="AG257" s="48" t="s">
        <v>41</v>
      </c>
      <c r="AH257" s="48" t="s">
        <v>41</v>
      </c>
      <c r="AI257" s="48" t="s">
        <v>41</v>
      </c>
      <c r="AJ257" s="49" t="s">
        <v>41</v>
      </c>
      <c r="AK257" s="48" t="s">
        <v>41</v>
      </c>
      <c r="AL257" s="62" t="s">
        <v>4587</v>
      </c>
      <c r="AM257" s="62"/>
      <c r="AN257" s="59" t="s">
        <v>2107</v>
      </c>
      <c r="AO257" s="117"/>
      <c r="AP257" s="32"/>
      <c r="AQ257" s="32"/>
      <c r="AR257" s="32"/>
      <c r="AS257" s="32"/>
      <c r="AT257" s="32"/>
      <c r="AU257" s="32"/>
      <c r="AV257" s="32"/>
      <c r="AW257" s="32"/>
      <c r="AX257" s="32"/>
      <c r="AY257" s="32"/>
      <c r="AZ257" s="31"/>
    </row>
    <row r="258" spans="1:52" x14ac:dyDescent="0.2">
      <c r="A258" s="33">
        <f t="shared" si="4"/>
        <v>253</v>
      </c>
      <c r="B258" s="34" t="s">
        <v>2108</v>
      </c>
      <c r="C258" s="35" t="s">
        <v>2109</v>
      </c>
      <c r="D258" s="36" t="s">
        <v>2110</v>
      </c>
      <c r="E258" s="36" t="s">
        <v>36</v>
      </c>
      <c r="F258" s="34" t="s">
        <v>2111</v>
      </c>
      <c r="G258" s="37" t="s">
        <v>73</v>
      </c>
      <c r="H258" s="37" t="s">
        <v>73</v>
      </c>
      <c r="I258" s="34" t="s">
        <v>2112</v>
      </c>
      <c r="J258" s="34" t="s">
        <v>41</v>
      </c>
      <c r="K258" s="39" t="s">
        <v>42</v>
      </c>
      <c r="L258" s="120">
        <v>40004</v>
      </c>
      <c r="M258" s="115"/>
      <c r="N258" s="115"/>
      <c r="O258" s="115"/>
      <c r="P258" s="115"/>
      <c r="Q258" s="115"/>
      <c r="R258" s="115"/>
      <c r="S258" s="115"/>
      <c r="T258" s="56"/>
      <c r="U258" s="56"/>
      <c r="V258" s="56"/>
      <c r="W258" s="56"/>
      <c r="X258" s="42" t="s">
        <v>2113</v>
      </c>
      <c r="Y258" s="58" t="s">
        <v>2114</v>
      </c>
      <c r="Z258" s="84" t="s">
        <v>2115</v>
      </c>
      <c r="AA258" s="45" t="s">
        <v>2116</v>
      </c>
      <c r="AB258" s="101" t="s">
        <v>30</v>
      </c>
      <c r="AC258" s="36" t="s">
        <v>26</v>
      </c>
      <c r="AD258" s="47" t="s">
        <v>49</v>
      </c>
      <c r="AE258" s="48" t="s">
        <v>49</v>
      </c>
      <c r="AF258" s="48" t="s">
        <v>49</v>
      </c>
      <c r="AG258" s="48" t="s">
        <v>49</v>
      </c>
      <c r="AH258" s="48" t="s">
        <v>49</v>
      </c>
      <c r="AI258" s="48" t="s">
        <v>49</v>
      </c>
      <c r="AJ258" s="49" t="s">
        <v>49</v>
      </c>
      <c r="AK258" s="48" t="s">
        <v>41</v>
      </c>
      <c r="AL258" s="213">
        <v>1</v>
      </c>
      <c r="AM258" s="213"/>
      <c r="AN258" s="59"/>
      <c r="AO258" s="10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1"/>
    </row>
    <row r="259" spans="1:52" x14ac:dyDescent="0.2">
      <c r="A259" s="33">
        <f t="shared" si="4"/>
        <v>254</v>
      </c>
      <c r="B259" s="34" t="s">
        <v>2117</v>
      </c>
      <c r="C259" s="35" t="s">
        <v>2118</v>
      </c>
      <c r="D259" s="36" t="s">
        <v>2119</v>
      </c>
      <c r="E259" s="36" t="s">
        <v>54</v>
      </c>
      <c r="F259" s="34" t="s">
        <v>2120</v>
      </c>
      <c r="G259" s="37" t="s">
        <v>73</v>
      </c>
      <c r="H259" s="37" t="s">
        <v>73</v>
      </c>
      <c r="I259" s="34" t="s">
        <v>2121</v>
      </c>
      <c r="J259" s="34" t="s">
        <v>41</v>
      </c>
      <c r="K259" s="39" t="s">
        <v>42</v>
      </c>
      <c r="L259" s="165">
        <v>45202</v>
      </c>
      <c r="M259" s="130" t="s">
        <v>179</v>
      </c>
      <c r="N259" s="115" t="s">
        <v>341</v>
      </c>
      <c r="O259" s="115" t="s">
        <v>1878</v>
      </c>
      <c r="P259" s="115">
        <v>2</v>
      </c>
      <c r="Q259" s="137"/>
      <c r="R259" s="137"/>
      <c r="S259" s="137"/>
      <c r="T259" s="137" t="s">
        <v>44</v>
      </c>
      <c r="U259" s="137"/>
      <c r="V259" s="137"/>
      <c r="W259" s="137"/>
      <c r="X259" s="42" t="s">
        <v>2122</v>
      </c>
      <c r="Y259" s="146" t="s">
        <v>2123</v>
      </c>
      <c r="Z259" s="44"/>
      <c r="AA259" s="45" t="s">
        <v>47</v>
      </c>
      <c r="AB259" s="164"/>
      <c r="AC259" s="36"/>
      <c r="AD259" s="47" t="s">
        <v>49</v>
      </c>
      <c r="AE259" s="48" t="s">
        <v>41</v>
      </c>
      <c r="AF259" s="48" t="s">
        <v>41</v>
      </c>
      <c r="AG259" s="48" t="s">
        <v>41</v>
      </c>
      <c r="AH259" s="48" t="s">
        <v>49</v>
      </c>
      <c r="AI259" s="48" t="s">
        <v>49</v>
      </c>
      <c r="AJ259" s="49" t="s">
        <v>41</v>
      </c>
      <c r="AK259" s="48" t="s">
        <v>41</v>
      </c>
      <c r="AL259" s="62" t="s">
        <v>276</v>
      </c>
      <c r="AM259" s="62"/>
      <c r="AN259" s="59"/>
      <c r="AO259" s="10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1"/>
    </row>
    <row r="260" spans="1:52" x14ac:dyDescent="0.2">
      <c r="A260" s="33">
        <f t="shared" si="4"/>
        <v>255</v>
      </c>
      <c r="B260" s="34" t="s">
        <v>2124</v>
      </c>
      <c r="C260" s="35" t="s">
        <v>2125</v>
      </c>
      <c r="D260" s="36" t="s">
        <v>2126</v>
      </c>
      <c r="E260" s="36" t="s">
        <v>54</v>
      </c>
      <c r="F260" s="34" t="s">
        <v>2127</v>
      </c>
      <c r="G260" s="37" t="s">
        <v>73</v>
      </c>
      <c r="H260" s="37" t="s">
        <v>73</v>
      </c>
      <c r="I260" s="34" t="s">
        <v>2128</v>
      </c>
      <c r="J260" s="34" t="s">
        <v>41</v>
      </c>
      <c r="K260" s="39" t="s">
        <v>42</v>
      </c>
      <c r="L260" s="163" t="s">
        <v>2129</v>
      </c>
      <c r="M260" s="130"/>
      <c r="N260" s="130"/>
      <c r="O260" s="130"/>
      <c r="P260" s="130"/>
      <c r="Q260" s="115"/>
      <c r="R260" s="115"/>
      <c r="S260" s="115"/>
      <c r="T260" s="115"/>
      <c r="U260" s="56"/>
      <c r="V260" s="56"/>
      <c r="W260" s="56"/>
      <c r="X260" s="42" t="s">
        <v>2130</v>
      </c>
      <c r="Y260" s="100" t="s">
        <v>2131</v>
      </c>
      <c r="Z260" s="44" t="s">
        <v>2132</v>
      </c>
      <c r="AA260" s="45">
        <v>41793</v>
      </c>
      <c r="AB260" s="164" t="s">
        <v>129</v>
      </c>
      <c r="AC260" s="36" t="s">
        <v>26</v>
      </c>
      <c r="AD260" s="47" t="s">
        <v>49</v>
      </c>
      <c r="AE260" s="48" t="s">
        <v>49</v>
      </c>
      <c r="AF260" s="48" t="s">
        <v>49</v>
      </c>
      <c r="AG260" s="48" t="s">
        <v>49</v>
      </c>
      <c r="AH260" s="48" t="s">
        <v>41</v>
      </c>
      <c r="AI260" s="48" t="s">
        <v>41</v>
      </c>
      <c r="AJ260" s="49" t="s">
        <v>41</v>
      </c>
      <c r="AK260" s="48" t="s">
        <v>41</v>
      </c>
      <c r="AL260" s="62" t="s">
        <v>139</v>
      </c>
      <c r="AM260" s="62"/>
      <c r="AN260" s="59"/>
      <c r="AO260" s="10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1"/>
    </row>
    <row r="261" spans="1:52" x14ac:dyDescent="0.2">
      <c r="A261" s="33">
        <f t="shared" si="4"/>
        <v>256</v>
      </c>
      <c r="B261" s="34" t="s">
        <v>2133</v>
      </c>
      <c r="C261" s="35" t="s">
        <v>2134</v>
      </c>
      <c r="D261" s="36" t="s">
        <v>2135</v>
      </c>
      <c r="E261" s="36" t="s">
        <v>54</v>
      </c>
      <c r="F261" s="34" t="s">
        <v>2136</v>
      </c>
      <c r="G261" s="37" t="s">
        <v>73</v>
      </c>
      <c r="H261" s="37" t="s">
        <v>73</v>
      </c>
      <c r="I261" s="34" t="s">
        <v>2137</v>
      </c>
      <c r="J261" s="34" t="s">
        <v>2138</v>
      </c>
      <c r="K261" s="39" t="s">
        <v>42</v>
      </c>
      <c r="L261" s="99" t="s">
        <v>2139</v>
      </c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42" t="s">
        <v>2140</v>
      </c>
      <c r="Y261" s="58" t="s">
        <v>2141</v>
      </c>
      <c r="Z261" s="44" t="s">
        <v>2142</v>
      </c>
      <c r="AA261" s="45">
        <v>41793</v>
      </c>
      <c r="AB261" s="101" t="s">
        <v>30</v>
      </c>
      <c r="AC261" s="36" t="s">
        <v>26</v>
      </c>
      <c r="AD261" s="64" t="s">
        <v>120</v>
      </c>
      <c r="AE261" s="48" t="s">
        <v>120</v>
      </c>
      <c r="AF261" s="48" t="s">
        <v>120</v>
      </c>
      <c r="AG261" s="48" t="s">
        <v>120</v>
      </c>
      <c r="AH261" s="48" t="s">
        <v>120</v>
      </c>
      <c r="AI261" s="48" t="s">
        <v>120</v>
      </c>
      <c r="AJ261" s="49" t="s">
        <v>120</v>
      </c>
      <c r="AK261" s="48" t="s">
        <v>120</v>
      </c>
      <c r="AL261" s="62" t="s">
        <v>32</v>
      </c>
      <c r="AM261" s="62"/>
      <c r="AN261" s="59"/>
      <c r="AO261" s="10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1"/>
    </row>
    <row r="262" spans="1:52" ht="15" customHeight="1" x14ac:dyDescent="0.2">
      <c r="A262" s="33">
        <f t="shared" si="4"/>
        <v>257</v>
      </c>
      <c r="B262" s="34" t="s">
        <v>2143</v>
      </c>
      <c r="C262" s="35" t="s">
        <v>2144</v>
      </c>
      <c r="D262" s="36" t="s">
        <v>2145</v>
      </c>
      <c r="E262" s="36" t="s">
        <v>54</v>
      </c>
      <c r="F262" s="34" t="s">
        <v>2146</v>
      </c>
      <c r="G262" s="37" t="s">
        <v>252</v>
      </c>
      <c r="H262" s="37" t="s">
        <v>57</v>
      </c>
      <c r="I262" s="38" t="s">
        <v>2147</v>
      </c>
      <c r="J262" s="34" t="s">
        <v>41</v>
      </c>
      <c r="K262" s="39" t="s">
        <v>42</v>
      </c>
      <c r="L262" s="120" t="s">
        <v>2148</v>
      </c>
      <c r="M262" s="56"/>
      <c r="N262" s="56"/>
      <c r="O262" s="56"/>
      <c r="P262" s="56"/>
      <c r="Q262" s="56"/>
      <c r="R262" s="56"/>
      <c r="S262" s="56" t="s">
        <v>44</v>
      </c>
      <c r="T262" s="56"/>
      <c r="U262" s="56"/>
      <c r="V262" s="56"/>
      <c r="W262" s="56"/>
      <c r="X262" s="42" t="s">
        <v>2149</v>
      </c>
      <c r="Y262" s="58" t="s">
        <v>2150</v>
      </c>
      <c r="Z262" s="211" t="s">
        <v>2151</v>
      </c>
      <c r="AA262" s="45">
        <v>44944</v>
      </c>
      <c r="AB262" s="101" t="s">
        <v>30</v>
      </c>
      <c r="AC262" s="36"/>
      <c r="AD262" s="61" t="s">
        <v>49</v>
      </c>
      <c r="AE262" s="48" t="s">
        <v>41</v>
      </c>
      <c r="AF262" s="48" t="s">
        <v>41</v>
      </c>
      <c r="AG262" s="48" t="s">
        <v>49</v>
      </c>
      <c r="AH262" s="48" t="s">
        <v>49</v>
      </c>
      <c r="AI262" s="48" t="s">
        <v>49</v>
      </c>
      <c r="AJ262" s="49" t="s">
        <v>49</v>
      </c>
      <c r="AK262" s="48" t="s">
        <v>49</v>
      </c>
      <c r="AL262" s="65" t="s">
        <v>32</v>
      </c>
      <c r="AM262" s="65"/>
      <c r="AN262" s="59"/>
      <c r="AO262" s="10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1"/>
    </row>
    <row r="263" spans="1:52" ht="15" customHeight="1" x14ac:dyDescent="0.2">
      <c r="A263" s="33">
        <f t="shared" si="4"/>
        <v>258</v>
      </c>
      <c r="B263" s="34" t="s">
        <v>2152</v>
      </c>
      <c r="C263" s="35" t="s">
        <v>2153</v>
      </c>
      <c r="D263" s="36" t="s">
        <v>2154</v>
      </c>
      <c r="E263" s="36" t="s">
        <v>54</v>
      </c>
      <c r="F263" s="34" t="s">
        <v>2155</v>
      </c>
      <c r="G263" s="37" t="s">
        <v>323</v>
      </c>
      <c r="H263" s="37" t="s">
        <v>39</v>
      </c>
      <c r="I263" s="38" t="s">
        <v>2156</v>
      </c>
      <c r="J263" s="34" t="s">
        <v>41</v>
      </c>
      <c r="K263" s="39" t="s">
        <v>42</v>
      </c>
      <c r="L263" s="120">
        <v>44869</v>
      </c>
      <c r="M263" s="56"/>
      <c r="N263" s="56"/>
      <c r="O263" s="56"/>
      <c r="P263" s="56"/>
      <c r="Q263" s="56"/>
      <c r="R263" s="56"/>
      <c r="S263" s="56" t="s">
        <v>44</v>
      </c>
      <c r="T263" s="56"/>
      <c r="U263" s="56"/>
      <c r="V263" s="56"/>
      <c r="W263" s="56"/>
      <c r="X263" s="42" t="s">
        <v>2157</v>
      </c>
      <c r="Y263" s="58" t="s">
        <v>2158</v>
      </c>
      <c r="Z263" s="211" t="s">
        <v>2159</v>
      </c>
      <c r="AA263" s="45">
        <v>44944</v>
      </c>
      <c r="AB263" s="101" t="s">
        <v>30</v>
      </c>
      <c r="AC263" s="36"/>
      <c r="AD263" s="61" t="s">
        <v>49</v>
      </c>
      <c r="AE263" s="48" t="s">
        <v>41</v>
      </c>
      <c r="AF263" s="48" t="s">
        <v>41</v>
      </c>
      <c r="AG263" s="48" t="s">
        <v>49</v>
      </c>
      <c r="AH263" s="48" t="s">
        <v>49</v>
      </c>
      <c r="AI263" s="48" t="s">
        <v>49</v>
      </c>
      <c r="AJ263" s="49" t="s">
        <v>49</v>
      </c>
      <c r="AK263" s="48" t="s">
        <v>49</v>
      </c>
      <c r="AL263" s="62" t="s">
        <v>32</v>
      </c>
      <c r="AM263" s="62"/>
      <c r="AN263" s="59"/>
      <c r="AO263" s="10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1"/>
    </row>
    <row r="264" spans="1:52" ht="15" customHeight="1" x14ac:dyDescent="0.2">
      <c r="A264" s="33">
        <f t="shared" si="4"/>
        <v>259</v>
      </c>
      <c r="B264" s="34" t="s">
        <v>2160</v>
      </c>
      <c r="C264" s="35" t="s">
        <v>2161</v>
      </c>
      <c r="D264" s="36" t="s">
        <v>2162</v>
      </c>
      <c r="E264" s="36" t="s">
        <v>54</v>
      </c>
      <c r="F264" s="34" t="s">
        <v>2163</v>
      </c>
      <c r="G264" s="37" t="s">
        <v>38</v>
      </c>
      <c r="H264" s="37" t="s">
        <v>39</v>
      </c>
      <c r="I264" s="34" t="s">
        <v>2164</v>
      </c>
      <c r="J264" s="38" t="s">
        <v>2165</v>
      </c>
      <c r="K264" s="39" t="s">
        <v>42</v>
      </c>
      <c r="L264" s="120">
        <v>37539</v>
      </c>
      <c r="M264" s="41"/>
      <c r="N264" s="41"/>
      <c r="O264" s="41"/>
      <c r="P264" s="41"/>
      <c r="Q264" s="112"/>
      <c r="R264" s="112"/>
      <c r="S264" s="112"/>
      <c r="T264" s="41"/>
      <c r="U264" s="41"/>
      <c r="V264" s="41"/>
      <c r="W264" s="41"/>
      <c r="X264" s="42" t="s">
        <v>2166</v>
      </c>
      <c r="Y264" s="69" t="s">
        <v>2167</v>
      </c>
      <c r="Z264" s="44" t="s">
        <v>61</v>
      </c>
      <c r="AA264" s="45">
        <v>37877</v>
      </c>
      <c r="AB264" s="101" t="s">
        <v>30</v>
      </c>
      <c r="AC264" s="36" t="s">
        <v>26</v>
      </c>
      <c r="AD264" s="47" t="s">
        <v>49</v>
      </c>
      <c r="AE264" s="48" t="s">
        <v>49</v>
      </c>
      <c r="AF264" s="48" t="s">
        <v>49</v>
      </c>
      <c r="AG264" s="48" t="s">
        <v>49</v>
      </c>
      <c r="AH264" s="48" t="s">
        <v>49</v>
      </c>
      <c r="AI264" s="48" t="s">
        <v>49</v>
      </c>
      <c r="AJ264" s="49" t="s">
        <v>41</v>
      </c>
      <c r="AK264" s="48" t="s">
        <v>41</v>
      </c>
      <c r="AL264" s="62" t="s">
        <v>276</v>
      </c>
      <c r="AM264" s="62"/>
      <c r="AN264" s="59"/>
      <c r="AO264" s="10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1"/>
    </row>
    <row r="265" spans="1:52" ht="15" customHeight="1" x14ac:dyDescent="0.2">
      <c r="A265" s="33">
        <f t="shared" si="4"/>
        <v>260</v>
      </c>
      <c r="B265" s="34" t="s">
        <v>2168</v>
      </c>
      <c r="C265" s="35" t="s">
        <v>2169</v>
      </c>
      <c r="D265" s="36" t="s">
        <v>2170</v>
      </c>
      <c r="E265" s="36" t="s">
        <v>36</v>
      </c>
      <c r="F265" s="214" t="s">
        <v>2171</v>
      </c>
      <c r="G265" s="37" t="s">
        <v>176</v>
      </c>
      <c r="H265" s="37" t="s">
        <v>39</v>
      </c>
      <c r="I265" s="38" t="s">
        <v>2172</v>
      </c>
      <c r="J265" s="34" t="s">
        <v>41</v>
      </c>
      <c r="K265" s="39" t="s">
        <v>42</v>
      </c>
      <c r="L265" s="99" t="s">
        <v>2173</v>
      </c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2" t="s">
        <v>2174</v>
      </c>
      <c r="Y265" s="58" t="s">
        <v>2175</v>
      </c>
      <c r="Z265" s="211" t="s">
        <v>2176</v>
      </c>
      <c r="AA265" s="45">
        <v>44944</v>
      </c>
      <c r="AB265" s="101" t="s">
        <v>30</v>
      </c>
      <c r="AC265" s="36"/>
      <c r="AD265" s="47" t="s">
        <v>49</v>
      </c>
      <c r="AE265" s="48" t="s">
        <v>41</v>
      </c>
      <c r="AF265" s="48" t="s">
        <v>41</v>
      </c>
      <c r="AG265" s="48" t="s">
        <v>49</v>
      </c>
      <c r="AH265" s="48" t="s">
        <v>49</v>
      </c>
      <c r="AI265" s="48" t="s">
        <v>49</v>
      </c>
      <c r="AJ265" s="49" t="s">
        <v>49</v>
      </c>
      <c r="AK265" s="48" t="s">
        <v>49</v>
      </c>
      <c r="AL265" s="62" t="s">
        <v>32</v>
      </c>
      <c r="AM265" s="62"/>
      <c r="AN265" s="59"/>
      <c r="AO265" s="117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1"/>
    </row>
    <row r="266" spans="1:52" ht="15" customHeight="1" x14ac:dyDescent="0.2">
      <c r="A266" s="33">
        <f t="shared" ref="A266:A330" si="5">+A265+1</f>
        <v>261</v>
      </c>
      <c r="B266" s="107" t="s">
        <v>2177</v>
      </c>
      <c r="C266" s="35" t="s">
        <v>2178</v>
      </c>
      <c r="D266" s="36" t="s">
        <v>2179</v>
      </c>
      <c r="E266" s="36" t="s">
        <v>36</v>
      </c>
      <c r="F266" s="87" t="s">
        <v>2180</v>
      </c>
      <c r="G266" s="37" t="s">
        <v>73</v>
      </c>
      <c r="H266" s="37" t="s">
        <v>73</v>
      </c>
      <c r="I266" s="38" t="s">
        <v>2181</v>
      </c>
      <c r="J266" s="34" t="s">
        <v>41</v>
      </c>
      <c r="K266" s="39" t="s">
        <v>42</v>
      </c>
      <c r="L266" s="120" t="s">
        <v>2182</v>
      </c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42" t="s">
        <v>2183</v>
      </c>
      <c r="Y266" s="43" t="s">
        <v>2184</v>
      </c>
      <c r="Z266" s="44" t="s">
        <v>2185</v>
      </c>
      <c r="AA266" s="45" t="s">
        <v>1130</v>
      </c>
      <c r="AB266" s="101" t="s">
        <v>30</v>
      </c>
      <c r="AC266" s="36"/>
      <c r="AD266" s="47" t="s">
        <v>49</v>
      </c>
      <c r="AE266" s="48" t="s">
        <v>41</v>
      </c>
      <c r="AF266" s="48" t="s">
        <v>41</v>
      </c>
      <c r="AG266" s="48" t="s">
        <v>41</v>
      </c>
      <c r="AH266" s="48" t="s">
        <v>41</v>
      </c>
      <c r="AI266" s="48" t="s">
        <v>41</v>
      </c>
      <c r="AJ266" s="49" t="s">
        <v>41</v>
      </c>
      <c r="AK266" s="48" t="s">
        <v>41</v>
      </c>
      <c r="AL266" s="65" t="s">
        <v>4591</v>
      </c>
      <c r="AM266" s="65"/>
      <c r="AN266" s="59"/>
      <c r="AO266" s="10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1"/>
    </row>
    <row r="267" spans="1:52" ht="15" customHeight="1" x14ac:dyDescent="0.2">
      <c r="A267" s="33">
        <f t="shared" si="5"/>
        <v>262</v>
      </c>
      <c r="B267" s="107" t="s">
        <v>2186</v>
      </c>
      <c r="C267" s="35" t="s">
        <v>2187</v>
      </c>
      <c r="D267" s="36" t="s">
        <v>2188</v>
      </c>
      <c r="E267" s="36" t="s">
        <v>54</v>
      </c>
      <c r="F267" s="34" t="s">
        <v>2189</v>
      </c>
      <c r="G267" s="37" t="s">
        <v>456</v>
      </c>
      <c r="H267" s="37" t="s">
        <v>187</v>
      </c>
      <c r="I267" s="38" t="s">
        <v>2190</v>
      </c>
      <c r="J267" s="34" t="s">
        <v>41</v>
      </c>
      <c r="K267" s="39" t="s">
        <v>42</v>
      </c>
      <c r="L267" s="120" t="s">
        <v>2191</v>
      </c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42" t="s">
        <v>2192</v>
      </c>
      <c r="Y267" s="43" t="s">
        <v>2193</v>
      </c>
      <c r="Z267" s="211" t="s">
        <v>2194</v>
      </c>
      <c r="AA267" s="45">
        <v>44944</v>
      </c>
      <c r="AB267" s="101" t="s">
        <v>30</v>
      </c>
      <c r="AC267" s="36" t="s">
        <v>26</v>
      </c>
      <c r="AD267" s="47" t="s">
        <v>49</v>
      </c>
      <c r="AE267" s="48" t="s">
        <v>49</v>
      </c>
      <c r="AF267" s="48" t="s">
        <v>49</v>
      </c>
      <c r="AG267" s="48" t="s">
        <v>49</v>
      </c>
      <c r="AH267" s="48" t="s">
        <v>49</v>
      </c>
      <c r="AI267" s="48" t="s">
        <v>49</v>
      </c>
      <c r="AJ267" s="49" t="s">
        <v>49</v>
      </c>
      <c r="AK267" s="48" t="s">
        <v>41</v>
      </c>
      <c r="AL267" s="62" t="s">
        <v>148</v>
      </c>
      <c r="AM267" s="62"/>
      <c r="AN267" s="59"/>
      <c r="AO267" s="10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1"/>
    </row>
    <row r="268" spans="1:52" x14ac:dyDescent="0.2">
      <c r="A268" s="33">
        <f t="shared" si="5"/>
        <v>263</v>
      </c>
      <c r="B268" s="34" t="s">
        <v>2195</v>
      </c>
      <c r="C268" s="35" t="s">
        <v>2196</v>
      </c>
      <c r="D268" s="36" t="s">
        <v>2197</v>
      </c>
      <c r="E268" s="36" t="s">
        <v>54</v>
      </c>
      <c r="F268" s="34" t="s">
        <v>2198</v>
      </c>
      <c r="G268" s="37" t="s">
        <v>1354</v>
      </c>
      <c r="H268" s="37" t="s">
        <v>57</v>
      </c>
      <c r="I268" s="38" t="s">
        <v>2199</v>
      </c>
      <c r="J268" s="34" t="s">
        <v>41</v>
      </c>
      <c r="K268" s="39" t="s">
        <v>42</v>
      </c>
      <c r="L268" s="99" t="s">
        <v>2200</v>
      </c>
      <c r="M268" s="56"/>
      <c r="N268" s="56"/>
      <c r="O268" s="56"/>
      <c r="P268" s="56"/>
      <c r="Q268" s="56"/>
      <c r="R268" s="56" t="s">
        <v>44</v>
      </c>
      <c r="S268" s="56"/>
      <c r="T268" s="56"/>
      <c r="U268" s="56"/>
      <c r="V268" s="56"/>
      <c r="W268" s="56"/>
      <c r="X268" s="42" t="s">
        <v>2201</v>
      </c>
      <c r="Y268" s="43" t="s">
        <v>2202</v>
      </c>
      <c r="Z268" s="121" t="s">
        <v>2203</v>
      </c>
      <c r="AA268" s="45">
        <v>44650</v>
      </c>
      <c r="AB268" s="101" t="s">
        <v>30</v>
      </c>
      <c r="AC268" s="36"/>
      <c r="AD268" s="61" t="s">
        <v>49</v>
      </c>
      <c r="AE268" s="48" t="s">
        <v>41</v>
      </c>
      <c r="AF268" s="48" t="s">
        <v>49</v>
      </c>
      <c r="AG268" s="48" t="s">
        <v>49</v>
      </c>
      <c r="AH268" s="48" t="s">
        <v>49</v>
      </c>
      <c r="AI268" s="48" t="s">
        <v>49</v>
      </c>
      <c r="AJ268" s="49" t="s">
        <v>49</v>
      </c>
      <c r="AK268" s="48" t="s">
        <v>49</v>
      </c>
      <c r="AL268" s="62" t="s">
        <v>32</v>
      </c>
      <c r="AM268" s="62"/>
      <c r="AN268" s="59"/>
      <c r="AO268" s="10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1"/>
    </row>
    <row r="269" spans="1:52" x14ac:dyDescent="0.2">
      <c r="A269" s="33">
        <f t="shared" si="5"/>
        <v>264</v>
      </c>
      <c r="B269" s="34" t="s">
        <v>2204</v>
      </c>
      <c r="C269" s="35" t="s">
        <v>2205</v>
      </c>
      <c r="D269" s="36" t="s">
        <v>2206</v>
      </c>
      <c r="E269" s="36" t="s">
        <v>54</v>
      </c>
      <c r="F269" s="34" t="s">
        <v>2207</v>
      </c>
      <c r="G269" s="37" t="s">
        <v>73</v>
      </c>
      <c r="H269" s="37" t="s">
        <v>73</v>
      </c>
      <c r="I269" s="34" t="s">
        <v>2208</v>
      </c>
      <c r="J269" s="34" t="s">
        <v>2208</v>
      </c>
      <c r="K269" s="39" t="s">
        <v>42</v>
      </c>
      <c r="L269" s="99" t="s">
        <v>2209</v>
      </c>
      <c r="M269" s="215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42"/>
      <c r="Y269" s="52" t="s">
        <v>2210</v>
      </c>
      <c r="Z269" s="119" t="s">
        <v>61</v>
      </c>
      <c r="AA269" s="45">
        <v>40815</v>
      </c>
      <c r="AB269" s="101" t="s">
        <v>30</v>
      </c>
      <c r="AC269" s="36"/>
      <c r="AD269" s="61" t="s">
        <v>49</v>
      </c>
      <c r="AE269" s="48" t="s">
        <v>41</v>
      </c>
      <c r="AF269" s="48" t="s">
        <v>41</v>
      </c>
      <c r="AG269" s="48" t="s">
        <v>41</v>
      </c>
      <c r="AH269" s="48" t="s">
        <v>41</v>
      </c>
      <c r="AI269" s="48" t="s">
        <v>41</v>
      </c>
      <c r="AJ269" s="49" t="s">
        <v>41</v>
      </c>
      <c r="AK269" s="48" t="s">
        <v>41</v>
      </c>
      <c r="AL269" s="65" t="s">
        <v>4588</v>
      </c>
      <c r="AM269" s="65"/>
      <c r="AN269" s="59" t="s">
        <v>2211</v>
      </c>
      <c r="AO269" s="117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1"/>
    </row>
    <row r="270" spans="1:52" x14ac:dyDescent="0.2">
      <c r="A270" s="33">
        <f t="shared" si="5"/>
        <v>265</v>
      </c>
      <c r="B270" s="34" t="s">
        <v>2212</v>
      </c>
      <c r="C270" s="35" t="s">
        <v>2213</v>
      </c>
      <c r="D270" s="36" t="s">
        <v>2214</v>
      </c>
      <c r="E270" s="36" t="s">
        <v>54</v>
      </c>
      <c r="F270" s="87" t="s">
        <v>2215</v>
      </c>
      <c r="G270" s="37" t="s">
        <v>73</v>
      </c>
      <c r="H270" s="37" t="s">
        <v>73</v>
      </c>
      <c r="I270" s="38" t="s">
        <v>2216</v>
      </c>
      <c r="J270" s="107" t="s">
        <v>2217</v>
      </c>
      <c r="K270" s="39" t="s">
        <v>42</v>
      </c>
      <c r="L270" s="99" t="s">
        <v>2218</v>
      </c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2" t="s">
        <v>2219</v>
      </c>
      <c r="Y270" s="100" t="s">
        <v>2220</v>
      </c>
      <c r="Z270" s="44" t="s">
        <v>2221</v>
      </c>
      <c r="AA270" s="45">
        <v>41793</v>
      </c>
      <c r="AB270" s="101" t="s">
        <v>30</v>
      </c>
      <c r="AC270" s="36" t="s">
        <v>26</v>
      </c>
      <c r="AD270" s="64" t="s">
        <v>120</v>
      </c>
      <c r="AE270" s="48" t="s">
        <v>120</v>
      </c>
      <c r="AF270" s="48" t="s">
        <v>120</v>
      </c>
      <c r="AG270" s="48" t="s">
        <v>120</v>
      </c>
      <c r="AH270" s="48" t="s">
        <v>120</v>
      </c>
      <c r="AI270" s="48" t="s">
        <v>120</v>
      </c>
      <c r="AJ270" s="49" t="s">
        <v>120</v>
      </c>
      <c r="AK270" s="48" t="s">
        <v>120</v>
      </c>
      <c r="AL270" s="65" t="s">
        <v>32</v>
      </c>
      <c r="AM270" s="65"/>
      <c r="AN270" s="59"/>
      <c r="AO270" s="10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1"/>
    </row>
    <row r="271" spans="1:52" x14ac:dyDescent="0.2">
      <c r="A271" s="33">
        <f t="shared" si="5"/>
        <v>266</v>
      </c>
      <c r="B271" s="34" t="s">
        <v>2222</v>
      </c>
      <c r="C271" s="35" t="s">
        <v>2223</v>
      </c>
      <c r="D271" s="36" t="s">
        <v>2224</v>
      </c>
      <c r="E271" s="36" t="s">
        <v>54</v>
      </c>
      <c r="F271" s="216" t="s">
        <v>2225</v>
      </c>
      <c r="G271" s="37" t="s">
        <v>73</v>
      </c>
      <c r="H271" s="37" t="s">
        <v>73</v>
      </c>
      <c r="I271" s="108" t="s">
        <v>2226</v>
      </c>
      <c r="J271" s="108" t="s">
        <v>2227</v>
      </c>
      <c r="K271" s="39" t="s">
        <v>42</v>
      </c>
      <c r="L271" s="120">
        <v>32234</v>
      </c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2" t="s">
        <v>2228</v>
      </c>
      <c r="Y271" s="58" t="s">
        <v>2229</v>
      </c>
      <c r="Z271" s="44" t="s">
        <v>61</v>
      </c>
      <c r="AA271" s="45">
        <v>40815</v>
      </c>
      <c r="AB271" s="101" t="s">
        <v>30</v>
      </c>
      <c r="AC271" s="36" t="s">
        <v>26</v>
      </c>
      <c r="AD271" s="64" t="s">
        <v>120</v>
      </c>
      <c r="AE271" s="48" t="s">
        <v>120</v>
      </c>
      <c r="AF271" s="48" t="s">
        <v>120</v>
      </c>
      <c r="AG271" s="48" t="s">
        <v>41</v>
      </c>
      <c r="AH271" s="48" t="s">
        <v>41</v>
      </c>
      <c r="AI271" s="48" t="s">
        <v>41</v>
      </c>
      <c r="AJ271" s="49" t="s">
        <v>41</v>
      </c>
      <c r="AK271" s="48" t="s">
        <v>41</v>
      </c>
      <c r="AL271" s="62" t="s">
        <v>110</v>
      </c>
      <c r="AM271" s="62"/>
      <c r="AN271" s="59"/>
      <c r="AO271" s="10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1"/>
    </row>
    <row r="272" spans="1:52" x14ac:dyDescent="0.2">
      <c r="A272" s="33">
        <f t="shared" si="5"/>
        <v>267</v>
      </c>
      <c r="B272" s="34" t="s">
        <v>2230</v>
      </c>
      <c r="C272" s="35" t="s">
        <v>2231</v>
      </c>
      <c r="D272" s="36" t="s">
        <v>2232</v>
      </c>
      <c r="E272" s="36" t="s">
        <v>54</v>
      </c>
      <c r="F272" s="60" t="s">
        <v>2233</v>
      </c>
      <c r="G272" s="37" t="s">
        <v>528</v>
      </c>
      <c r="H272" s="37" t="s">
        <v>57</v>
      </c>
      <c r="I272" s="113" t="s">
        <v>2234</v>
      </c>
      <c r="J272" s="34" t="s">
        <v>41</v>
      </c>
      <c r="K272" s="39" t="s">
        <v>42</v>
      </c>
      <c r="L272" s="120">
        <v>37207</v>
      </c>
      <c r="M272" s="41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42" t="s">
        <v>2235</v>
      </c>
      <c r="Y272" s="69" t="s">
        <v>2236</v>
      </c>
      <c r="Z272" s="44" t="s">
        <v>2237</v>
      </c>
      <c r="AA272" s="45">
        <v>41793</v>
      </c>
      <c r="AB272" s="101" t="s">
        <v>30</v>
      </c>
      <c r="AC272" s="73" t="s">
        <v>26</v>
      </c>
      <c r="AD272" s="47" t="s">
        <v>49</v>
      </c>
      <c r="AE272" s="48" t="s">
        <v>49</v>
      </c>
      <c r="AF272" s="48" t="s">
        <v>49</v>
      </c>
      <c r="AG272" s="48" t="s">
        <v>49</v>
      </c>
      <c r="AH272" s="48" t="s">
        <v>49</v>
      </c>
      <c r="AI272" s="48" t="s">
        <v>49</v>
      </c>
      <c r="AJ272" s="49" t="s">
        <v>49</v>
      </c>
      <c r="AK272" s="48" t="s">
        <v>49</v>
      </c>
      <c r="AL272" s="62" t="s">
        <v>32</v>
      </c>
      <c r="AM272" s="62"/>
      <c r="AN272" s="59"/>
      <c r="AO272" s="10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1"/>
    </row>
    <row r="273" spans="1:52" x14ac:dyDescent="0.2">
      <c r="A273" s="33">
        <f t="shared" si="5"/>
        <v>268</v>
      </c>
      <c r="B273" s="34" t="s">
        <v>2238</v>
      </c>
      <c r="C273" s="35" t="s">
        <v>2239</v>
      </c>
      <c r="D273" s="36" t="s">
        <v>2240</v>
      </c>
      <c r="E273" s="36" t="s">
        <v>54</v>
      </c>
      <c r="F273" s="108" t="s">
        <v>2241</v>
      </c>
      <c r="G273" s="37" t="s">
        <v>413</v>
      </c>
      <c r="H273" s="37" t="s">
        <v>378</v>
      </c>
      <c r="I273" s="34" t="s">
        <v>2242</v>
      </c>
      <c r="J273" s="34" t="s">
        <v>41</v>
      </c>
      <c r="K273" s="39" t="s">
        <v>42</v>
      </c>
      <c r="L273" s="120">
        <v>37377</v>
      </c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2" t="s">
        <v>2243</v>
      </c>
      <c r="Y273" s="52" t="s">
        <v>2244</v>
      </c>
      <c r="Z273" s="44" t="s">
        <v>61</v>
      </c>
      <c r="AA273" s="45">
        <v>37877</v>
      </c>
      <c r="AB273" s="101" t="s">
        <v>30</v>
      </c>
      <c r="AC273" s="36" t="s">
        <v>26</v>
      </c>
      <c r="AD273" s="47" t="s">
        <v>49</v>
      </c>
      <c r="AE273" s="48" t="s">
        <v>49</v>
      </c>
      <c r="AF273" s="48" t="s">
        <v>49</v>
      </c>
      <c r="AG273" s="48" t="s">
        <v>41</v>
      </c>
      <c r="AH273" s="48" t="s">
        <v>41</v>
      </c>
      <c r="AI273" s="48" t="s">
        <v>41</v>
      </c>
      <c r="AJ273" s="49" t="s">
        <v>41</v>
      </c>
      <c r="AK273" s="48" t="s">
        <v>41</v>
      </c>
      <c r="AL273" s="62">
        <v>5</v>
      </c>
      <c r="AM273" s="62"/>
      <c r="AN273" s="59"/>
      <c r="AO273" s="10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1"/>
    </row>
    <row r="274" spans="1:52" x14ac:dyDescent="0.2">
      <c r="A274" s="33">
        <f t="shared" si="5"/>
        <v>269</v>
      </c>
      <c r="B274" s="34" t="s">
        <v>2245</v>
      </c>
      <c r="C274" s="35" t="s">
        <v>2246</v>
      </c>
      <c r="D274" s="36" t="s">
        <v>2247</v>
      </c>
      <c r="E274" s="36" t="s">
        <v>36</v>
      </c>
      <c r="F274" s="60" t="s">
        <v>2248</v>
      </c>
      <c r="G274" s="37" t="s">
        <v>360</v>
      </c>
      <c r="H274" s="37" t="s">
        <v>350</v>
      </c>
      <c r="I274" s="113" t="s">
        <v>2249</v>
      </c>
      <c r="J274" s="34" t="s">
        <v>41</v>
      </c>
      <c r="K274" s="39" t="s">
        <v>42</v>
      </c>
      <c r="L274" s="120">
        <v>44384</v>
      </c>
      <c r="M274" s="41"/>
      <c r="N274" s="70"/>
      <c r="O274" s="70"/>
      <c r="P274" s="70"/>
      <c r="Q274" s="70"/>
      <c r="R274" s="70" t="s">
        <v>44</v>
      </c>
      <c r="S274" s="70"/>
      <c r="T274" s="70"/>
      <c r="U274" s="70"/>
      <c r="V274" s="70"/>
      <c r="W274" s="70"/>
      <c r="X274" s="42" t="s">
        <v>2250</v>
      </c>
      <c r="Y274" s="58" t="s">
        <v>2251</v>
      </c>
      <c r="Z274" s="84" t="s">
        <v>2252</v>
      </c>
      <c r="AA274" s="45">
        <v>44650</v>
      </c>
      <c r="AB274" s="101" t="s">
        <v>30</v>
      </c>
      <c r="AC274" s="73"/>
      <c r="AD274" s="47" t="s">
        <v>49</v>
      </c>
      <c r="AE274" s="48" t="s">
        <v>41</v>
      </c>
      <c r="AF274" s="48" t="s">
        <v>49</v>
      </c>
      <c r="AG274" s="48" t="s">
        <v>41</v>
      </c>
      <c r="AH274" s="48" t="s">
        <v>41</v>
      </c>
      <c r="AI274" s="48" t="s">
        <v>41</v>
      </c>
      <c r="AJ274" s="49" t="s">
        <v>41</v>
      </c>
      <c r="AK274" s="48" t="s">
        <v>41</v>
      </c>
      <c r="AL274" s="62" t="s">
        <v>110</v>
      </c>
      <c r="AM274" s="62"/>
      <c r="AN274" s="59"/>
      <c r="AO274" s="10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1"/>
    </row>
    <row r="275" spans="1:52" ht="18.75" customHeight="1" x14ac:dyDescent="0.2">
      <c r="A275" s="33">
        <f t="shared" si="5"/>
        <v>270</v>
      </c>
      <c r="B275" s="38" t="s">
        <v>2253</v>
      </c>
      <c r="C275" s="35" t="s">
        <v>2254</v>
      </c>
      <c r="D275" s="36" t="s">
        <v>2255</v>
      </c>
      <c r="E275" s="36" t="s">
        <v>54</v>
      </c>
      <c r="F275" s="200" t="s">
        <v>2256</v>
      </c>
      <c r="G275" s="37" t="s">
        <v>39</v>
      </c>
      <c r="H275" s="37" t="s">
        <v>39</v>
      </c>
      <c r="I275" s="38" t="s">
        <v>2257</v>
      </c>
      <c r="J275" s="38" t="s">
        <v>41</v>
      </c>
      <c r="K275" s="39" t="s">
        <v>42</v>
      </c>
      <c r="L275" s="158" t="s">
        <v>2258</v>
      </c>
      <c r="M275" s="56"/>
      <c r="N275" s="56"/>
      <c r="O275" s="56"/>
      <c r="P275" s="56"/>
      <c r="Q275" s="56"/>
      <c r="R275" s="56" t="s">
        <v>44</v>
      </c>
      <c r="S275" s="56"/>
      <c r="T275" s="56"/>
      <c r="U275" s="56"/>
      <c r="V275" s="56"/>
      <c r="W275" s="56"/>
      <c r="X275" s="42" t="s">
        <v>2259</v>
      </c>
      <c r="Y275" s="58" t="s">
        <v>2260</v>
      </c>
      <c r="Z275" s="207" t="s">
        <v>2261</v>
      </c>
      <c r="AA275" s="45">
        <v>44944</v>
      </c>
      <c r="AB275" s="101" t="s">
        <v>30</v>
      </c>
      <c r="AC275" s="36" t="s">
        <v>26</v>
      </c>
      <c r="AD275" s="47" t="s">
        <v>49</v>
      </c>
      <c r="AE275" s="48" t="s">
        <v>49</v>
      </c>
      <c r="AF275" s="48" t="s">
        <v>49</v>
      </c>
      <c r="AG275" s="48" t="s">
        <v>49</v>
      </c>
      <c r="AH275" s="48" t="s">
        <v>49</v>
      </c>
      <c r="AI275" s="48" t="s">
        <v>49</v>
      </c>
      <c r="AJ275" s="49" t="s">
        <v>49</v>
      </c>
      <c r="AK275" s="48" t="s">
        <v>49</v>
      </c>
      <c r="AL275" s="65" t="s">
        <v>32</v>
      </c>
      <c r="AM275" s="65"/>
      <c r="AN275" s="59"/>
      <c r="AO275" s="117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1"/>
    </row>
    <row r="276" spans="1:52" x14ac:dyDescent="0.2">
      <c r="A276" s="33">
        <f t="shared" si="5"/>
        <v>271</v>
      </c>
      <c r="B276" s="34" t="s">
        <v>2262</v>
      </c>
      <c r="C276" s="35" t="s">
        <v>2263</v>
      </c>
      <c r="D276" s="36" t="s">
        <v>2264</v>
      </c>
      <c r="E276" s="36" t="s">
        <v>54</v>
      </c>
      <c r="F276" s="200" t="s">
        <v>2265</v>
      </c>
      <c r="G276" s="37" t="s">
        <v>1285</v>
      </c>
      <c r="H276" s="37" t="s">
        <v>350</v>
      </c>
      <c r="I276" s="38" t="s">
        <v>2266</v>
      </c>
      <c r="J276" s="34" t="s">
        <v>41</v>
      </c>
      <c r="K276" s="39" t="s">
        <v>42</v>
      </c>
      <c r="L276" s="120">
        <v>43408</v>
      </c>
      <c r="M276" s="41" t="s">
        <v>179</v>
      </c>
      <c r="N276" s="41" t="s">
        <v>179</v>
      </c>
      <c r="O276" s="41"/>
      <c r="P276" s="41">
        <v>5</v>
      </c>
      <c r="Q276" s="41" t="s">
        <v>942</v>
      </c>
      <c r="R276" s="41"/>
      <c r="S276" s="41"/>
      <c r="T276" s="41"/>
      <c r="U276" s="41"/>
      <c r="V276" s="41"/>
      <c r="W276" s="41"/>
      <c r="X276" s="42" t="s">
        <v>2267</v>
      </c>
      <c r="Y276" s="58" t="s">
        <v>2268</v>
      </c>
      <c r="Z276" s="44"/>
      <c r="AA276" s="45" t="s">
        <v>47</v>
      </c>
      <c r="AB276" s="101"/>
      <c r="AC276" s="36"/>
      <c r="AD276" s="47" t="s">
        <v>49</v>
      </c>
      <c r="AE276" s="48" t="s">
        <v>41</v>
      </c>
      <c r="AF276" s="48" t="s">
        <v>41</v>
      </c>
      <c r="AG276" s="48" t="s">
        <v>41</v>
      </c>
      <c r="AH276" s="48" t="s">
        <v>41</v>
      </c>
      <c r="AI276" s="48" t="s">
        <v>41</v>
      </c>
      <c r="AJ276" s="49" t="s">
        <v>41</v>
      </c>
      <c r="AK276" s="48" t="s">
        <v>41</v>
      </c>
      <c r="AL276" s="65">
        <v>7</v>
      </c>
      <c r="AM276" s="65"/>
      <c r="AN276" s="59" t="s">
        <v>2211</v>
      </c>
      <c r="AO276" s="10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1"/>
    </row>
    <row r="277" spans="1:52" x14ac:dyDescent="0.2">
      <c r="A277" s="33">
        <f t="shared" si="5"/>
        <v>272</v>
      </c>
      <c r="B277" s="34" t="s">
        <v>2269</v>
      </c>
      <c r="C277" s="35" t="s">
        <v>2270</v>
      </c>
      <c r="D277" s="36" t="s">
        <v>2271</v>
      </c>
      <c r="E277" s="36" t="s">
        <v>54</v>
      </c>
      <c r="F277" s="200" t="s">
        <v>2265</v>
      </c>
      <c r="G277" s="37" t="s">
        <v>1285</v>
      </c>
      <c r="H277" s="37" t="s">
        <v>350</v>
      </c>
      <c r="I277" s="34" t="s">
        <v>2272</v>
      </c>
      <c r="J277" s="34" t="s">
        <v>2273</v>
      </c>
      <c r="K277" s="39" t="s">
        <v>42</v>
      </c>
      <c r="L277" s="99" t="s">
        <v>2274</v>
      </c>
      <c r="M277" s="112" t="s">
        <v>179</v>
      </c>
      <c r="N277" s="41" t="s">
        <v>179</v>
      </c>
      <c r="O277" s="41"/>
      <c r="P277" s="41">
        <v>5</v>
      </c>
      <c r="Q277" s="41" t="s">
        <v>942</v>
      </c>
      <c r="R277" s="41"/>
      <c r="S277" s="41"/>
      <c r="T277" s="41"/>
      <c r="U277" s="41"/>
      <c r="V277" s="41"/>
      <c r="W277" s="41"/>
      <c r="X277" s="57" t="s">
        <v>2267</v>
      </c>
      <c r="Y277" s="58" t="s">
        <v>2275</v>
      </c>
      <c r="Z277" s="44"/>
      <c r="AA277" s="45" t="s">
        <v>47</v>
      </c>
      <c r="AB277" s="101"/>
      <c r="AC277" s="36"/>
      <c r="AD277" s="47" t="s">
        <v>49</v>
      </c>
      <c r="AE277" s="48" t="s">
        <v>41</v>
      </c>
      <c r="AF277" s="48" t="s">
        <v>41</v>
      </c>
      <c r="AG277" s="48" t="s">
        <v>41</v>
      </c>
      <c r="AH277" s="48" t="s">
        <v>41</v>
      </c>
      <c r="AI277" s="48" t="s">
        <v>41</v>
      </c>
      <c r="AJ277" s="49" t="s">
        <v>41</v>
      </c>
      <c r="AK277" s="48" t="s">
        <v>41</v>
      </c>
      <c r="AL277" s="65" t="s">
        <v>4591</v>
      </c>
      <c r="AM277" s="65"/>
      <c r="AN277" s="59" t="s">
        <v>2211</v>
      </c>
      <c r="AO277" s="10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1"/>
    </row>
    <row r="278" spans="1:52" x14ac:dyDescent="0.2">
      <c r="A278" s="33">
        <f t="shared" si="5"/>
        <v>273</v>
      </c>
      <c r="B278" s="34" t="s">
        <v>2283</v>
      </c>
      <c r="C278" s="35" t="s">
        <v>2284</v>
      </c>
      <c r="D278" s="36" t="s">
        <v>2285</v>
      </c>
      <c r="E278" s="36" t="s">
        <v>54</v>
      </c>
      <c r="F278" s="60" t="s">
        <v>2286</v>
      </c>
      <c r="G278" s="37" t="s">
        <v>73</v>
      </c>
      <c r="H278" s="37" t="s">
        <v>73</v>
      </c>
      <c r="I278" s="113" t="s">
        <v>2287</v>
      </c>
      <c r="J278" s="34" t="s">
        <v>41</v>
      </c>
      <c r="K278" s="39" t="s">
        <v>42</v>
      </c>
      <c r="L278" s="120" t="s">
        <v>2288</v>
      </c>
      <c r="M278" s="41"/>
      <c r="N278" s="70"/>
      <c r="O278" s="70"/>
      <c r="P278" s="70"/>
      <c r="Q278" s="70"/>
      <c r="R278" s="70"/>
      <c r="S278" s="70" t="s">
        <v>44</v>
      </c>
      <c r="T278" s="70"/>
      <c r="U278" s="70"/>
      <c r="V278" s="70"/>
      <c r="W278" s="70"/>
      <c r="X278" s="42" t="s">
        <v>2289</v>
      </c>
      <c r="Y278" s="58" t="s">
        <v>2290</v>
      </c>
      <c r="Z278" s="84" t="s">
        <v>2291</v>
      </c>
      <c r="AA278" s="45">
        <v>44650</v>
      </c>
      <c r="AB278" s="101" t="s">
        <v>30</v>
      </c>
      <c r="AC278" s="73"/>
      <c r="AD278" s="47" t="s">
        <v>49</v>
      </c>
      <c r="AE278" s="48" t="s">
        <v>41</v>
      </c>
      <c r="AF278" s="48" t="s">
        <v>41</v>
      </c>
      <c r="AG278" s="48" t="s">
        <v>49</v>
      </c>
      <c r="AH278" s="48" t="s">
        <v>49</v>
      </c>
      <c r="AI278" s="48" t="s">
        <v>41</v>
      </c>
      <c r="AJ278" s="49" t="s">
        <v>41</v>
      </c>
      <c r="AK278" s="48" t="s">
        <v>41</v>
      </c>
      <c r="AL278" s="62" t="s">
        <v>4589</v>
      </c>
      <c r="AM278" s="62"/>
      <c r="AN278" s="59"/>
      <c r="AO278" s="117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1"/>
    </row>
    <row r="279" spans="1:52" x14ac:dyDescent="0.2">
      <c r="A279" s="33">
        <f t="shared" si="5"/>
        <v>274</v>
      </c>
      <c r="B279" s="34" t="s">
        <v>2292</v>
      </c>
      <c r="C279" s="35" t="s">
        <v>2293</v>
      </c>
      <c r="D279" s="36" t="s">
        <v>2294</v>
      </c>
      <c r="E279" s="36" t="s">
        <v>54</v>
      </c>
      <c r="F279" s="52" t="s">
        <v>2295</v>
      </c>
      <c r="G279" s="37" t="s">
        <v>350</v>
      </c>
      <c r="H279" s="37" t="s">
        <v>350</v>
      </c>
      <c r="I279" s="113" t="s">
        <v>2296</v>
      </c>
      <c r="J279" s="34" t="s">
        <v>41</v>
      </c>
      <c r="K279" s="39" t="s">
        <v>42</v>
      </c>
      <c r="L279" s="120">
        <v>45237</v>
      </c>
      <c r="M279" s="41"/>
      <c r="N279" s="70"/>
      <c r="O279" s="70"/>
      <c r="P279" s="70"/>
      <c r="Q279" s="70"/>
      <c r="R279" s="70"/>
      <c r="S279" s="70"/>
      <c r="T279" s="70" t="s">
        <v>44</v>
      </c>
      <c r="U279" s="70"/>
      <c r="V279" s="70"/>
      <c r="W279" s="70"/>
      <c r="X279" s="42" t="s">
        <v>2297</v>
      </c>
      <c r="Y279" s="83" t="s">
        <v>2298</v>
      </c>
      <c r="Z279" s="44"/>
      <c r="AA279" s="45">
        <v>45642</v>
      </c>
      <c r="AB279" s="101"/>
      <c r="AC279" s="73"/>
      <c r="AD279" s="47" t="s">
        <v>49</v>
      </c>
      <c r="AE279" s="48" t="s">
        <v>41</v>
      </c>
      <c r="AF279" s="48" t="s">
        <v>41</v>
      </c>
      <c r="AG279" s="48" t="s">
        <v>41</v>
      </c>
      <c r="AH279" s="48" t="s">
        <v>49</v>
      </c>
      <c r="AI279" s="48" t="s">
        <v>49</v>
      </c>
      <c r="AJ279" s="49" t="s">
        <v>49</v>
      </c>
      <c r="AK279" s="48" t="s">
        <v>41</v>
      </c>
      <c r="AL279" s="62" t="s">
        <v>148</v>
      </c>
      <c r="AM279" s="62"/>
      <c r="AN279" s="59"/>
      <c r="AO279" s="117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1"/>
    </row>
    <row r="280" spans="1:52" x14ac:dyDescent="0.2">
      <c r="A280" s="33">
        <f t="shared" si="5"/>
        <v>275</v>
      </c>
      <c r="B280" s="34" t="s">
        <v>2299</v>
      </c>
      <c r="C280" s="35" t="s">
        <v>2300</v>
      </c>
      <c r="D280" s="36" t="s">
        <v>2301</v>
      </c>
      <c r="E280" s="36" t="s">
        <v>36</v>
      </c>
      <c r="F280" s="34" t="s">
        <v>2302</v>
      </c>
      <c r="G280" s="37" t="s">
        <v>73</v>
      </c>
      <c r="H280" s="37" t="s">
        <v>73</v>
      </c>
      <c r="I280" s="34" t="s">
        <v>2303</v>
      </c>
      <c r="J280" s="34" t="s">
        <v>41</v>
      </c>
      <c r="K280" s="39" t="s">
        <v>42</v>
      </c>
      <c r="L280" s="99" t="s">
        <v>1160</v>
      </c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42" t="s">
        <v>2304</v>
      </c>
      <c r="Y280" s="52" t="s">
        <v>2305</v>
      </c>
      <c r="Z280" s="44" t="s">
        <v>2306</v>
      </c>
      <c r="AA280" s="45">
        <v>43200</v>
      </c>
      <c r="AB280" s="101" t="s">
        <v>30</v>
      </c>
      <c r="AC280" s="36" t="s">
        <v>26</v>
      </c>
      <c r="AD280" s="47" t="s">
        <v>49</v>
      </c>
      <c r="AE280" s="48" t="s">
        <v>49</v>
      </c>
      <c r="AF280" s="48" t="s">
        <v>49</v>
      </c>
      <c r="AG280" s="48" t="s">
        <v>49</v>
      </c>
      <c r="AH280" s="48" t="s">
        <v>49</v>
      </c>
      <c r="AI280" s="48" t="s">
        <v>49</v>
      </c>
      <c r="AJ280" s="49" t="s">
        <v>49</v>
      </c>
      <c r="AK280" s="48" t="s">
        <v>49</v>
      </c>
      <c r="AL280" s="62" t="s">
        <v>32</v>
      </c>
      <c r="AM280" s="62"/>
      <c r="AN280" s="59"/>
      <c r="AO280" s="10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1"/>
    </row>
    <row r="281" spans="1:52" x14ac:dyDescent="0.2">
      <c r="A281" s="33">
        <f t="shared" si="5"/>
        <v>276</v>
      </c>
      <c r="B281" s="34" t="s">
        <v>2307</v>
      </c>
      <c r="C281" s="35" t="s">
        <v>2308</v>
      </c>
      <c r="D281" s="36" t="s">
        <v>2309</v>
      </c>
      <c r="E281" s="36" t="s">
        <v>54</v>
      </c>
      <c r="F281" s="34" t="s">
        <v>2310</v>
      </c>
      <c r="G281" s="37" t="s">
        <v>176</v>
      </c>
      <c r="H281" s="37" t="s">
        <v>39</v>
      </c>
      <c r="I281" s="34" t="s">
        <v>2311</v>
      </c>
      <c r="J281" s="34" t="s">
        <v>41</v>
      </c>
      <c r="K281" s="39" t="s">
        <v>42</v>
      </c>
      <c r="L281" s="99" t="s">
        <v>2312</v>
      </c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2" t="s">
        <v>2313</v>
      </c>
      <c r="Y281" s="58" t="s">
        <v>2314</v>
      </c>
      <c r="Z281" s="44" t="s">
        <v>61</v>
      </c>
      <c r="AA281" s="45">
        <v>38593</v>
      </c>
      <c r="AB281" s="101" t="s">
        <v>30</v>
      </c>
      <c r="AC281" s="36"/>
      <c r="AD281" s="47" t="s">
        <v>49</v>
      </c>
      <c r="AE281" s="48" t="s">
        <v>41</v>
      </c>
      <c r="AF281" s="48" t="s">
        <v>41</v>
      </c>
      <c r="AG281" s="48" t="s">
        <v>41</v>
      </c>
      <c r="AH281" s="48" t="s">
        <v>41</v>
      </c>
      <c r="AI281" s="48" t="s">
        <v>41</v>
      </c>
      <c r="AJ281" s="49" t="s">
        <v>41</v>
      </c>
      <c r="AK281" s="48" t="s">
        <v>41</v>
      </c>
      <c r="AL281" s="65" t="s">
        <v>4591</v>
      </c>
      <c r="AM281" s="65"/>
      <c r="AN281" s="59" t="s">
        <v>460</v>
      </c>
      <c r="AO281" s="10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1"/>
    </row>
    <row r="282" spans="1:52" x14ac:dyDescent="0.2">
      <c r="A282" s="33">
        <f t="shared" si="5"/>
        <v>277</v>
      </c>
      <c r="B282" s="34" t="s">
        <v>2315</v>
      </c>
      <c r="C282" s="35" t="s">
        <v>2316</v>
      </c>
      <c r="D282" s="36" t="s">
        <v>2317</v>
      </c>
      <c r="E282" s="36" t="s">
        <v>54</v>
      </c>
      <c r="F282" s="34" t="s">
        <v>2318</v>
      </c>
      <c r="G282" s="37" t="s">
        <v>349</v>
      </c>
      <c r="H282" s="37" t="s">
        <v>350</v>
      </c>
      <c r="I282" s="38" t="s">
        <v>2319</v>
      </c>
      <c r="J282" s="34" t="s">
        <v>41</v>
      </c>
      <c r="K282" s="39" t="s">
        <v>42</v>
      </c>
      <c r="L282" s="99" t="s">
        <v>2320</v>
      </c>
      <c r="M282" s="41"/>
      <c r="N282" s="41"/>
      <c r="O282" s="41"/>
      <c r="P282" s="41"/>
      <c r="Q282" s="41"/>
      <c r="R282" s="41"/>
      <c r="S282" s="41"/>
      <c r="T282" s="41"/>
      <c r="U282" s="41"/>
      <c r="V282" s="41" t="s">
        <v>732</v>
      </c>
      <c r="W282" s="41"/>
      <c r="X282" s="42" t="s">
        <v>2321</v>
      </c>
      <c r="Y282" s="52" t="s">
        <v>2322</v>
      </c>
      <c r="Z282" s="44" t="s">
        <v>2323</v>
      </c>
      <c r="AA282" s="45">
        <v>42935</v>
      </c>
      <c r="AB282" s="101" t="s">
        <v>30</v>
      </c>
      <c r="AC282" s="36" t="s">
        <v>26</v>
      </c>
      <c r="AD282" s="47" t="s">
        <v>49</v>
      </c>
      <c r="AE282" s="48" t="s">
        <v>49</v>
      </c>
      <c r="AF282" s="48" t="s">
        <v>49</v>
      </c>
      <c r="AG282" s="48" t="s">
        <v>49</v>
      </c>
      <c r="AH282" s="48" t="s">
        <v>49</v>
      </c>
      <c r="AI282" s="48" t="s">
        <v>49</v>
      </c>
      <c r="AJ282" s="49" t="s">
        <v>49</v>
      </c>
      <c r="AK282" s="48" t="s">
        <v>49</v>
      </c>
      <c r="AL282" s="65" t="s">
        <v>32</v>
      </c>
      <c r="AM282" s="65"/>
      <c r="AN282" s="59"/>
      <c r="AO282" s="10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1"/>
    </row>
    <row r="283" spans="1:52" x14ac:dyDescent="0.2">
      <c r="A283" s="33">
        <f t="shared" si="5"/>
        <v>278</v>
      </c>
      <c r="B283" s="34" t="s">
        <v>2324</v>
      </c>
      <c r="C283" s="35" t="s">
        <v>2325</v>
      </c>
      <c r="D283" s="36" t="s">
        <v>2326</v>
      </c>
      <c r="E283" s="36" t="s">
        <v>36</v>
      </c>
      <c r="F283" s="34" t="s">
        <v>2327</v>
      </c>
      <c r="G283" s="37" t="s">
        <v>73</v>
      </c>
      <c r="H283" s="37" t="s">
        <v>73</v>
      </c>
      <c r="I283" s="34" t="s">
        <v>2328</v>
      </c>
      <c r="J283" s="34" t="s">
        <v>2329</v>
      </c>
      <c r="K283" s="39" t="s">
        <v>42</v>
      </c>
      <c r="L283" s="120">
        <v>42254</v>
      </c>
      <c r="M283" s="41" t="s">
        <v>179</v>
      </c>
      <c r="N283" s="41" t="s">
        <v>179</v>
      </c>
      <c r="O283" s="41"/>
      <c r="P283" s="41">
        <v>5</v>
      </c>
      <c r="Q283" s="41" t="s">
        <v>942</v>
      </c>
      <c r="R283" s="41"/>
      <c r="S283" s="41"/>
      <c r="T283" s="41"/>
      <c r="U283" s="41"/>
      <c r="V283" s="41"/>
      <c r="W283" s="41"/>
      <c r="X283" s="42" t="s">
        <v>2330</v>
      </c>
      <c r="Y283" s="58" t="s">
        <v>2331</v>
      </c>
      <c r="Z283" s="44"/>
      <c r="AA283" s="45" t="s">
        <v>47</v>
      </c>
      <c r="AB283" s="101"/>
      <c r="AC283" s="36" t="s">
        <v>26</v>
      </c>
      <c r="AD283" s="47" t="s">
        <v>49</v>
      </c>
      <c r="AE283" s="48" t="s">
        <v>49</v>
      </c>
      <c r="AF283" s="48" t="s">
        <v>41</v>
      </c>
      <c r="AG283" s="48" t="s">
        <v>41</v>
      </c>
      <c r="AH283" s="48" t="s">
        <v>41</v>
      </c>
      <c r="AI283" s="48" t="s">
        <v>41</v>
      </c>
      <c r="AJ283" s="49" t="s">
        <v>41</v>
      </c>
      <c r="AK283" s="48" t="s">
        <v>41</v>
      </c>
      <c r="AL283" s="62" t="s">
        <v>4587</v>
      </c>
      <c r="AM283" s="62"/>
      <c r="AN283" s="59"/>
      <c r="AO283" s="10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1"/>
    </row>
    <row r="284" spans="1:52" x14ac:dyDescent="0.2">
      <c r="A284" s="33">
        <f t="shared" si="5"/>
        <v>279</v>
      </c>
      <c r="B284" s="34" t="s">
        <v>2332</v>
      </c>
      <c r="C284" s="35" t="s">
        <v>2333</v>
      </c>
      <c r="D284" s="36" t="s">
        <v>2334</v>
      </c>
      <c r="E284" s="36" t="s">
        <v>54</v>
      </c>
      <c r="F284" s="34" t="s">
        <v>2335</v>
      </c>
      <c r="G284" s="37" t="s">
        <v>38</v>
      </c>
      <c r="H284" s="37" t="s">
        <v>39</v>
      </c>
      <c r="I284" s="34" t="s">
        <v>2336</v>
      </c>
      <c r="J284" s="34" t="s">
        <v>41</v>
      </c>
      <c r="K284" s="39" t="s">
        <v>42</v>
      </c>
      <c r="L284" s="99" t="s">
        <v>2337</v>
      </c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2" t="s">
        <v>2338</v>
      </c>
      <c r="Y284" s="43" t="s">
        <v>2339</v>
      </c>
      <c r="Z284" s="44" t="s">
        <v>61</v>
      </c>
      <c r="AA284" s="45">
        <v>37877</v>
      </c>
      <c r="AB284" s="101" t="s">
        <v>30</v>
      </c>
      <c r="AC284" s="36" t="s">
        <v>26</v>
      </c>
      <c r="AD284" s="47" t="s">
        <v>49</v>
      </c>
      <c r="AE284" s="48" t="s">
        <v>49</v>
      </c>
      <c r="AF284" s="48" t="s">
        <v>49</v>
      </c>
      <c r="AG284" s="48" t="s">
        <v>49</v>
      </c>
      <c r="AH284" s="48" t="s">
        <v>49</v>
      </c>
      <c r="AI284" s="48" t="s">
        <v>49</v>
      </c>
      <c r="AJ284" s="49" t="s">
        <v>49</v>
      </c>
      <c r="AK284" s="48" t="s">
        <v>49</v>
      </c>
      <c r="AL284" s="65" t="s">
        <v>32</v>
      </c>
      <c r="AM284" s="65"/>
      <c r="AN284" s="59"/>
      <c r="AO284" s="10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1"/>
    </row>
    <row r="285" spans="1:52" x14ac:dyDescent="0.2">
      <c r="A285" s="33">
        <f t="shared" si="5"/>
        <v>280</v>
      </c>
      <c r="B285" s="34" t="s">
        <v>2340</v>
      </c>
      <c r="C285" s="35" t="s">
        <v>2341</v>
      </c>
      <c r="D285" s="36" t="s">
        <v>2342</v>
      </c>
      <c r="E285" s="36" t="s">
        <v>54</v>
      </c>
      <c r="F285" s="34" t="s">
        <v>2343</v>
      </c>
      <c r="G285" s="37" t="s">
        <v>38</v>
      </c>
      <c r="H285" s="37" t="s">
        <v>39</v>
      </c>
      <c r="I285" s="34" t="s">
        <v>2344</v>
      </c>
      <c r="J285" s="34" t="s">
        <v>41</v>
      </c>
      <c r="K285" s="39" t="s">
        <v>42</v>
      </c>
      <c r="L285" s="120">
        <v>37598</v>
      </c>
      <c r="M285" s="41"/>
      <c r="N285" s="111"/>
      <c r="O285" s="112"/>
      <c r="P285" s="111"/>
      <c r="Q285" s="112"/>
      <c r="R285" s="112"/>
      <c r="S285" s="112"/>
      <c r="T285" s="41"/>
      <c r="U285" s="41"/>
      <c r="V285" s="41"/>
      <c r="W285" s="41"/>
      <c r="X285" s="42" t="s">
        <v>2345</v>
      </c>
      <c r="Y285" s="69" t="s">
        <v>2346</v>
      </c>
      <c r="Z285" s="44" t="s">
        <v>61</v>
      </c>
      <c r="AA285" s="45">
        <v>37877</v>
      </c>
      <c r="AB285" s="101" t="s">
        <v>30</v>
      </c>
      <c r="AC285" s="36" t="s">
        <v>26</v>
      </c>
      <c r="AD285" s="47" t="s">
        <v>49</v>
      </c>
      <c r="AE285" s="48" t="s">
        <v>49</v>
      </c>
      <c r="AF285" s="48" t="s">
        <v>49</v>
      </c>
      <c r="AG285" s="48" t="s">
        <v>49</v>
      </c>
      <c r="AH285" s="48" t="s">
        <v>49</v>
      </c>
      <c r="AI285" s="48" t="s">
        <v>49</v>
      </c>
      <c r="AJ285" s="49" t="s">
        <v>49</v>
      </c>
      <c r="AK285" s="48" t="s">
        <v>49</v>
      </c>
      <c r="AL285" s="62" t="s">
        <v>32</v>
      </c>
      <c r="AM285" s="62"/>
      <c r="AN285" s="59"/>
      <c r="AO285" s="10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1"/>
    </row>
    <row r="286" spans="1:52" x14ac:dyDescent="0.2">
      <c r="A286" s="33">
        <f t="shared" si="5"/>
        <v>281</v>
      </c>
      <c r="B286" s="34" t="s">
        <v>2347</v>
      </c>
      <c r="C286" s="35" t="s">
        <v>2348</v>
      </c>
      <c r="D286" s="36" t="s">
        <v>2349</v>
      </c>
      <c r="E286" s="36" t="s">
        <v>54</v>
      </c>
      <c r="F286" s="98" t="s">
        <v>2350</v>
      </c>
      <c r="G286" s="37" t="s">
        <v>398</v>
      </c>
      <c r="H286" s="37" t="s">
        <v>205</v>
      </c>
      <c r="I286" s="34" t="s">
        <v>2351</v>
      </c>
      <c r="J286" s="34" t="s">
        <v>41</v>
      </c>
      <c r="K286" s="39" t="s">
        <v>42</v>
      </c>
      <c r="L286" s="99" t="s">
        <v>2352</v>
      </c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2" t="s">
        <v>2353</v>
      </c>
      <c r="Y286" s="52" t="s">
        <v>2354</v>
      </c>
      <c r="Z286" s="44" t="s">
        <v>61</v>
      </c>
      <c r="AA286" s="45">
        <v>36641</v>
      </c>
      <c r="AB286" s="101" t="s">
        <v>30</v>
      </c>
      <c r="AC286" s="36" t="s">
        <v>26</v>
      </c>
      <c r="AD286" s="47" t="s">
        <v>49</v>
      </c>
      <c r="AE286" s="48" t="s">
        <v>49</v>
      </c>
      <c r="AF286" s="48" t="s">
        <v>49</v>
      </c>
      <c r="AG286" s="48" t="s">
        <v>49</v>
      </c>
      <c r="AH286" s="48" t="s">
        <v>49</v>
      </c>
      <c r="AI286" s="48" t="s">
        <v>49</v>
      </c>
      <c r="AJ286" s="49" t="s">
        <v>49</v>
      </c>
      <c r="AK286" s="48" t="s">
        <v>41</v>
      </c>
      <c r="AL286" s="62" t="s">
        <v>148</v>
      </c>
      <c r="AM286" s="62"/>
      <c r="AN286" s="59"/>
      <c r="AO286" s="10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1"/>
    </row>
    <row r="287" spans="1:52" x14ac:dyDescent="0.2">
      <c r="A287" s="33">
        <f t="shared" si="5"/>
        <v>282</v>
      </c>
      <c r="B287" s="34" t="s">
        <v>2355</v>
      </c>
      <c r="C287" s="35" t="s">
        <v>2356</v>
      </c>
      <c r="D287" s="36" t="s">
        <v>2357</v>
      </c>
      <c r="E287" s="36" t="s">
        <v>36</v>
      </c>
      <c r="F287" s="98" t="s">
        <v>2358</v>
      </c>
      <c r="G287" s="37" t="s">
        <v>73</v>
      </c>
      <c r="H287" s="37" t="s">
        <v>73</v>
      </c>
      <c r="I287" s="219" t="s">
        <v>2359</v>
      </c>
      <c r="J287" s="34"/>
      <c r="K287" s="39" t="s">
        <v>42</v>
      </c>
      <c r="L287" s="120">
        <v>45883</v>
      </c>
      <c r="M287" s="41"/>
      <c r="N287" s="41"/>
      <c r="O287" s="41"/>
      <c r="P287" s="41"/>
      <c r="Q287" s="41"/>
      <c r="R287" s="41"/>
      <c r="S287" s="41"/>
      <c r="T287" s="41"/>
      <c r="U287" s="41"/>
      <c r="V287" s="41" t="s">
        <v>44</v>
      </c>
      <c r="W287" s="41"/>
      <c r="X287" s="42" t="s">
        <v>2360</v>
      </c>
      <c r="Y287" s="43" t="s">
        <v>2361</v>
      </c>
      <c r="Z287" s="44"/>
      <c r="AA287" s="45"/>
      <c r="AB287" s="101"/>
      <c r="AC287" s="36"/>
      <c r="AD287" s="47" t="s">
        <v>49</v>
      </c>
      <c r="AE287" s="48" t="s">
        <v>41</v>
      </c>
      <c r="AF287" s="48" t="s">
        <v>41</v>
      </c>
      <c r="AG287" s="48" t="s">
        <v>41</v>
      </c>
      <c r="AH287" s="48" t="s">
        <v>41</v>
      </c>
      <c r="AI287" s="48" t="s">
        <v>41</v>
      </c>
      <c r="AJ287" s="49" t="s">
        <v>49</v>
      </c>
      <c r="AK287" s="48" t="s">
        <v>41</v>
      </c>
      <c r="AL287" s="62" t="s">
        <v>148</v>
      </c>
      <c r="AM287" s="62"/>
      <c r="AN287" s="59"/>
      <c r="AO287" s="10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1"/>
    </row>
    <row r="288" spans="1:52" x14ac:dyDescent="0.2">
      <c r="A288" s="33">
        <f t="shared" si="5"/>
        <v>283</v>
      </c>
      <c r="B288" s="34" t="s">
        <v>2363</v>
      </c>
      <c r="C288" s="35" t="s">
        <v>2364</v>
      </c>
      <c r="D288" s="36" t="s">
        <v>2365</v>
      </c>
      <c r="E288" s="36" t="s">
        <v>241</v>
      </c>
      <c r="F288" s="34" t="s">
        <v>2366</v>
      </c>
      <c r="G288" s="37" t="s">
        <v>73</v>
      </c>
      <c r="H288" s="37" t="s">
        <v>73</v>
      </c>
      <c r="I288" s="34" t="s">
        <v>2367</v>
      </c>
      <c r="J288" s="34" t="s">
        <v>41</v>
      </c>
      <c r="K288" s="39" t="s">
        <v>42</v>
      </c>
      <c r="L288" s="120">
        <v>35040</v>
      </c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2" t="s">
        <v>2368</v>
      </c>
      <c r="Y288" s="69" t="s">
        <v>2369</v>
      </c>
      <c r="Z288" s="44" t="s">
        <v>61</v>
      </c>
      <c r="AA288" s="45">
        <v>36641</v>
      </c>
      <c r="AB288" s="101" t="s">
        <v>30</v>
      </c>
      <c r="AC288" s="36" t="s">
        <v>26</v>
      </c>
      <c r="AD288" s="47" t="s">
        <v>49</v>
      </c>
      <c r="AE288" s="48" t="s">
        <v>49</v>
      </c>
      <c r="AF288" s="48" t="s">
        <v>49</v>
      </c>
      <c r="AG288" s="48" t="s">
        <v>49</v>
      </c>
      <c r="AH288" s="48" t="s">
        <v>49</v>
      </c>
      <c r="AI288" s="48" t="s">
        <v>49</v>
      </c>
      <c r="AJ288" s="49" t="s">
        <v>49</v>
      </c>
      <c r="AK288" s="48" t="s">
        <v>49</v>
      </c>
      <c r="AL288" s="62" t="s">
        <v>32</v>
      </c>
      <c r="AM288" s="62"/>
      <c r="AN288" s="59"/>
      <c r="AO288" s="10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1"/>
    </row>
    <row r="289" spans="1:52" x14ac:dyDescent="0.2">
      <c r="A289" s="33">
        <f t="shared" si="5"/>
        <v>284</v>
      </c>
      <c r="B289" s="34" t="s">
        <v>4696</v>
      </c>
      <c r="C289" s="35" t="s">
        <v>4697</v>
      </c>
      <c r="D289" s="36" t="s">
        <v>4698</v>
      </c>
      <c r="E289" s="36" t="s">
        <v>36</v>
      </c>
      <c r="F289" s="34" t="s">
        <v>4699</v>
      </c>
      <c r="G289" s="37" t="s">
        <v>205</v>
      </c>
      <c r="H289" s="37" t="s">
        <v>205</v>
      </c>
      <c r="I289" s="38" t="s">
        <v>4700</v>
      </c>
      <c r="J289" s="34" t="s">
        <v>41</v>
      </c>
      <c r="K289" s="39" t="s">
        <v>42</v>
      </c>
      <c r="L289" s="120">
        <v>46148</v>
      </c>
      <c r="M289" s="41" t="s">
        <v>179</v>
      </c>
      <c r="N289" s="41" t="s">
        <v>179</v>
      </c>
      <c r="O289" s="41"/>
      <c r="P289" s="41"/>
      <c r="Q289" s="41"/>
      <c r="R289" s="41"/>
      <c r="S289" s="41"/>
      <c r="T289" s="41"/>
      <c r="U289" s="41"/>
      <c r="V289" s="41"/>
      <c r="W289" s="41" t="s">
        <v>44</v>
      </c>
      <c r="X289" s="42" t="s">
        <v>4701</v>
      </c>
      <c r="Y289" s="332" t="s">
        <v>4702</v>
      </c>
      <c r="Z289" s="44"/>
      <c r="AA289" s="45"/>
      <c r="AB289" s="101"/>
      <c r="AC289" s="36"/>
      <c r="AD289" s="47" t="s">
        <v>49</v>
      </c>
      <c r="AE289" s="48" t="s">
        <v>41</v>
      </c>
      <c r="AF289" s="48" t="s">
        <v>41</v>
      </c>
      <c r="AG289" s="48" t="s">
        <v>41</v>
      </c>
      <c r="AH289" s="48" t="s">
        <v>41</v>
      </c>
      <c r="AI289" s="48" t="s">
        <v>41</v>
      </c>
      <c r="AJ289" s="49" t="s">
        <v>41</v>
      </c>
      <c r="AK289" s="48" t="s">
        <v>49</v>
      </c>
      <c r="AL289" s="62" t="s">
        <v>32</v>
      </c>
      <c r="AM289" s="62"/>
      <c r="AN289" s="59"/>
      <c r="AO289" s="10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1"/>
    </row>
    <row r="290" spans="1:52" x14ac:dyDescent="0.2">
      <c r="A290" s="33">
        <f t="shared" si="5"/>
        <v>285</v>
      </c>
      <c r="B290" s="108" t="s">
        <v>2370</v>
      </c>
      <c r="C290" s="35" t="s">
        <v>2371</v>
      </c>
      <c r="D290" s="174" t="s">
        <v>2372</v>
      </c>
      <c r="E290" s="36" t="s">
        <v>54</v>
      </c>
      <c r="F290" s="108" t="s">
        <v>2373</v>
      </c>
      <c r="G290" s="37" t="s">
        <v>456</v>
      </c>
      <c r="H290" s="37" t="s">
        <v>187</v>
      </c>
      <c r="I290" s="108" t="s">
        <v>2374</v>
      </c>
      <c r="J290" s="108" t="s">
        <v>2374</v>
      </c>
      <c r="K290" s="39" t="s">
        <v>42</v>
      </c>
      <c r="L290" s="120" t="s">
        <v>2375</v>
      </c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42" t="s">
        <v>2376</v>
      </c>
      <c r="Y290" s="52" t="s">
        <v>2377</v>
      </c>
      <c r="Z290" s="44" t="s">
        <v>2378</v>
      </c>
      <c r="AA290" s="45">
        <v>42935</v>
      </c>
      <c r="AB290" s="101" t="s">
        <v>30</v>
      </c>
      <c r="AC290" s="109" t="s">
        <v>26</v>
      </c>
      <c r="AD290" s="47" t="s">
        <v>49</v>
      </c>
      <c r="AE290" s="48" t="s">
        <v>49</v>
      </c>
      <c r="AF290" s="48" t="s">
        <v>49</v>
      </c>
      <c r="AG290" s="48" t="s">
        <v>49</v>
      </c>
      <c r="AH290" s="48" t="s">
        <v>49</v>
      </c>
      <c r="AI290" s="48" t="s">
        <v>49</v>
      </c>
      <c r="AJ290" s="49" t="s">
        <v>49</v>
      </c>
      <c r="AK290" s="48" t="s">
        <v>49</v>
      </c>
      <c r="AL290" s="65" t="s">
        <v>32</v>
      </c>
      <c r="AM290" s="65"/>
      <c r="AN290" s="59"/>
      <c r="AO290" s="10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1"/>
    </row>
    <row r="291" spans="1:52" x14ac:dyDescent="0.2">
      <c r="A291" s="33">
        <f t="shared" si="5"/>
        <v>286</v>
      </c>
      <c r="B291" s="139" t="s">
        <v>4643</v>
      </c>
      <c r="C291" s="35" t="s">
        <v>4644</v>
      </c>
      <c r="D291" s="174" t="s">
        <v>4645</v>
      </c>
      <c r="E291" s="36" t="s">
        <v>54</v>
      </c>
      <c r="F291" s="185" t="s">
        <v>4646</v>
      </c>
      <c r="G291" s="37" t="s">
        <v>176</v>
      </c>
      <c r="H291" s="37" t="s">
        <v>39</v>
      </c>
      <c r="I291" s="140" t="s">
        <v>4647</v>
      </c>
      <c r="J291" s="139" t="s">
        <v>41</v>
      </c>
      <c r="K291" s="39" t="s">
        <v>42</v>
      </c>
      <c r="L291" s="120">
        <v>42456</v>
      </c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 t="s">
        <v>44</v>
      </c>
      <c r="X291" s="42" t="s">
        <v>4648</v>
      </c>
      <c r="Y291" s="312" t="s">
        <v>4649</v>
      </c>
      <c r="Z291" s="44"/>
      <c r="AA291" s="45"/>
      <c r="AB291" s="101"/>
      <c r="AC291" s="109"/>
      <c r="AD291" s="47" t="s">
        <v>49</v>
      </c>
      <c r="AE291" s="48" t="s">
        <v>41</v>
      </c>
      <c r="AF291" s="48" t="s">
        <v>41</v>
      </c>
      <c r="AG291" s="48" t="s">
        <v>41</v>
      </c>
      <c r="AH291" s="48" t="s">
        <v>41</v>
      </c>
      <c r="AI291" s="48" t="s">
        <v>41</v>
      </c>
      <c r="AJ291" s="48" t="s">
        <v>41</v>
      </c>
      <c r="AK291" s="48" t="s">
        <v>49</v>
      </c>
      <c r="AL291" s="65" t="s">
        <v>32</v>
      </c>
      <c r="AM291" s="65"/>
      <c r="AN291" s="59"/>
      <c r="AO291" s="10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1"/>
    </row>
    <row r="292" spans="1:52" x14ac:dyDescent="0.2">
      <c r="A292" s="33">
        <f t="shared" si="5"/>
        <v>287</v>
      </c>
      <c r="B292" s="108" t="s">
        <v>2379</v>
      </c>
      <c r="C292" s="35" t="s">
        <v>2380</v>
      </c>
      <c r="D292" s="174" t="s">
        <v>2381</v>
      </c>
      <c r="E292" s="36" t="s">
        <v>36</v>
      </c>
      <c r="F292" s="185" t="s">
        <v>2382</v>
      </c>
      <c r="G292" s="37" t="s">
        <v>176</v>
      </c>
      <c r="H292" s="37" t="s">
        <v>39</v>
      </c>
      <c r="I292" s="140" t="s">
        <v>2383</v>
      </c>
      <c r="J292" s="139" t="s">
        <v>41</v>
      </c>
      <c r="K292" s="39" t="s">
        <v>42</v>
      </c>
      <c r="L292" s="120">
        <v>45079</v>
      </c>
      <c r="M292" s="56" t="s">
        <v>179</v>
      </c>
      <c r="N292" s="56" t="s">
        <v>179</v>
      </c>
      <c r="O292" s="56"/>
      <c r="P292" s="56">
        <v>2</v>
      </c>
      <c r="Q292" s="56" t="s">
        <v>942</v>
      </c>
      <c r="R292" s="56"/>
      <c r="S292" s="56"/>
      <c r="T292" s="56" t="s">
        <v>44</v>
      </c>
      <c r="U292" s="56"/>
      <c r="V292" s="56"/>
      <c r="W292" s="56"/>
      <c r="X292" s="42" t="s">
        <v>2384</v>
      </c>
      <c r="Y292" s="55" t="s">
        <v>2385</v>
      </c>
      <c r="Z292" s="55"/>
      <c r="AA292" s="55" t="s">
        <v>47</v>
      </c>
      <c r="AB292" s="101"/>
      <c r="AC292" s="109"/>
      <c r="AD292" s="47" t="s">
        <v>49</v>
      </c>
      <c r="AE292" s="48" t="s">
        <v>41</v>
      </c>
      <c r="AF292" s="48" t="s">
        <v>41</v>
      </c>
      <c r="AG292" s="48" t="s">
        <v>41</v>
      </c>
      <c r="AH292" s="48" t="s">
        <v>49</v>
      </c>
      <c r="AI292" s="48" t="s">
        <v>41</v>
      </c>
      <c r="AJ292" s="49" t="s">
        <v>41</v>
      </c>
      <c r="AK292" s="48" t="s">
        <v>41</v>
      </c>
      <c r="AL292" s="62" t="s">
        <v>4589</v>
      </c>
      <c r="AM292" s="62"/>
      <c r="AN292" s="59"/>
      <c r="AO292" s="10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1"/>
    </row>
    <row r="293" spans="1:52" x14ac:dyDescent="0.2">
      <c r="A293" s="33">
        <f t="shared" si="5"/>
        <v>288</v>
      </c>
      <c r="B293" s="108" t="s">
        <v>2386</v>
      </c>
      <c r="C293" s="35" t="s">
        <v>2387</v>
      </c>
      <c r="D293" s="174" t="s">
        <v>2388</v>
      </c>
      <c r="E293" s="36" t="s">
        <v>54</v>
      </c>
      <c r="F293" s="108" t="s">
        <v>2389</v>
      </c>
      <c r="G293" s="37" t="s">
        <v>73</v>
      </c>
      <c r="H293" s="37" t="s">
        <v>73</v>
      </c>
      <c r="I293" s="145" t="s">
        <v>2390</v>
      </c>
      <c r="J293" s="108" t="s">
        <v>41</v>
      </c>
      <c r="K293" s="39" t="s">
        <v>42</v>
      </c>
      <c r="L293" s="120">
        <v>45852</v>
      </c>
      <c r="M293" s="56"/>
      <c r="N293" s="56"/>
      <c r="O293" s="56"/>
      <c r="P293" s="56"/>
      <c r="Q293" s="56"/>
      <c r="R293" s="56"/>
      <c r="S293" s="56"/>
      <c r="T293" s="56"/>
      <c r="U293" s="56"/>
      <c r="V293" s="56" t="s">
        <v>44</v>
      </c>
      <c r="W293" s="56"/>
      <c r="X293" s="42" t="s">
        <v>2391</v>
      </c>
      <c r="Y293" s="43" t="s">
        <v>2392</v>
      </c>
      <c r="Z293" s="55"/>
      <c r="AA293" s="55"/>
      <c r="AB293" s="101"/>
      <c r="AC293" s="109"/>
      <c r="AD293" s="47" t="s">
        <v>49</v>
      </c>
      <c r="AE293" s="48" t="s">
        <v>41</v>
      </c>
      <c r="AF293" s="48" t="s">
        <v>41</v>
      </c>
      <c r="AG293" s="48" t="s">
        <v>41</v>
      </c>
      <c r="AH293" s="48" t="s">
        <v>41</v>
      </c>
      <c r="AI293" s="48" t="s">
        <v>41</v>
      </c>
      <c r="AJ293" s="49" t="s">
        <v>49</v>
      </c>
      <c r="AK293" s="48" t="s">
        <v>49</v>
      </c>
      <c r="AL293" s="62" t="s">
        <v>32</v>
      </c>
      <c r="AM293" s="62"/>
      <c r="AN293" s="59"/>
      <c r="AO293" s="10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1"/>
    </row>
    <row r="294" spans="1:52" x14ac:dyDescent="0.2">
      <c r="A294" s="33">
        <f t="shared" si="5"/>
        <v>289</v>
      </c>
      <c r="B294" s="107" t="s">
        <v>2393</v>
      </c>
      <c r="C294" s="35" t="s">
        <v>2394</v>
      </c>
      <c r="D294" s="36" t="s">
        <v>2395</v>
      </c>
      <c r="E294" s="36" t="s">
        <v>54</v>
      </c>
      <c r="F294" s="98" t="s">
        <v>2396</v>
      </c>
      <c r="G294" s="37" t="s">
        <v>56</v>
      </c>
      <c r="H294" s="37" t="s">
        <v>57</v>
      </c>
      <c r="I294" s="54" t="s">
        <v>2397</v>
      </c>
      <c r="J294" s="183" t="s">
        <v>41</v>
      </c>
      <c r="K294" s="39" t="s">
        <v>42</v>
      </c>
      <c r="L294" s="120" t="s">
        <v>390</v>
      </c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42" t="s">
        <v>2398</v>
      </c>
      <c r="Y294" s="69" t="s">
        <v>2399</v>
      </c>
      <c r="Z294" s="44" t="s">
        <v>2400</v>
      </c>
      <c r="AA294" s="45">
        <v>43200</v>
      </c>
      <c r="AB294" s="101" t="s">
        <v>30</v>
      </c>
      <c r="AC294" s="73"/>
      <c r="AD294" s="47" t="s">
        <v>49</v>
      </c>
      <c r="AE294" s="48" t="s">
        <v>41</v>
      </c>
      <c r="AF294" s="48" t="s">
        <v>41</v>
      </c>
      <c r="AG294" s="48" t="s">
        <v>41</v>
      </c>
      <c r="AH294" s="48" t="s">
        <v>41</v>
      </c>
      <c r="AI294" s="48" t="s">
        <v>41</v>
      </c>
      <c r="AJ294" s="49" t="s">
        <v>41</v>
      </c>
      <c r="AK294" s="48" t="s">
        <v>41</v>
      </c>
      <c r="AL294" s="65" t="s">
        <v>4592</v>
      </c>
      <c r="AM294" s="65"/>
      <c r="AN294" s="59"/>
      <c r="AO294" s="10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1"/>
    </row>
    <row r="295" spans="1:52" x14ac:dyDescent="0.2">
      <c r="A295" s="33">
        <f t="shared" si="5"/>
        <v>290</v>
      </c>
      <c r="B295" s="34" t="s">
        <v>2401</v>
      </c>
      <c r="C295" s="35" t="s">
        <v>2402</v>
      </c>
      <c r="D295" s="36" t="s">
        <v>2403</v>
      </c>
      <c r="E295" s="36" t="s">
        <v>54</v>
      </c>
      <c r="F295" s="98" t="s">
        <v>2404</v>
      </c>
      <c r="G295" s="37" t="s">
        <v>214</v>
      </c>
      <c r="H295" s="37" t="s">
        <v>205</v>
      </c>
      <c r="I295" s="42" t="s">
        <v>2405</v>
      </c>
      <c r="J295" s="38" t="s">
        <v>41</v>
      </c>
      <c r="K295" s="39" t="s">
        <v>42</v>
      </c>
      <c r="L295" s="120">
        <v>42223</v>
      </c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42" t="s">
        <v>2405</v>
      </c>
      <c r="Y295" s="69" t="s">
        <v>2406</v>
      </c>
      <c r="Z295" s="44" t="s">
        <v>2407</v>
      </c>
      <c r="AA295" s="45">
        <v>42325</v>
      </c>
      <c r="AB295" s="101" t="s">
        <v>30</v>
      </c>
      <c r="AC295" s="73" t="s">
        <v>26</v>
      </c>
      <c r="AD295" s="47" t="s">
        <v>49</v>
      </c>
      <c r="AE295" s="48" t="s">
        <v>49</v>
      </c>
      <c r="AF295" s="48" t="s">
        <v>49</v>
      </c>
      <c r="AG295" s="48" t="s">
        <v>49</v>
      </c>
      <c r="AH295" s="48" t="s">
        <v>49</v>
      </c>
      <c r="AI295" s="48" t="s">
        <v>49</v>
      </c>
      <c r="AJ295" s="49" t="s">
        <v>41</v>
      </c>
      <c r="AK295" s="48" t="s">
        <v>41</v>
      </c>
      <c r="AL295" s="62" t="s">
        <v>276</v>
      </c>
      <c r="AM295" s="62"/>
      <c r="AN295" s="59"/>
      <c r="AO295" s="10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1"/>
    </row>
    <row r="296" spans="1:52" x14ac:dyDescent="0.2">
      <c r="A296" s="33">
        <f t="shared" si="5"/>
        <v>291</v>
      </c>
      <c r="B296" s="34" t="s">
        <v>2408</v>
      </c>
      <c r="C296" s="35" t="s">
        <v>2409</v>
      </c>
      <c r="D296" s="36" t="s">
        <v>2410</v>
      </c>
      <c r="E296" s="36" t="s">
        <v>36</v>
      </c>
      <c r="F296" s="34" t="s">
        <v>2411</v>
      </c>
      <c r="G296" s="37" t="s">
        <v>349</v>
      </c>
      <c r="H296" s="37" t="s">
        <v>350</v>
      </c>
      <c r="I296" s="34" t="s">
        <v>2412</v>
      </c>
      <c r="J296" s="34" t="s">
        <v>41</v>
      </c>
      <c r="K296" s="39" t="s">
        <v>42</v>
      </c>
      <c r="L296" s="99" t="s">
        <v>2413</v>
      </c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42" t="s">
        <v>2414</v>
      </c>
      <c r="Y296" s="58" t="s">
        <v>2415</v>
      </c>
      <c r="Z296" s="44" t="s">
        <v>2416</v>
      </c>
      <c r="AA296" s="45">
        <v>41793</v>
      </c>
      <c r="AB296" s="101" t="s">
        <v>30</v>
      </c>
      <c r="AC296" s="36"/>
      <c r="AD296" s="47" t="s">
        <v>49</v>
      </c>
      <c r="AE296" s="48" t="s">
        <v>41</v>
      </c>
      <c r="AF296" s="48" t="s">
        <v>41</v>
      </c>
      <c r="AG296" s="48" t="s">
        <v>41</v>
      </c>
      <c r="AH296" s="48" t="s">
        <v>41</v>
      </c>
      <c r="AI296" s="48" t="s">
        <v>41</v>
      </c>
      <c r="AJ296" s="49" t="s">
        <v>41</v>
      </c>
      <c r="AK296" s="48" t="s">
        <v>41</v>
      </c>
      <c r="AL296" s="65" t="s">
        <v>4588</v>
      </c>
      <c r="AM296" s="65"/>
      <c r="AN296" s="59"/>
      <c r="AO296" s="117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1"/>
    </row>
    <row r="297" spans="1:52" x14ac:dyDescent="0.2">
      <c r="A297" s="33">
        <f t="shared" si="5"/>
        <v>292</v>
      </c>
      <c r="B297" s="34" t="s">
        <v>2417</v>
      </c>
      <c r="C297" s="35" t="s">
        <v>2418</v>
      </c>
      <c r="D297" s="36" t="s">
        <v>2419</v>
      </c>
      <c r="E297" s="36" t="s">
        <v>54</v>
      </c>
      <c r="F297" s="34" t="s">
        <v>2420</v>
      </c>
      <c r="G297" s="37" t="s">
        <v>243</v>
      </c>
      <c r="H297" s="37" t="s">
        <v>205</v>
      </c>
      <c r="I297" s="38" t="s">
        <v>2421</v>
      </c>
      <c r="J297" s="34" t="s">
        <v>41</v>
      </c>
      <c r="K297" s="39" t="s">
        <v>42</v>
      </c>
      <c r="L297" s="120">
        <v>45052</v>
      </c>
      <c r="M297" s="56"/>
      <c r="N297" s="56"/>
      <c r="O297" s="56"/>
      <c r="P297" s="56"/>
      <c r="Q297" s="56"/>
      <c r="R297" s="56"/>
      <c r="S297" s="56"/>
      <c r="T297" s="56" t="s">
        <v>44</v>
      </c>
      <c r="U297" s="56"/>
      <c r="V297" s="56"/>
      <c r="W297" s="56"/>
      <c r="X297" s="42" t="s">
        <v>2422</v>
      </c>
      <c r="Y297" s="58" t="s">
        <v>2423</v>
      </c>
      <c r="Z297" s="44"/>
      <c r="AA297" s="45">
        <v>45642</v>
      </c>
      <c r="AB297" s="101"/>
      <c r="AC297" s="36"/>
      <c r="AD297" s="47" t="s">
        <v>49</v>
      </c>
      <c r="AE297" s="48" t="s">
        <v>41</v>
      </c>
      <c r="AF297" s="48" t="s">
        <v>41</v>
      </c>
      <c r="AG297" s="48" t="s">
        <v>41</v>
      </c>
      <c r="AH297" s="48" t="s">
        <v>49</v>
      </c>
      <c r="AI297" s="48" t="s">
        <v>49</v>
      </c>
      <c r="AJ297" s="49" t="s">
        <v>49</v>
      </c>
      <c r="AK297" s="48" t="s">
        <v>49</v>
      </c>
      <c r="AL297" s="62" t="s">
        <v>32</v>
      </c>
      <c r="AM297" s="62"/>
      <c r="AN297" s="59"/>
      <c r="AO297" s="10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1"/>
    </row>
    <row r="298" spans="1:52" x14ac:dyDescent="0.2">
      <c r="A298" s="33">
        <f t="shared" si="5"/>
        <v>293</v>
      </c>
      <c r="B298" s="34" t="s">
        <v>2424</v>
      </c>
      <c r="C298" s="35" t="s">
        <v>2425</v>
      </c>
      <c r="D298" s="36" t="s">
        <v>2426</v>
      </c>
      <c r="E298" s="36" t="s">
        <v>54</v>
      </c>
      <c r="F298" s="34" t="s">
        <v>2427</v>
      </c>
      <c r="G298" s="37" t="s">
        <v>349</v>
      </c>
      <c r="H298" s="37" t="s">
        <v>350</v>
      </c>
      <c r="I298" s="38" t="s">
        <v>2428</v>
      </c>
      <c r="J298" s="34" t="s">
        <v>41</v>
      </c>
      <c r="K298" s="39" t="s">
        <v>42</v>
      </c>
      <c r="L298" s="120">
        <v>40853</v>
      </c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2" t="s">
        <v>2429</v>
      </c>
      <c r="Y298" s="69" t="s">
        <v>2430</v>
      </c>
      <c r="Z298" s="44" t="s">
        <v>2431</v>
      </c>
      <c r="AA298" s="45">
        <v>41803</v>
      </c>
      <c r="AB298" s="101" t="s">
        <v>30</v>
      </c>
      <c r="AC298" s="36" t="s">
        <v>26</v>
      </c>
      <c r="AD298" s="47" t="s">
        <v>49</v>
      </c>
      <c r="AE298" s="48" t="s">
        <v>49</v>
      </c>
      <c r="AF298" s="48" t="s">
        <v>49</v>
      </c>
      <c r="AG298" s="48" t="s">
        <v>49</v>
      </c>
      <c r="AH298" s="48" t="s">
        <v>49</v>
      </c>
      <c r="AI298" s="48" t="s">
        <v>49</v>
      </c>
      <c r="AJ298" s="49" t="s">
        <v>49</v>
      </c>
      <c r="AK298" s="48" t="s">
        <v>49</v>
      </c>
      <c r="AL298" s="62" t="s">
        <v>32</v>
      </c>
      <c r="AM298" s="62"/>
      <c r="AN298" s="59"/>
      <c r="AO298" s="10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1"/>
    </row>
    <row r="299" spans="1:52" x14ac:dyDescent="0.2">
      <c r="A299" s="33">
        <f t="shared" si="5"/>
        <v>294</v>
      </c>
      <c r="B299" s="34" t="s">
        <v>2432</v>
      </c>
      <c r="C299" s="35" t="s">
        <v>2433</v>
      </c>
      <c r="D299" s="36" t="s">
        <v>2434</v>
      </c>
      <c r="E299" s="36" t="s">
        <v>54</v>
      </c>
      <c r="F299" s="34" t="s">
        <v>2435</v>
      </c>
      <c r="G299" s="37" t="s">
        <v>1285</v>
      </c>
      <c r="H299" s="37" t="s">
        <v>350</v>
      </c>
      <c r="I299" s="34" t="s">
        <v>2436</v>
      </c>
      <c r="J299" s="34" t="s">
        <v>41</v>
      </c>
      <c r="K299" s="39" t="s">
        <v>42</v>
      </c>
      <c r="L299" s="99" t="s">
        <v>2437</v>
      </c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2" t="s">
        <v>2438</v>
      </c>
      <c r="Y299" s="69" t="s">
        <v>2439</v>
      </c>
      <c r="Z299" s="119" t="s">
        <v>61</v>
      </c>
      <c r="AA299" s="45">
        <v>38593</v>
      </c>
      <c r="AB299" s="101" t="s">
        <v>30</v>
      </c>
      <c r="AC299" s="73" t="s">
        <v>26</v>
      </c>
      <c r="AD299" s="47" t="s">
        <v>49</v>
      </c>
      <c r="AE299" s="48" t="s">
        <v>49</v>
      </c>
      <c r="AF299" s="48" t="s">
        <v>49</v>
      </c>
      <c r="AG299" s="48" t="s">
        <v>49</v>
      </c>
      <c r="AH299" s="48" t="s">
        <v>49</v>
      </c>
      <c r="AI299" s="48" t="s">
        <v>49</v>
      </c>
      <c r="AJ299" s="49" t="s">
        <v>49</v>
      </c>
      <c r="AK299" s="48" t="s">
        <v>49</v>
      </c>
      <c r="AL299" s="65" t="s">
        <v>32</v>
      </c>
      <c r="AM299" s="65"/>
      <c r="AN299" s="59"/>
      <c r="AO299" s="10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1"/>
    </row>
    <row r="300" spans="1:52" x14ac:dyDescent="0.2">
      <c r="A300" s="33">
        <f t="shared" si="5"/>
        <v>295</v>
      </c>
      <c r="B300" s="34" t="s">
        <v>2440</v>
      </c>
      <c r="C300" s="35" t="s">
        <v>2441</v>
      </c>
      <c r="D300" s="36" t="s">
        <v>2442</v>
      </c>
      <c r="E300" s="36" t="s">
        <v>54</v>
      </c>
      <c r="F300" s="98" t="s">
        <v>2443</v>
      </c>
      <c r="G300" s="37" t="s">
        <v>73</v>
      </c>
      <c r="H300" s="37" t="s">
        <v>73</v>
      </c>
      <c r="I300" s="34" t="s">
        <v>2444</v>
      </c>
      <c r="J300" s="34" t="s">
        <v>41</v>
      </c>
      <c r="K300" s="39" t="s">
        <v>42</v>
      </c>
      <c r="L300" s="120">
        <v>44354</v>
      </c>
      <c r="M300" s="56"/>
      <c r="N300" s="56"/>
      <c r="O300" s="56"/>
      <c r="P300" s="56"/>
      <c r="Q300" s="56"/>
      <c r="R300" s="56" t="s">
        <v>44</v>
      </c>
      <c r="S300" s="56"/>
      <c r="T300" s="56"/>
      <c r="U300" s="56"/>
      <c r="V300" s="56"/>
      <c r="W300" s="56"/>
      <c r="X300" s="42" t="s">
        <v>2445</v>
      </c>
      <c r="Y300" s="58" t="s">
        <v>2446</v>
      </c>
      <c r="Z300" s="84" t="s">
        <v>2447</v>
      </c>
      <c r="AA300" s="45">
        <v>44650</v>
      </c>
      <c r="AB300" s="101" t="s">
        <v>30</v>
      </c>
      <c r="AC300" s="73"/>
      <c r="AD300" s="64" t="s">
        <v>120</v>
      </c>
      <c r="AE300" s="48" t="s">
        <v>41</v>
      </c>
      <c r="AF300" s="48" t="s">
        <v>120</v>
      </c>
      <c r="AG300" s="48" t="s">
        <v>120</v>
      </c>
      <c r="AH300" s="48" t="s">
        <v>120</v>
      </c>
      <c r="AI300" s="48" t="s">
        <v>120</v>
      </c>
      <c r="AJ300" s="49" t="s">
        <v>120</v>
      </c>
      <c r="AK300" s="48" t="s">
        <v>120</v>
      </c>
      <c r="AL300" s="62" t="s">
        <v>32</v>
      </c>
      <c r="AM300" s="62"/>
      <c r="AN300" s="59"/>
      <c r="AO300" s="10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1"/>
    </row>
    <row r="301" spans="1:52" x14ac:dyDescent="0.2">
      <c r="A301" s="33">
        <f t="shared" si="5"/>
        <v>296</v>
      </c>
      <c r="B301" s="34" t="s">
        <v>2448</v>
      </c>
      <c r="C301" s="35" t="s">
        <v>2449</v>
      </c>
      <c r="D301" s="36" t="s">
        <v>2450</v>
      </c>
      <c r="E301" s="36" t="s">
        <v>54</v>
      </c>
      <c r="F301" s="98" t="s">
        <v>4576</v>
      </c>
      <c r="G301" s="37" t="s">
        <v>73</v>
      </c>
      <c r="H301" s="37" t="s">
        <v>73</v>
      </c>
      <c r="I301" s="34" t="s">
        <v>2444</v>
      </c>
      <c r="J301" s="34" t="s">
        <v>2451</v>
      </c>
      <c r="K301" s="39" t="s">
        <v>42</v>
      </c>
      <c r="L301" s="120">
        <v>32913</v>
      </c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42" t="s">
        <v>2452</v>
      </c>
      <c r="Y301" s="58" t="s">
        <v>2453</v>
      </c>
      <c r="Z301" s="121" t="s">
        <v>2454</v>
      </c>
      <c r="AA301" s="45">
        <v>44650</v>
      </c>
      <c r="AB301" s="101" t="s">
        <v>30</v>
      </c>
      <c r="AC301" s="73" t="s">
        <v>26</v>
      </c>
      <c r="AD301" s="64" t="s">
        <v>120</v>
      </c>
      <c r="AE301" s="48" t="s">
        <v>120</v>
      </c>
      <c r="AF301" s="48" t="s">
        <v>120</v>
      </c>
      <c r="AG301" s="48" t="s">
        <v>120</v>
      </c>
      <c r="AH301" s="48" t="s">
        <v>120</v>
      </c>
      <c r="AI301" s="48" t="s">
        <v>120</v>
      </c>
      <c r="AJ301" s="49" t="s">
        <v>120</v>
      </c>
      <c r="AK301" s="48" t="s">
        <v>120</v>
      </c>
      <c r="AL301" s="62" t="s">
        <v>32</v>
      </c>
      <c r="AM301" s="62"/>
      <c r="AN301" s="59"/>
      <c r="AO301" s="102"/>
      <c r="AP301" s="32"/>
      <c r="AQ301" s="220"/>
      <c r="AR301" s="32"/>
      <c r="AS301" s="32"/>
      <c r="AT301" s="32"/>
      <c r="AU301" s="32"/>
      <c r="AV301" s="32"/>
      <c r="AW301" s="32"/>
      <c r="AX301" s="32"/>
      <c r="AY301" s="32"/>
      <c r="AZ301" s="31"/>
    </row>
    <row r="302" spans="1:52" x14ac:dyDescent="0.2">
      <c r="A302" s="33">
        <f t="shared" si="5"/>
        <v>297</v>
      </c>
      <c r="B302" s="34" t="s">
        <v>2455</v>
      </c>
      <c r="C302" s="35" t="s">
        <v>2456</v>
      </c>
      <c r="D302" s="36" t="s">
        <v>2457</v>
      </c>
      <c r="E302" s="36" t="s">
        <v>54</v>
      </c>
      <c r="F302" s="34" t="s">
        <v>2458</v>
      </c>
      <c r="G302" s="37" t="s">
        <v>73</v>
      </c>
      <c r="H302" s="37" t="s">
        <v>73</v>
      </c>
      <c r="I302" s="34" t="s">
        <v>2459</v>
      </c>
      <c r="J302" s="34" t="s">
        <v>41</v>
      </c>
      <c r="K302" s="39" t="s">
        <v>42</v>
      </c>
      <c r="L302" s="99" t="s">
        <v>2460</v>
      </c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42" t="s">
        <v>2461</v>
      </c>
      <c r="Y302" s="52" t="s">
        <v>2462</v>
      </c>
      <c r="Z302" s="44" t="s">
        <v>2463</v>
      </c>
      <c r="AA302" s="45">
        <v>41793</v>
      </c>
      <c r="AB302" s="101" t="s">
        <v>30</v>
      </c>
      <c r="AC302" s="36" t="s">
        <v>26</v>
      </c>
      <c r="AD302" s="47" t="s">
        <v>49</v>
      </c>
      <c r="AE302" s="48" t="s">
        <v>49</v>
      </c>
      <c r="AF302" s="48" t="s">
        <v>49</v>
      </c>
      <c r="AG302" s="48" t="s">
        <v>49</v>
      </c>
      <c r="AH302" s="48" t="s">
        <v>49</v>
      </c>
      <c r="AI302" s="48" t="s">
        <v>49</v>
      </c>
      <c r="AJ302" s="49" t="s">
        <v>49</v>
      </c>
      <c r="AK302" s="48" t="s">
        <v>49</v>
      </c>
      <c r="AL302" s="62" t="s">
        <v>32</v>
      </c>
      <c r="AM302" s="62"/>
      <c r="AN302" s="59"/>
      <c r="AO302" s="10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1"/>
    </row>
    <row r="303" spans="1:52" x14ac:dyDescent="0.2">
      <c r="A303" s="33">
        <f t="shared" si="5"/>
        <v>298</v>
      </c>
      <c r="B303" s="34" t="s">
        <v>2464</v>
      </c>
      <c r="C303" s="35" t="s">
        <v>2465</v>
      </c>
      <c r="D303" s="36" t="s">
        <v>2466</v>
      </c>
      <c r="E303" s="36" t="s">
        <v>54</v>
      </c>
      <c r="F303" s="34" t="s">
        <v>2467</v>
      </c>
      <c r="G303" s="37" t="s">
        <v>243</v>
      </c>
      <c r="H303" s="37" t="s">
        <v>205</v>
      </c>
      <c r="I303" s="34" t="s">
        <v>2468</v>
      </c>
      <c r="J303" s="34" t="s">
        <v>41</v>
      </c>
      <c r="K303" s="39" t="s">
        <v>42</v>
      </c>
      <c r="L303" s="120">
        <v>36749</v>
      </c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2" t="s">
        <v>2469</v>
      </c>
      <c r="Y303" s="58" t="s">
        <v>2470</v>
      </c>
      <c r="Z303" s="44" t="s">
        <v>61</v>
      </c>
      <c r="AA303" s="45">
        <v>37877</v>
      </c>
      <c r="AB303" s="101" t="s">
        <v>30</v>
      </c>
      <c r="AC303" s="36" t="s">
        <v>26</v>
      </c>
      <c r="AD303" s="47" t="s">
        <v>49</v>
      </c>
      <c r="AE303" s="48" t="s">
        <v>49</v>
      </c>
      <c r="AF303" s="48" t="s">
        <v>49</v>
      </c>
      <c r="AG303" s="48" t="s">
        <v>49</v>
      </c>
      <c r="AH303" s="48" t="s">
        <v>49</v>
      </c>
      <c r="AI303" s="48" t="s">
        <v>49</v>
      </c>
      <c r="AJ303" s="49" t="s">
        <v>41</v>
      </c>
      <c r="AK303" s="48" t="s">
        <v>41</v>
      </c>
      <c r="AL303" s="62" t="s">
        <v>276</v>
      </c>
      <c r="AM303" s="62"/>
      <c r="AN303" s="59"/>
      <c r="AO303" s="10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1"/>
    </row>
    <row r="304" spans="1:52" x14ac:dyDescent="0.2">
      <c r="A304" s="33">
        <f t="shared" si="5"/>
        <v>299</v>
      </c>
      <c r="B304" s="34" t="s">
        <v>2471</v>
      </c>
      <c r="C304" s="35" t="s">
        <v>2472</v>
      </c>
      <c r="D304" s="36" t="s">
        <v>2473</v>
      </c>
      <c r="E304" s="36" t="s">
        <v>54</v>
      </c>
      <c r="F304" s="34" t="s">
        <v>2474</v>
      </c>
      <c r="G304" s="37" t="s">
        <v>958</v>
      </c>
      <c r="H304" s="37" t="s">
        <v>187</v>
      </c>
      <c r="I304" s="38" t="s">
        <v>2475</v>
      </c>
      <c r="J304" s="34" t="s">
        <v>41</v>
      </c>
      <c r="K304" s="39" t="s">
        <v>42</v>
      </c>
      <c r="L304" s="120" t="s">
        <v>2476</v>
      </c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42" t="s">
        <v>2477</v>
      </c>
      <c r="Y304" s="100" t="s">
        <v>2478</v>
      </c>
      <c r="Z304" s="44" t="s">
        <v>2479</v>
      </c>
      <c r="AA304" s="45">
        <v>44041</v>
      </c>
      <c r="AB304" s="101" t="s">
        <v>30</v>
      </c>
      <c r="AC304" s="36" t="s">
        <v>26</v>
      </c>
      <c r="AD304" s="61" t="s">
        <v>49</v>
      </c>
      <c r="AE304" s="48" t="s">
        <v>49</v>
      </c>
      <c r="AF304" s="48" t="s">
        <v>49</v>
      </c>
      <c r="AG304" s="48" t="s">
        <v>49</v>
      </c>
      <c r="AH304" s="48" t="s">
        <v>49</v>
      </c>
      <c r="AI304" s="48" t="s">
        <v>49</v>
      </c>
      <c r="AJ304" s="49" t="s">
        <v>49</v>
      </c>
      <c r="AK304" s="48" t="s">
        <v>49</v>
      </c>
      <c r="AL304" s="65" t="s">
        <v>32</v>
      </c>
      <c r="AM304" s="65"/>
      <c r="AN304" s="59"/>
      <c r="AO304" s="10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1"/>
    </row>
    <row r="305" spans="1:52" x14ac:dyDescent="0.2">
      <c r="A305" s="33">
        <f t="shared" si="5"/>
        <v>300</v>
      </c>
      <c r="B305" s="34" t="s">
        <v>2480</v>
      </c>
      <c r="C305" s="35" t="s">
        <v>2481</v>
      </c>
      <c r="D305" s="36" t="s">
        <v>2482</v>
      </c>
      <c r="E305" s="36" t="s">
        <v>36</v>
      </c>
      <c r="F305" s="34" t="s">
        <v>2483</v>
      </c>
      <c r="G305" s="37" t="s">
        <v>205</v>
      </c>
      <c r="H305" s="37" t="s">
        <v>205</v>
      </c>
      <c r="I305" s="38" t="s">
        <v>2484</v>
      </c>
      <c r="J305" s="34" t="s">
        <v>41</v>
      </c>
      <c r="K305" s="39" t="s">
        <v>42</v>
      </c>
      <c r="L305" s="120">
        <v>44137</v>
      </c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42" t="s">
        <v>2485</v>
      </c>
      <c r="Y305" s="100" t="s">
        <v>2486</v>
      </c>
      <c r="Z305" s="44" t="s">
        <v>2487</v>
      </c>
      <c r="AA305" s="45">
        <v>44041</v>
      </c>
      <c r="AB305" s="101" t="s">
        <v>30</v>
      </c>
      <c r="AC305" s="36" t="s">
        <v>26</v>
      </c>
      <c r="AD305" s="61" t="s">
        <v>49</v>
      </c>
      <c r="AE305" s="48" t="s">
        <v>49</v>
      </c>
      <c r="AF305" s="48" t="s">
        <v>49</v>
      </c>
      <c r="AG305" s="48" t="s">
        <v>49</v>
      </c>
      <c r="AH305" s="48" t="s">
        <v>49</v>
      </c>
      <c r="AI305" s="48" t="s">
        <v>49</v>
      </c>
      <c r="AJ305" s="49" t="s">
        <v>49</v>
      </c>
      <c r="AK305" s="48" t="s">
        <v>49</v>
      </c>
      <c r="AL305" s="62" t="s">
        <v>32</v>
      </c>
      <c r="AM305" s="62"/>
      <c r="AN305" s="59"/>
      <c r="AO305" s="10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1"/>
    </row>
    <row r="306" spans="1:52" x14ac:dyDescent="0.2">
      <c r="A306" s="33">
        <f t="shared" si="5"/>
        <v>301</v>
      </c>
      <c r="B306" s="34" t="s">
        <v>2488</v>
      </c>
      <c r="C306" s="35" t="s">
        <v>2489</v>
      </c>
      <c r="D306" s="36" t="s">
        <v>2490</v>
      </c>
      <c r="E306" s="36" t="s">
        <v>36</v>
      </c>
      <c r="F306" s="34" t="s">
        <v>2491</v>
      </c>
      <c r="G306" s="37" t="s">
        <v>73</v>
      </c>
      <c r="H306" s="37" t="s">
        <v>73</v>
      </c>
      <c r="I306" s="34" t="s">
        <v>2492</v>
      </c>
      <c r="J306" s="34" t="s">
        <v>2492</v>
      </c>
      <c r="K306" s="39" t="s">
        <v>42</v>
      </c>
      <c r="L306" s="99" t="s">
        <v>2493</v>
      </c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42" t="s">
        <v>2494</v>
      </c>
      <c r="Y306" s="100" t="s">
        <v>2495</v>
      </c>
      <c r="Z306" s="44" t="s">
        <v>61</v>
      </c>
      <c r="AA306" s="45">
        <v>36641</v>
      </c>
      <c r="AB306" s="101" t="s">
        <v>30</v>
      </c>
      <c r="AC306" s="36" t="s">
        <v>26</v>
      </c>
      <c r="AD306" s="61" t="s">
        <v>49</v>
      </c>
      <c r="AE306" s="48" t="s">
        <v>49</v>
      </c>
      <c r="AF306" s="48" t="s">
        <v>49</v>
      </c>
      <c r="AG306" s="48" t="s">
        <v>49</v>
      </c>
      <c r="AH306" s="48" t="s">
        <v>41</v>
      </c>
      <c r="AI306" s="48" t="s">
        <v>41</v>
      </c>
      <c r="AJ306" s="49" t="s">
        <v>41</v>
      </c>
      <c r="AK306" s="48" t="s">
        <v>41</v>
      </c>
      <c r="AL306" s="62" t="s">
        <v>139</v>
      </c>
      <c r="AM306" s="62"/>
      <c r="AN306" s="59"/>
      <c r="AO306" s="10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1"/>
    </row>
    <row r="307" spans="1:52" x14ac:dyDescent="0.2">
      <c r="A307" s="33">
        <f t="shared" si="5"/>
        <v>302</v>
      </c>
      <c r="B307" s="34" t="s">
        <v>2496</v>
      </c>
      <c r="C307" s="35" t="s">
        <v>2497</v>
      </c>
      <c r="D307" s="36" t="s">
        <v>2498</v>
      </c>
      <c r="E307" s="36" t="s">
        <v>36</v>
      </c>
      <c r="F307" s="34" t="s">
        <v>2499</v>
      </c>
      <c r="G307" s="37" t="s">
        <v>73</v>
      </c>
      <c r="H307" s="37" t="s">
        <v>73</v>
      </c>
      <c r="I307" s="38" t="s">
        <v>2500</v>
      </c>
      <c r="J307" s="34" t="s">
        <v>41</v>
      </c>
      <c r="K307" s="39" t="s">
        <v>42</v>
      </c>
      <c r="L307" s="120">
        <v>45209</v>
      </c>
      <c r="M307" s="56"/>
      <c r="N307" s="56"/>
      <c r="O307" s="56"/>
      <c r="P307" s="56"/>
      <c r="Q307" s="56"/>
      <c r="R307" s="56"/>
      <c r="S307" s="56"/>
      <c r="T307" s="56" t="s">
        <v>44</v>
      </c>
      <c r="U307" s="56"/>
      <c r="V307" s="56"/>
      <c r="W307" s="56"/>
      <c r="X307" s="38" t="s">
        <v>2501</v>
      </c>
      <c r="Y307" s="146" t="s">
        <v>2502</v>
      </c>
      <c r="Z307" s="146"/>
      <c r="AA307" s="45">
        <v>45642</v>
      </c>
      <c r="AB307" s="101"/>
      <c r="AC307" s="36"/>
      <c r="AD307" s="61" t="s">
        <v>49</v>
      </c>
      <c r="AE307" s="48" t="s">
        <v>41</v>
      </c>
      <c r="AF307" s="48" t="s">
        <v>41</v>
      </c>
      <c r="AG307" s="48" t="s">
        <v>41</v>
      </c>
      <c r="AH307" s="48" t="s">
        <v>49</v>
      </c>
      <c r="AI307" s="48" t="s">
        <v>49</v>
      </c>
      <c r="AJ307" s="49" t="s">
        <v>49</v>
      </c>
      <c r="AK307" s="48" t="s">
        <v>41</v>
      </c>
      <c r="AL307" s="65" t="s">
        <v>148</v>
      </c>
      <c r="AM307" s="65"/>
      <c r="AN307" s="59"/>
      <c r="AO307" s="10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1"/>
    </row>
    <row r="308" spans="1:52" x14ac:dyDescent="0.2">
      <c r="A308" s="33">
        <f t="shared" si="5"/>
        <v>303</v>
      </c>
      <c r="B308" s="34" t="s">
        <v>2503</v>
      </c>
      <c r="C308" s="35" t="s">
        <v>2504</v>
      </c>
      <c r="D308" s="36" t="s">
        <v>2505</v>
      </c>
      <c r="E308" s="36" t="s">
        <v>54</v>
      </c>
      <c r="F308" s="34" t="s">
        <v>2506</v>
      </c>
      <c r="G308" s="37" t="s">
        <v>176</v>
      </c>
      <c r="H308" s="37" t="s">
        <v>39</v>
      </c>
      <c r="I308" s="38" t="s">
        <v>2507</v>
      </c>
      <c r="J308" s="34" t="s">
        <v>41</v>
      </c>
      <c r="K308" s="39" t="s">
        <v>42</v>
      </c>
      <c r="L308" s="99" t="s">
        <v>2508</v>
      </c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42" t="s">
        <v>2509</v>
      </c>
      <c r="Y308" s="69" t="s">
        <v>2510</v>
      </c>
      <c r="Z308" s="44" t="s">
        <v>2511</v>
      </c>
      <c r="AA308" s="45">
        <v>42935</v>
      </c>
      <c r="AB308" s="101" t="s">
        <v>30</v>
      </c>
      <c r="AC308" s="36" t="s">
        <v>26</v>
      </c>
      <c r="AD308" s="47" t="s">
        <v>49</v>
      </c>
      <c r="AE308" s="48" t="s">
        <v>49</v>
      </c>
      <c r="AF308" s="48" t="s">
        <v>49</v>
      </c>
      <c r="AG308" s="48" t="s">
        <v>49</v>
      </c>
      <c r="AH308" s="48" t="s">
        <v>49</v>
      </c>
      <c r="AI308" s="48" t="s">
        <v>49</v>
      </c>
      <c r="AJ308" s="49" t="s">
        <v>49</v>
      </c>
      <c r="AK308" s="48" t="s">
        <v>49</v>
      </c>
      <c r="AL308" s="65" t="s">
        <v>32</v>
      </c>
      <c r="AM308" s="65"/>
      <c r="AN308" s="59"/>
      <c r="AO308" s="10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1"/>
    </row>
    <row r="309" spans="1:52" x14ac:dyDescent="0.2">
      <c r="A309" s="33">
        <f t="shared" si="5"/>
        <v>304</v>
      </c>
      <c r="B309" s="34" t="s">
        <v>2512</v>
      </c>
      <c r="C309" s="35" t="s">
        <v>2513</v>
      </c>
      <c r="D309" s="36" t="s">
        <v>2514</v>
      </c>
      <c r="E309" s="36" t="s">
        <v>54</v>
      </c>
      <c r="F309" s="34" t="s">
        <v>2515</v>
      </c>
      <c r="G309" s="37" t="s">
        <v>350</v>
      </c>
      <c r="H309" s="37" t="s">
        <v>350</v>
      </c>
      <c r="I309" s="38" t="s">
        <v>2516</v>
      </c>
      <c r="J309" s="38" t="s">
        <v>2516</v>
      </c>
      <c r="K309" s="39" t="s">
        <v>42</v>
      </c>
      <c r="L309" s="99" t="s">
        <v>2517</v>
      </c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42" t="s">
        <v>2518</v>
      </c>
      <c r="Y309" s="52" t="s">
        <v>2519</v>
      </c>
      <c r="Z309" s="44" t="s">
        <v>61</v>
      </c>
      <c r="AA309" s="45">
        <v>38593</v>
      </c>
      <c r="AB309" s="101" t="s">
        <v>30</v>
      </c>
      <c r="AC309" s="36" t="s">
        <v>26</v>
      </c>
      <c r="AD309" s="47" t="s">
        <v>49</v>
      </c>
      <c r="AE309" s="48" t="s">
        <v>49</v>
      </c>
      <c r="AF309" s="48" t="s">
        <v>49</v>
      </c>
      <c r="AG309" s="48" t="s">
        <v>49</v>
      </c>
      <c r="AH309" s="48" t="s">
        <v>49</v>
      </c>
      <c r="AI309" s="48" t="s">
        <v>49</v>
      </c>
      <c r="AJ309" s="49" t="s">
        <v>49</v>
      </c>
      <c r="AK309" s="48" t="s">
        <v>49</v>
      </c>
      <c r="AL309" s="65" t="s">
        <v>32</v>
      </c>
      <c r="AM309" s="65"/>
      <c r="AN309" s="59"/>
      <c r="AO309" s="10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1"/>
    </row>
    <row r="310" spans="1:52" x14ac:dyDescent="0.2">
      <c r="A310" s="33">
        <f t="shared" si="5"/>
        <v>305</v>
      </c>
      <c r="B310" s="34" t="s">
        <v>2520</v>
      </c>
      <c r="C310" s="35" t="s">
        <v>2521</v>
      </c>
      <c r="D310" s="36" t="s">
        <v>2522</v>
      </c>
      <c r="E310" s="36" t="s">
        <v>54</v>
      </c>
      <c r="F310" s="98" t="s">
        <v>2523</v>
      </c>
      <c r="G310" s="37" t="s">
        <v>252</v>
      </c>
      <c r="H310" s="37" t="s">
        <v>57</v>
      </c>
      <c r="I310" s="34" t="s">
        <v>2524</v>
      </c>
      <c r="J310" s="34" t="s">
        <v>41</v>
      </c>
      <c r="K310" s="39" t="s">
        <v>42</v>
      </c>
      <c r="L310" s="99" t="s">
        <v>2525</v>
      </c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42" t="s">
        <v>2526</v>
      </c>
      <c r="Y310" s="58" t="s">
        <v>2527</v>
      </c>
      <c r="Z310" s="44" t="s">
        <v>2528</v>
      </c>
      <c r="AA310" s="45">
        <v>44041</v>
      </c>
      <c r="AB310" s="101" t="s">
        <v>30</v>
      </c>
      <c r="AC310" s="36" t="s">
        <v>26</v>
      </c>
      <c r="AD310" s="47" t="s">
        <v>49</v>
      </c>
      <c r="AE310" s="48" t="s">
        <v>49</v>
      </c>
      <c r="AF310" s="48" t="s">
        <v>49</v>
      </c>
      <c r="AG310" s="48" t="s">
        <v>49</v>
      </c>
      <c r="AH310" s="48" t="s">
        <v>49</v>
      </c>
      <c r="AI310" s="48" t="s">
        <v>49</v>
      </c>
      <c r="AJ310" s="49" t="s">
        <v>49</v>
      </c>
      <c r="AK310" s="48" t="s">
        <v>49</v>
      </c>
      <c r="AL310" s="62" t="s">
        <v>32</v>
      </c>
      <c r="AM310" s="62"/>
      <c r="AN310" s="59"/>
      <c r="AO310" s="10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1"/>
    </row>
    <row r="311" spans="1:52" x14ac:dyDescent="0.2">
      <c r="A311" s="33">
        <f t="shared" si="5"/>
        <v>306</v>
      </c>
      <c r="B311" s="34" t="s">
        <v>2529</v>
      </c>
      <c r="C311" s="35" t="s">
        <v>2530</v>
      </c>
      <c r="D311" s="36" t="s">
        <v>2531</v>
      </c>
      <c r="E311" s="36" t="s">
        <v>36</v>
      </c>
      <c r="F311" s="98" t="s">
        <v>2532</v>
      </c>
      <c r="G311" s="37" t="s">
        <v>1285</v>
      </c>
      <c r="H311" s="37" t="s">
        <v>350</v>
      </c>
      <c r="I311" s="38" t="s">
        <v>2533</v>
      </c>
      <c r="J311" s="34" t="s">
        <v>41</v>
      </c>
      <c r="K311" s="39" t="s">
        <v>42</v>
      </c>
      <c r="L311" s="120">
        <v>45516</v>
      </c>
      <c r="M311" s="56" t="s">
        <v>179</v>
      </c>
      <c r="N311" s="56"/>
      <c r="O311" s="56"/>
      <c r="P311" s="56"/>
      <c r="Q311" s="56" t="s">
        <v>179</v>
      </c>
      <c r="R311" s="56"/>
      <c r="S311" s="56"/>
      <c r="T311" s="56"/>
      <c r="U311" s="56" t="s">
        <v>44</v>
      </c>
      <c r="V311" s="56"/>
      <c r="W311" s="56"/>
      <c r="X311" s="42" t="s">
        <v>2534</v>
      </c>
      <c r="Y311" s="58" t="s">
        <v>2535</v>
      </c>
      <c r="Z311" s="44"/>
      <c r="AA311" s="45"/>
      <c r="AB311" s="101"/>
      <c r="AC311" s="36"/>
      <c r="AD311" s="47" t="s">
        <v>49</v>
      </c>
      <c r="AE311" s="48" t="s">
        <v>41</v>
      </c>
      <c r="AF311" s="48" t="s">
        <v>41</v>
      </c>
      <c r="AG311" s="48" t="s">
        <v>41</v>
      </c>
      <c r="AH311" s="48" t="s">
        <v>41</v>
      </c>
      <c r="AI311" s="48" t="s">
        <v>49</v>
      </c>
      <c r="AJ311" s="49" t="s">
        <v>49</v>
      </c>
      <c r="AK311" s="48" t="s">
        <v>49</v>
      </c>
      <c r="AL311" s="62" t="s">
        <v>32</v>
      </c>
      <c r="AM311" s="62"/>
      <c r="AN311" s="59"/>
      <c r="AO311" s="10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1"/>
    </row>
    <row r="312" spans="1:52" x14ac:dyDescent="0.2">
      <c r="A312" s="33">
        <f t="shared" si="5"/>
        <v>307</v>
      </c>
      <c r="B312" s="34" t="s">
        <v>2536</v>
      </c>
      <c r="C312" s="35" t="s">
        <v>2537</v>
      </c>
      <c r="D312" s="36" t="s">
        <v>2538</v>
      </c>
      <c r="E312" s="36" t="s">
        <v>54</v>
      </c>
      <c r="F312" s="98" t="s">
        <v>2539</v>
      </c>
      <c r="G312" s="37" t="s">
        <v>73</v>
      </c>
      <c r="H312" s="37" t="s">
        <v>73</v>
      </c>
      <c r="I312" s="38" t="s">
        <v>2540</v>
      </c>
      <c r="J312" s="34" t="s">
        <v>41</v>
      </c>
      <c r="K312" s="39" t="s">
        <v>42</v>
      </c>
      <c r="L312" s="99" t="s">
        <v>2541</v>
      </c>
      <c r="M312" s="56" t="s">
        <v>179</v>
      </c>
      <c r="N312" s="56"/>
      <c r="O312" s="56"/>
      <c r="P312" s="56"/>
      <c r="Q312" s="56" t="s">
        <v>1041</v>
      </c>
      <c r="R312" s="56" t="s">
        <v>44</v>
      </c>
      <c r="S312" s="56"/>
      <c r="T312" s="56"/>
      <c r="U312" s="56"/>
      <c r="V312" s="56"/>
      <c r="W312" s="56"/>
      <c r="X312" s="42" t="s">
        <v>2542</v>
      </c>
      <c r="Y312" s="58" t="s">
        <v>2543</v>
      </c>
      <c r="Z312" s="44"/>
      <c r="AA312" s="45" t="s">
        <v>47</v>
      </c>
      <c r="AB312" s="101"/>
      <c r="AC312" s="36"/>
      <c r="AD312" s="47" t="s">
        <v>49</v>
      </c>
      <c r="AE312" s="48" t="s">
        <v>41</v>
      </c>
      <c r="AF312" s="48" t="s">
        <v>49</v>
      </c>
      <c r="AG312" s="48" t="s">
        <v>41</v>
      </c>
      <c r="AH312" s="48" t="s">
        <v>41</v>
      </c>
      <c r="AI312" s="48" t="s">
        <v>41</v>
      </c>
      <c r="AJ312" s="49" t="s">
        <v>41</v>
      </c>
      <c r="AK312" s="48" t="s">
        <v>41</v>
      </c>
      <c r="AL312" s="62" t="s">
        <v>110</v>
      </c>
      <c r="AM312" s="62"/>
      <c r="AN312" s="59"/>
      <c r="AO312" s="10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1"/>
    </row>
    <row r="313" spans="1:52" x14ac:dyDescent="0.2">
      <c r="A313" s="33">
        <f t="shared" si="5"/>
        <v>308</v>
      </c>
      <c r="B313" s="34" t="s">
        <v>2544</v>
      </c>
      <c r="C313" s="35" t="s">
        <v>2545</v>
      </c>
      <c r="D313" s="73" t="s">
        <v>2546</v>
      </c>
      <c r="E313" s="36" t="s">
        <v>36</v>
      </c>
      <c r="F313" s="98" t="s">
        <v>2547</v>
      </c>
      <c r="G313" s="37" t="s">
        <v>350</v>
      </c>
      <c r="H313" s="37" t="s">
        <v>350</v>
      </c>
      <c r="I313" s="34" t="s">
        <v>2548</v>
      </c>
      <c r="J313" s="34" t="s">
        <v>2548</v>
      </c>
      <c r="K313" s="39" t="s">
        <v>42</v>
      </c>
      <c r="L313" s="99" t="s">
        <v>2549</v>
      </c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42" t="s">
        <v>2550</v>
      </c>
      <c r="Y313" s="58" t="s">
        <v>2551</v>
      </c>
      <c r="Z313" s="44" t="s">
        <v>61</v>
      </c>
      <c r="AA313" s="45">
        <v>37877</v>
      </c>
      <c r="AB313" s="101" t="s">
        <v>30</v>
      </c>
      <c r="AC313" s="73" t="s">
        <v>26</v>
      </c>
      <c r="AD313" s="47" t="s">
        <v>49</v>
      </c>
      <c r="AE313" s="48" t="s">
        <v>49</v>
      </c>
      <c r="AF313" s="48" t="s">
        <v>49</v>
      </c>
      <c r="AG313" s="48" t="s">
        <v>41</v>
      </c>
      <c r="AH313" s="48" t="s">
        <v>41</v>
      </c>
      <c r="AI313" s="48" t="s">
        <v>41</v>
      </c>
      <c r="AJ313" s="49" t="s">
        <v>41</v>
      </c>
      <c r="AK313" s="48" t="s">
        <v>41</v>
      </c>
      <c r="AL313" s="62" t="s">
        <v>110</v>
      </c>
      <c r="AM313" s="62"/>
      <c r="AN313" s="59"/>
      <c r="AO313" s="10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1"/>
    </row>
    <row r="314" spans="1:52" x14ac:dyDescent="0.2">
      <c r="A314" s="33">
        <f t="shared" si="5"/>
        <v>309</v>
      </c>
      <c r="B314" s="34" t="s">
        <v>2552</v>
      </c>
      <c r="C314" s="35" t="s">
        <v>2553</v>
      </c>
      <c r="D314" s="36" t="s">
        <v>2554</v>
      </c>
      <c r="E314" s="36" t="s">
        <v>36</v>
      </c>
      <c r="F314" s="34" t="s">
        <v>2555</v>
      </c>
      <c r="G314" s="37" t="s">
        <v>73</v>
      </c>
      <c r="H314" s="37" t="s">
        <v>73</v>
      </c>
      <c r="I314" s="34" t="s">
        <v>2556</v>
      </c>
      <c r="J314" s="34" t="s">
        <v>2556</v>
      </c>
      <c r="K314" s="39" t="s">
        <v>42</v>
      </c>
      <c r="L314" s="99" t="s">
        <v>2557</v>
      </c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42" t="s">
        <v>2558</v>
      </c>
      <c r="Y314" s="52" t="s">
        <v>2559</v>
      </c>
      <c r="Z314" s="44" t="s">
        <v>2560</v>
      </c>
      <c r="AA314" s="45">
        <v>42935</v>
      </c>
      <c r="AB314" s="101" t="s">
        <v>129</v>
      </c>
      <c r="AC314" s="36" t="s">
        <v>26</v>
      </c>
      <c r="AD314" s="66" t="s">
        <v>130</v>
      </c>
      <c r="AE314" s="48" t="s">
        <v>130</v>
      </c>
      <c r="AF314" s="48" t="s">
        <v>130</v>
      </c>
      <c r="AG314" s="48" t="s">
        <v>130</v>
      </c>
      <c r="AH314" s="48" t="s">
        <v>130</v>
      </c>
      <c r="AI314" s="48" t="s">
        <v>130</v>
      </c>
      <c r="AJ314" s="49" t="s">
        <v>130</v>
      </c>
      <c r="AK314" s="48" t="s">
        <v>130</v>
      </c>
      <c r="AL314" s="62" t="s">
        <v>32</v>
      </c>
      <c r="AM314" s="62"/>
      <c r="AN314" s="59"/>
      <c r="AO314" s="10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1"/>
    </row>
    <row r="315" spans="1:52" x14ac:dyDescent="0.2">
      <c r="A315" s="33">
        <f t="shared" si="5"/>
        <v>310</v>
      </c>
      <c r="B315" s="221" t="s">
        <v>2561</v>
      </c>
      <c r="C315" s="35" t="s">
        <v>2562</v>
      </c>
      <c r="D315" s="36" t="s">
        <v>2563</v>
      </c>
      <c r="E315" s="36" t="s">
        <v>36</v>
      </c>
      <c r="F315" s="34" t="s">
        <v>2564</v>
      </c>
      <c r="G315" s="37" t="s">
        <v>56</v>
      </c>
      <c r="H315" s="37" t="s">
        <v>57</v>
      </c>
      <c r="I315" s="34" t="s">
        <v>2565</v>
      </c>
      <c r="J315" s="34" t="s">
        <v>41</v>
      </c>
      <c r="K315" s="39" t="s">
        <v>42</v>
      </c>
      <c r="L315" s="120">
        <v>39855</v>
      </c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2" t="s">
        <v>2566</v>
      </c>
      <c r="Y315" s="52" t="s">
        <v>2567</v>
      </c>
      <c r="Z315" s="84" t="s">
        <v>2568</v>
      </c>
      <c r="AA315" s="45">
        <v>44650</v>
      </c>
      <c r="AB315" s="101" t="s">
        <v>30</v>
      </c>
      <c r="AC315" s="36" t="s">
        <v>26</v>
      </c>
      <c r="AD315" s="47" t="s">
        <v>49</v>
      </c>
      <c r="AE315" s="48" t="s">
        <v>49</v>
      </c>
      <c r="AF315" s="48" t="s">
        <v>49</v>
      </c>
      <c r="AG315" s="48" t="s">
        <v>49</v>
      </c>
      <c r="AH315" s="48" t="s">
        <v>49</v>
      </c>
      <c r="AI315" s="48" t="s">
        <v>49</v>
      </c>
      <c r="AJ315" s="49" t="s">
        <v>49</v>
      </c>
      <c r="AK315" s="48" t="s">
        <v>49</v>
      </c>
      <c r="AL315" s="65" t="s">
        <v>32</v>
      </c>
      <c r="AM315" s="65"/>
      <c r="AN315" s="59"/>
      <c r="AO315" s="102" t="s">
        <v>2569</v>
      </c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1"/>
    </row>
    <row r="316" spans="1:52" x14ac:dyDescent="0.2">
      <c r="A316" s="33">
        <f t="shared" si="5"/>
        <v>311</v>
      </c>
      <c r="B316" s="221" t="s">
        <v>2570</v>
      </c>
      <c r="C316" s="35" t="s">
        <v>2571</v>
      </c>
      <c r="D316" s="36" t="s">
        <v>2572</v>
      </c>
      <c r="E316" s="36" t="s">
        <v>54</v>
      </c>
      <c r="F316" s="34" t="s">
        <v>2573</v>
      </c>
      <c r="G316" s="37" t="s">
        <v>1285</v>
      </c>
      <c r="H316" s="37" t="s">
        <v>350</v>
      </c>
      <c r="I316" s="38" t="s">
        <v>2574</v>
      </c>
      <c r="J316" s="34"/>
      <c r="K316" s="39" t="s">
        <v>42</v>
      </c>
      <c r="L316" s="120">
        <v>45670</v>
      </c>
      <c r="M316" s="41"/>
      <c r="N316" s="41"/>
      <c r="O316" s="41"/>
      <c r="P316" s="41"/>
      <c r="Q316" s="41"/>
      <c r="R316" s="41"/>
      <c r="S316" s="41"/>
      <c r="T316" s="41"/>
      <c r="U316" s="41"/>
      <c r="V316" s="41" t="s">
        <v>44</v>
      </c>
      <c r="W316" s="41"/>
      <c r="X316" s="42" t="s">
        <v>2575</v>
      </c>
      <c r="Y316" s="43" t="s">
        <v>2576</v>
      </c>
      <c r="Z316" s="144"/>
      <c r="AA316" s="45"/>
      <c r="AB316" s="101"/>
      <c r="AC316" s="36"/>
      <c r="AD316" s="47" t="s">
        <v>49</v>
      </c>
      <c r="AE316" s="48" t="s">
        <v>41</v>
      </c>
      <c r="AF316" s="48" t="s">
        <v>41</v>
      </c>
      <c r="AG316" s="48" t="s">
        <v>41</v>
      </c>
      <c r="AH316" s="48" t="s">
        <v>41</v>
      </c>
      <c r="AI316" s="48" t="s">
        <v>41</v>
      </c>
      <c r="AJ316" s="49" t="s">
        <v>49</v>
      </c>
      <c r="AK316" s="48" t="s">
        <v>49</v>
      </c>
      <c r="AL316" s="62" t="s">
        <v>32</v>
      </c>
      <c r="AM316" s="62"/>
      <c r="AN316" s="59"/>
      <c r="AO316" s="10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1"/>
    </row>
    <row r="317" spans="1:52" x14ac:dyDescent="0.2">
      <c r="A317" s="33">
        <f t="shared" si="5"/>
        <v>312</v>
      </c>
      <c r="B317" s="34" t="s">
        <v>2577</v>
      </c>
      <c r="C317" s="35" t="s">
        <v>2578</v>
      </c>
      <c r="D317" s="36" t="s">
        <v>2579</v>
      </c>
      <c r="E317" s="36" t="s">
        <v>54</v>
      </c>
      <c r="F317" s="34" t="s">
        <v>2580</v>
      </c>
      <c r="G317" s="37" t="s">
        <v>1417</v>
      </c>
      <c r="H317" s="37" t="s">
        <v>187</v>
      </c>
      <c r="I317" s="34" t="s">
        <v>2581</v>
      </c>
      <c r="J317" s="34" t="s">
        <v>41</v>
      </c>
      <c r="K317" s="39" t="s">
        <v>42</v>
      </c>
      <c r="L317" s="99" t="s">
        <v>1347</v>
      </c>
      <c r="M317" s="115"/>
      <c r="N317" s="115"/>
      <c r="O317" s="115"/>
      <c r="P317" s="115"/>
      <c r="Q317" s="115"/>
      <c r="R317" s="115"/>
      <c r="S317" s="115"/>
      <c r="T317" s="56"/>
      <c r="U317" s="56"/>
      <c r="V317" s="56"/>
      <c r="W317" s="56"/>
      <c r="X317" s="42" t="s">
        <v>2582</v>
      </c>
      <c r="Y317" s="69" t="s">
        <v>2583</v>
      </c>
      <c r="Z317" s="44" t="s">
        <v>2584</v>
      </c>
      <c r="AA317" s="45">
        <v>42935</v>
      </c>
      <c r="AB317" s="101" t="s">
        <v>30</v>
      </c>
      <c r="AC317" s="36" t="s">
        <v>26</v>
      </c>
      <c r="AD317" s="61" t="s">
        <v>49</v>
      </c>
      <c r="AE317" s="48" t="s">
        <v>49</v>
      </c>
      <c r="AF317" s="48" t="s">
        <v>49</v>
      </c>
      <c r="AG317" s="48" t="s">
        <v>49</v>
      </c>
      <c r="AH317" s="48" t="s">
        <v>49</v>
      </c>
      <c r="AI317" s="48" t="s">
        <v>49</v>
      </c>
      <c r="AJ317" s="49" t="s">
        <v>49</v>
      </c>
      <c r="AK317" s="48" t="s">
        <v>49</v>
      </c>
      <c r="AL317" s="62" t="s">
        <v>32</v>
      </c>
      <c r="AM317" s="62"/>
      <c r="AN317" s="59"/>
      <c r="AO317" s="10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1"/>
    </row>
    <row r="318" spans="1:52" x14ac:dyDescent="0.2">
      <c r="A318" s="33">
        <f t="shared" si="5"/>
        <v>313</v>
      </c>
      <c r="B318" s="122" t="s">
        <v>2585</v>
      </c>
      <c r="C318" s="123" t="s">
        <v>2586</v>
      </c>
      <c r="D318" s="202" t="s">
        <v>2587</v>
      </c>
      <c r="E318" s="36" t="s">
        <v>54</v>
      </c>
      <c r="F318" s="122" t="s">
        <v>2588</v>
      </c>
      <c r="G318" s="126" t="s">
        <v>252</v>
      </c>
      <c r="H318" s="126" t="s">
        <v>57</v>
      </c>
      <c r="I318" s="127" t="s">
        <v>2589</v>
      </c>
      <c r="J318" s="122"/>
      <c r="K318" s="128" t="s">
        <v>42</v>
      </c>
      <c r="L318" s="120">
        <v>45581</v>
      </c>
      <c r="M318" s="130"/>
      <c r="N318" s="130"/>
      <c r="O318" s="130"/>
      <c r="P318" s="130"/>
      <c r="Q318" s="130"/>
      <c r="R318" s="130"/>
      <c r="S318" s="130"/>
      <c r="T318" s="130"/>
      <c r="U318" s="130" t="s">
        <v>44</v>
      </c>
      <c r="V318" s="130"/>
      <c r="W318" s="130"/>
      <c r="X318" s="127" t="s">
        <v>2590</v>
      </c>
      <c r="Y318" s="83" t="s">
        <v>2591</v>
      </c>
      <c r="Z318" s="44"/>
      <c r="AA318" s="131"/>
      <c r="AB318" s="164"/>
      <c r="AC318" s="36"/>
      <c r="AD318" s="222" t="s">
        <v>49</v>
      </c>
      <c r="AE318" s="48" t="s">
        <v>41</v>
      </c>
      <c r="AF318" s="48" t="s">
        <v>41</v>
      </c>
      <c r="AG318" s="48" t="s">
        <v>41</v>
      </c>
      <c r="AH318" s="48" t="s">
        <v>41</v>
      </c>
      <c r="AI318" s="48" t="s">
        <v>49</v>
      </c>
      <c r="AJ318" s="49" t="s">
        <v>49</v>
      </c>
      <c r="AK318" s="48" t="s">
        <v>49</v>
      </c>
      <c r="AL318" s="65" t="s">
        <v>32</v>
      </c>
      <c r="AM318" s="325"/>
      <c r="AN318" s="134"/>
      <c r="AO318" s="10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1"/>
    </row>
    <row r="319" spans="1:52" x14ac:dyDescent="0.2">
      <c r="A319" s="33">
        <f t="shared" si="5"/>
        <v>314</v>
      </c>
      <c r="B319" s="122" t="s">
        <v>2592</v>
      </c>
      <c r="C319" s="123" t="s">
        <v>2593</v>
      </c>
      <c r="D319" s="124" t="s">
        <v>2594</v>
      </c>
      <c r="E319" s="36" t="s">
        <v>36</v>
      </c>
      <c r="F319" s="122" t="s">
        <v>2595</v>
      </c>
      <c r="G319" s="126" t="s">
        <v>176</v>
      </c>
      <c r="H319" s="126" t="s">
        <v>39</v>
      </c>
      <c r="I319" s="127" t="s">
        <v>2596</v>
      </c>
      <c r="J319" s="122" t="s">
        <v>41</v>
      </c>
      <c r="K319" s="128" t="s">
        <v>42</v>
      </c>
      <c r="L319" s="165">
        <v>44443</v>
      </c>
      <c r="M319" s="130"/>
      <c r="N319" s="130"/>
      <c r="O319" s="130"/>
      <c r="P319" s="130"/>
      <c r="Q319" s="130"/>
      <c r="R319" s="130" t="s">
        <v>44</v>
      </c>
      <c r="S319" s="130"/>
      <c r="T319" s="130"/>
      <c r="U319" s="130"/>
      <c r="V319" s="130"/>
      <c r="W319" s="130"/>
      <c r="X319" s="42" t="s">
        <v>2597</v>
      </c>
      <c r="Y319" s="58" t="s">
        <v>2598</v>
      </c>
      <c r="Z319" s="121" t="s">
        <v>2599</v>
      </c>
      <c r="AA319" s="131">
        <v>44650</v>
      </c>
      <c r="AB319" s="164" t="s">
        <v>30</v>
      </c>
      <c r="AC319" s="36"/>
      <c r="AD319" s="222" t="s">
        <v>49</v>
      </c>
      <c r="AE319" s="48" t="s">
        <v>41</v>
      </c>
      <c r="AF319" s="48" t="s">
        <v>49</v>
      </c>
      <c r="AG319" s="48" t="s">
        <v>49</v>
      </c>
      <c r="AH319" s="48" t="s">
        <v>49</v>
      </c>
      <c r="AI319" s="48" t="s">
        <v>49</v>
      </c>
      <c r="AJ319" s="49" t="s">
        <v>49</v>
      </c>
      <c r="AK319" s="48" t="s">
        <v>41</v>
      </c>
      <c r="AL319" s="65" t="s">
        <v>148</v>
      </c>
      <c r="AM319" s="325"/>
      <c r="AN319" s="134"/>
      <c r="AO319" s="10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1"/>
    </row>
    <row r="320" spans="1:52" x14ac:dyDescent="0.2">
      <c r="A320" s="33">
        <f t="shared" si="5"/>
        <v>315</v>
      </c>
      <c r="B320" s="122" t="s">
        <v>2600</v>
      </c>
      <c r="C320" s="123" t="s">
        <v>2601</v>
      </c>
      <c r="D320" s="202" t="s">
        <v>2602</v>
      </c>
      <c r="E320" s="36" t="s">
        <v>36</v>
      </c>
      <c r="F320" s="122" t="s">
        <v>2603</v>
      </c>
      <c r="G320" s="126" t="s">
        <v>398</v>
      </c>
      <c r="H320" s="126" t="s">
        <v>205</v>
      </c>
      <c r="I320" s="127" t="s">
        <v>2604</v>
      </c>
      <c r="J320" s="122" t="s">
        <v>41</v>
      </c>
      <c r="K320" s="128" t="s">
        <v>42</v>
      </c>
      <c r="L320" s="165">
        <v>45302</v>
      </c>
      <c r="M320" s="130" t="s">
        <v>179</v>
      </c>
      <c r="N320" s="130"/>
      <c r="O320" s="130"/>
      <c r="P320" s="130"/>
      <c r="Q320" s="130"/>
      <c r="R320" s="130"/>
      <c r="S320" s="130"/>
      <c r="T320" s="130"/>
      <c r="U320" s="130" t="s">
        <v>44</v>
      </c>
      <c r="V320" s="130"/>
      <c r="W320" s="130"/>
      <c r="X320" s="42" t="s">
        <v>2605</v>
      </c>
      <c r="Y320" s="58" t="s">
        <v>2606</v>
      </c>
      <c r="Z320" s="44"/>
      <c r="AA320" s="131"/>
      <c r="AB320" s="164"/>
      <c r="AC320" s="36"/>
      <c r="AD320" s="222" t="s">
        <v>49</v>
      </c>
      <c r="AE320" s="48" t="s">
        <v>41</v>
      </c>
      <c r="AF320" s="48" t="s">
        <v>41</v>
      </c>
      <c r="AG320" s="48" t="s">
        <v>41</v>
      </c>
      <c r="AH320" s="48" t="s">
        <v>41</v>
      </c>
      <c r="AI320" s="48" t="s">
        <v>49</v>
      </c>
      <c r="AJ320" s="49" t="s">
        <v>49</v>
      </c>
      <c r="AK320" s="48" t="s">
        <v>49</v>
      </c>
      <c r="AL320" s="62" t="s">
        <v>32</v>
      </c>
      <c r="AM320" s="232"/>
      <c r="AN320" s="134"/>
      <c r="AO320" s="10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1"/>
    </row>
    <row r="321" spans="1:52" x14ac:dyDescent="0.2">
      <c r="A321" s="33">
        <f t="shared" si="5"/>
        <v>316</v>
      </c>
      <c r="B321" s="122" t="s">
        <v>2607</v>
      </c>
      <c r="C321" s="123" t="s">
        <v>2608</v>
      </c>
      <c r="D321" s="36" t="s">
        <v>2609</v>
      </c>
      <c r="E321" s="36" t="s">
        <v>54</v>
      </c>
      <c r="F321" s="122" t="s">
        <v>2610</v>
      </c>
      <c r="G321" s="126" t="s">
        <v>73</v>
      </c>
      <c r="H321" s="126" t="s">
        <v>73</v>
      </c>
      <c r="I321" s="122" t="s">
        <v>2611</v>
      </c>
      <c r="J321" s="122" t="s">
        <v>2611</v>
      </c>
      <c r="K321" s="128" t="s">
        <v>42</v>
      </c>
      <c r="L321" s="165">
        <v>30353</v>
      </c>
      <c r="M321" s="130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42" t="s">
        <v>2612</v>
      </c>
      <c r="Y321" s="58" t="s">
        <v>2613</v>
      </c>
      <c r="Z321" s="119" t="s">
        <v>2614</v>
      </c>
      <c r="AA321" s="131">
        <v>42935</v>
      </c>
      <c r="AB321" s="164" t="s">
        <v>30</v>
      </c>
      <c r="AC321" s="36" t="s">
        <v>26</v>
      </c>
      <c r="AD321" s="222" t="s">
        <v>49</v>
      </c>
      <c r="AE321" s="48" t="s">
        <v>49</v>
      </c>
      <c r="AF321" s="48" t="s">
        <v>49</v>
      </c>
      <c r="AG321" s="48" t="s">
        <v>49</v>
      </c>
      <c r="AH321" s="48" t="s">
        <v>49</v>
      </c>
      <c r="AI321" s="48" t="s">
        <v>49</v>
      </c>
      <c r="AJ321" s="49" t="s">
        <v>49</v>
      </c>
      <c r="AK321" s="48" t="s">
        <v>49</v>
      </c>
      <c r="AL321" s="65" t="s">
        <v>32</v>
      </c>
      <c r="AM321" s="325"/>
      <c r="AN321" s="134"/>
      <c r="AO321" s="10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1"/>
    </row>
    <row r="322" spans="1:52" x14ac:dyDescent="0.2">
      <c r="A322" s="33">
        <f t="shared" si="5"/>
        <v>317</v>
      </c>
      <c r="B322" s="122" t="s">
        <v>2615</v>
      </c>
      <c r="C322" s="123" t="s">
        <v>2616</v>
      </c>
      <c r="D322" s="73" t="s">
        <v>2617</v>
      </c>
      <c r="E322" s="36" t="s">
        <v>54</v>
      </c>
      <c r="F322" s="122" t="s">
        <v>2618</v>
      </c>
      <c r="G322" s="126" t="s">
        <v>73</v>
      </c>
      <c r="H322" s="126" t="s">
        <v>73</v>
      </c>
      <c r="I322" s="127" t="s">
        <v>2619</v>
      </c>
      <c r="J322" s="122"/>
      <c r="K322" s="128" t="s">
        <v>42</v>
      </c>
      <c r="L322" s="165">
        <v>45114</v>
      </c>
      <c r="M322" s="130"/>
      <c r="N322" s="130"/>
      <c r="O322" s="130"/>
      <c r="P322" s="130"/>
      <c r="Q322" s="130"/>
      <c r="R322" s="130"/>
      <c r="S322" s="130"/>
      <c r="T322" s="130" t="s">
        <v>44</v>
      </c>
      <c r="U322" s="130"/>
      <c r="V322" s="130"/>
      <c r="W322" s="130"/>
      <c r="X322" s="42" t="s">
        <v>2620</v>
      </c>
      <c r="Y322" s="83" t="s">
        <v>2621</v>
      </c>
      <c r="Z322" s="223"/>
      <c r="AA322" s="45"/>
      <c r="AB322" s="164"/>
      <c r="AC322" s="36"/>
      <c r="AD322" s="222" t="s">
        <v>49</v>
      </c>
      <c r="AE322" s="48" t="s">
        <v>41</v>
      </c>
      <c r="AF322" s="48" t="s">
        <v>41</v>
      </c>
      <c r="AG322" s="48" t="s">
        <v>41</v>
      </c>
      <c r="AH322" s="48" t="s">
        <v>49</v>
      </c>
      <c r="AI322" s="48" t="s">
        <v>49</v>
      </c>
      <c r="AJ322" s="49" t="s">
        <v>49</v>
      </c>
      <c r="AK322" s="48" t="s">
        <v>49</v>
      </c>
      <c r="AL322" s="62" t="s">
        <v>32</v>
      </c>
      <c r="AM322" s="62"/>
      <c r="AN322" s="59"/>
      <c r="AO322" s="10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1"/>
    </row>
    <row r="323" spans="1:52" x14ac:dyDescent="0.2">
      <c r="A323" s="33">
        <f t="shared" si="5"/>
        <v>318</v>
      </c>
      <c r="B323" s="34" t="s">
        <v>2622</v>
      </c>
      <c r="C323" s="35" t="s">
        <v>2623</v>
      </c>
      <c r="D323" s="36" t="s">
        <v>2624</v>
      </c>
      <c r="E323" s="36" t="s">
        <v>54</v>
      </c>
      <c r="F323" s="34" t="s">
        <v>2625</v>
      </c>
      <c r="G323" s="37" t="s">
        <v>73</v>
      </c>
      <c r="H323" s="37" t="s">
        <v>73</v>
      </c>
      <c r="I323" s="34" t="s">
        <v>1649</v>
      </c>
      <c r="J323" s="34" t="s">
        <v>1649</v>
      </c>
      <c r="K323" s="39" t="s">
        <v>42</v>
      </c>
      <c r="L323" s="99" t="s">
        <v>1496</v>
      </c>
      <c r="M323" s="41"/>
      <c r="N323" s="41"/>
      <c r="O323" s="41"/>
      <c r="P323" s="41"/>
      <c r="Q323" s="41" t="s">
        <v>2626</v>
      </c>
      <c r="R323" s="41"/>
      <c r="S323" s="41"/>
      <c r="T323" s="41"/>
      <c r="U323" s="41"/>
      <c r="V323" s="41"/>
      <c r="W323" s="41"/>
      <c r="X323" s="42" t="s">
        <v>2627</v>
      </c>
      <c r="Y323" s="69" t="s">
        <v>2628</v>
      </c>
      <c r="Z323" s="44" t="s">
        <v>61</v>
      </c>
      <c r="AA323" s="45">
        <v>36641</v>
      </c>
      <c r="AB323" s="101" t="s">
        <v>30</v>
      </c>
      <c r="AC323" s="36" t="s">
        <v>26</v>
      </c>
      <c r="AD323" s="47" t="s">
        <v>49</v>
      </c>
      <c r="AE323" s="48" t="s">
        <v>49</v>
      </c>
      <c r="AF323" s="48" t="s">
        <v>49</v>
      </c>
      <c r="AG323" s="48" t="s">
        <v>49</v>
      </c>
      <c r="AH323" s="48" t="s">
        <v>49</v>
      </c>
      <c r="AI323" s="48" t="s">
        <v>49</v>
      </c>
      <c r="AJ323" s="49" t="s">
        <v>49</v>
      </c>
      <c r="AK323" s="48" t="s">
        <v>49</v>
      </c>
      <c r="AL323" s="62" t="s">
        <v>32</v>
      </c>
      <c r="AM323" s="62"/>
      <c r="AN323" s="59"/>
      <c r="AO323" s="10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1"/>
    </row>
    <row r="324" spans="1:52" x14ac:dyDescent="0.2">
      <c r="A324" s="33">
        <f t="shared" si="5"/>
        <v>319</v>
      </c>
      <c r="B324" s="34" t="s">
        <v>2629</v>
      </c>
      <c r="C324" s="35" t="s">
        <v>2630</v>
      </c>
      <c r="D324" s="36" t="s">
        <v>2631</v>
      </c>
      <c r="E324" s="36" t="s">
        <v>54</v>
      </c>
      <c r="F324" s="34" t="s">
        <v>2632</v>
      </c>
      <c r="G324" s="37" t="s">
        <v>73</v>
      </c>
      <c r="H324" s="37" t="s">
        <v>73</v>
      </c>
      <c r="I324" s="34" t="s">
        <v>2633</v>
      </c>
      <c r="J324" s="34" t="s">
        <v>41</v>
      </c>
      <c r="K324" s="39" t="s">
        <v>42</v>
      </c>
      <c r="L324" s="99" t="s">
        <v>1022</v>
      </c>
      <c r="M324" s="41" t="s">
        <v>179</v>
      </c>
      <c r="N324" s="41" t="s">
        <v>514</v>
      </c>
      <c r="O324" s="41"/>
      <c r="P324" s="41"/>
      <c r="Q324" s="41"/>
      <c r="R324" s="41"/>
      <c r="S324" s="41" t="s">
        <v>44</v>
      </c>
      <c r="T324" s="41"/>
      <c r="U324" s="41"/>
      <c r="V324" s="41"/>
      <c r="W324" s="41"/>
      <c r="X324" s="42" t="s">
        <v>2634</v>
      </c>
      <c r="Y324" s="83" t="s">
        <v>2635</v>
      </c>
      <c r="Z324" s="44"/>
      <c r="AA324" s="45">
        <v>45642</v>
      </c>
      <c r="AB324" s="101"/>
      <c r="AC324" s="36"/>
      <c r="AD324" s="47" t="s">
        <v>49</v>
      </c>
      <c r="AE324" s="48" t="s">
        <v>41</v>
      </c>
      <c r="AF324" s="48" t="s">
        <v>41</v>
      </c>
      <c r="AG324" s="48" t="s">
        <v>49</v>
      </c>
      <c r="AH324" s="48" t="s">
        <v>49</v>
      </c>
      <c r="AI324" s="48" t="s">
        <v>49</v>
      </c>
      <c r="AJ324" s="49" t="s">
        <v>41</v>
      </c>
      <c r="AK324" s="48" t="s">
        <v>41</v>
      </c>
      <c r="AL324" s="62" t="s">
        <v>276</v>
      </c>
      <c r="AM324" s="62"/>
      <c r="AN324" s="59"/>
      <c r="AO324" s="10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1"/>
    </row>
    <row r="325" spans="1:52" ht="19.5" customHeight="1" x14ac:dyDescent="0.2">
      <c r="A325" s="33">
        <f t="shared" si="5"/>
        <v>320</v>
      </c>
      <c r="B325" s="34" t="s">
        <v>2636</v>
      </c>
      <c r="C325" s="35" t="s">
        <v>2637</v>
      </c>
      <c r="D325" s="36" t="s">
        <v>2638</v>
      </c>
      <c r="E325" s="36" t="s">
        <v>54</v>
      </c>
      <c r="F325" s="34" t="s">
        <v>2639</v>
      </c>
      <c r="G325" s="37" t="s">
        <v>73</v>
      </c>
      <c r="H325" s="37" t="s">
        <v>73</v>
      </c>
      <c r="I325" s="38" t="s">
        <v>2640</v>
      </c>
      <c r="J325" s="34"/>
      <c r="K325" s="39" t="s">
        <v>42</v>
      </c>
      <c r="L325" s="120">
        <v>42106</v>
      </c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2" t="s">
        <v>2641</v>
      </c>
      <c r="Y325" s="52" t="s">
        <v>2642</v>
      </c>
      <c r="Z325" s="211" t="s">
        <v>2643</v>
      </c>
      <c r="AA325" s="45">
        <v>44944</v>
      </c>
      <c r="AB325" s="101" t="s">
        <v>30</v>
      </c>
      <c r="AC325" s="36" t="s">
        <v>26</v>
      </c>
      <c r="AD325" s="47" t="s">
        <v>49</v>
      </c>
      <c r="AE325" s="48" t="s">
        <v>49</v>
      </c>
      <c r="AF325" s="48" t="s">
        <v>49</v>
      </c>
      <c r="AG325" s="48" t="s">
        <v>49</v>
      </c>
      <c r="AH325" s="48" t="s">
        <v>49</v>
      </c>
      <c r="AI325" s="48" t="s">
        <v>49</v>
      </c>
      <c r="AJ325" s="49" t="s">
        <v>49</v>
      </c>
      <c r="AK325" s="48" t="s">
        <v>49</v>
      </c>
      <c r="AL325" s="65" t="s">
        <v>32</v>
      </c>
      <c r="AM325" s="65"/>
      <c r="AN325" s="59"/>
      <c r="AO325" s="10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1"/>
    </row>
    <row r="326" spans="1:52" x14ac:dyDescent="0.2">
      <c r="A326" s="33">
        <f t="shared" si="5"/>
        <v>321</v>
      </c>
      <c r="B326" s="34" t="s">
        <v>2644</v>
      </c>
      <c r="C326" s="35" t="s">
        <v>2645</v>
      </c>
      <c r="D326" s="36" t="s">
        <v>2646</v>
      </c>
      <c r="E326" s="36" t="s">
        <v>36</v>
      </c>
      <c r="F326" s="34" t="s">
        <v>2647</v>
      </c>
      <c r="G326" s="37" t="s">
        <v>176</v>
      </c>
      <c r="H326" s="37" t="s">
        <v>39</v>
      </c>
      <c r="I326" s="38" t="s">
        <v>2648</v>
      </c>
      <c r="J326" s="34" t="s">
        <v>41</v>
      </c>
      <c r="K326" s="39" t="s">
        <v>42</v>
      </c>
      <c r="L326" s="120" t="s">
        <v>2649</v>
      </c>
      <c r="M326" s="56"/>
      <c r="N326" s="56"/>
      <c r="O326" s="56"/>
      <c r="P326" s="56"/>
      <c r="Q326" s="56"/>
      <c r="R326" s="56"/>
      <c r="S326" s="56"/>
      <c r="T326" s="56" t="s">
        <v>732</v>
      </c>
      <c r="U326" s="56"/>
      <c r="V326" s="56"/>
      <c r="W326" s="56"/>
      <c r="X326" s="42" t="s">
        <v>2650</v>
      </c>
      <c r="Y326" s="58" t="s">
        <v>2651</v>
      </c>
      <c r="Z326" s="44"/>
      <c r="AA326" s="45" t="s">
        <v>47</v>
      </c>
      <c r="AB326" s="101"/>
      <c r="AC326" s="36" t="s">
        <v>26</v>
      </c>
      <c r="AD326" s="47" t="s">
        <v>49</v>
      </c>
      <c r="AE326" s="48" t="s">
        <v>49</v>
      </c>
      <c r="AF326" s="48" t="s">
        <v>49</v>
      </c>
      <c r="AG326" s="48" t="s">
        <v>49</v>
      </c>
      <c r="AH326" s="48" t="s">
        <v>49</v>
      </c>
      <c r="AI326" s="48" t="s">
        <v>49</v>
      </c>
      <c r="AJ326" s="49" t="s">
        <v>49</v>
      </c>
      <c r="AK326" s="48" t="s">
        <v>41</v>
      </c>
      <c r="AL326" s="65" t="s">
        <v>148</v>
      </c>
      <c r="AM326" s="65"/>
      <c r="AN326" s="59"/>
      <c r="AO326" s="10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1"/>
    </row>
    <row r="327" spans="1:52" x14ac:dyDescent="0.2">
      <c r="A327" s="33">
        <f t="shared" si="5"/>
        <v>322</v>
      </c>
      <c r="B327" s="34" t="s">
        <v>2652</v>
      </c>
      <c r="C327" s="35" t="s">
        <v>2653</v>
      </c>
      <c r="D327" s="73" t="s">
        <v>2654</v>
      </c>
      <c r="E327" s="36" t="s">
        <v>54</v>
      </c>
      <c r="F327" s="98" t="s">
        <v>2655</v>
      </c>
      <c r="G327" s="37" t="s">
        <v>214</v>
      </c>
      <c r="H327" s="37" t="s">
        <v>205</v>
      </c>
      <c r="I327" s="34" t="s">
        <v>2656</v>
      </c>
      <c r="J327" s="34" t="s">
        <v>41</v>
      </c>
      <c r="K327" s="39" t="s">
        <v>42</v>
      </c>
      <c r="L327" s="99" t="s">
        <v>2657</v>
      </c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42" t="s">
        <v>2658</v>
      </c>
      <c r="Y327" s="58" t="s">
        <v>2659</v>
      </c>
      <c r="Z327" s="44" t="s">
        <v>61</v>
      </c>
      <c r="AA327" s="45">
        <v>37877</v>
      </c>
      <c r="AB327" s="101" t="s">
        <v>30</v>
      </c>
      <c r="AC327" s="73"/>
      <c r="AD327" s="47" t="s">
        <v>49</v>
      </c>
      <c r="AE327" s="48" t="s">
        <v>41</v>
      </c>
      <c r="AF327" s="48" t="s">
        <v>41</v>
      </c>
      <c r="AG327" s="48" t="s">
        <v>41</v>
      </c>
      <c r="AH327" s="48" t="s">
        <v>41</v>
      </c>
      <c r="AI327" s="48" t="s">
        <v>41</v>
      </c>
      <c r="AJ327" s="49" t="s">
        <v>41</v>
      </c>
      <c r="AK327" s="48" t="s">
        <v>41</v>
      </c>
      <c r="AL327" s="65" t="s">
        <v>4588</v>
      </c>
      <c r="AM327" s="65"/>
      <c r="AN327" s="59" t="s">
        <v>460</v>
      </c>
      <c r="AO327" s="117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1"/>
    </row>
    <row r="328" spans="1:52" x14ac:dyDescent="0.2">
      <c r="A328" s="33">
        <f t="shared" si="5"/>
        <v>323</v>
      </c>
      <c r="B328" s="107" t="s">
        <v>2660</v>
      </c>
      <c r="C328" s="35" t="s">
        <v>2661</v>
      </c>
      <c r="D328" s="36" t="s">
        <v>2662</v>
      </c>
      <c r="E328" s="36" t="s">
        <v>54</v>
      </c>
      <c r="F328" s="87" t="s">
        <v>2663</v>
      </c>
      <c r="G328" s="37" t="s">
        <v>4658</v>
      </c>
      <c r="H328" s="37" t="s">
        <v>350</v>
      </c>
      <c r="I328" s="34" t="s">
        <v>2664</v>
      </c>
      <c r="J328" s="34"/>
      <c r="K328" s="39" t="s">
        <v>42</v>
      </c>
      <c r="L328" s="99" t="s">
        <v>2139</v>
      </c>
      <c r="M328" s="56"/>
      <c r="N328" s="56"/>
      <c r="O328" s="56"/>
      <c r="P328" s="56"/>
      <c r="Q328" s="56"/>
      <c r="R328" s="56"/>
      <c r="S328" s="56"/>
      <c r="T328" s="56" t="s">
        <v>732</v>
      </c>
      <c r="U328" s="56"/>
      <c r="V328" s="56"/>
      <c r="W328" s="56"/>
      <c r="X328" s="42" t="s">
        <v>2665</v>
      </c>
      <c r="Y328" s="58" t="s">
        <v>2666</v>
      </c>
      <c r="Z328" s="224"/>
      <c r="AA328" s="45" t="s">
        <v>47</v>
      </c>
      <c r="AB328" s="101" t="s">
        <v>342</v>
      </c>
      <c r="AC328" s="36" t="s">
        <v>26</v>
      </c>
      <c r="AD328" s="47" t="s">
        <v>49</v>
      </c>
      <c r="AE328" s="48" t="s">
        <v>49</v>
      </c>
      <c r="AF328" s="48" t="s">
        <v>49</v>
      </c>
      <c r="AG328" s="48" t="s">
        <v>49</v>
      </c>
      <c r="AH328" s="48" t="s">
        <v>49</v>
      </c>
      <c r="AI328" s="48" t="s">
        <v>49</v>
      </c>
      <c r="AJ328" s="49" t="s">
        <v>49</v>
      </c>
      <c r="AK328" s="48" t="s">
        <v>49</v>
      </c>
      <c r="AL328" s="62" t="s">
        <v>32</v>
      </c>
      <c r="AM328" s="62"/>
      <c r="AN328" s="59"/>
      <c r="AO328" s="10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1"/>
    </row>
    <row r="329" spans="1:52" x14ac:dyDescent="0.2">
      <c r="A329" s="33">
        <f t="shared" si="5"/>
        <v>324</v>
      </c>
      <c r="B329" s="107" t="s">
        <v>2667</v>
      </c>
      <c r="C329" s="35" t="s">
        <v>2668</v>
      </c>
      <c r="D329" s="36" t="s">
        <v>2669</v>
      </c>
      <c r="E329" s="36" t="s">
        <v>54</v>
      </c>
      <c r="F329" s="34" t="s">
        <v>2670</v>
      </c>
      <c r="G329" s="37" t="s">
        <v>73</v>
      </c>
      <c r="H329" s="37" t="s">
        <v>73</v>
      </c>
      <c r="I329" s="34" t="s">
        <v>2671</v>
      </c>
      <c r="J329" s="34"/>
      <c r="K329" s="39" t="s">
        <v>42</v>
      </c>
      <c r="L329" s="99" t="s">
        <v>2672</v>
      </c>
      <c r="M329" s="56"/>
      <c r="N329" s="56"/>
      <c r="O329" s="56"/>
      <c r="P329" s="56"/>
      <c r="Q329" s="56"/>
      <c r="R329" s="56"/>
      <c r="S329" s="56"/>
      <c r="T329" s="56" t="s">
        <v>44</v>
      </c>
      <c r="U329" s="56"/>
      <c r="V329" s="56"/>
      <c r="W329" s="56"/>
      <c r="X329" s="42" t="s">
        <v>2673</v>
      </c>
      <c r="Y329" s="58" t="s">
        <v>2674</v>
      </c>
      <c r="Z329" s="44"/>
      <c r="AA329" s="45">
        <v>45642</v>
      </c>
      <c r="AB329" s="101"/>
      <c r="AC329" s="36"/>
      <c r="AD329" s="47" t="s">
        <v>49</v>
      </c>
      <c r="AE329" s="48" t="s">
        <v>41</v>
      </c>
      <c r="AF329" s="48" t="s">
        <v>41</v>
      </c>
      <c r="AG329" s="48" t="s">
        <v>41</v>
      </c>
      <c r="AH329" s="48" t="s">
        <v>49</v>
      </c>
      <c r="AI329" s="48" t="s">
        <v>49</v>
      </c>
      <c r="AJ329" s="49" t="s">
        <v>49</v>
      </c>
      <c r="AK329" s="48" t="s">
        <v>49</v>
      </c>
      <c r="AL329" s="62" t="s">
        <v>32</v>
      </c>
      <c r="AM329" s="62" t="s">
        <v>4681</v>
      </c>
      <c r="AN329" s="59"/>
      <c r="AO329" s="117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1"/>
    </row>
    <row r="330" spans="1:52" x14ac:dyDescent="0.2">
      <c r="A330" s="33">
        <f t="shared" si="5"/>
        <v>325</v>
      </c>
      <c r="B330" s="34" t="s">
        <v>2675</v>
      </c>
      <c r="C330" s="35" t="s">
        <v>2676</v>
      </c>
      <c r="D330" s="36" t="s">
        <v>2677</v>
      </c>
      <c r="E330" s="36" t="s">
        <v>54</v>
      </c>
      <c r="F330" s="34" t="s">
        <v>2678</v>
      </c>
      <c r="G330" s="37" t="s">
        <v>73</v>
      </c>
      <c r="H330" s="37" t="s">
        <v>73</v>
      </c>
      <c r="I330" s="34" t="s">
        <v>2679</v>
      </c>
      <c r="J330" s="34" t="s">
        <v>2680</v>
      </c>
      <c r="K330" s="39" t="s">
        <v>42</v>
      </c>
      <c r="L330" s="120">
        <v>35617</v>
      </c>
      <c r="M330" s="41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42" t="s">
        <v>2681</v>
      </c>
      <c r="Y330" s="58" t="s">
        <v>2682</v>
      </c>
      <c r="Z330" s="44" t="s">
        <v>61</v>
      </c>
      <c r="AA330" s="45">
        <v>36803</v>
      </c>
      <c r="AB330" s="101" t="s">
        <v>30</v>
      </c>
      <c r="AC330" s="36" t="s">
        <v>26</v>
      </c>
      <c r="AD330" s="47" t="s">
        <v>49</v>
      </c>
      <c r="AE330" s="48" t="s">
        <v>49</v>
      </c>
      <c r="AF330" s="48" t="s">
        <v>49</v>
      </c>
      <c r="AG330" s="48" t="s">
        <v>49</v>
      </c>
      <c r="AH330" s="48" t="s">
        <v>49</v>
      </c>
      <c r="AI330" s="48" t="s">
        <v>49</v>
      </c>
      <c r="AJ330" s="49" t="s">
        <v>49</v>
      </c>
      <c r="AK330" s="48" t="s">
        <v>49</v>
      </c>
      <c r="AL330" s="62" t="s">
        <v>32</v>
      </c>
      <c r="AM330" s="62"/>
      <c r="AN330" s="59"/>
      <c r="AO330" s="10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1"/>
    </row>
    <row r="331" spans="1:52" x14ac:dyDescent="0.2">
      <c r="A331" s="33">
        <f t="shared" ref="A331:A395" si="6">+A330+1</f>
        <v>326</v>
      </c>
      <c r="B331" s="34" t="s">
        <v>2683</v>
      </c>
      <c r="C331" s="35" t="s">
        <v>2684</v>
      </c>
      <c r="D331" s="36" t="s">
        <v>2685</v>
      </c>
      <c r="E331" s="36" t="s">
        <v>54</v>
      </c>
      <c r="F331" s="34" t="s">
        <v>2686</v>
      </c>
      <c r="G331" s="37" t="s">
        <v>73</v>
      </c>
      <c r="H331" s="37" t="s">
        <v>73</v>
      </c>
      <c r="I331" s="34" t="s">
        <v>2687</v>
      </c>
      <c r="J331" s="34" t="s">
        <v>2688</v>
      </c>
      <c r="K331" s="39" t="s">
        <v>42</v>
      </c>
      <c r="L331" s="99" t="s">
        <v>273</v>
      </c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2" t="s">
        <v>2689</v>
      </c>
      <c r="Y331" s="52" t="s">
        <v>2690</v>
      </c>
      <c r="Z331" s="44" t="s">
        <v>2691</v>
      </c>
      <c r="AA331" s="45">
        <v>43200</v>
      </c>
      <c r="AB331" s="101" t="s">
        <v>30</v>
      </c>
      <c r="AC331" s="36" t="s">
        <v>26</v>
      </c>
      <c r="AD331" s="47" t="s">
        <v>49</v>
      </c>
      <c r="AE331" s="48" t="s">
        <v>49</v>
      </c>
      <c r="AF331" s="48" t="s">
        <v>49</v>
      </c>
      <c r="AG331" s="48" t="s">
        <v>49</v>
      </c>
      <c r="AH331" s="48" t="s">
        <v>49</v>
      </c>
      <c r="AI331" s="48" t="s">
        <v>49</v>
      </c>
      <c r="AJ331" s="49" t="s">
        <v>49</v>
      </c>
      <c r="AK331" s="48" t="s">
        <v>49</v>
      </c>
      <c r="AL331" s="62" t="s">
        <v>32</v>
      </c>
      <c r="AM331" s="62"/>
      <c r="AN331" s="59"/>
      <c r="AO331" s="10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1"/>
    </row>
    <row r="332" spans="1:52" x14ac:dyDescent="0.2">
      <c r="A332" s="33">
        <f t="shared" si="6"/>
        <v>327</v>
      </c>
      <c r="B332" s="34" t="s">
        <v>2692</v>
      </c>
      <c r="C332" s="35" t="s">
        <v>2693</v>
      </c>
      <c r="D332" s="36" t="s">
        <v>2694</v>
      </c>
      <c r="E332" s="36" t="s">
        <v>54</v>
      </c>
      <c r="F332" s="34" t="s">
        <v>2695</v>
      </c>
      <c r="G332" s="37" t="s">
        <v>73</v>
      </c>
      <c r="H332" s="37" t="s">
        <v>73</v>
      </c>
      <c r="I332" s="34" t="s">
        <v>2696</v>
      </c>
      <c r="J332" s="34" t="s">
        <v>2687</v>
      </c>
      <c r="K332" s="39" t="s">
        <v>42</v>
      </c>
      <c r="L332" s="120">
        <v>37715</v>
      </c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2" t="s">
        <v>2697</v>
      </c>
      <c r="Y332" s="43" t="s">
        <v>2698</v>
      </c>
      <c r="Z332" s="44" t="s">
        <v>61</v>
      </c>
      <c r="AA332" s="45">
        <v>37877</v>
      </c>
      <c r="AB332" s="101" t="s">
        <v>30</v>
      </c>
      <c r="AC332" s="36" t="s">
        <v>26</v>
      </c>
      <c r="AD332" s="47" t="s">
        <v>49</v>
      </c>
      <c r="AE332" s="48" t="s">
        <v>49</v>
      </c>
      <c r="AF332" s="48" t="s">
        <v>49</v>
      </c>
      <c r="AG332" s="48" t="s">
        <v>49</v>
      </c>
      <c r="AH332" s="48" t="s">
        <v>49</v>
      </c>
      <c r="AI332" s="48" t="s">
        <v>49</v>
      </c>
      <c r="AJ332" s="49" t="s">
        <v>49</v>
      </c>
      <c r="AK332" s="48" t="s">
        <v>49</v>
      </c>
      <c r="AL332" s="62" t="s">
        <v>32</v>
      </c>
      <c r="AM332" s="62"/>
      <c r="AN332" s="59"/>
      <c r="AO332" s="10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1"/>
    </row>
    <row r="333" spans="1:52" x14ac:dyDescent="0.2">
      <c r="A333" s="33">
        <f t="shared" si="6"/>
        <v>328</v>
      </c>
      <c r="B333" s="34" t="s">
        <v>2699</v>
      </c>
      <c r="C333" s="35" t="s">
        <v>2700</v>
      </c>
      <c r="D333" s="36" t="s">
        <v>2701</v>
      </c>
      <c r="E333" s="36" t="s">
        <v>54</v>
      </c>
      <c r="F333" s="34" t="s">
        <v>2702</v>
      </c>
      <c r="G333" s="37" t="s">
        <v>243</v>
      </c>
      <c r="H333" s="37" t="s">
        <v>205</v>
      </c>
      <c r="I333" s="38" t="s">
        <v>2703</v>
      </c>
      <c r="J333" s="34"/>
      <c r="K333" s="39" t="s">
        <v>42</v>
      </c>
      <c r="L333" s="120" t="s">
        <v>2704</v>
      </c>
      <c r="M333" s="41"/>
      <c r="N333" s="41"/>
      <c r="O333" s="41"/>
      <c r="P333" s="41"/>
      <c r="Q333" s="41"/>
      <c r="R333" s="41"/>
      <c r="S333" s="41" t="s">
        <v>44</v>
      </c>
      <c r="T333" s="41"/>
      <c r="U333" s="41"/>
      <c r="V333" s="41"/>
      <c r="W333" s="41"/>
      <c r="X333" s="42" t="s">
        <v>2705</v>
      </c>
      <c r="Y333" s="43" t="s">
        <v>2706</v>
      </c>
      <c r="Z333" s="84" t="s">
        <v>2707</v>
      </c>
      <c r="AA333" s="45">
        <v>44650</v>
      </c>
      <c r="AB333" s="101" t="s">
        <v>30</v>
      </c>
      <c r="AC333" s="36"/>
      <c r="AD333" s="47" t="s">
        <v>49</v>
      </c>
      <c r="AE333" s="48" t="s">
        <v>41</v>
      </c>
      <c r="AF333" s="48" t="s">
        <v>41</v>
      </c>
      <c r="AG333" s="48" t="s">
        <v>49</v>
      </c>
      <c r="AH333" s="48" t="s">
        <v>49</v>
      </c>
      <c r="AI333" s="48" t="s">
        <v>49</v>
      </c>
      <c r="AJ333" s="49" t="s">
        <v>49</v>
      </c>
      <c r="AK333" s="48" t="s">
        <v>41</v>
      </c>
      <c r="AL333" s="62" t="s">
        <v>148</v>
      </c>
      <c r="AM333" s="62"/>
      <c r="AN333" s="59"/>
      <c r="AO333" s="10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1"/>
    </row>
    <row r="334" spans="1:52" x14ac:dyDescent="0.2">
      <c r="A334" s="33">
        <f t="shared" si="6"/>
        <v>329</v>
      </c>
      <c r="B334" s="34" t="s">
        <v>2708</v>
      </c>
      <c r="C334" s="35" t="s">
        <v>2709</v>
      </c>
      <c r="D334" s="36" t="s">
        <v>2710</v>
      </c>
      <c r="E334" s="36" t="s">
        <v>54</v>
      </c>
      <c r="F334" s="34" t="s">
        <v>2711</v>
      </c>
      <c r="G334" s="37" t="s">
        <v>323</v>
      </c>
      <c r="H334" s="37" t="s">
        <v>39</v>
      </c>
      <c r="I334" s="38" t="s">
        <v>2712</v>
      </c>
      <c r="J334" s="34" t="s">
        <v>41</v>
      </c>
      <c r="K334" s="39" t="s">
        <v>42</v>
      </c>
      <c r="L334" s="120">
        <v>45643</v>
      </c>
      <c r="M334" s="41"/>
      <c r="N334" s="41"/>
      <c r="O334" s="41"/>
      <c r="P334" s="41"/>
      <c r="Q334" s="41"/>
      <c r="R334" s="41"/>
      <c r="S334" s="41"/>
      <c r="T334" s="41"/>
      <c r="U334" s="41" t="s">
        <v>44</v>
      </c>
      <c r="V334" s="41"/>
      <c r="W334" s="41"/>
      <c r="X334" s="38" t="s">
        <v>2713</v>
      </c>
      <c r="Y334" s="43" t="s">
        <v>2714</v>
      </c>
      <c r="Z334" s="144"/>
      <c r="AA334" s="45"/>
      <c r="AB334" s="101"/>
      <c r="AC334" s="36"/>
      <c r="AD334" s="47" t="s">
        <v>49</v>
      </c>
      <c r="AE334" s="48" t="s">
        <v>41</v>
      </c>
      <c r="AF334" s="48" t="s">
        <v>41</v>
      </c>
      <c r="AG334" s="48" t="s">
        <v>41</v>
      </c>
      <c r="AH334" s="48" t="s">
        <v>41</v>
      </c>
      <c r="AI334" s="48" t="s">
        <v>49</v>
      </c>
      <c r="AJ334" s="49" t="s">
        <v>49</v>
      </c>
      <c r="AK334" s="48" t="s">
        <v>41</v>
      </c>
      <c r="AL334" s="62" t="s">
        <v>148</v>
      </c>
      <c r="AM334" s="62"/>
      <c r="AN334" s="59"/>
      <c r="AO334" s="10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1"/>
    </row>
    <row r="335" spans="1:52" x14ac:dyDescent="0.2">
      <c r="A335" s="33">
        <f t="shared" si="6"/>
        <v>330</v>
      </c>
      <c r="B335" s="34" t="s">
        <v>2715</v>
      </c>
      <c r="C335" s="35" t="s">
        <v>2716</v>
      </c>
      <c r="D335" s="36" t="s">
        <v>2717</v>
      </c>
      <c r="E335" s="36" t="s">
        <v>36</v>
      </c>
      <c r="F335" s="34" t="s">
        <v>2718</v>
      </c>
      <c r="G335" s="37" t="s">
        <v>73</v>
      </c>
      <c r="H335" s="37" t="s">
        <v>73</v>
      </c>
      <c r="I335" s="34" t="s">
        <v>2719</v>
      </c>
      <c r="J335" s="34" t="s">
        <v>41</v>
      </c>
      <c r="K335" s="39" t="s">
        <v>42</v>
      </c>
      <c r="L335" s="99" t="s">
        <v>2720</v>
      </c>
      <c r="M335" s="56"/>
      <c r="N335" s="56"/>
      <c r="O335" s="56"/>
      <c r="P335" s="56"/>
      <c r="Q335" s="56"/>
      <c r="R335" s="56"/>
      <c r="S335" s="56" t="s">
        <v>732</v>
      </c>
      <c r="T335" s="56"/>
      <c r="U335" s="56"/>
      <c r="V335" s="56"/>
      <c r="W335" s="56"/>
      <c r="X335" s="42" t="s">
        <v>2721</v>
      </c>
      <c r="Y335" s="52" t="s">
        <v>2722</v>
      </c>
      <c r="Z335" s="44"/>
      <c r="AA335" s="45" t="s">
        <v>47</v>
      </c>
      <c r="AB335" s="101"/>
      <c r="AC335" s="36" t="s">
        <v>26</v>
      </c>
      <c r="AD335" s="47" t="s">
        <v>49</v>
      </c>
      <c r="AE335" s="48" t="s">
        <v>49</v>
      </c>
      <c r="AF335" s="48" t="s">
        <v>49</v>
      </c>
      <c r="AG335" s="48" t="s">
        <v>49</v>
      </c>
      <c r="AH335" s="48" t="s">
        <v>49</v>
      </c>
      <c r="AI335" s="48" t="s">
        <v>49</v>
      </c>
      <c r="AJ335" s="49" t="s">
        <v>49</v>
      </c>
      <c r="AK335" s="48" t="s">
        <v>49</v>
      </c>
      <c r="AL335" s="65" t="s">
        <v>32</v>
      </c>
      <c r="AM335" s="65"/>
      <c r="AN335" s="59"/>
      <c r="AO335" s="10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1"/>
    </row>
    <row r="336" spans="1:52" x14ac:dyDescent="0.2">
      <c r="A336" s="33">
        <f t="shared" si="6"/>
        <v>331</v>
      </c>
      <c r="B336" s="34" t="s">
        <v>2723</v>
      </c>
      <c r="C336" s="35" t="s">
        <v>2724</v>
      </c>
      <c r="D336" s="36" t="s">
        <v>2725</v>
      </c>
      <c r="E336" s="36" t="s">
        <v>54</v>
      </c>
      <c r="F336" s="34" t="s">
        <v>2726</v>
      </c>
      <c r="G336" s="37" t="s">
        <v>350</v>
      </c>
      <c r="H336" s="37" t="s">
        <v>350</v>
      </c>
      <c r="I336" s="38" t="s">
        <v>2727</v>
      </c>
      <c r="J336" s="34" t="s">
        <v>41</v>
      </c>
      <c r="K336" s="39" t="s">
        <v>42</v>
      </c>
      <c r="L336" s="120">
        <v>32513</v>
      </c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2" t="s">
        <v>2728</v>
      </c>
      <c r="Y336" s="58" t="s">
        <v>2729</v>
      </c>
      <c r="Z336" s="44" t="s">
        <v>61</v>
      </c>
      <c r="AA336" s="45">
        <v>37877</v>
      </c>
      <c r="AB336" s="101" t="s">
        <v>30</v>
      </c>
      <c r="AC336" s="36"/>
      <c r="AD336" s="47" t="s">
        <v>49</v>
      </c>
      <c r="AE336" s="48" t="s">
        <v>41</v>
      </c>
      <c r="AF336" s="48" t="s">
        <v>41</v>
      </c>
      <c r="AG336" s="48" t="s">
        <v>41</v>
      </c>
      <c r="AH336" s="48" t="s">
        <v>41</v>
      </c>
      <c r="AI336" s="48" t="s">
        <v>41</v>
      </c>
      <c r="AJ336" s="49" t="s">
        <v>41</v>
      </c>
      <c r="AK336" s="48" t="s">
        <v>41</v>
      </c>
      <c r="AL336" s="65" t="s">
        <v>4592</v>
      </c>
      <c r="AM336" s="65"/>
      <c r="AN336" s="59"/>
      <c r="AO336" s="10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1"/>
    </row>
    <row r="337" spans="1:52" x14ac:dyDescent="0.2">
      <c r="A337" s="33">
        <f t="shared" si="6"/>
        <v>332</v>
      </c>
      <c r="B337" s="34" t="s">
        <v>2730</v>
      </c>
      <c r="C337" s="35" t="s">
        <v>2731</v>
      </c>
      <c r="D337" s="36" t="s">
        <v>2732</v>
      </c>
      <c r="E337" s="36" t="s">
        <v>54</v>
      </c>
      <c r="F337" s="34" t="s">
        <v>2733</v>
      </c>
      <c r="G337" s="37" t="s">
        <v>73</v>
      </c>
      <c r="H337" s="37" t="s">
        <v>73</v>
      </c>
      <c r="I337" s="34" t="s">
        <v>2734</v>
      </c>
      <c r="J337" s="34" t="s">
        <v>41</v>
      </c>
      <c r="K337" s="39" t="s">
        <v>42</v>
      </c>
      <c r="L337" s="120">
        <v>33762</v>
      </c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2" t="s">
        <v>2735</v>
      </c>
      <c r="Y337" s="58" t="s">
        <v>2736</v>
      </c>
      <c r="Z337" s="44" t="s">
        <v>61</v>
      </c>
      <c r="AA337" s="45">
        <v>34597</v>
      </c>
      <c r="AB337" s="101" t="s">
        <v>30</v>
      </c>
      <c r="AC337" s="36" t="s">
        <v>26</v>
      </c>
      <c r="AD337" s="64" t="s">
        <v>120</v>
      </c>
      <c r="AE337" s="48" t="s">
        <v>120</v>
      </c>
      <c r="AF337" s="48" t="s">
        <v>120</v>
      </c>
      <c r="AG337" s="48" t="s">
        <v>120</v>
      </c>
      <c r="AH337" s="48" t="s">
        <v>120</v>
      </c>
      <c r="AI337" s="48" t="s">
        <v>120</v>
      </c>
      <c r="AJ337" s="49" t="s">
        <v>120</v>
      </c>
      <c r="AK337" s="48" t="s">
        <v>120</v>
      </c>
      <c r="AL337" s="62" t="s">
        <v>32</v>
      </c>
      <c r="AM337" s="62"/>
      <c r="AN337" s="59"/>
      <c r="AO337" s="10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1"/>
    </row>
    <row r="338" spans="1:52" x14ac:dyDescent="0.2">
      <c r="A338" s="33">
        <f t="shared" si="6"/>
        <v>333</v>
      </c>
      <c r="B338" s="34" t="s">
        <v>2737</v>
      </c>
      <c r="C338" s="35" t="s">
        <v>2738</v>
      </c>
      <c r="D338" s="36" t="s">
        <v>2739</v>
      </c>
      <c r="E338" s="36" t="s">
        <v>36</v>
      </c>
      <c r="F338" s="34" t="s">
        <v>2740</v>
      </c>
      <c r="G338" s="37" t="s">
        <v>243</v>
      </c>
      <c r="H338" s="37" t="s">
        <v>205</v>
      </c>
      <c r="I338" s="34" t="s">
        <v>2741</v>
      </c>
      <c r="J338" s="34" t="s">
        <v>41</v>
      </c>
      <c r="K338" s="39" t="s">
        <v>42</v>
      </c>
      <c r="L338" s="99" t="s">
        <v>2742</v>
      </c>
      <c r="M338" s="56" t="s">
        <v>179</v>
      </c>
      <c r="N338" s="56"/>
      <c r="O338" s="56"/>
      <c r="P338" s="56"/>
      <c r="Q338" s="56"/>
      <c r="R338" s="56"/>
      <c r="S338" s="56"/>
      <c r="T338" s="56"/>
      <c r="U338" s="56"/>
      <c r="V338" s="56" t="s">
        <v>732</v>
      </c>
      <c r="W338" s="56"/>
      <c r="X338" s="42" t="s">
        <v>2743</v>
      </c>
      <c r="Y338" s="69" t="s">
        <v>2744</v>
      </c>
      <c r="Z338" s="44" t="s">
        <v>2745</v>
      </c>
      <c r="AA338" s="45">
        <v>41793</v>
      </c>
      <c r="AB338" s="101" t="s">
        <v>30</v>
      </c>
      <c r="AC338" s="36" t="s">
        <v>26</v>
      </c>
      <c r="AD338" s="47" t="s">
        <v>49</v>
      </c>
      <c r="AE338" s="48" t="s">
        <v>49</v>
      </c>
      <c r="AF338" s="48" t="s">
        <v>49</v>
      </c>
      <c r="AG338" s="48" t="s">
        <v>49</v>
      </c>
      <c r="AH338" s="48" t="s">
        <v>49</v>
      </c>
      <c r="AI338" s="48" t="s">
        <v>49</v>
      </c>
      <c r="AJ338" s="49" t="s">
        <v>49</v>
      </c>
      <c r="AK338" s="48" t="s">
        <v>49</v>
      </c>
      <c r="AL338" s="62" t="s">
        <v>32</v>
      </c>
      <c r="AM338" s="62"/>
      <c r="AN338" s="59"/>
      <c r="AO338" s="117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1"/>
    </row>
    <row r="339" spans="1:52" x14ac:dyDescent="0.2">
      <c r="A339" s="33">
        <f t="shared" si="6"/>
        <v>334</v>
      </c>
      <c r="B339" s="34" t="s">
        <v>2746</v>
      </c>
      <c r="C339" s="35" t="s">
        <v>2747</v>
      </c>
      <c r="D339" s="36" t="s">
        <v>2748</v>
      </c>
      <c r="E339" s="36" t="s">
        <v>54</v>
      </c>
      <c r="F339" s="34" t="s">
        <v>2749</v>
      </c>
      <c r="G339" s="37" t="s">
        <v>73</v>
      </c>
      <c r="H339" s="37" t="s">
        <v>73</v>
      </c>
      <c r="I339" s="38" t="s">
        <v>2750</v>
      </c>
      <c r="J339" s="34" t="s">
        <v>41</v>
      </c>
      <c r="K339" s="39" t="s">
        <v>42</v>
      </c>
      <c r="L339" s="99" t="s">
        <v>2751</v>
      </c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42" t="s">
        <v>2752</v>
      </c>
      <c r="Y339" s="69" t="s">
        <v>2753</v>
      </c>
      <c r="Z339" s="44" t="s">
        <v>2754</v>
      </c>
      <c r="AA339" s="45">
        <v>44041</v>
      </c>
      <c r="AB339" s="101" t="s">
        <v>30</v>
      </c>
      <c r="AC339" s="36"/>
      <c r="AD339" s="47" t="s">
        <v>49</v>
      </c>
      <c r="AE339" s="48" t="s">
        <v>41</v>
      </c>
      <c r="AF339" s="48" t="s">
        <v>41</v>
      </c>
      <c r="AG339" s="48" t="s">
        <v>41</v>
      </c>
      <c r="AH339" s="48" t="s">
        <v>41</v>
      </c>
      <c r="AI339" s="48" t="s">
        <v>41</v>
      </c>
      <c r="AJ339" s="49" t="s">
        <v>41</v>
      </c>
      <c r="AK339" s="48" t="s">
        <v>41</v>
      </c>
      <c r="AL339" s="65" t="s">
        <v>4590</v>
      </c>
      <c r="AM339" s="65"/>
      <c r="AN339" s="59" t="s">
        <v>1230</v>
      </c>
      <c r="AO339" s="10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1"/>
    </row>
    <row r="340" spans="1:52" ht="18.75" customHeight="1" x14ac:dyDescent="0.2">
      <c r="A340" s="33">
        <f t="shared" si="6"/>
        <v>335</v>
      </c>
      <c r="B340" s="34" t="s">
        <v>2755</v>
      </c>
      <c r="C340" s="35" t="s">
        <v>2756</v>
      </c>
      <c r="D340" s="36" t="s">
        <v>2757</v>
      </c>
      <c r="E340" s="36" t="s">
        <v>54</v>
      </c>
      <c r="F340" s="34" t="s">
        <v>2758</v>
      </c>
      <c r="G340" s="37" t="s">
        <v>73</v>
      </c>
      <c r="H340" s="37" t="s">
        <v>73</v>
      </c>
      <c r="I340" s="38" t="s">
        <v>2759</v>
      </c>
      <c r="J340" s="34"/>
      <c r="K340" s="39" t="s">
        <v>42</v>
      </c>
      <c r="L340" s="99" t="s">
        <v>2760</v>
      </c>
      <c r="M340" s="56"/>
      <c r="N340" s="137"/>
      <c r="O340" s="137"/>
      <c r="P340" s="137"/>
      <c r="Q340" s="137"/>
      <c r="R340" s="137" t="s">
        <v>44</v>
      </c>
      <c r="S340" s="137"/>
      <c r="T340" s="137"/>
      <c r="U340" s="137"/>
      <c r="V340" s="137"/>
      <c r="W340" s="137"/>
      <c r="X340" s="42" t="s">
        <v>2761</v>
      </c>
      <c r="Y340" s="58" t="s">
        <v>2762</v>
      </c>
      <c r="Z340" s="211" t="s">
        <v>2763</v>
      </c>
      <c r="AA340" s="45">
        <v>44944</v>
      </c>
      <c r="AB340" s="101" t="s">
        <v>30</v>
      </c>
      <c r="AC340" s="36"/>
      <c r="AD340" s="47" t="s">
        <v>49</v>
      </c>
      <c r="AE340" s="48" t="s">
        <v>41</v>
      </c>
      <c r="AF340" s="48" t="s">
        <v>49</v>
      </c>
      <c r="AG340" s="48" t="s">
        <v>49</v>
      </c>
      <c r="AH340" s="48" t="s">
        <v>49</v>
      </c>
      <c r="AI340" s="48" t="s">
        <v>49</v>
      </c>
      <c r="AJ340" s="49" t="s">
        <v>49</v>
      </c>
      <c r="AK340" s="48" t="s">
        <v>49</v>
      </c>
      <c r="AL340" s="62" t="s">
        <v>32</v>
      </c>
      <c r="AM340" s="62"/>
      <c r="AN340" s="59"/>
      <c r="AO340" s="10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1"/>
    </row>
    <row r="341" spans="1:52" ht="18.75" customHeight="1" x14ac:dyDescent="0.2">
      <c r="A341" s="33">
        <f t="shared" si="6"/>
        <v>336</v>
      </c>
      <c r="B341" s="34" t="s">
        <v>2764</v>
      </c>
      <c r="C341" s="35" t="s">
        <v>2765</v>
      </c>
      <c r="D341" s="36" t="s">
        <v>2766</v>
      </c>
      <c r="E341" s="36" t="s">
        <v>54</v>
      </c>
      <c r="F341" s="34" t="s">
        <v>2767</v>
      </c>
      <c r="G341" s="37" t="s">
        <v>205</v>
      </c>
      <c r="H341" s="37" t="s">
        <v>205</v>
      </c>
      <c r="I341" s="34" t="s">
        <v>2768</v>
      </c>
      <c r="J341" s="34" t="s">
        <v>41</v>
      </c>
      <c r="K341" s="39" t="s">
        <v>42</v>
      </c>
      <c r="L341" s="99" t="s">
        <v>2769</v>
      </c>
      <c r="M341" s="56"/>
      <c r="N341" s="56"/>
      <c r="O341" s="56"/>
      <c r="P341" s="56"/>
      <c r="Q341" s="115"/>
      <c r="R341" s="115"/>
      <c r="S341" s="115"/>
      <c r="T341" s="56"/>
      <c r="U341" s="56"/>
      <c r="V341" s="56"/>
      <c r="W341" s="56"/>
      <c r="X341" s="42" t="s">
        <v>2770</v>
      </c>
      <c r="Y341" s="58" t="s">
        <v>2771</v>
      </c>
      <c r="Z341" s="119" t="s">
        <v>61</v>
      </c>
      <c r="AA341" s="45">
        <v>40815</v>
      </c>
      <c r="AB341" s="101" t="s">
        <v>129</v>
      </c>
      <c r="AC341" s="36"/>
      <c r="AD341" s="47" t="s">
        <v>49</v>
      </c>
      <c r="AE341" s="48" t="s">
        <v>41</v>
      </c>
      <c r="AF341" s="48" t="s">
        <v>41</v>
      </c>
      <c r="AG341" s="48" t="s">
        <v>41</v>
      </c>
      <c r="AH341" s="48" t="s">
        <v>41</v>
      </c>
      <c r="AI341" s="48" t="s">
        <v>41</v>
      </c>
      <c r="AJ341" s="49" t="s">
        <v>41</v>
      </c>
      <c r="AK341" s="48" t="s">
        <v>41</v>
      </c>
      <c r="AL341" s="65" t="s">
        <v>4592</v>
      </c>
      <c r="AM341" s="65"/>
      <c r="AN341" s="59"/>
      <c r="AO341" s="10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1"/>
    </row>
    <row r="342" spans="1:52" ht="18.75" customHeight="1" x14ac:dyDescent="0.2">
      <c r="A342" s="33">
        <f t="shared" si="6"/>
        <v>337</v>
      </c>
      <c r="B342" s="34" t="s">
        <v>2772</v>
      </c>
      <c r="C342" s="35" t="s">
        <v>2773</v>
      </c>
      <c r="D342" s="36" t="s">
        <v>2774</v>
      </c>
      <c r="E342" s="36" t="s">
        <v>54</v>
      </c>
      <c r="F342" s="34" t="s">
        <v>2775</v>
      </c>
      <c r="G342" s="37" t="s">
        <v>73</v>
      </c>
      <c r="H342" s="37" t="s">
        <v>73</v>
      </c>
      <c r="I342" s="38" t="s">
        <v>2776</v>
      </c>
      <c r="J342" s="34" t="s">
        <v>41</v>
      </c>
      <c r="K342" s="39" t="s">
        <v>42</v>
      </c>
      <c r="L342" s="120">
        <v>44573</v>
      </c>
      <c r="M342" s="56"/>
      <c r="N342" s="56"/>
      <c r="O342" s="56"/>
      <c r="P342" s="56"/>
      <c r="Q342" s="115"/>
      <c r="R342" s="115"/>
      <c r="S342" s="115" t="s">
        <v>44</v>
      </c>
      <c r="T342" s="56"/>
      <c r="U342" s="56"/>
      <c r="V342" s="56"/>
      <c r="W342" s="56"/>
      <c r="X342" s="42" t="s">
        <v>2777</v>
      </c>
      <c r="Y342" s="58" t="s">
        <v>2778</v>
      </c>
      <c r="Z342" s="211" t="s">
        <v>2779</v>
      </c>
      <c r="AA342" s="45">
        <v>44944</v>
      </c>
      <c r="AB342" s="101" t="s">
        <v>30</v>
      </c>
      <c r="AC342" s="36"/>
      <c r="AD342" s="47" t="s">
        <v>49</v>
      </c>
      <c r="AE342" s="48" t="s">
        <v>41</v>
      </c>
      <c r="AF342" s="48" t="s">
        <v>41</v>
      </c>
      <c r="AG342" s="48" t="s">
        <v>49</v>
      </c>
      <c r="AH342" s="48" t="s">
        <v>49</v>
      </c>
      <c r="AI342" s="48" t="s">
        <v>49</v>
      </c>
      <c r="AJ342" s="49" t="s">
        <v>49</v>
      </c>
      <c r="AK342" s="48" t="s">
        <v>49</v>
      </c>
      <c r="AL342" s="65" t="s">
        <v>32</v>
      </c>
      <c r="AM342" s="65"/>
      <c r="AN342" s="59"/>
      <c r="AO342" s="10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1"/>
    </row>
    <row r="343" spans="1:52" ht="19.5" customHeight="1" x14ac:dyDescent="0.2">
      <c r="A343" s="33">
        <f t="shared" si="6"/>
        <v>338</v>
      </c>
      <c r="B343" s="34" t="s">
        <v>2780</v>
      </c>
      <c r="C343" s="35" t="s">
        <v>2781</v>
      </c>
      <c r="D343" s="36" t="s">
        <v>2782</v>
      </c>
      <c r="E343" s="36" t="s">
        <v>54</v>
      </c>
      <c r="F343" s="34" t="s">
        <v>2783</v>
      </c>
      <c r="G343" s="37" t="s">
        <v>205</v>
      </c>
      <c r="H343" s="37" t="s">
        <v>205</v>
      </c>
      <c r="I343" s="38" t="s">
        <v>2784</v>
      </c>
      <c r="J343" s="34"/>
      <c r="K343" s="39" t="s">
        <v>42</v>
      </c>
      <c r="L343" s="120">
        <v>44903</v>
      </c>
      <c r="M343" s="56"/>
      <c r="N343" s="56"/>
      <c r="O343" s="56"/>
      <c r="P343" s="56"/>
      <c r="Q343" s="115"/>
      <c r="R343" s="115"/>
      <c r="S343" s="115" t="s">
        <v>44</v>
      </c>
      <c r="T343" s="56"/>
      <c r="U343" s="56"/>
      <c r="V343" s="56"/>
      <c r="W343" s="56"/>
      <c r="X343" s="42" t="s">
        <v>2785</v>
      </c>
      <c r="Y343" s="58" t="s">
        <v>2786</v>
      </c>
      <c r="Z343" s="211" t="s">
        <v>2787</v>
      </c>
      <c r="AA343" s="45">
        <v>44944</v>
      </c>
      <c r="AB343" s="101" t="s">
        <v>30</v>
      </c>
      <c r="AC343" s="36"/>
      <c r="AD343" s="47" t="s">
        <v>49</v>
      </c>
      <c r="AE343" s="48" t="s">
        <v>41</v>
      </c>
      <c r="AF343" s="48" t="s">
        <v>41</v>
      </c>
      <c r="AG343" s="48" t="s">
        <v>49</v>
      </c>
      <c r="AH343" s="48" t="s">
        <v>49</v>
      </c>
      <c r="AI343" s="48" t="s">
        <v>49</v>
      </c>
      <c r="AJ343" s="49" t="s">
        <v>49</v>
      </c>
      <c r="AK343" s="48" t="s">
        <v>49</v>
      </c>
      <c r="AL343" s="62" t="s">
        <v>32</v>
      </c>
      <c r="AM343" s="62" t="s">
        <v>4681</v>
      </c>
      <c r="AN343" s="59"/>
      <c r="AO343" s="10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1"/>
    </row>
    <row r="344" spans="1:52" ht="19.5" customHeight="1" x14ac:dyDescent="0.2">
      <c r="A344" s="33">
        <f t="shared" si="6"/>
        <v>339</v>
      </c>
      <c r="B344" s="34" t="s">
        <v>2788</v>
      </c>
      <c r="C344" s="35" t="s">
        <v>2789</v>
      </c>
      <c r="D344" s="36" t="s">
        <v>2790</v>
      </c>
      <c r="E344" s="36" t="s">
        <v>54</v>
      </c>
      <c r="F344" s="34" t="s">
        <v>2791</v>
      </c>
      <c r="G344" s="37" t="s">
        <v>73</v>
      </c>
      <c r="H344" s="37" t="s">
        <v>73</v>
      </c>
      <c r="I344" s="34" t="s">
        <v>1005</v>
      </c>
      <c r="J344" s="34"/>
      <c r="K344" s="39" t="s">
        <v>42</v>
      </c>
      <c r="L344" s="99" t="s">
        <v>2792</v>
      </c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42" t="s">
        <v>2793</v>
      </c>
      <c r="Y344" s="58" t="s">
        <v>2794</v>
      </c>
      <c r="Z344" s="44" t="s">
        <v>61</v>
      </c>
      <c r="AA344" s="45">
        <v>40876</v>
      </c>
      <c r="AB344" s="101" t="s">
        <v>30</v>
      </c>
      <c r="AC344" s="36" t="s">
        <v>26</v>
      </c>
      <c r="AD344" s="47" t="s">
        <v>49</v>
      </c>
      <c r="AE344" s="48" t="s">
        <v>49</v>
      </c>
      <c r="AF344" s="48" t="s">
        <v>49</v>
      </c>
      <c r="AG344" s="48" t="s">
        <v>49</v>
      </c>
      <c r="AH344" s="48" t="s">
        <v>49</v>
      </c>
      <c r="AI344" s="48" t="s">
        <v>49</v>
      </c>
      <c r="AJ344" s="49" t="s">
        <v>49</v>
      </c>
      <c r="AK344" s="48" t="s">
        <v>49</v>
      </c>
      <c r="AL344" s="62" t="s">
        <v>32</v>
      </c>
      <c r="AM344" s="62"/>
      <c r="AN344" s="59"/>
      <c r="AO344" s="10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1"/>
    </row>
    <row r="345" spans="1:52" ht="19.5" customHeight="1" x14ac:dyDescent="0.2">
      <c r="A345" s="33">
        <f t="shared" si="6"/>
        <v>340</v>
      </c>
      <c r="B345" s="34" t="s">
        <v>2795</v>
      </c>
      <c r="C345" s="35" t="s">
        <v>2796</v>
      </c>
      <c r="D345" s="36" t="s">
        <v>2797</v>
      </c>
      <c r="E345" s="36" t="s">
        <v>54</v>
      </c>
      <c r="F345" s="34" t="s">
        <v>2798</v>
      </c>
      <c r="G345" s="37" t="s">
        <v>73</v>
      </c>
      <c r="H345" s="37" t="s">
        <v>73</v>
      </c>
      <c r="I345" s="38" t="s">
        <v>2799</v>
      </c>
      <c r="J345" s="38" t="s">
        <v>2800</v>
      </c>
      <c r="K345" s="39" t="s">
        <v>42</v>
      </c>
      <c r="L345" s="99" t="s">
        <v>2493</v>
      </c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42" t="s">
        <v>2801</v>
      </c>
      <c r="Y345" s="58" t="s">
        <v>2802</v>
      </c>
      <c r="Z345" s="207" t="s">
        <v>2803</v>
      </c>
      <c r="AA345" s="45">
        <v>44944</v>
      </c>
      <c r="AB345" s="101" t="s">
        <v>30</v>
      </c>
      <c r="AC345" s="36" t="s">
        <v>26</v>
      </c>
      <c r="AD345" s="47" t="s">
        <v>49</v>
      </c>
      <c r="AE345" s="48" t="s">
        <v>49</v>
      </c>
      <c r="AF345" s="48" t="s">
        <v>49</v>
      </c>
      <c r="AG345" s="48" t="s">
        <v>49</v>
      </c>
      <c r="AH345" s="48" t="s">
        <v>49</v>
      </c>
      <c r="AI345" s="48" t="s">
        <v>49</v>
      </c>
      <c r="AJ345" s="49" t="s">
        <v>49</v>
      </c>
      <c r="AK345" s="48" t="s">
        <v>49</v>
      </c>
      <c r="AL345" s="62" t="s">
        <v>32</v>
      </c>
      <c r="AM345" s="62"/>
      <c r="AN345" s="59"/>
      <c r="AO345" s="10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1"/>
    </row>
    <row r="346" spans="1:52" x14ac:dyDescent="0.2">
      <c r="A346" s="33">
        <f t="shared" si="6"/>
        <v>341</v>
      </c>
      <c r="B346" s="34" t="s">
        <v>2804</v>
      </c>
      <c r="C346" s="35" t="s">
        <v>2805</v>
      </c>
      <c r="D346" s="36" t="s">
        <v>2806</v>
      </c>
      <c r="E346" s="36" t="s">
        <v>54</v>
      </c>
      <c r="F346" s="34" t="s">
        <v>2807</v>
      </c>
      <c r="G346" s="37" t="s">
        <v>323</v>
      </c>
      <c r="H346" s="37" t="s">
        <v>39</v>
      </c>
      <c r="I346" s="38" t="s">
        <v>2808</v>
      </c>
      <c r="J346" s="34" t="s">
        <v>41</v>
      </c>
      <c r="K346" s="39" t="s">
        <v>42</v>
      </c>
      <c r="L346" s="99" t="s">
        <v>1776</v>
      </c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42" t="s">
        <v>2809</v>
      </c>
      <c r="Y346" s="58" t="s">
        <v>2810</v>
      </c>
      <c r="Z346" s="44" t="s">
        <v>61</v>
      </c>
      <c r="AA346" s="45">
        <v>40876</v>
      </c>
      <c r="AB346" s="101" t="s">
        <v>30</v>
      </c>
      <c r="AC346" s="36" t="s">
        <v>26</v>
      </c>
      <c r="AD346" s="47" t="s">
        <v>49</v>
      </c>
      <c r="AE346" s="48" t="s">
        <v>49</v>
      </c>
      <c r="AF346" s="48" t="s">
        <v>49</v>
      </c>
      <c r="AG346" s="48" t="s">
        <v>49</v>
      </c>
      <c r="AH346" s="48" t="s">
        <v>49</v>
      </c>
      <c r="AI346" s="48" t="s">
        <v>49</v>
      </c>
      <c r="AJ346" s="49" t="s">
        <v>49</v>
      </c>
      <c r="AK346" s="48" t="s">
        <v>49</v>
      </c>
      <c r="AL346" s="62" t="s">
        <v>32</v>
      </c>
      <c r="AM346" s="62"/>
      <c r="AN346" s="59"/>
      <c r="AO346" s="10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1"/>
    </row>
    <row r="347" spans="1:52" x14ac:dyDescent="0.2">
      <c r="A347" s="33">
        <f t="shared" si="6"/>
        <v>342</v>
      </c>
      <c r="B347" s="107" t="s">
        <v>2811</v>
      </c>
      <c r="C347" s="35" t="s">
        <v>2812</v>
      </c>
      <c r="D347" s="36" t="s">
        <v>2813</v>
      </c>
      <c r="E347" s="36" t="s">
        <v>54</v>
      </c>
      <c r="F347" s="87" t="s">
        <v>2814</v>
      </c>
      <c r="G347" s="37" t="s">
        <v>73</v>
      </c>
      <c r="H347" s="37" t="s">
        <v>73</v>
      </c>
      <c r="I347" s="34" t="s">
        <v>2815</v>
      </c>
      <c r="J347" s="34" t="s">
        <v>2816</v>
      </c>
      <c r="K347" s="39" t="s">
        <v>42</v>
      </c>
      <c r="L347" s="99" t="s">
        <v>2817</v>
      </c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42" t="s">
        <v>2818</v>
      </c>
      <c r="Y347" s="58" t="s">
        <v>2819</v>
      </c>
      <c r="Z347" s="44" t="s">
        <v>61</v>
      </c>
      <c r="AA347" s="45">
        <v>40280</v>
      </c>
      <c r="AB347" s="101" t="s">
        <v>30</v>
      </c>
      <c r="AC347" s="36" t="s">
        <v>26</v>
      </c>
      <c r="AD347" s="47" t="s">
        <v>49</v>
      </c>
      <c r="AE347" s="48" t="s">
        <v>49</v>
      </c>
      <c r="AF347" s="48" t="s">
        <v>49</v>
      </c>
      <c r="AG347" s="48" t="s">
        <v>49</v>
      </c>
      <c r="AH347" s="48" t="s">
        <v>49</v>
      </c>
      <c r="AI347" s="48" t="s">
        <v>49</v>
      </c>
      <c r="AJ347" s="49" t="s">
        <v>49</v>
      </c>
      <c r="AK347" s="48" t="s">
        <v>49</v>
      </c>
      <c r="AL347" s="62" t="s">
        <v>32</v>
      </c>
      <c r="AM347" s="62"/>
      <c r="AN347" s="59"/>
      <c r="AO347" s="10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1"/>
    </row>
    <row r="348" spans="1:52" x14ac:dyDescent="0.2">
      <c r="A348" s="33">
        <f t="shared" si="6"/>
        <v>343</v>
      </c>
      <c r="B348" s="34" t="s">
        <v>2820</v>
      </c>
      <c r="C348" s="35" t="s">
        <v>2821</v>
      </c>
      <c r="D348" s="36" t="s">
        <v>2822</v>
      </c>
      <c r="E348" s="36" t="s">
        <v>54</v>
      </c>
      <c r="F348" s="34" t="s">
        <v>2823</v>
      </c>
      <c r="G348" s="37" t="s">
        <v>73</v>
      </c>
      <c r="H348" s="37" t="s">
        <v>73</v>
      </c>
      <c r="I348" s="34" t="s">
        <v>2824</v>
      </c>
      <c r="J348" s="34" t="s">
        <v>2824</v>
      </c>
      <c r="K348" s="39" t="s">
        <v>42</v>
      </c>
      <c r="L348" s="120">
        <v>30353</v>
      </c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2" t="s">
        <v>2825</v>
      </c>
      <c r="Y348" s="58" t="s">
        <v>2826</v>
      </c>
      <c r="Z348" s="44" t="s">
        <v>61</v>
      </c>
      <c r="AA348" s="45">
        <v>40280</v>
      </c>
      <c r="AB348" s="101" t="s">
        <v>30</v>
      </c>
      <c r="AC348" s="36" t="s">
        <v>26</v>
      </c>
      <c r="AD348" s="61" t="s">
        <v>49</v>
      </c>
      <c r="AE348" s="48" t="s">
        <v>49</v>
      </c>
      <c r="AF348" s="48" t="s">
        <v>41</v>
      </c>
      <c r="AG348" s="48" t="s">
        <v>41</v>
      </c>
      <c r="AH348" s="48" t="s">
        <v>41</v>
      </c>
      <c r="AI348" s="48" t="s">
        <v>41</v>
      </c>
      <c r="AJ348" s="49" t="s">
        <v>41</v>
      </c>
      <c r="AK348" s="48" t="s">
        <v>41</v>
      </c>
      <c r="AL348" s="62" t="s">
        <v>4587</v>
      </c>
      <c r="AM348" s="62"/>
      <c r="AN348" s="59"/>
      <c r="AO348" s="117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1"/>
    </row>
    <row r="349" spans="1:52" x14ac:dyDescent="0.2">
      <c r="A349" s="33">
        <f t="shared" si="6"/>
        <v>344</v>
      </c>
      <c r="B349" s="34" t="s">
        <v>2827</v>
      </c>
      <c r="C349" s="35" t="s">
        <v>2828</v>
      </c>
      <c r="D349" s="36" t="s">
        <v>2829</v>
      </c>
      <c r="E349" s="36" t="s">
        <v>36</v>
      </c>
      <c r="F349" s="34" t="s">
        <v>2830</v>
      </c>
      <c r="G349" s="37" t="s">
        <v>377</v>
      </c>
      <c r="H349" s="37" t="s">
        <v>378</v>
      </c>
      <c r="I349" s="34">
        <v>89508121544</v>
      </c>
      <c r="J349" s="34" t="s">
        <v>41</v>
      </c>
      <c r="K349" s="39" t="s">
        <v>42</v>
      </c>
      <c r="L349" s="120">
        <v>44776</v>
      </c>
      <c r="M349" s="41"/>
      <c r="N349" s="41"/>
      <c r="O349" s="41"/>
      <c r="P349" s="41"/>
      <c r="Q349" s="41"/>
      <c r="R349" s="41"/>
      <c r="S349" s="41" t="s">
        <v>44</v>
      </c>
      <c r="T349" s="41"/>
      <c r="U349" s="41"/>
      <c r="V349" s="41"/>
      <c r="W349" s="41"/>
      <c r="X349" s="42" t="s">
        <v>2831</v>
      </c>
      <c r="Y349" s="58" t="s">
        <v>2832</v>
      </c>
      <c r="Z349" s="84" t="s">
        <v>2833</v>
      </c>
      <c r="AA349" s="45">
        <v>44650</v>
      </c>
      <c r="AB349" s="101" t="s">
        <v>30</v>
      </c>
      <c r="AC349" s="36"/>
      <c r="AD349" s="61" t="s">
        <v>49</v>
      </c>
      <c r="AE349" s="48" t="s">
        <v>41</v>
      </c>
      <c r="AF349" s="48" t="s">
        <v>41</v>
      </c>
      <c r="AG349" s="48" t="s">
        <v>49</v>
      </c>
      <c r="AH349" s="48" t="s">
        <v>41</v>
      </c>
      <c r="AI349" s="48" t="s">
        <v>41</v>
      </c>
      <c r="AJ349" s="49" t="s">
        <v>41</v>
      </c>
      <c r="AK349" s="48" t="s">
        <v>41</v>
      </c>
      <c r="AL349" s="62" t="s">
        <v>139</v>
      </c>
      <c r="AM349" s="62"/>
      <c r="AN349" s="59"/>
      <c r="AO349" s="10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1"/>
    </row>
    <row r="350" spans="1:52" x14ac:dyDescent="0.2">
      <c r="A350" s="33">
        <f t="shared" si="6"/>
        <v>345</v>
      </c>
      <c r="B350" s="34" t="s">
        <v>2834</v>
      </c>
      <c r="C350" s="35" t="s">
        <v>2835</v>
      </c>
      <c r="D350" s="36" t="s">
        <v>2836</v>
      </c>
      <c r="E350" s="36" t="s">
        <v>54</v>
      </c>
      <c r="F350" s="34" t="s">
        <v>2837</v>
      </c>
      <c r="G350" s="37" t="s">
        <v>858</v>
      </c>
      <c r="H350" s="37" t="s">
        <v>57</v>
      </c>
      <c r="I350" s="38" t="s">
        <v>2838</v>
      </c>
      <c r="J350" s="34" t="s">
        <v>41</v>
      </c>
      <c r="K350" s="39" t="s">
        <v>42</v>
      </c>
      <c r="L350" s="120" t="s">
        <v>2839</v>
      </c>
      <c r="M350" s="41"/>
      <c r="N350" s="41"/>
      <c r="O350" s="41"/>
      <c r="P350" s="41"/>
      <c r="Q350" s="41"/>
      <c r="R350" s="41" t="s">
        <v>44</v>
      </c>
      <c r="S350" s="41"/>
      <c r="T350" s="41"/>
      <c r="U350" s="41"/>
      <c r="V350" s="41"/>
      <c r="W350" s="41"/>
      <c r="X350" s="42" t="s">
        <v>2840</v>
      </c>
      <c r="Y350" s="58" t="s">
        <v>2841</v>
      </c>
      <c r="Z350" s="84" t="s">
        <v>2842</v>
      </c>
      <c r="AA350" s="45">
        <v>44650</v>
      </c>
      <c r="AB350" s="101" t="s">
        <v>30</v>
      </c>
      <c r="AC350" s="36"/>
      <c r="AD350" s="61" t="s">
        <v>49</v>
      </c>
      <c r="AE350" s="48" t="s">
        <v>41</v>
      </c>
      <c r="AF350" s="48" t="s">
        <v>41</v>
      </c>
      <c r="AG350" s="48" t="s">
        <v>49</v>
      </c>
      <c r="AH350" s="48" t="s">
        <v>49</v>
      </c>
      <c r="AI350" s="48" t="s">
        <v>49</v>
      </c>
      <c r="AJ350" s="49" t="s">
        <v>49</v>
      </c>
      <c r="AK350" s="48" t="s">
        <v>49</v>
      </c>
      <c r="AL350" s="65" t="s">
        <v>32</v>
      </c>
      <c r="AM350" s="65"/>
      <c r="AN350" s="59"/>
      <c r="AO350" s="117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1"/>
    </row>
    <row r="351" spans="1:52" x14ac:dyDescent="0.2">
      <c r="A351" s="33">
        <f t="shared" si="6"/>
        <v>346</v>
      </c>
      <c r="B351" s="34" t="s">
        <v>2843</v>
      </c>
      <c r="C351" s="35" t="s">
        <v>2844</v>
      </c>
      <c r="D351" s="36" t="s">
        <v>2845</v>
      </c>
      <c r="E351" s="36" t="s">
        <v>54</v>
      </c>
      <c r="F351" s="34" t="s">
        <v>2846</v>
      </c>
      <c r="G351" s="37" t="s">
        <v>252</v>
      </c>
      <c r="H351" s="37" t="s">
        <v>57</v>
      </c>
      <c r="I351" s="38" t="s">
        <v>2847</v>
      </c>
      <c r="J351" s="34" t="s">
        <v>41</v>
      </c>
      <c r="K351" s="39" t="s">
        <v>42</v>
      </c>
      <c r="L351" s="120">
        <v>37441</v>
      </c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2" t="s">
        <v>2848</v>
      </c>
      <c r="Y351" s="58" t="s">
        <v>2849</v>
      </c>
      <c r="Z351" s="44" t="s">
        <v>61</v>
      </c>
      <c r="AA351" s="45">
        <v>37877</v>
      </c>
      <c r="AB351" s="101" t="s">
        <v>30</v>
      </c>
      <c r="AC351" s="36" t="s">
        <v>26</v>
      </c>
      <c r="AD351" s="47" t="s">
        <v>49</v>
      </c>
      <c r="AE351" s="48" t="s">
        <v>49</v>
      </c>
      <c r="AF351" s="48" t="s">
        <v>49</v>
      </c>
      <c r="AG351" s="48" t="s">
        <v>49</v>
      </c>
      <c r="AH351" s="48" t="s">
        <v>49</v>
      </c>
      <c r="AI351" s="48" t="s">
        <v>49</v>
      </c>
      <c r="AJ351" s="49" t="s">
        <v>49</v>
      </c>
      <c r="AK351" s="48" t="s">
        <v>49</v>
      </c>
      <c r="AL351" s="62" t="s">
        <v>32</v>
      </c>
      <c r="AM351" s="62"/>
      <c r="AN351" s="59"/>
      <c r="AO351" s="117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1"/>
    </row>
    <row r="352" spans="1:52" x14ac:dyDescent="0.2">
      <c r="A352" s="33">
        <f t="shared" si="6"/>
        <v>347</v>
      </c>
      <c r="B352" s="34" t="s">
        <v>2850</v>
      </c>
      <c r="C352" s="35" t="s">
        <v>2851</v>
      </c>
      <c r="D352" s="36" t="s">
        <v>2852</v>
      </c>
      <c r="E352" s="36" t="s">
        <v>54</v>
      </c>
      <c r="F352" s="34" t="s">
        <v>2853</v>
      </c>
      <c r="G352" s="37" t="s">
        <v>176</v>
      </c>
      <c r="H352" s="37" t="s">
        <v>39</v>
      </c>
      <c r="I352" s="38" t="s">
        <v>2854</v>
      </c>
      <c r="J352" s="34" t="s">
        <v>41</v>
      </c>
      <c r="K352" s="39" t="s">
        <v>42</v>
      </c>
      <c r="L352" s="120">
        <v>45726</v>
      </c>
      <c r="M352" s="41"/>
      <c r="N352" s="41"/>
      <c r="O352" s="41"/>
      <c r="P352" s="41"/>
      <c r="Q352" s="41"/>
      <c r="R352" s="41"/>
      <c r="S352" s="41"/>
      <c r="T352" s="41"/>
      <c r="U352" s="41"/>
      <c r="V352" s="41" t="s">
        <v>44</v>
      </c>
      <c r="W352" s="41"/>
      <c r="X352" s="38" t="s">
        <v>2855</v>
      </c>
      <c r="Y352" s="58" t="s">
        <v>2856</v>
      </c>
      <c r="Z352" s="44"/>
      <c r="AA352" s="45"/>
      <c r="AB352" s="101"/>
      <c r="AC352" s="36"/>
      <c r="AD352" s="47" t="s">
        <v>49</v>
      </c>
      <c r="AE352" s="48" t="s">
        <v>41</v>
      </c>
      <c r="AF352" s="48" t="s">
        <v>41</v>
      </c>
      <c r="AG352" s="48" t="s">
        <v>41</v>
      </c>
      <c r="AH352" s="48" t="s">
        <v>41</v>
      </c>
      <c r="AI352" s="48" t="s">
        <v>41</v>
      </c>
      <c r="AJ352" s="49" t="s">
        <v>49</v>
      </c>
      <c r="AK352" s="48" t="s">
        <v>49</v>
      </c>
      <c r="AL352" s="62" t="s">
        <v>32</v>
      </c>
      <c r="AM352" s="62"/>
      <c r="AN352" s="59"/>
      <c r="AO352" s="117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1"/>
    </row>
    <row r="353" spans="1:52" x14ac:dyDescent="0.2">
      <c r="A353" s="33">
        <f t="shared" si="6"/>
        <v>348</v>
      </c>
      <c r="B353" s="34" t="s">
        <v>2857</v>
      </c>
      <c r="C353" s="35" t="s">
        <v>2858</v>
      </c>
      <c r="D353" s="36" t="s">
        <v>2859</v>
      </c>
      <c r="E353" s="36" t="s">
        <v>54</v>
      </c>
      <c r="F353" s="34" t="s">
        <v>2860</v>
      </c>
      <c r="G353" s="37" t="s">
        <v>252</v>
      </c>
      <c r="H353" s="37" t="s">
        <v>57</v>
      </c>
      <c r="I353" s="34" t="s">
        <v>2861</v>
      </c>
      <c r="J353" s="34" t="s">
        <v>41</v>
      </c>
      <c r="K353" s="39" t="s">
        <v>42</v>
      </c>
      <c r="L353" s="120" t="s">
        <v>2862</v>
      </c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42" t="s">
        <v>2863</v>
      </c>
      <c r="Y353" s="43" t="s">
        <v>2864</v>
      </c>
      <c r="Z353" s="44" t="s">
        <v>61</v>
      </c>
      <c r="AA353" s="45">
        <v>40280</v>
      </c>
      <c r="AB353" s="101" t="s">
        <v>30</v>
      </c>
      <c r="AC353" s="36" t="s">
        <v>26</v>
      </c>
      <c r="AD353" s="47" t="s">
        <v>49</v>
      </c>
      <c r="AE353" s="48" t="s">
        <v>49</v>
      </c>
      <c r="AF353" s="48" t="s">
        <v>49</v>
      </c>
      <c r="AG353" s="48" t="s">
        <v>49</v>
      </c>
      <c r="AH353" s="48" t="s">
        <v>49</v>
      </c>
      <c r="AI353" s="48" t="s">
        <v>49</v>
      </c>
      <c r="AJ353" s="49" t="s">
        <v>49</v>
      </c>
      <c r="AK353" s="48" t="s">
        <v>49</v>
      </c>
      <c r="AL353" s="62" t="s">
        <v>32</v>
      </c>
      <c r="AM353" s="62"/>
      <c r="AN353" s="59"/>
      <c r="AO353" s="10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1"/>
    </row>
    <row r="354" spans="1:52" x14ac:dyDescent="0.2">
      <c r="A354" s="33">
        <f t="shared" si="6"/>
        <v>349</v>
      </c>
      <c r="B354" s="34" t="s">
        <v>2865</v>
      </c>
      <c r="C354" s="35" t="s">
        <v>2866</v>
      </c>
      <c r="D354" s="36" t="s">
        <v>2867</v>
      </c>
      <c r="E354" s="36" t="s">
        <v>54</v>
      </c>
      <c r="F354" s="34" t="s">
        <v>2868</v>
      </c>
      <c r="G354" s="37" t="s">
        <v>73</v>
      </c>
      <c r="H354" s="37" t="s">
        <v>73</v>
      </c>
      <c r="I354" s="139" t="s">
        <v>2869</v>
      </c>
      <c r="J354" s="34" t="s">
        <v>41</v>
      </c>
      <c r="K354" s="39" t="s">
        <v>42</v>
      </c>
      <c r="L354" s="99" t="s">
        <v>273</v>
      </c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2" t="s">
        <v>2870</v>
      </c>
      <c r="Y354" s="52" t="s">
        <v>2871</v>
      </c>
      <c r="Z354" s="119" t="s">
        <v>2872</v>
      </c>
      <c r="AA354" s="45">
        <v>41793</v>
      </c>
      <c r="AB354" s="101" t="s">
        <v>129</v>
      </c>
      <c r="AC354" s="36" t="s">
        <v>26</v>
      </c>
      <c r="AD354" s="47" t="s">
        <v>120</v>
      </c>
      <c r="AE354" s="48" t="s">
        <v>49</v>
      </c>
      <c r="AF354" s="48" t="s">
        <v>49</v>
      </c>
      <c r="AG354" s="48" t="s">
        <v>49</v>
      </c>
      <c r="AH354" s="48" t="s">
        <v>49</v>
      </c>
      <c r="AI354" s="48" t="s">
        <v>49</v>
      </c>
      <c r="AJ354" s="49" t="s">
        <v>49</v>
      </c>
      <c r="AK354" s="48" t="s">
        <v>120</v>
      </c>
      <c r="AL354" s="62" t="s">
        <v>32</v>
      </c>
      <c r="AM354" s="62"/>
      <c r="AN354" s="59"/>
      <c r="AO354" s="10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1"/>
    </row>
    <row r="355" spans="1:52" x14ac:dyDescent="0.2">
      <c r="A355" s="33">
        <f t="shared" si="6"/>
        <v>350</v>
      </c>
      <c r="B355" s="34" t="s">
        <v>2873</v>
      </c>
      <c r="C355" s="35" t="s">
        <v>2874</v>
      </c>
      <c r="D355" s="36" t="s">
        <v>2875</v>
      </c>
      <c r="E355" s="36" t="s">
        <v>54</v>
      </c>
      <c r="F355" s="34" t="s">
        <v>2876</v>
      </c>
      <c r="G355" s="37" t="s">
        <v>1285</v>
      </c>
      <c r="H355" s="37" t="s">
        <v>350</v>
      </c>
      <c r="I355" s="183" t="s">
        <v>2877</v>
      </c>
      <c r="J355" s="34" t="s">
        <v>41</v>
      </c>
      <c r="K355" s="39" t="s">
        <v>42</v>
      </c>
      <c r="L355" s="120" t="s">
        <v>1236</v>
      </c>
      <c r="M355" s="56"/>
      <c r="N355" s="56"/>
      <c r="O355" s="56"/>
      <c r="P355" s="56"/>
      <c r="Q355" s="56"/>
      <c r="R355" s="56"/>
      <c r="S355" s="56" t="s">
        <v>44</v>
      </c>
      <c r="T355" s="56"/>
      <c r="U355" s="56"/>
      <c r="V355" s="56"/>
      <c r="W355" s="56"/>
      <c r="X355" s="42" t="s">
        <v>2878</v>
      </c>
      <c r="Y355" s="43" t="s">
        <v>2879</v>
      </c>
      <c r="Z355" s="121" t="s">
        <v>2880</v>
      </c>
      <c r="AA355" s="45">
        <v>44650</v>
      </c>
      <c r="AB355" s="101" t="s">
        <v>30</v>
      </c>
      <c r="AC355" s="36"/>
      <c r="AD355" s="47" t="s">
        <v>49</v>
      </c>
      <c r="AE355" s="48" t="s">
        <v>41</v>
      </c>
      <c r="AF355" s="48" t="s">
        <v>41</v>
      </c>
      <c r="AG355" s="48" t="s">
        <v>49</v>
      </c>
      <c r="AH355" s="48" t="s">
        <v>49</v>
      </c>
      <c r="AI355" s="48" t="s">
        <v>49</v>
      </c>
      <c r="AJ355" s="49" t="s">
        <v>49</v>
      </c>
      <c r="AK355" s="48" t="s">
        <v>49</v>
      </c>
      <c r="AL355" s="62" t="s">
        <v>32</v>
      </c>
      <c r="AM355" s="62"/>
      <c r="AN355" s="59"/>
      <c r="AO355" s="10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1"/>
    </row>
    <row r="356" spans="1:52" x14ac:dyDescent="0.2">
      <c r="A356" s="33">
        <f t="shared" si="6"/>
        <v>351</v>
      </c>
      <c r="B356" s="34" t="s">
        <v>2881</v>
      </c>
      <c r="C356" s="35" t="s">
        <v>2882</v>
      </c>
      <c r="D356" s="36" t="s">
        <v>2883</v>
      </c>
      <c r="E356" s="36" t="s">
        <v>54</v>
      </c>
      <c r="F356" s="34" t="s">
        <v>2884</v>
      </c>
      <c r="G356" s="37" t="s">
        <v>73</v>
      </c>
      <c r="H356" s="37" t="s">
        <v>73</v>
      </c>
      <c r="I356" s="201" t="s">
        <v>2885</v>
      </c>
      <c r="J356" s="34" t="s">
        <v>41</v>
      </c>
      <c r="K356" s="39" t="s">
        <v>42</v>
      </c>
      <c r="L356" s="120">
        <v>43962</v>
      </c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42" t="s">
        <v>2886</v>
      </c>
      <c r="Y356" s="58" t="s">
        <v>2887</v>
      </c>
      <c r="Z356" s="121" t="s">
        <v>2888</v>
      </c>
      <c r="AA356" s="45">
        <v>44650</v>
      </c>
      <c r="AB356" s="101" t="s">
        <v>30</v>
      </c>
      <c r="AC356" s="36" t="s">
        <v>26</v>
      </c>
      <c r="AD356" s="61" t="s">
        <v>49</v>
      </c>
      <c r="AE356" s="48" t="s">
        <v>49</v>
      </c>
      <c r="AF356" s="48" t="s">
        <v>49</v>
      </c>
      <c r="AG356" s="48" t="s">
        <v>49</v>
      </c>
      <c r="AH356" s="48" t="s">
        <v>49</v>
      </c>
      <c r="AI356" s="48" t="s">
        <v>49</v>
      </c>
      <c r="AJ356" s="49" t="s">
        <v>49</v>
      </c>
      <c r="AK356" s="48" t="s">
        <v>49</v>
      </c>
      <c r="AL356" s="65" t="s">
        <v>32</v>
      </c>
      <c r="AM356" s="65"/>
      <c r="AN356" s="225"/>
      <c r="AO356" s="10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1"/>
    </row>
    <row r="357" spans="1:52" x14ac:dyDescent="0.2">
      <c r="A357" s="33">
        <f t="shared" si="6"/>
        <v>352</v>
      </c>
      <c r="B357" s="34" t="s">
        <v>2889</v>
      </c>
      <c r="C357" s="35" t="s">
        <v>2890</v>
      </c>
      <c r="D357" s="36" t="s">
        <v>2891</v>
      </c>
      <c r="E357" s="36" t="s">
        <v>36</v>
      </c>
      <c r="F357" s="34" t="s">
        <v>2892</v>
      </c>
      <c r="G357" s="37" t="s">
        <v>323</v>
      </c>
      <c r="H357" s="37" t="s">
        <v>39</v>
      </c>
      <c r="I357" s="201" t="s">
        <v>2893</v>
      </c>
      <c r="J357" s="34" t="s">
        <v>41</v>
      </c>
      <c r="K357" s="39" t="s">
        <v>42</v>
      </c>
      <c r="L357" s="120">
        <v>41585</v>
      </c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42" t="s">
        <v>2894</v>
      </c>
      <c r="Y357" s="83" t="s">
        <v>2895</v>
      </c>
      <c r="Z357" s="119" t="s">
        <v>2896</v>
      </c>
      <c r="AA357" s="45">
        <v>41793</v>
      </c>
      <c r="AB357" s="101" t="s">
        <v>30</v>
      </c>
      <c r="AC357" s="36" t="s">
        <v>26</v>
      </c>
      <c r="AD357" s="47" t="s">
        <v>49</v>
      </c>
      <c r="AE357" s="48" t="s">
        <v>49</v>
      </c>
      <c r="AF357" s="48" t="s">
        <v>49</v>
      </c>
      <c r="AG357" s="48" t="s">
        <v>49</v>
      </c>
      <c r="AH357" s="48" t="s">
        <v>49</v>
      </c>
      <c r="AI357" s="48" t="s">
        <v>49</v>
      </c>
      <c r="AJ357" s="49" t="s">
        <v>49</v>
      </c>
      <c r="AK357" s="48" t="s">
        <v>49</v>
      </c>
      <c r="AL357" s="62" t="s">
        <v>32</v>
      </c>
      <c r="AM357" s="62"/>
      <c r="AN357" s="59"/>
      <c r="AO357" s="10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1"/>
    </row>
    <row r="358" spans="1:52" x14ac:dyDescent="0.2">
      <c r="A358" s="33">
        <f t="shared" si="6"/>
        <v>353</v>
      </c>
      <c r="B358" s="34" t="s">
        <v>2897</v>
      </c>
      <c r="C358" s="35" t="s">
        <v>2898</v>
      </c>
      <c r="D358" s="36" t="s">
        <v>2899</v>
      </c>
      <c r="E358" s="36" t="s">
        <v>54</v>
      </c>
      <c r="F358" s="226" t="s">
        <v>2900</v>
      </c>
      <c r="G358" s="37" t="s">
        <v>377</v>
      </c>
      <c r="H358" s="37" t="s">
        <v>378</v>
      </c>
      <c r="I358" s="34" t="s">
        <v>2901</v>
      </c>
      <c r="J358" s="34" t="s">
        <v>41</v>
      </c>
      <c r="K358" s="39" t="s">
        <v>42</v>
      </c>
      <c r="L358" s="99" t="s">
        <v>2902</v>
      </c>
      <c r="M358" s="115"/>
      <c r="N358" s="115"/>
      <c r="O358" s="115"/>
      <c r="P358" s="115"/>
      <c r="Q358" s="115"/>
      <c r="R358" s="115"/>
      <c r="S358" s="115"/>
      <c r="T358" s="56"/>
      <c r="U358" s="56"/>
      <c r="V358" s="56"/>
      <c r="W358" s="56"/>
      <c r="X358" s="42" t="s">
        <v>2903</v>
      </c>
      <c r="Y358" s="58" t="s">
        <v>2904</v>
      </c>
      <c r="Z358" s="44" t="s">
        <v>61</v>
      </c>
      <c r="AA358" s="45">
        <v>40280</v>
      </c>
      <c r="AB358" s="101" t="s">
        <v>30</v>
      </c>
      <c r="AC358" s="36" t="s">
        <v>26</v>
      </c>
      <c r="AD358" s="47" t="s">
        <v>49</v>
      </c>
      <c r="AE358" s="48" t="s">
        <v>49</v>
      </c>
      <c r="AF358" s="48" t="s">
        <v>49</v>
      </c>
      <c r="AG358" s="48" t="s">
        <v>49</v>
      </c>
      <c r="AH358" s="48" t="s">
        <v>49</v>
      </c>
      <c r="AI358" s="48" t="s">
        <v>49</v>
      </c>
      <c r="AJ358" s="49" t="s">
        <v>49</v>
      </c>
      <c r="AK358" s="48" t="s">
        <v>49</v>
      </c>
      <c r="AL358" s="65" t="s">
        <v>32</v>
      </c>
      <c r="AM358" s="65"/>
      <c r="AN358" s="59"/>
      <c r="AO358" s="117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1"/>
    </row>
    <row r="359" spans="1:52" x14ac:dyDescent="0.2">
      <c r="A359" s="33">
        <f t="shared" si="6"/>
        <v>354</v>
      </c>
      <c r="B359" s="122" t="s">
        <v>2905</v>
      </c>
      <c r="C359" s="123" t="s">
        <v>2906</v>
      </c>
      <c r="D359" s="202" t="s">
        <v>2907</v>
      </c>
      <c r="E359" s="36" t="s">
        <v>54</v>
      </c>
      <c r="F359" s="125" t="s">
        <v>2908</v>
      </c>
      <c r="G359" s="126" t="s">
        <v>4605</v>
      </c>
      <c r="H359" s="126" t="s">
        <v>205</v>
      </c>
      <c r="I359" s="127" t="s">
        <v>2909</v>
      </c>
      <c r="J359" s="122" t="s">
        <v>41</v>
      </c>
      <c r="K359" s="128" t="s">
        <v>42</v>
      </c>
      <c r="L359" s="163" t="s">
        <v>2910</v>
      </c>
      <c r="M359" s="130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42" t="s">
        <v>2911</v>
      </c>
      <c r="Y359" s="52" t="s">
        <v>2912</v>
      </c>
      <c r="Z359" s="44" t="s">
        <v>2913</v>
      </c>
      <c r="AA359" s="131">
        <v>42325</v>
      </c>
      <c r="AB359" s="164" t="s">
        <v>30</v>
      </c>
      <c r="AC359" s="36" t="s">
        <v>26</v>
      </c>
      <c r="AD359" s="133" t="s">
        <v>49</v>
      </c>
      <c r="AE359" s="48" t="s">
        <v>49</v>
      </c>
      <c r="AF359" s="48" t="s">
        <v>49</v>
      </c>
      <c r="AG359" s="48" t="s">
        <v>49</v>
      </c>
      <c r="AH359" s="48" t="s">
        <v>49</v>
      </c>
      <c r="AI359" s="48" t="s">
        <v>49</v>
      </c>
      <c r="AJ359" s="49" t="s">
        <v>49</v>
      </c>
      <c r="AK359" s="48" t="s">
        <v>49</v>
      </c>
      <c r="AL359" s="65" t="s">
        <v>32</v>
      </c>
      <c r="AM359" s="65"/>
      <c r="AN359" s="59"/>
      <c r="AO359" s="117"/>
      <c r="AP359" s="32"/>
      <c r="AQ359" s="32"/>
      <c r="AR359" s="32"/>
      <c r="AS359" s="32"/>
      <c r="AT359" s="32"/>
      <c r="AU359" s="32"/>
      <c r="AV359" s="32"/>
      <c r="AW359" s="32"/>
      <c r="AX359" s="32"/>
      <c r="AY359" s="32"/>
      <c r="AZ359" s="31"/>
    </row>
    <row r="360" spans="1:52" x14ac:dyDescent="0.2">
      <c r="A360" s="33">
        <f t="shared" si="6"/>
        <v>355</v>
      </c>
      <c r="B360" s="122" t="s">
        <v>2914</v>
      </c>
      <c r="C360" s="123" t="s">
        <v>2915</v>
      </c>
      <c r="D360" s="202" t="s">
        <v>2916</v>
      </c>
      <c r="E360" s="36" t="s">
        <v>54</v>
      </c>
      <c r="F360" s="122" t="s">
        <v>2917</v>
      </c>
      <c r="G360" s="126" t="s">
        <v>252</v>
      </c>
      <c r="H360" s="126" t="s">
        <v>57</v>
      </c>
      <c r="I360" s="122" t="s">
        <v>2918</v>
      </c>
      <c r="J360" s="122" t="s">
        <v>41</v>
      </c>
      <c r="K360" s="128" t="s">
        <v>42</v>
      </c>
      <c r="L360" s="163" t="s">
        <v>2437</v>
      </c>
      <c r="M360" s="130"/>
      <c r="N360" s="130"/>
      <c r="O360" s="130"/>
      <c r="P360" s="130"/>
      <c r="Q360" s="130"/>
      <c r="R360" s="130"/>
      <c r="S360" s="130"/>
      <c r="T360" s="130"/>
      <c r="U360" s="130" t="s">
        <v>732</v>
      </c>
      <c r="V360" s="130"/>
      <c r="W360" s="130"/>
      <c r="X360" s="42" t="s">
        <v>2919</v>
      </c>
      <c r="Y360" s="52" t="s">
        <v>2920</v>
      </c>
      <c r="Z360" s="44" t="s">
        <v>61</v>
      </c>
      <c r="AA360" s="131">
        <v>40815</v>
      </c>
      <c r="AB360" s="164" t="s">
        <v>30</v>
      </c>
      <c r="AC360" s="36" t="s">
        <v>26</v>
      </c>
      <c r="AD360" s="133" t="s">
        <v>49</v>
      </c>
      <c r="AE360" s="48" t="s">
        <v>49</v>
      </c>
      <c r="AF360" s="48" t="s">
        <v>49</v>
      </c>
      <c r="AG360" s="48" t="s">
        <v>49</v>
      </c>
      <c r="AH360" s="48" t="s">
        <v>49</v>
      </c>
      <c r="AI360" s="48" t="s">
        <v>49</v>
      </c>
      <c r="AJ360" s="49" t="s">
        <v>49</v>
      </c>
      <c r="AK360" s="48" t="s">
        <v>49</v>
      </c>
      <c r="AL360" s="62" t="s">
        <v>32</v>
      </c>
      <c r="AM360" s="232"/>
      <c r="AN360" s="134"/>
      <c r="AO360" s="102"/>
      <c r="AP360" s="32"/>
      <c r="AQ360" s="32"/>
      <c r="AR360" s="32"/>
      <c r="AS360" s="32"/>
      <c r="AT360" s="32"/>
      <c r="AU360" s="32"/>
      <c r="AV360" s="32"/>
      <c r="AW360" s="32"/>
      <c r="AX360" s="32"/>
      <c r="AY360" s="32"/>
      <c r="AZ360" s="31"/>
    </row>
    <row r="361" spans="1:52" ht="18.75" customHeight="1" x14ac:dyDescent="0.2">
      <c r="A361" s="33">
        <f t="shared" si="6"/>
        <v>356</v>
      </c>
      <c r="B361" s="122" t="s">
        <v>2921</v>
      </c>
      <c r="C361" s="123" t="s">
        <v>2922</v>
      </c>
      <c r="D361" s="202" t="s">
        <v>2923</v>
      </c>
      <c r="E361" s="36" t="s">
        <v>54</v>
      </c>
      <c r="F361" s="122" t="s">
        <v>2924</v>
      </c>
      <c r="G361" s="126" t="s">
        <v>39</v>
      </c>
      <c r="H361" s="126" t="s">
        <v>39</v>
      </c>
      <c r="I361" s="122" t="s">
        <v>2925</v>
      </c>
      <c r="J361" s="122" t="s">
        <v>41</v>
      </c>
      <c r="K361" s="128" t="s">
        <v>42</v>
      </c>
      <c r="L361" s="163" t="s">
        <v>1218</v>
      </c>
      <c r="M361" s="130"/>
      <c r="N361" s="130"/>
      <c r="O361" s="130"/>
      <c r="P361" s="130"/>
      <c r="Q361" s="130"/>
      <c r="R361" s="130" t="s">
        <v>44</v>
      </c>
      <c r="S361" s="130"/>
      <c r="T361" s="130"/>
      <c r="U361" s="130"/>
      <c r="V361" s="130"/>
      <c r="W361" s="130"/>
      <c r="X361" s="42" t="s">
        <v>2926</v>
      </c>
      <c r="Y361" s="43" t="s">
        <v>2927</v>
      </c>
      <c r="Z361" s="211" t="s">
        <v>2928</v>
      </c>
      <c r="AA361" s="45">
        <v>44944</v>
      </c>
      <c r="AB361" s="164" t="s">
        <v>30</v>
      </c>
      <c r="AC361" s="36"/>
      <c r="AD361" s="133" t="s">
        <v>49</v>
      </c>
      <c r="AE361" s="48" t="s">
        <v>41</v>
      </c>
      <c r="AF361" s="48" t="s">
        <v>49</v>
      </c>
      <c r="AG361" s="48" t="s">
        <v>49</v>
      </c>
      <c r="AH361" s="48" t="s">
        <v>49</v>
      </c>
      <c r="AI361" s="48" t="s">
        <v>49</v>
      </c>
      <c r="AJ361" s="49" t="s">
        <v>41</v>
      </c>
      <c r="AK361" s="48" t="s">
        <v>41</v>
      </c>
      <c r="AL361" s="62" t="s">
        <v>276</v>
      </c>
      <c r="AM361" s="232"/>
      <c r="AN361" s="134"/>
      <c r="AO361" s="10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1"/>
    </row>
    <row r="362" spans="1:52" x14ac:dyDescent="0.2">
      <c r="A362" s="33">
        <f t="shared" si="6"/>
        <v>357</v>
      </c>
      <c r="B362" s="34" t="s">
        <v>2929</v>
      </c>
      <c r="C362" s="35" t="s">
        <v>2930</v>
      </c>
      <c r="D362" s="36" t="s">
        <v>2931</v>
      </c>
      <c r="E362" s="36" t="s">
        <v>54</v>
      </c>
      <c r="F362" s="34" t="s">
        <v>2932</v>
      </c>
      <c r="G362" s="37" t="s">
        <v>73</v>
      </c>
      <c r="H362" s="37" t="s">
        <v>73</v>
      </c>
      <c r="I362" s="34" t="s">
        <v>2933</v>
      </c>
      <c r="J362" s="34" t="s">
        <v>2933</v>
      </c>
      <c r="K362" s="39" t="s">
        <v>42</v>
      </c>
      <c r="L362" s="120">
        <v>31054</v>
      </c>
      <c r="M362" s="41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42" t="s">
        <v>2934</v>
      </c>
      <c r="Y362" s="69" t="s">
        <v>2935</v>
      </c>
      <c r="Z362" s="44" t="s">
        <v>61</v>
      </c>
      <c r="AA362" s="45">
        <v>42325</v>
      </c>
      <c r="AB362" s="101" t="s">
        <v>30</v>
      </c>
      <c r="AC362" s="36" t="s">
        <v>26</v>
      </c>
      <c r="AD362" s="47" t="s">
        <v>49</v>
      </c>
      <c r="AE362" s="48" t="s">
        <v>49</v>
      </c>
      <c r="AF362" s="48" t="s">
        <v>49</v>
      </c>
      <c r="AG362" s="48" t="s">
        <v>49</v>
      </c>
      <c r="AH362" s="48" t="s">
        <v>49</v>
      </c>
      <c r="AI362" s="48" t="s">
        <v>49</v>
      </c>
      <c r="AJ362" s="49" t="s">
        <v>49</v>
      </c>
      <c r="AK362" s="48" t="s">
        <v>49</v>
      </c>
      <c r="AL362" s="62" t="s">
        <v>32</v>
      </c>
      <c r="AM362" s="62"/>
      <c r="AN362" s="59"/>
      <c r="AO362" s="10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1"/>
    </row>
    <row r="363" spans="1:52" x14ac:dyDescent="0.2">
      <c r="A363" s="33">
        <f t="shared" si="6"/>
        <v>358</v>
      </c>
      <c r="B363" s="34" t="s">
        <v>2936</v>
      </c>
      <c r="C363" s="35" t="s">
        <v>2937</v>
      </c>
      <c r="D363" s="36" t="s">
        <v>2938</v>
      </c>
      <c r="E363" s="36" t="s">
        <v>36</v>
      </c>
      <c r="F363" s="34" t="s">
        <v>2939</v>
      </c>
      <c r="G363" s="37" t="s">
        <v>39</v>
      </c>
      <c r="H363" s="37" t="s">
        <v>39</v>
      </c>
      <c r="I363" s="38" t="s">
        <v>2940</v>
      </c>
      <c r="J363" s="34" t="s">
        <v>41</v>
      </c>
      <c r="K363" s="39" t="s">
        <v>42</v>
      </c>
      <c r="L363" s="120" t="s">
        <v>2941</v>
      </c>
      <c r="M363" s="41"/>
      <c r="N363" s="41"/>
      <c r="O363" s="41"/>
      <c r="P363" s="41"/>
      <c r="Q363" s="112"/>
      <c r="R363" s="112" t="s">
        <v>44</v>
      </c>
      <c r="S363" s="112"/>
      <c r="T363" s="41"/>
      <c r="U363" s="41"/>
      <c r="V363" s="41"/>
      <c r="W363" s="41"/>
      <c r="X363" s="42" t="s">
        <v>2942</v>
      </c>
      <c r="Y363" s="83" t="s">
        <v>2943</v>
      </c>
      <c r="Z363" s="84" t="s">
        <v>2944</v>
      </c>
      <c r="AA363" s="45">
        <v>44650</v>
      </c>
      <c r="AB363" s="101" t="s">
        <v>30</v>
      </c>
      <c r="AC363" s="36"/>
      <c r="AD363" s="47" t="s">
        <v>49</v>
      </c>
      <c r="AE363" s="48" t="s">
        <v>41</v>
      </c>
      <c r="AF363" s="48" t="s">
        <v>49</v>
      </c>
      <c r="AG363" s="48" t="s">
        <v>49</v>
      </c>
      <c r="AH363" s="48" t="s">
        <v>49</v>
      </c>
      <c r="AI363" s="48" t="s">
        <v>49</v>
      </c>
      <c r="AJ363" s="49" t="s">
        <v>49</v>
      </c>
      <c r="AK363" s="48" t="s">
        <v>49</v>
      </c>
      <c r="AL363" s="62" t="s">
        <v>32</v>
      </c>
      <c r="AM363" s="62"/>
      <c r="AN363" s="59"/>
      <c r="AO363" s="10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1"/>
    </row>
    <row r="364" spans="1:52" x14ac:dyDescent="0.2">
      <c r="A364" s="33">
        <f t="shared" si="6"/>
        <v>359</v>
      </c>
      <c r="B364" s="34" t="s">
        <v>4665</v>
      </c>
      <c r="C364" s="35" t="s">
        <v>4695</v>
      </c>
      <c r="D364" s="36" t="s">
        <v>4661</v>
      </c>
      <c r="E364" s="36" t="s">
        <v>54</v>
      </c>
      <c r="F364" s="34" t="s">
        <v>3349</v>
      </c>
      <c r="G364" s="37" t="s">
        <v>73</v>
      </c>
      <c r="H364" s="37" t="s">
        <v>73</v>
      </c>
      <c r="I364" s="183" t="s">
        <v>4662</v>
      </c>
      <c r="J364" s="34" t="s">
        <v>41</v>
      </c>
      <c r="K364" s="39" t="s">
        <v>42</v>
      </c>
      <c r="L364" s="120">
        <v>46120</v>
      </c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 t="s">
        <v>44</v>
      </c>
      <c r="X364" s="183" t="s">
        <v>4666</v>
      </c>
      <c r="Y364" s="320" t="s">
        <v>4663</v>
      </c>
      <c r="Z364" s="144"/>
      <c r="AA364" s="45"/>
      <c r="AB364" s="101"/>
      <c r="AC364" s="36"/>
      <c r="AD364" s="47" t="s">
        <v>49</v>
      </c>
      <c r="AE364" s="48" t="s">
        <v>41</v>
      </c>
      <c r="AF364" s="48" t="s">
        <v>41</v>
      </c>
      <c r="AG364" s="48" t="s">
        <v>41</v>
      </c>
      <c r="AH364" s="48" t="s">
        <v>41</v>
      </c>
      <c r="AI364" s="48" t="s">
        <v>41</v>
      </c>
      <c r="AJ364" s="48" t="s">
        <v>41</v>
      </c>
      <c r="AK364" s="48" t="s">
        <v>49</v>
      </c>
      <c r="AL364" s="62" t="s">
        <v>32</v>
      </c>
      <c r="AM364" s="62"/>
      <c r="AN364" s="59"/>
      <c r="AO364" s="10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1"/>
    </row>
    <row r="365" spans="1:52" x14ac:dyDescent="0.2">
      <c r="A365" s="33">
        <f t="shared" si="6"/>
        <v>360</v>
      </c>
      <c r="B365" s="34" t="s">
        <v>2945</v>
      </c>
      <c r="C365" s="35" t="s">
        <v>2946</v>
      </c>
      <c r="D365" s="36" t="s">
        <v>2947</v>
      </c>
      <c r="E365" s="36" t="s">
        <v>54</v>
      </c>
      <c r="F365" s="34" t="s">
        <v>2948</v>
      </c>
      <c r="G365" s="37" t="s">
        <v>39</v>
      </c>
      <c r="H365" s="37" t="s">
        <v>39</v>
      </c>
      <c r="I365" s="107">
        <v>8562651324</v>
      </c>
      <c r="J365" s="34" t="s">
        <v>41</v>
      </c>
      <c r="K365" s="39" t="s">
        <v>42</v>
      </c>
      <c r="L365" s="99" t="s">
        <v>2742</v>
      </c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42" t="s">
        <v>2949</v>
      </c>
      <c r="Y365" s="52" t="s">
        <v>2950</v>
      </c>
      <c r="Z365" s="44" t="s">
        <v>2951</v>
      </c>
      <c r="AA365" s="45">
        <v>42935</v>
      </c>
      <c r="AB365" s="101" t="s">
        <v>30</v>
      </c>
      <c r="AC365" s="36" t="s">
        <v>26</v>
      </c>
      <c r="AD365" s="47" t="s">
        <v>49</v>
      </c>
      <c r="AE365" s="48" t="s">
        <v>49</v>
      </c>
      <c r="AF365" s="48" t="s">
        <v>49</v>
      </c>
      <c r="AG365" s="48" t="s">
        <v>49</v>
      </c>
      <c r="AH365" s="48" t="s">
        <v>49</v>
      </c>
      <c r="AI365" s="48" t="s">
        <v>49</v>
      </c>
      <c r="AJ365" s="49" t="s">
        <v>49</v>
      </c>
      <c r="AK365" s="48" t="s">
        <v>49</v>
      </c>
      <c r="AL365" s="62" t="s">
        <v>32</v>
      </c>
      <c r="AM365" s="62"/>
      <c r="AN365" s="59"/>
      <c r="AO365" s="10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1"/>
    </row>
    <row r="366" spans="1:52" x14ac:dyDescent="0.2">
      <c r="A366" s="33">
        <f t="shared" si="6"/>
        <v>361</v>
      </c>
      <c r="B366" s="34" t="s">
        <v>2952</v>
      </c>
      <c r="C366" s="35" t="s">
        <v>2953</v>
      </c>
      <c r="D366" s="36" t="s">
        <v>2954</v>
      </c>
      <c r="E366" s="36" t="s">
        <v>36</v>
      </c>
      <c r="F366" s="108" t="s">
        <v>2955</v>
      </c>
      <c r="G366" s="37" t="s">
        <v>73</v>
      </c>
      <c r="H366" s="37" t="s">
        <v>73</v>
      </c>
      <c r="I366" s="108" t="s">
        <v>2956</v>
      </c>
      <c r="J366" s="108" t="s">
        <v>41</v>
      </c>
      <c r="K366" s="39" t="s">
        <v>42</v>
      </c>
      <c r="L366" s="99" t="s">
        <v>2957</v>
      </c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42" t="s">
        <v>2958</v>
      </c>
      <c r="Y366" s="43" t="s">
        <v>2959</v>
      </c>
      <c r="Z366" s="43"/>
      <c r="AA366" s="43" t="s">
        <v>47</v>
      </c>
      <c r="AB366" s="101"/>
      <c r="AC366" s="36"/>
      <c r="AD366" s="47" t="s">
        <v>49</v>
      </c>
      <c r="AE366" s="48" t="s">
        <v>49</v>
      </c>
      <c r="AF366" s="48" t="s">
        <v>49</v>
      </c>
      <c r="AG366" s="48" t="s">
        <v>49</v>
      </c>
      <c r="AH366" s="48" t="s">
        <v>41</v>
      </c>
      <c r="AI366" s="48" t="s">
        <v>41</v>
      </c>
      <c r="AJ366" s="49" t="s">
        <v>41</v>
      </c>
      <c r="AK366" s="48" t="s">
        <v>41</v>
      </c>
      <c r="AL366" s="62" t="s">
        <v>139</v>
      </c>
      <c r="AM366" s="62"/>
      <c r="AN366" s="59"/>
      <c r="AO366" s="10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1"/>
    </row>
    <row r="367" spans="1:52" x14ac:dyDescent="0.2">
      <c r="A367" s="33">
        <f t="shared" si="6"/>
        <v>362</v>
      </c>
      <c r="B367" s="34" t="s">
        <v>2960</v>
      </c>
      <c r="C367" s="35" t="s">
        <v>2961</v>
      </c>
      <c r="D367" s="36" t="s">
        <v>2962</v>
      </c>
      <c r="E367" s="36" t="s">
        <v>36</v>
      </c>
      <c r="F367" s="34" t="s">
        <v>2963</v>
      </c>
      <c r="G367" s="37" t="s">
        <v>73</v>
      </c>
      <c r="H367" s="37" t="s">
        <v>73</v>
      </c>
      <c r="I367" s="38" t="s">
        <v>2964</v>
      </c>
      <c r="J367" s="34" t="s">
        <v>41</v>
      </c>
      <c r="K367" s="39" t="s">
        <v>42</v>
      </c>
      <c r="L367" s="120">
        <v>44812</v>
      </c>
      <c r="M367" s="56" t="s">
        <v>179</v>
      </c>
      <c r="N367" s="56" t="s">
        <v>179</v>
      </c>
      <c r="O367" s="56"/>
      <c r="P367" s="56">
        <v>2</v>
      </c>
      <c r="Q367" s="56"/>
      <c r="R367" s="56"/>
      <c r="S367" s="56" t="s">
        <v>44</v>
      </c>
      <c r="T367" s="56"/>
      <c r="U367" s="56"/>
      <c r="V367" s="56"/>
      <c r="W367" s="56"/>
      <c r="X367" s="38" t="s">
        <v>2965</v>
      </c>
      <c r="Y367" s="43" t="s">
        <v>2966</v>
      </c>
      <c r="Z367" s="44"/>
      <c r="AA367" s="45"/>
      <c r="AB367" s="101"/>
      <c r="AC367" s="36"/>
      <c r="AD367" s="47" t="s">
        <v>49</v>
      </c>
      <c r="AE367" s="48" t="s">
        <v>41</v>
      </c>
      <c r="AF367" s="48" t="s">
        <v>41</v>
      </c>
      <c r="AG367" s="48" t="s">
        <v>49</v>
      </c>
      <c r="AH367" s="48" t="s">
        <v>49</v>
      </c>
      <c r="AI367" s="48" t="s">
        <v>49</v>
      </c>
      <c r="AJ367" s="49" t="s">
        <v>49</v>
      </c>
      <c r="AK367" s="48" t="s">
        <v>41</v>
      </c>
      <c r="AL367" s="62" t="s">
        <v>148</v>
      </c>
      <c r="AM367" s="62"/>
      <c r="AN367" s="59"/>
      <c r="AO367" s="10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1"/>
    </row>
    <row r="368" spans="1:52" x14ac:dyDescent="0.2">
      <c r="A368" s="33">
        <f t="shared" si="6"/>
        <v>363</v>
      </c>
      <c r="B368" s="34" t="s">
        <v>2967</v>
      </c>
      <c r="C368" s="35" t="s">
        <v>2968</v>
      </c>
      <c r="D368" s="36" t="s">
        <v>2969</v>
      </c>
      <c r="E368" s="36" t="s">
        <v>54</v>
      </c>
      <c r="F368" s="34" t="s">
        <v>2970</v>
      </c>
      <c r="G368" s="37" t="s">
        <v>73</v>
      </c>
      <c r="H368" s="37" t="s">
        <v>73</v>
      </c>
      <c r="I368" s="38" t="s">
        <v>2971</v>
      </c>
      <c r="J368" s="34" t="s">
        <v>41</v>
      </c>
      <c r="K368" s="39" t="s">
        <v>42</v>
      </c>
      <c r="L368" s="120">
        <v>43687</v>
      </c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42" t="s">
        <v>2972</v>
      </c>
      <c r="Y368" s="58" t="s">
        <v>2973</v>
      </c>
      <c r="Z368" s="44" t="s">
        <v>2974</v>
      </c>
      <c r="AA368" s="45">
        <v>44041</v>
      </c>
      <c r="AB368" s="101" t="s">
        <v>30</v>
      </c>
      <c r="AC368" s="36"/>
      <c r="AD368" s="47" t="s">
        <v>49</v>
      </c>
      <c r="AE368" s="48" t="s">
        <v>41</v>
      </c>
      <c r="AF368" s="48" t="s">
        <v>49</v>
      </c>
      <c r="AG368" s="48" t="s">
        <v>49</v>
      </c>
      <c r="AH368" s="48" t="s">
        <v>49</v>
      </c>
      <c r="AI368" s="48" t="s">
        <v>49</v>
      </c>
      <c r="AJ368" s="49" t="s">
        <v>49</v>
      </c>
      <c r="AK368" s="48" t="s">
        <v>49</v>
      </c>
      <c r="AL368" s="65" t="s">
        <v>32</v>
      </c>
      <c r="AM368" s="65"/>
      <c r="AN368" s="59"/>
      <c r="AO368" s="10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1"/>
    </row>
    <row r="369" spans="1:52" x14ac:dyDescent="0.2">
      <c r="A369" s="33">
        <f t="shared" si="6"/>
        <v>364</v>
      </c>
      <c r="B369" s="34" t="s">
        <v>2975</v>
      </c>
      <c r="C369" s="35" t="s">
        <v>2976</v>
      </c>
      <c r="D369" s="36" t="s">
        <v>2977</v>
      </c>
      <c r="E369" s="36" t="s">
        <v>54</v>
      </c>
      <c r="F369" s="34" t="s">
        <v>2978</v>
      </c>
      <c r="G369" s="37" t="s">
        <v>39</v>
      </c>
      <c r="H369" s="37" t="s">
        <v>39</v>
      </c>
      <c r="I369" s="34" t="s">
        <v>2979</v>
      </c>
      <c r="J369" s="34" t="s">
        <v>41</v>
      </c>
      <c r="K369" s="39" t="s">
        <v>42</v>
      </c>
      <c r="L369" s="99" t="s">
        <v>273</v>
      </c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42" t="s">
        <v>2980</v>
      </c>
      <c r="Y369" s="69" t="s">
        <v>2981</v>
      </c>
      <c r="Z369" s="44" t="s">
        <v>61</v>
      </c>
      <c r="AA369" s="45">
        <v>40280</v>
      </c>
      <c r="AB369" s="101" t="s">
        <v>30</v>
      </c>
      <c r="AC369" s="36" t="s">
        <v>26</v>
      </c>
      <c r="AD369" s="47" t="s">
        <v>49</v>
      </c>
      <c r="AE369" s="48" t="s">
        <v>49</v>
      </c>
      <c r="AF369" s="48" t="s">
        <v>49</v>
      </c>
      <c r="AG369" s="48" t="s">
        <v>49</v>
      </c>
      <c r="AH369" s="48" t="s">
        <v>49</v>
      </c>
      <c r="AI369" s="48" t="s">
        <v>49</v>
      </c>
      <c r="AJ369" s="49" t="s">
        <v>49</v>
      </c>
      <c r="AK369" s="48" t="s">
        <v>49</v>
      </c>
      <c r="AL369" s="62" t="s">
        <v>32</v>
      </c>
      <c r="AM369" s="62"/>
      <c r="AN369" s="59"/>
      <c r="AO369" s="10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1"/>
    </row>
    <row r="370" spans="1:52" x14ac:dyDescent="0.2">
      <c r="A370" s="33">
        <f t="shared" si="6"/>
        <v>365</v>
      </c>
      <c r="B370" s="34" t="s">
        <v>2982</v>
      </c>
      <c r="C370" s="35" t="s">
        <v>2983</v>
      </c>
      <c r="D370" s="36" t="s">
        <v>2984</v>
      </c>
      <c r="E370" s="36" t="s">
        <v>54</v>
      </c>
      <c r="F370" s="34" t="s">
        <v>2985</v>
      </c>
      <c r="G370" s="37" t="s">
        <v>73</v>
      </c>
      <c r="H370" s="37" t="s">
        <v>73</v>
      </c>
      <c r="I370" s="38" t="s">
        <v>2986</v>
      </c>
      <c r="J370" s="34" t="s">
        <v>41</v>
      </c>
      <c r="K370" s="39" t="s">
        <v>42</v>
      </c>
      <c r="L370" s="99" t="s">
        <v>2987</v>
      </c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42" t="s">
        <v>2988</v>
      </c>
      <c r="Y370" s="69" t="s">
        <v>2989</v>
      </c>
      <c r="Z370" s="44" t="s">
        <v>2990</v>
      </c>
      <c r="AA370" s="45">
        <v>43200</v>
      </c>
      <c r="AB370" s="101" t="s">
        <v>30</v>
      </c>
      <c r="AC370" s="36" t="s">
        <v>26</v>
      </c>
      <c r="AD370" s="47" t="s">
        <v>49</v>
      </c>
      <c r="AE370" s="48" t="s">
        <v>49</v>
      </c>
      <c r="AF370" s="48" t="s">
        <v>49</v>
      </c>
      <c r="AG370" s="48" t="s">
        <v>49</v>
      </c>
      <c r="AH370" s="48" t="s">
        <v>49</v>
      </c>
      <c r="AI370" s="48" t="s">
        <v>49</v>
      </c>
      <c r="AJ370" s="49" t="s">
        <v>49</v>
      </c>
      <c r="AK370" s="48" t="s">
        <v>49</v>
      </c>
      <c r="AL370" s="62" t="s">
        <v>32</v>
      </c>
      <c r="AM370" s="62"/>
      <c r="AN370" s="59"/>
      <c r="AO370" s="10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1"/>
    </row>
    <row r="371" spans="1:52" x14ac:dyDescent="0.2">
      <c r="A371" s="33">
        <f t="shared" si="6"/>
        <v>366</v>
      </c>
      <c r="B371" s="34" t="s">
        <v>2991</v>
      </c>
      <c r="C371" s="35" t="s">
        <v>2992</v>
      </c>
      <c r="D371" s="36" t="s">
        <v>2993</v>
      </c>
      <c r="E371" s="36" t="s">
        <v>54</v>
      </c>
      <c r="F371" s="34" t="s">
        <v>2994</v>
      </c>
      <c r="G371" s="37" t="s">
        <v>252</v>
      </c>
      <c r="H371" s="37" t="s">
        <v>57</v>
      </c>
      <c r="I371" s="38" t="s">
        <v>2995</v>
      </c>
      <c r="J371" s="34" t="s">
        <v>41</v>
      </c>
      <c r="K371" s="39" t="s">
        <v>42</v>
      </c>
      <c r="L371" s="120">
        <v>45330</v>
      </c>
      <c r="M371" s="115"/>
      <c r="N371" s="115"/>
      <c r="O371" s="115"/>
      <c r="P371" s="115"/>
      <c r="Q371" s="115"/>
      <c r="R371" s="115"/>
      <c r="S371" s="115"/>
      <c r="T371" s="56"/>
      <c r="U371" s="56" t="s">
        <v>44</v>
      </c>
      <c r="V371" s="56"/>
      <c r="W371" s="56"/>
      <c r="X371" s="42" t="s">
        <v>2996</v>
      </c>
      <c r="Y371" s="58" t="s">
        <v>2997</v>
      </c>
      <c r="Z371" s="44"/>
      <c r="AA371" s="45"/>
      <c r="AB371" s="101"/>
      <c r="AC371" s="36"/>
      <c r="AD371" s="47" t="s">
        <v>49</v>
      </c>
      <c r="AE371" s="48" t="s">
        <v>41</v>
      </c>
      <c r="AF371" s="48" t="s">
        <v>41</v>
      </c>
      <c r="AG371" s="48" t="s">
        <v>41</v>
      </c>
      <c r="AH371" s="48" t="s">
        <v>41</v>
      </c>
      <c r="AI371" s="48" t="s">
        <v>49</v>
      </c>
      <c r="AJ371" s="49" t="s">
        <v>49</v>
      </c>
      <c r="AK371" s="48" t="s">
        <v>49</v>
      </c>
      <c r="AL371" s="62" t="s">
        <v>32</v>
      </c>
      <c r="AM371" s="62"/>
      <c r="AN371" s="59"/>
      <c r="AO371" s="10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1"/>
    </row>
    <row r="372" spans="1:52" ht="17.25" customHeight="1" x14ac:dyDescent="0.2">
      <c r="A372" s="33">
        <f t="shared" si="6"/>
        <v>367</v>
      </c>
      <c r="B372" s="34" t="s">
        <v>2998</v>
      </c>
      <c r="C372" s="35" t="s">
        <v>2999</v>
      </c>
      <c r="D372" s="36" t="s">
        <v>3000</v>
      </c>
      <c r="E372" s="36" t="s">
        <v>54</v>
      </c>
      <c r="F372" s="34" t="s">
        <v>3001</v>
      </c>
      <c r="G372" s="37" t="s">
        <v>398</v>
      </c>
      <c r="H372" s="37" t="s">
        <v>205</v>
      </c>
      <c r="I372" s="34" t="s">
        <v>3002</v>
      </c>
      <c r="J372" s="34" t="s">
        <v>41</v>
      </c>
      <c r="K372" s="39" t="s">
        <v>42</v>
      </c>
      <c r="L372" s="99" t="s">
        <v>3003</v>
      </c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42" t="s">
        <v>3004</v>
      </c>
      <c r="Y372" s="58" t="s">
        <v>3005</v>
      </c>
      <c r="Z372" s="44" t="s">
        <v>61</v>
      </c>
      <c r="AA372" s="45">
        <v>40278</v>
      </c>
      <c r="AB372" s="101" t="s">
        <v>30</v>
      </c>
      <c r="AC372" s="36" t="s">
        <v>26</v>
      </c>
      <c r="AD372" s="47" t="s">
        <v>49</v>
      </c>
      <c r="AE372" s="48" t="s">
        <v>49</v>
      </c>
      <c r="AF372" s="48" t="s">
        <v>49</v>
      </c>
      <c r="AG372" s="48" t="s">
        <v>49</v>
      </c>
      <c r="AH372" s="48" t="s">
        <v>49</v>
      </c>
      <c r="AI372" s="48" t="s">
        <v>49</v>
      </c>
      <c r="AJ372" s="49" t="s">
        <v>49</v>
      </c>
      <c r="AK372" s="48" t="s">
        <v>49</v>
      </c>
      <c r="AL372" s="65" t="s">
        <v>32</v>
      </c>
      <c r="AM372" s="65"/>
      <c r="AN372" s="103"/>
      <c r="AO372" s="10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1"/>
    </row>
    <row r="373" spans="1:52" ht="17.25" customHeight="1" x14ac:dyDescent="0.2">
      <c r="A373" s="33">
        <f t="shared" si="6"/>
        <v>368</v>
      </c>
      <c r="B373" s="34" t="s">
        <v>3006</v>
      </c>
      <c r="C373" s="35" t="s">
        <v>3007</v>
      </c>
      <c r="D373" s="36" t="s">
        <v>3008</v>
      </c>
      <c r="E373" s="36" t="s">
        <v>54</v>
      </c>
      <c r="F373" s="226" t="s">
        <v>3009</v>
      </c>
      <c r="G373" s="37" t="s">
        <v>73</v>
      </c>
      <c r="H373" s="37" t="s">
        <v>73</v>
      </c>
      <c r="I373" s="34" t="s">
        <v>3010</v>
      </c>
      <c r="J373" s="34" t="s">
        <v>3011</v>
      </c>
      <c r="K373" s="39" t="s">
        <v>42</v>
      </c>
      <c r="L373" s="99" t="s">
        <v>3012</v>
      </c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42" t="s">
        <v>3013</v>
      </c>
      <c r="Y373" s="58" t="s">
        <v>3014</v>
      </c>
      <c r="Z373" s="119" t="s">
        <v>61</v>
      </c>
      <c r="AA373" s="45" t="s">
        <v>3015</v>
      </c>
      <c r="AB373" s="101" t="s">
        <v>30</v>
      </c>
      <c r="AC373" s="36"/>
      <c r="AD373" s="47" t="s">
        <v>49</v>
      </c>
      <c r="AE373" s="48" t="s">
        <v>41</v>
      </c>
      <c r="AF373" s="48" t="s">
        <v>41</v>
      </c>
      <c r="AG373" s="48" t="s">
        <v>41</v>
      </c>
      <c r="AH373" s="48" t="s">
        <v>41</v>
      </c>
      <c r="AI373" s="48" t="s">
        <v>41</v>
      </c>
      <c r="AJ373" s="49" t="s">
        <v>41</v>
      </c>
      <c r="AK373" s="48" t="s">
        <v>41</v>
      </c>
      <c r="AL373" s="65" t="s">
        <v>4588</v>
      </c>
      <c r="AM373" s="65"/>
      <c r="AN373" s="59"/>
      <c r="AO373" s="10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1"/>
    </row>
    <row r="374" spans="1:52" ht="17.25" customHeight="1" x14ac:dyDescent="0.2">
      <c r="A374" s="33">
        <f t="shared" si="6"/>
        <v>369</v>
      </c>
      <c r="B374" s="34" t="s">
        <v>3016</v>
      </c>
      <c r="C374" s="35" t="s">
        <v>3017</v>
      </c>
      <c r="D374" s="36" t="s">
        <v>3018</v>
      </c>
      <c r="E374" s="36" t="s">
        <v>36</v>
      </c>
      <c r="F374" s="226" t="s">
        <v>3019</v>
      </c>
      <c r="G374" s="37" t="s">
        <v>350</v>
      </c>
      <c r="H374" s="37" t="s">
        <v>350</v>
      </c>
      <c r="I374" s="38" t="s">
        <v>3020</v>
      </c>
      <c r="J374" s="34" t="s">
        <v>41</v>
      </c>
      <c r="K374" s="39" t="s">
        <v>42</v>
      </c>
      <c r="L374" s="120">
        <v>44573</v>
      </c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42" t="s">
        <v>3021</v>
      </c>
      <c r="Y374" s="58" t="s">
        <v>3022</v>
      </c>
      <c r="Z374" s="207" t="s">
        <v>3023</v>
      </c>
      <c r="AA374" s="45">
        <v>44944</v>
      </c>
      <c r="AB374" s="101" t="s">
        <v>30</v>
      </c>
      <c r="AC374" s="36"/>
      <c r="AD374" s="47" t="s">
        <v>49</v>
      </c>
      <c r="AE374" s="48" t="s">
        <v>41</v>
      </c>
      <c r="AF374" s="48" t="s">
        <v>41</v>
      </c>
      <c r="AG374" s="48" t="s">
        <v>49</v>
      </c>
      <c r="AH374" s="48" t="s">
        <v>49</v>
      </c>
      <c r="AI374" s="48" t="s">
        <v>41</v>
      </c>
      <c r="AJ374" s="49" t="s">
        <v>41</v>
      </c>
      <c r="AK374" s="48" t="s">
        <v>41</v>
      </c>
      <c r="AL374" s="65" t="s">
        <v>4589</v>
      </c>
      <c r="AM374" s="65"/>
      <c r="AN374" s="59"/>
      <c r="AO374" s="10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1"/>
    </row>
    <row r="375" spans="1:52" ht="17.25" customHeight="1" x14ac:dyDescent="0.2">
      <c r="A375" s="33">
        <f t="shared" si="6"/>
        <v>370</v>
      </c>
      <c r="B375" s="34" t="s">
        <v>3024</v>
      </c>
      <c r="C375" s="35" t="s">
        <v>3025</v>
      </c>
      <c r="D375" s="36" t="s">
        <v>3026</v>
      </c>
      <c r="E375" s="36" t="s">
        <v>54</v>
      </c>
      <c r="F375" s="34" t="s">
        <v>3027</v>
      </c>
      <c r="G375" s="37" t="s">
        <v>252</v>
      </c>
      <c r="H375" s="37" t="s">
        <v>57</v>
      </c>
      <c r="I375" s="34" t="s">
        <v>3028</v>
      </c>
      <c r="J375" s="34" t="s">
        <v>3028</v>
      </c>
      <c r="K375" s="39" t="s">
        <v>42</v>
      </c>
      <c r="L375" s="99" t="s">
        <v>3029</v>
      </c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2" t="s">
        <v>3030</v>
      </c>
      <c r="Y375" s="58" t="s">
        <v>3031</v>
      </c>
      <c r="Z375" s="119" t="s">
        <v>61</v>
      </c>
      <c r="AA375" s="45">
        <v>40815</v>
      </c>
      <c r="AB375" s="101" t="s">
        <v>30</v>
      </c>
      <c r="AC375" s="36" t="s">
        <v>26</v>
      </c>
      <c r="AD375" s="47" t="s">
        <v>49</v>
      </c>
      <c r="AE375" s="48" t="s">
        <v>49</v>
      </c>
      <c r="AF375" s="48" t="s">
        <v>49</v>
      </c>
      <c r="AG375" s="48" t="s">
        <v>49</v>
      </c>
      <c r="AH375" s="48" t="s">
        <v>49</v>
      </c>
      <c r="AI375" s="48" t="s">
        <v>49</v>
      </c>
      <c r="AJ375" s="49" t="s">
        <v>49</v>
      </c>
      <c r="AK375" s="48" t="s">
        <v>49</v>
      </c>
      <c r="AL375" s="62" t="s">
        <v>32</v>
      </c>
      <c r="AM375" s="62"/>
      <c r="AN375" s="59"/>
      <c r="AO375" s="10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1"/>
    </row>
    <row r="376" spans="1:52" x14ac:dyDescent="0.2">
      <c r="A376" s="33">
        <f t="shared" si="6"/>
        <v>371</v>
      </c>
      <c r="B376" s="34" t="s">
        <v>3032</v>
      </c>
      <c r="C376" s="35" t="s">
        <v>3033</v>
      </c>
      <c r="D376" s="36" t="s">
        <v>3034</v>
      </c>
      <c r="E376" s="36" t="s">
        <v>54</v>
      </c>
      <c r="F376" s="34" t="s">
        <v>3035</v>
      </c>
      <c r="G376" s="37" t="s">
        <v>747</v>
      </c>
      <c r="H376" s="37" t="s">
        <v>378</v>
      </c>
      <c r="I376" s="38" t="s">
        <v>3036</v>
      </c>
      <c r="J376" s="34" t="s">
        <v>41</v>
      </c>
      <c r="K376" s="39" t="s">
        <v>42</v>
      </c>
      <c r="L376" s="120">
        <v>45798</v>
      </c>
      <c r="M376" s="41"/>
      <c r="N376" s="41"/>
      <c r="O376" s="41"/>
      <c r="P376" s="41"/>
      <c r="Q376" s="41"/>
      <c r="R376" s="41"/>
      <c r="S376" s="41"/>
      <c r="T376" s="41"/>
      <c r="U376" s="41"/>
      <c r="V376" s="41" t="s">
        <v>44</v>
      </c>
      <c r="W376" s="41"/>
      <c r="X376" s="38" t="s">
        <v>3037</v>
      </c>
      <c r="Y376" s="58" t="s">
        <v>3038</v>
      </c>
      <c r="Z376" s="224"/>
      <c r="AA376" s="45"/>
      <c r="AB376" s="101"/>
      <c r="AC376" s="36"/>
      <c r="AD376" s="47" t="s">
        <v>49</v>
      </c>
      <c r="AE376" s="48" t="s">
        <v>41</v>
      </c>
      <c r="AF376" s="48" t="s">
        <v>41</v>
      </c>
      <c r="AG376" s="48" t="s">
        <v>41</v>
      </c>
      <c r="AH376" s="48" t="s">
        <v>41</v>
      </c>
      <c r="AI376" s="48" t="s">
        <v>41</v>
      </c>
      <c r="AJ376" s="49" t="s">
        <v>49</v>
      </c>
      <c r="AK376" s="48" t="s">
        <v>49</v>
      </c>
      <c r="AL376" s="62" t="s">
        <v>32</v>
      </c>
      <c r="AM376" s="62"/>
      <c r="AN376" s="59"/>
      <c r="AO376" s="10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1"/>
    </row>
    <row r="377" spans="1:52" x14ac:dyDescent="0.2">
      <c r="A377" s="33">
        <f t="shared" si="6"/>
        <v>372</v>
      </c>
      <c r="B377" s="34" t="s">
        <v>3039</v>
      </c>
      <c r="C377" s="35" t="s">
        <v>3040</v>
      </c>
      <c r="D377" s="36" t="s">
        <v>3041</v>
      </c>
      <c r="E377" s="36" t="s">
        <v>36</v>
      </c>
      <c r="F377" s="87" t="s">
        <v>3042</v>
      </c>
      <c r="G377" s="37" t="s">
        <v>56</v>
      </c>
      <c r="H377" s="37" t="s">
        <v>57</v>
      </c>
      <c r="I377" s="183" t="s">
        <v>3043</v>
      </c>
      <c r="J377" s="34"/>
      <c r="K377" s="39" t="s">
        <v>42</v>
      </c>
      <c r="L377" s="99" t="s">
        <v>3044</v>
      </c>
      <c r="M377" s="41"/>
      <c r="N377" s="41"/>
      <c r="O377" s="41"/>
      <c r="P377" s="41"/>
      <c r="Q377" s="41"/>
      <c r="R377" s="41"/>
      <c r="S377" s="41" t="s">
        <v>44</v>
      </c>
      <c r="T377" s="41"/>
      <c r="U377" s="41"/>
      <c r="V377" s="41"/>
      <c r="W377" s="41"/>
      <c r="X377" s="42" t="s">
        <v>3045</v>
      </c>
      <c r="Y377" s="58" t="s">
        <v>3046</v>
      </c>
      <c r="Z377" s="121" t="s">
        <v>3047</v>
      </c>
      <c r="AA377" s="45">
        <v>44650</v>
      </c>
      <c r="AB377" s="101" t="s">
        <v>30</v>
      </c>
      <c r="AC377" s="36"/>
      <c r="AD377" s="47" t="s">
        <v>49</v>
      </c>
      <c r="AE377" s="48" t="s">
        <v>41</v>
      </c>
      <c r="AF377" s="48" t="s">
        <v>41</v>
      </c>
      <c r="AG377" s="48" t="s">
        <v>49</v>
      </c>
      <c r="AH377" s="48" t="s">
        <v>49</v>
      </c>
      <c r="AI377" s="48" t="s">
        <v>49</v>
      </c>
      <c r="AJ377" s="49" t="s">
        <v>49</v>
      </c>
      <c r="AK377" s="48" t="s">
        <v>49</v>
      </c>
      <c r="AL377" s="62" t="s">
        <v>32</v>
      </c>
      <c r="AM377" s="62"/>
      <c r="AN377" s="59"/>
      <c r="AO377" s="10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1"/>
    </row>
    <row r="378" spans="1:52" x14ac:dyDescent="0.2">
      <c r="A378" s="33">
        <f t="shared" si="6"/>
        <v>373</v>
      </c>
      <c r="B378" s="52" t="s">
        <v>3048</v>
      </c>
      <c r="C378" s="150" t="s">
        <v>3049</v>
      </c>
      <c r="D378" s="73" t="s">
        <v>3050</v>
      </c>
      <c r="E378" s="36" t="s">
        <v>54</v>
      </c>
      <c r="F378" s="52" t="s">
        <v>3051</v>
      </c>
      <c r="G378" s="37" t="s">
        <v>456</v>
      </c>
      <c r="H378" s="37" t="s">
        <v>187</v>
      </c>
      <c r="I378" s="52" t="s">
        <v>3052</v>
      </c>
      <c r="J378" s="34" t="s">
        <v>41</v>
      </c>
      <c r="K378" s="39" t="s">
        <v>42</v>
      </c>
      <c r="L378" s="227" t="s">
        <v>3053</v>
      </c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42" t="s">
        <v>3054</v>
      </c>
      <c r="Y378" s="58" t="s">
        <v>3055</v>
      </c>
      <c r="Z378" s="44" t="s">
        <v>3056</v>
      </c>
      <c r="AA378" s="153">
        <v>43200</v>
      </c>
      <c r="AB378" s="101" t="s">
        <v>30</v>
      </c>
      <c r="AC378" s="73" t="s">
        <v>26</v>
      </c>
      <c r="AD378" s="47" t="s">
        <v>49</v>
      </c>
      <c r="AE378" s="48" t="s">
        <v>49</v>
      </c>
      <c r="AF378" s="48" t="s">
        <v>49</v>
      </c>
      <c r="AG378" s="48" t="s">
        <v>49</v>
      </c>
      <c r="AH378" s="48" t="s">
        <v>49</v>
      </c>
      <c r="AI378" s="48" t="s">
        <v>49</v>
      </c>
      <c r="AJ378" s="49" t="s">
        <v>49</v>
      </c>
      <c r="AK378" s="48" t="s">
        <v>49</v>
      </c>
      <c r="AL378" s="62" t="s">
        <v>32</v>
      </c>
      <c r="AM378" s="62"/>
      <c r="AN378" s="59"/>
      <c r="AO378" s="10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1"/>
    </row>
    <row r="379" spans="1:52" x14ac:dyDescent="0.2">
      <c r="A379" s="33">
        <f t="shared" si="6"/>
        <v>374</v>
      </c>
      <c r="B379" s="34" t="s">
        <v>3057</v>
      </c>
      <c r="C379" s="35" t="s">
        <v>3058</v>
      </c>
      <c r="D379" s="36" t="s">
        <v>3059</v>
      </c>
      <c r="E379" s="36" t="s">
        <v>54</v>
      </c>
      <c r="F379" s="34" t="s">
        <v>3060</v>
      </c>
      <c r="G379" s="37" t="s">
        <v>252</v>
      </c>
      <c r="H379" s="37" t="s">
        <v>57</v>
      </c>
      <c r="I379" s="34" t="s">
        <v>3061</v>
      </c>
      <c r="J379" s="34" t="s">
        <v>41</v>
      </c>
      <c r="K379" s="39" t="s">
        <v>42</v>
      </c>
      <c r="L379" s="99" t="s">
        <v>2437</v>
      </c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42" t="s">
        <v>1896</v>
      </c>
      <c r="Y379" s="58" t="s">
        <v>3062</v>
      </c>
      <c r="Z379" s="44" t="s">
        <v>61</v>
      </c>
      <c r="AA379" s="45">
        <v>40815</v>
      </c>
      <c r="AB379" s="101" t="s">
        <v>30</v>
      </c>
      <c r="AC379" s="36" t="s">
        <v>26</v>
      </c>
      <c r="AD379" s="47" t="s">
        <v>49</v>
      </c>
      <c r="AE379" s="48" t="s">
        <v>49</v>
      </c>
      <c r="AF379" s="48" t="s">
        <v>49</v>
      </c>
      <c r="AG379" s="48" t="s">
        <v>49</v>
      </c>
      <c r="AH379" s="48" t="s">
        <v>49</v>
      </c>
      <c r="AI379" s="48" t="s">
        <v>49</v>
      </c>
      <c r="AJ379" s="49" t="s">
        <v>49</v>
      </c>
      <c r="AK379" s="48" t="s">
        <v>49</v>
      </c>
      <c r="AL379" s="62" t="s">
        <v>32</v>
      </c>
      <c r="AM379" s="62"/>
      <c r="AN379" s="59"/>
      <c r="AO379" s="10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1"/>
    </row>
    <row r="380" spans="1:52" x14ac:dyDescent="0.2">
      <c r="A380" s="33">
        <f t="shared" si="6"/>
        <v>375</v>
      </c>
      <c r="B380" s="34" t="s">
        <v>3063</v>
      </c>
      <c r="C380" s="35" t="s">
        <v>3064</v>
      </c>
      <c r="D380" s="36" t="s">
        <v>3065</v>
      </c>
      <c r="E380" s="36" t="s">
        <v>54</v>
      </c>
      <c r="F380" s="34" t="s">
        <v>3066</v>
      </c>
      <c r="G380" s="37" t="s">
        <v>38</v>
      </c>
      <c r="H380" s="37" t="s">
        <v>39</v>
      </c>
      <c r="I380" s="38" t="s">
        <v>3067</v>
      </c>
      <c r="J380" s="34" t="s">
        <v>41</v>
      </c>
      <c r="K380" s="39" t="s">
        <v>42</v>
      </c>
      <c r="L380" s="99" t="s">
        <v>1869</v>
      </c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42" t="s">
        <v>3068</v>
      </c>
      <c r="Y380" s="52" t="s">
        <v>3069</v>
      </c>
      <c r="Z380" s="44" t="s">
        <v>61</v>
      </c>
      <c r="AA380" s="45">
        <v>39286</v>
      </c>
      <c r="AB380" s="101" t="s">
        <v>30</v>
      </c>
      <c r="AC380" s="36" t="s">
        <v>26</v>
      </c>
      <c r="AD380" s="47" t="s">
        <v>49</v>
      </c>
      <c r="AE380" s="48" t="s">
        <v>49</v>
      </c>
      <c r="AF380" s="48" t="s">
        <v>49</v>
      </c>
      <c r="AG380" s="48" t="s">
        <v>49</v>
      </c>
      <c r="AH380" s="48" t="s">
        <v>49</v>
      </c>
      <c r="AI380" s="48" t="s">
        <v>49</v>
      </c>
      <c r="AJ380" s="49" t="s">
        <v>49</v>
      </c>
      <c r="AK380" s="48" t="s">
        <v>49</v>
      </c>
      <c r="AL380" s="62" t="s">
        <v>32</v>
      </c>
      <c r="AM380" s="62"/>
      <c r="AN380" s="59"/>
      <c r="AO380" s="10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1"/>
    </row>
    <row r="381" spans="1:52" x14ac:dyDescent="0.2">
      <c r="A381" s="33">
        <f t="shared" si="6"/>
        <v>376</v>
      </c>
      <c r="B381" s="34" t="s">
        <v>3070</v>
      </c>
      <c r="C381" s="35" t="s">
        <v>3071</v>
      </c>
      <c r="D381" s="36" t="s">
        <v>3072</v>
      </c>
      <c r="E381" s="36" t="s">
        <v>54</v>
      </c>
      <c r="F381" s="34" t="s">
        <v>3073</v>
      </c>
      <c r="G381" s="37" t="s">
        <v>4660</v>
      </c>
      <c r="H381" s="37" t="s">
        <v>39</v>
      </c>
      <c r="I381" s="34" t="s">
        <v>3074</v>
      </c>
      <c r="J381" s="34" t="s">
        <v>3075</v>
      </c>
      <c r="K381" s="39" t="s">
        <v>42</v>
      </c>
      <c r="L381" s="99" t="s">
        <v>3076</v>
      </c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42" t="s">
        <v>3077</v>
      </c>
      <c r="Y381" s="58" t="s">
        <v>3078</v>
      </c>
      <c r="Z381" s="44" t="s">
        <v>3079</v>
      </c>
      <c r="AA381" s="45">
        <v>42325</v>
      </c>
      <c r="AB381" s="101" t="s">
        <v>30</v>
      </c>
      <c r="AC381" s="36" t="s">
        <v>26</v>
      </c>
      <c r="AD381" s="47" t="s">
        <v>49</v>
      </c>
      <c r="AE381" s="48" t="s">
        <v>49</v>
      </c>
      <c r="AF381" s="48" t="s">
        <v>49</v>
      </c>
      <c r="AG381" s="48" t="s">
        <v>49</v>
      </c>
      <c r="AH381" s="48" t="s">
        <v>49</v>
      </c>
      <c r="AI381" s="48" t="s">
        <v>49</v>
      </c>
      <c r="AJ381" s="49" t="s">
        <v>49</v>
      </c>
      <c r="AK381" s="48" t="s">
        <v>49</v>
      </c>
      <c r="AL381" s="65" t="s">
        <v>32</v>
      </c>
      <c r="AM381" s="65" t="s">
        <v>4681</v>
      </c>
      <c r="AN381" s="59"/>
      <c r="AO381" s="10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1"/>
    </row>
    <row r="382" spans="1:52" x14ac:dyDescent="0.2">
      <c r="A382" s="33">
        <f t="shared" si="6"/>
        <v>377</v>
      </c>
      <c r="B382" s="34" t="s">
        <v>3080</v>
      </c>
      <c r="C382" s="35" t="s">
        <v>3081</v>
      </c>
      <c r="D382" s="36" t="s">
        <v>3082</v>
      </c>
      <c r="E382" s="36" t="s">
        <v>36</v>
      </c>
      <c r="F382" s="34" t="s">
        <v>3083</v>
      </c>
      <c r="G382" s="37" t="s">
        <v>73</v>
      </c>
      <c r="H382" s="37" t="s">
        <v>73</v>
      </c>
      <c r="I382" s="34" t="s">
        <v>3084</v>
      </c>
      <c r="J382" s="34" t="s">
        <v>3084</v>
      </c>
      <c r="K382" s="39" t="s">
        <v>42</v>
      </c>
      <c r="L382" s="99" t="s">
        <v>3085</v>
      </c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2" t="s">
        <v>3086</v>
      </c>
      <c r="Y382" s="58" t="s">
        <v>3087</v>
      </c>
      <c r="Z382" s="44" t="s">
        <v>61</v>
      </c>
      <c r="AA382" s="45">
        <v>36641</v>
      </c>
      <c r="AB382" s="101" t="s">
        <v>30</v>
      </c>
      <c r="AC382" s="36"/>
      <c r="AD382" s="47" t="s">
        <v>49</v>
      </c>
      <c r="AE382" s="48" t="s">
        <v>41</v>
      </c>
      <c r="AF382" s="48" t="s">
        <v>41</v>
      </c>
      <c r="AG382" s="48" t="s">
        <v>41</v>
      </c>
      <c r="AH382" s="48" t="s">
        <v>41</v>
      </c>
      <c r="AI382" s="48" t="s">
        <v>41</v>
      </c>
      <c r="AJ382" s="49" t="s">
        <v>41</v>
      </c>
      <c r="AK382" s="48" t="s">
        <v>41</v>
      </c>
      <c r="AL382" s="65" t="s">
        <v>4592</v>
      </c>
      <c r="AM382" s="65"/>
      <c r="AN382" s="59" t="s">
        <v>3088</v>
      </c>
      <c r="AO382" s="10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1"/>
    </row>
    <row r="383" spans="1:52" x14ac:dyDescent="0.2">
      <c r="A383" s="33">
        <f t="shared" si="6"/>
        <v>378</v>
      </c>
      <c r="B383" s="34" t="s">
        <v>3089</v>
      </c>
      <c r="C383" s="35" t="s">
        <v>3090</v>
      </c>
      <c r="D383" s="73" t="s">
        <v>3091</v>
      </c>
      <c r="E383" s="36" t="s">
        <v>54</v>
      </c>
      <c r="F383" s="98" t="s">
        <v>3092</v>
      </c>
      <c r="G383" s="37" t="s">
        <v>73</v>
      </c>
      <c r="H383" s="37" t="s">
        <v>73</v>
      </c>
      <c r="I383" s="34" t="s">
        <v>3093</v>
      </c>
      <c r="J383" s="34" t="s">
        <v>3093</v>
      </c>
      <c r="K383" s="39" t="s">
        <v>42</v>
      </c>
      <c r="L383" s="120">
        <v>30348</v>
      </c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2" t="s">
        <v>3094</v>
      </c>
      <c r="Y383" s="58" t="s">
        <v>3095</v>
      </c>
      <c r="Z383" s="44" t="s">
        <v>61</v>
      </c>
      <c r="AA383" s="45">
        <v>36641</v>
      </c>
      <c r="AB383" s="101" t="s">
        <v>30</v>
      </c>
      <c r="AC383" s="73"/>
      <c r="AD383" s="47" t="s">
        <v>49</v>
      </c>
      <c r="AE383" s="48" t="s">
        <v>41</v>
      </c>
      <c r="AF383" s="48" t="s">
        <v>41</v>
      </c>
      <c r="AG383" s="48" t="s">
        <v>41</v>
      </c>
      <c r="AH383" s="48" t="s">
        <v>41</v>
      </c>
      <c r="AI383" s="48" t="s">
        <v>41</v>
      </c>
      <c r="AJ383" s="49" t="s">
        <v>41</v>
      </c>
      <c r="AK383" s="48" t="s">
        <v>41</v>
      </c>
      <c r="AL383" s="65" t="s">
        <v>4591</v>
      </c>
      <c r="AM383" s="65"/>
      <c r="AN383" s="59" t="s">
        <v>2211</v>
      </c>
      <c r="AO383" s="10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1"/>
    </row>
    <row r="384" spans="1:52" x14ac:dyDescent="0.2">
      <c r="A384" s="33">
        <f t="shared" si="6"/>
        <v>379</v>
      </c>
      <c r="B384" s="72" t="s">
        <v>3096</v>
      </c>
      <c r="C384" s="35" t="s">
        <v>3097</v>
      </c>
      <c r="D384" s="154" t="s">
        <v>3098</v>
      </c>
      <c r="E384" s="36" t="s">
        <v>54</v>
      </c>
      <c r="F384" s="72" t="s">
        <v>3099</v>
      </c>
      <c r="G384" s="75" t="s">
        <v>73</v>
      </c>
      <c r="H384" s="75" t="s">
        <v>73</v>
      </c>
      <c r="I384" s="72" t="s">
        <v>3100</v>
      </c>
      <c r="J384" s="72" t="s">
        <v>41</v>
      </c>
      <c r="K384" s="77" t="s">
        <v>42</v>
      </c>
      <c r="L384" s="228" t="s">
        <v>59</v>
      </c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42" t="s">
        <v>3101</v>
      </c>
      <c r="Y384" s="58" t="s">
        <v>3102</v>
      </c>
      <c r="Z384" s="44" t="s">
        <v>3103</v>
      </c>
      <c r="AA384" s="45">
        <v>41793</v>
      </c>
      <c r="AB384" s="206" t="s">
        <v>30</v>
      </c>
      <c r="AC384" s="154" t="s">
        <v>26</v>
      </c>
      <c r="AD384" s="81" t="s">
        <v>49</v>
      </c>
      <c r="AE384" s="48" t="s">
        <v>49</v>
      </c>
      <c r="AF384" s="48" t="s">
        <v>49</v>
      </c>
      <c r="AG384" s="48" t="s">
        <v>49</v>
      </c>
      <c r="AH384" s="48" t="s">
        <v>49</v>
      </c>
      <c r="AI384" s="48" t="s">
        <v>49</v>
      </c>
      <c r="AJ384" s="49" t="s">
        <v>49</v>
      </c>
      <c r="AK384" s="48" t="s">
        <v>49</v>
      </c>
      <c r="AL384" s="62" t="s">
        <v>32</v>
      </c>
      <c r="AM384" s="62"/>
      <c r="AN384" s="59"/>
      <c r="AO384" s="10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1"/>
    </row>
    <row r="385" spans="1:52" x14ac:dyDescent="0.2">
      <c r="A385" s="33">
        <f t="shared" si="6"/>
        <v>380</v>
      </c>
      <c r="B385" s="34" t="s">
        <v>3104</v>
      </c>
      <c r="C385" s="35" t="s">
        <v>3105</v>
      </c>
      <c r="D385" s="36" t="s">
        <v>3106</v>
      </c>
      <c r="E385" s="36" t="s">
        <v>54</v>
      </c>
      <c r="F385" s="34" t="s">
        <v>3107</v>
      </c>
      <c r="G385" s="37" t="s">
        <v>73</v>
      </c>
      <c r="H385" s="37" t="s">
        <v>73</v>
      </c>
      <c r="I385" s="34" t="s">
        <v>3108</v>
      </c>
      <c r="J385" s="34" t="s">
        <v>41</v>
      </c>
      <c r="K385" s="39" t="s">
        <v>42</v>
      </c>
      <c r="L385" s="99" t="s">
        <v>3109</v>
      </c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2" t="s">
        <v>3110</v>
      </c>
      <c r="Y385" s="58" t="s">
        <v>3111</v>
      </c>
      <c r="Z385" s="44" t="s">
        <v>61</v>
      </c>
      <c r="AA385" s="45">
        <v>36641</v>
      </c>
      <c r="AB385" s="101" t="s">
        <v>30</v>
      </c>
      <c r="AC385" s="36" t="s">
        <v>26</v>
      </c>
      <c r="AD385" s="47" t="s">
        <v>49</v>
      </c>
      <c r="AE385" s="48" t="s">
        <v>49</v>
      </c>
      <c r="AF385" s="48" t="s">
        <v>49</v>
      </c>
      <c r="AG385" s="48" t="s">
        <v>49</v>
      </c>
      <c r="AH385" s="48" t="s">
        <v>49</v>
      </c>
      <c r="AI385" s="48" t="s">
        <v>49</v>
      </c>
      <c r="AJ385" s="49" t="s">
        <v>49</v>
      </c>
      <c r="AK385" s="48" t="s">
        <v>49</v>
      </c>
      <c r="AL385" s="62" t="s">
        <v>32</v>
      </c>
      <c r="AM385" s="62"/>
      <c r="AN385" s="59"/>
      <c r="AO385" s="10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1"/>
    </row>
    <row r="386" spans="1:52" x14ac:dyDescent="0.2">
      <c r="A386" s="33">
        <f t="shared" si="6"/>
        <v>381</v>
      </c>
      <c r="B386" s="34" t="s">
        <v>3112</v>
      </c>
      <c r="C386" s="35" t="s">
        <v>3113</v>
      </c>
      <c r="D386" s="36" t="s">
        <v>3114</v>
      </c>
      <c r="E386" s="36" t="s">
        <v>54</v>
      </c>
      <c r="F386" s="34" t="s">
        <v>3115</v>
      </c>
      <c r="G386" s="37" t="s">
        <v>73</v>
      </c>
      <c r="H386" s="37" t="s">
        <v>73</v>
      </c>
      <c r="I386" s="34" t="s">
        <v>3116</v>
      </c>
      <c r="J386" s="34" t="s">
        <v>3117</v>
      </c>
      <c r="K386" s="39" t="s">
        <v>42</v>
      </c>
      <c r="L386" s="99" t="s">
        <v>3118</v>
      </c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2" t="s">
        <v>3119</v>
      </c>
      <c r="Y386" s="58" t="s">
        <v>3120</v>
      </c>
      <c r="Z386" s="44" t="s">
        <v>61</v>
      </c>
      <c r="AA386" s="45">
        <v>36641</v>
      </c>
      <c r="AB386" s="101" t="s">
        <v>30</v>
      </c>
      <c r="AC386" s="36" t="s">
        <v>26</v>
      </c>
      <c r="AD386" s="61" t="s">
        <v>49</v>
      </c>
      <c r="AE386" s="48" t="s">
        <v>49</v>
      </c>
      <c r="AF386" s="48" t="s">
        <v>49</v>
      </c>
      <c r="AG386" s="48" t="s">
        <v>49</v>
      </c>
      <c r="AH386" s="48" t="s">
        <v>49</v>
      </c>
      <c r="AI386" s="48" t="s">
        <v>49</v>
      </c>
      <c r="AJ386" s="49" t="s">
        <v>49</v>
      </c>
      <c r="AK386" s="48" t="s">
        <v>49</v>
      </c>
      <c r="AL386" s="62" t="s">
        <v>32</v>
      </c>
      <c r="AM386" s="62"/>
      <c r="AN386" s="59"/>
      <c r="AO386" s="10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1"/>
    </row>
    <row r="387" spans="1:52" x14ac:dyDescent="0.2">
      <c r="A387" s="33">
        <f t="shared" si="6"/>
        <v>382</v>
      </c>
      <c r="B387" s="34" t="s">
        <v>3121</v>
      </c>
      <c r="C387" s="35" t="s">
        <v>3122</v>
      </c>
      <c r="D387" s="36" t="s">
        <v>3123</v>
      </c>
      <c r="E387" s="36" t="s">
        <v>54</v>
      </c>
      <c r="F387" s="34" t="s">
        <v>3124</v>
      </c>
      <c r="G387" s="37" t="s">
        <v>39</v>
      </c>
      <c r="H387" s="37" t="s">
        <v>39</v>
      </c>
      <c r="I387" s="34" t="s">
        <v>3125</v>
      </c>
      <c r="J387" s="34" t="s">
        <v>3126</v>
      </c>
      <c r="K387" s="39" t="s">
        <v>42</v>
      </c>
      <c r="L387" s="99" t="s">
        <v>1869</v>
      </c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2" t="s">
        <v>3127</v>
      </c>
      <c r="Y387" s="58" t="s">
        <v>3128</v>
      </c>
      <c r="Z387" s="44" t="s">
        <v>3129</v>
      </c>
      <c r="AA387" s="45">
        <v>42158</v>
      </c>
      <c r="AB387" s="101" t="s">
        <v>30</v>
      </c>
      <c r="AC387" s="36" t="s">
        <v>26</v>
      </c>
      <c r="AD387" s="47" t="s">
        <v>49</v>
      </c>
      <c r="AE387" s="48" t="s">
        <v>49</v>
      </c>
      <c r="AF387" s="48" t="s">
        <v>49</v>
      </c>
      <c r="AG387" s="48" t="s">
        <v>49</v>
      </c>
      <c r="AH387" s="48" t="s">
        <v>41</v>
      </c>
      <c r="AI387" s="48" t="s">
        <v>41</v>
      </c>
      <c r="AJ387" s="49" t="s">
        <v>41</v>
      </c>
      <c r="AK387" s="48" t="s">
        <v>41</v>
      </c>
      <c r="AL387" s="62" t="s">
        <v>139</v>
      </c>
      <c r="AM387" s="62"/>
      <c r="AN387" s="59"/>
      <c r="AO387" s="10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1"/>
    </row>
    <row r="388" spans="1:52" x14ac:dyDescent="0.2">
      <c r="A388" s="33">
        <f t="shared" si="6"/>
        <v>383</v>
      </c>
      <c r="B388" s="34" t="s">
        <v>3130</v>
      </c>
      <c r="C388" s="35" t="s">
        <v>3131</v>
      </c>
      <c r="D388" s="36" t="s">
        <v>3132</v>
      </c>
      <c r="E388" s="36" t="s">
        <v>54</v>
      </c>
      <c r="F388" s="34" t="s">
        <v>3133</v>
      </c>
      <c r="G388" s="37" t="s">
        <v>323</v>
      </c>
      <c r="H388" s="37" t="s">
        <v>39</v>
      </c>
      <c r="I388" s="38" t="s">
        <v>3134</v>
      </c>
      <c r="J388" s="34" t="s">
        <v>41</v>
      </c>
      <c r="K388" s="39" t="s">
        <v>42</v>
      </c>
      <c r="L388" s="120">
        <v>42249</v>
      </c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42" t="s">
        <v>3135</v>
      </c>
      <c r="Y388" s="52" t="s">
        <v>3136</v>
      </c>
      <c r="Z388" s="44" t="s">
        <v>3137</v>
      </c>
      <c r="AA388" s="45" t="s">
        <v>1130</v>
      </c>
      <c r="AB388" s="101" t="s">
        <v>30</v>
      </c>
      <c r="AC388" s="36" t="s">
        <v>26</v>
      </c>
      <c r="AD388" s="47" t="s">
        <v>49</v>
      </c>
      <c r="AE388" s="48" t="s">
        <v>49</v>
      </c>
      <c r="AF388" s="48" t="s">
        <v>49</v>
      </c>
      <c r="AG388" s="48" t="s">
        <v>49</v>
      </c>
      <c r="AH388" s="48" t="s">
        <v>49</v>
      </c>
      <c r="AI388" s="48" t="s">
        <v>49</v>
      </c>
      <c r="AJ388" s="49" t="s">
        <v>49</v>
      </c>
      <c r="AK388" s="48" t="s">
        <v>49</v>
      </c>
      <c r="AL388" s="62" t="s">
        <v>32</v>
      </c>
      <c r="AM388" s="62"/>
      <c r="AN388" s="59"/>
      <c r="AO388" s="10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1"/>
    </row>
    <row r="389" spans="1:52" x14ac:dyDescent="0.2">
      <c r="A389" s="33">
        <f t="shared" si="6"/>
        <v>384</v>
      </c>
      <c r="B389" s="34" t="s">
        <v>3138</v>
      </c>
      <c r="C389" s="35" t="s">
        <v>3139</v>
      </c>
      <c r="D389" s="36" t="s">
        <v>3140</v>
      </c>
      <c r="E389" s="36" t="s">
        <v>54</v>
      </c>
      <c r="F389" s="34" t="s">
        <v>3141</v>
      </c>
      <c r="G389" s="37" t="s">
        <v>38</v>
      </c>
      <c r="H389" s="37" t="s">
        <v>39</v>
      </c>
      <c r="I389" s="38" t="s">
        <v>3142</v>
      </c>
      <c r="J389" s="34" t="s">
        <v>41</v>
      </c>
      <c r="K389" s="39" t="s">
        <v>42</v>
      </c>
      <c r="L389" s="99" t="s">
        <v>3143</v>
      </c>
      <c r="M389" s="56"/>
      <c r="N389" s="56"/>
      <c r="O389" s="56"/>
      <c r="P389" s="56"/>
      <c r="Q389" s="56"/>
      <c r="R389" s="56"/>
      <c r="S389" s="56"/>
      <c r="T389" s="56"/>
      <c r="U389" s="56" t="s">
        <v>732</v>
      </c>
      <c r="V389" s="56"/>
      <c r="W389" s="56"/>
      <c r="X389" s="42" t="s">
        <v>3144</v>
      </c>
      <c r="Y389" s="58" t="s">
        <v>3145</v>
      </c>
      <c r="Z389" s="44" t="s">
        <v>61</v>
      </c>
      <c r="AA389" s="45">
        <v>36641</v>
      </c>
      <c r="AB389" s="101" t="s">
        <v>30</v>
      </c>
      <c r="AC389" s="36" t="s">
        <v>26</v>
      </c>
      <c r="AD389" s="47" t="s">
        <v>49</v>
      </c>
      <c r="AE389" s="48" t="s">
        <v>49</v>
      </c>
      <c r="AF389" s="48" t="s">
        <v>49</v>
      </c>
      <c r="AG389" s="48" t="s">
        <v>49</v>
      </c>
      <c r="AH389" s="48" t="s">
        <v>49</v>
      </c>
      <c r="AI389" s="48" t="s">
        <v>49</v>
      </c>
      <c r="AJ389" s="49" t="s">
        <v>49</v>
      </c>
      <c r="AK389" s="48" t="s">
        <v>49</v>
      </c>
      <c r="AL389" s="62" t="s">
        <v>32</v>
      </c>
      <c r="AM389" s="62"/>
      <c r="AN389" s="59"/>
      <c r="AO389" s="102"/>
      <c r="AP389" s="3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1"/>
    </row>
    <row r="390" spans="1:52" x14ac:dyDescent="0.2">
      <c r="A390" s="33">
        <f t="shared" si="6"/>
        <v>385</v>
      </c>
      <c r="B390" s="34" t="s">
        <v>3146</v>
      </c>
      <c r="C390" s="35" t="s">
        <v>3147</v>
      </c>
      <c r="D390" s="36" t="s">
        <v>3148</v>
      </c>
      <c r="E390" s="36" t="s">
        <v>36</v>
      </c>
      <c r="F390" s="34" t="s">
        <v>3149</v>
      </c>
      <c r="G390" s="37" t="s">
        <v>205</v>
      </c>
      <c r="H390" s="37" t="s">
        <v>205</v>
      </c>
      <c r="I390" s="38" t="s">
        <v>3150</v>
      </c>
      <c r="J390" s="107" t="s">
        <v>41</v>
      </c>
      <c r="K390" s="39" t="s">
        <v>42</v>
      </c>
      <c r="L390" s="120">
        <v>45805</v>
      </c>
      <c r="M390" s="56" t="s">
        <v>179</v>
      </c>
      <c r="N390" s="56"/>
      <c r="O390" s="56"/>
      <c r="P390" s="56"/>
      <c r="Q390" s="56" t="s">
        <v>179</v>
      </c>
      <c r="R390" s="56"/>
      <c r="S390" s="56"/>
      <c r="T390" s="56"/>
      <c r="U390" s="56"/>
      <c r="V390" s="56" t="s">
        <v>44</v>
      </c>
      <c r="W390" s="56"/>
      <c r="X390" s="38" t="s">
        <v>3151</v>
      </c>
      <c r="Y390" s="58" t="s">
        <v>3152</v>
      </c>
      <c r="Z390" s="44"/>
      <c r="AA390" s="45"/>
      <c r="AB390" s="101"/>
      <c r="AC390" s="36"/>
      <c r="AD390" s="47" t="s">
        <v>49</v>
      </c>
      <c r="AE390" s="48" t="s">
        <v>41</v>
      </c>
      <c r="AF390" s="48" t="s">
        <v>41</v>
      </c>
      <c r="AG390" s="48" t="s">
        <v>41</v>
      </c>
      <c r="AH390" s="48" t="s">
        <v>41</v>
      </c>
      <c r="AI390" s="48" t="s">
        <v>41</v>
      </c>
      <c r="AJ390" s="49" t="s">
        <v>49</v>
      </c>
      <c r="AK390" s="48" t="s">
        <v>41</v>
      </c>
      <c r="AL390" s="62" t="s">
        <v>148</v>
      </c>
      <c r="AM390" s="62"/>
      <c r="AN390" s="59"/>
      <c r="AO390" s="102"/>
      <c r="AP390" s="3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1"/>
    </row>
    <row r="391" spans="1:52" x14ac:dyDescent="0.2">
      <c r="A391" s="33">
        <f t="shared" si="6"/>
        <v>386</v>
      </c>
      <c r="B391" s="34" t="s">
        <v>3153</v>
      </c>
      <c r="C391" s="35" t="s">
        <v>3154</v>
      </c>
      <c r="D391" s="73" t="s">
        <v>3155</v>
      </c>
      <c r="E391" s="36" t="s">
        <v>36</v>
      </c>
      <c r="F391" s="98" t="s">
        <v>3156</v>
      </c>
      <c r="G391" s="37" t="s">
        <v>1417</v>
      </c>
      <c r="H391" s="37" t="s">
        <v>187</v>
      </c>
      <c r="I391" s="34" t="s">
        <v>3157</v>
      </c>
      <c r="J391" s="107"/>
      <c r="K391" s="39" t="s">
        <v>42</v>
      </c>
      <c r="L391" s="99" t="s">
        <v>3158</v>
      </c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229" t="s">
        <v>3159</v>
      </c>
      <c r="Y391" s="58" t="s">
        <v>3160</v>
      </c>
      <c r="Z391" s="44" t="s">
        <v>3161</v>
      </c>
      <c r="AA391" s="45">
        <v>41793</v>
      </c>
      <c r="AB391" s="101" t="s">
        <v>30</v>
      </c>
      <c r="AC391" s="73" t="s">
        <v>26</v>
      </c>
      <c r="AD391" s="47" t="s">
        <v>49</v>
      </c>
      <c r="AE391" s="48" t="s">
        <v>49</v>
      </c>
      <c r="AF391" s="48" t="s">
        <v>41</v>
      </c>
      <c r="AG391" s="48" t="s">
        <v>41</v>
      </c>
      <c r="AH391" s="48" t="s">
        <v>41</v>
      </c>
      <c r="AI391" s="48" t="s">
        <v>41</v>
      </c>
      <c r="AJ391" s="49" t="s">
        <v>41</v>
      </c>
      <c r="AK391" s="48" t="s">
        <v>41</v>
      </c>
      <c r="AL391" s="62" t="s">
        <v>4587</v>
      </c>
      <c r="AM391" s="62"/>
      <c r="AN391" s="59"/>
      <c r="AO391" s="117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1"/>
    </row>
    <row r="392" spans="1:52" x14ac:dyDescent="0.2">
      <c r="A392" s="33">
        <f t="shared" si="6"/>
        <v>387</v>
      </c>
      <c r="B392" s="34" t="s">
        <v>3162</v>
      </c>
      <c r="C392" s="35" t="s">
        <v>3163</v>
      </c>
      <c r="D392" s="73" t="s">
        <v>3164</v>
      </c>
      <c r="E392" s="36" t="s">
        <v>54</v>
      </c>
      <c r="F392" s="98" t="s">
        <v>3165</v>
      </c>
      <c r="G392" s="37" t="s">
        <v>73</v>
      </c>
      <c r="H392" s="37" t="s">
        <v>73</v>
      </c>
      <c r="I392" s="38" t="s">
        <v>3166</v>
      </c>
      <c r="J392" s="34"/>
      <c r="K392" s="39" t="s">
        <v>42</v>
      </c>
      <c r="L392" s="120">
        <v>45587</v>
      </c>
      <c r="M392" s="56"/>
      <c r="N392" s="56"/>
      <c r="O392" s="56"/>
      <c r="P392" s="56"/>
      <c r="Q392" s="56"/>
      <c r="R392" s="56"/>
      <c r="S392" s="56"/>
      <c r="T392" s="56"/>
      <c r="U392" s="56" t="s">
        <v>44</v>
      </c>
      <c r="V392" s="56"/>
      <c r="W392" s="56"/>
      <c r="X392" s="38" t="s">
        <v>3167</v>
      </c>
      <c r="Y392" s="58" t="s">
        <v>3168</v>
      </c>
      <c r="Z392" s="44"/>
      <c r="AA392" s="45"/>
      <c r="AB392" s="101"/>
      <c r="AC392" s="73"/>
      <c r="AD392" s="64" t="s">
        <v>120</v>
      </c>
      <c r="AE392" s="48" t="s">
        <v>41</v>
      </c>
      <c r="AF392" s="48" t="s">
        <v>41</v>
      </c>
      <c r="AG392" s="48" t="s">
        <v>41</v>
      </c>
      <c r="AH392" s="48" t="s">
        <v>41</v>
      </c>
      <c r="AI392" s="48" t="s">
        <v>41</v>
      </c>
      <c r="AJ392" s="49" t="s">
        <v>120</v>
      </c>
      <c r="AK392" s="48" t="s">
        <v>49</v>
      </c>
      <c r="AL392" s="62" t="s">
        <v>32</v>
      </c>
      <c r="AM392" s="62"/>
      <c r="AN392" s="59"/>
      <c r="AO392" s="117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1"/>
    </row>
    <row r="393" spans="1:52" x14ac:dyDescent="0.2">
      <c r="A393" s="33">
        <f t="shared" si="6"/>
        <v>388</v>
      </c>
      <c r="B393" s="34" t="s">
        <v>3169</v>
      </c>
      <c r="C393" s="35" t="s">
        <v>3170</v>
      </c>
      <c r="D393" s="36" t="s">
        <v>3171</v>
      </c>
      <c r="E393" s="36" t="s">
        <v>54</v>
      </c>
      <c r="F393" s="34" t="s">
        <v>3172</v>
      </c>
      <c r="G393" s="37" t="s">
        <v>323</v>
      </c>
      <c r="H393" s="37" t="s">
        <v>39</v>
      </c>
      <c r="I393" s="38" t="s">
        <v>3173</v>
      </c>
      <c r="J393" s="34" t="s">
        <v>41</v>
      </c>
      <c r="K393" s="39" t="s">
        <v>42</v>
      </c>
      <c r="L393" s="99" t="s">
        <v>3174</v>
      </c>
      <c r="M393" s="56"/>
      <c r="N393" s="56"/>
      <c r="O393" s="56"/>
      <c r="P393" s="56"/>
      <c r="Q393" s="56"/>
      <c r="R393" s="56"/>
      <c r="S393" s="56"/>
      <c r="T393" s="56" t="s">
        <v>44</v>
      </c>
      <c r="U393" s="56"/>
      <c r="V393" s="56"/>
      <c r="W393" s="56"/>
      <c r="X393" s="42" t="s">
        <v>3175</v>
      </c>
      <c r="Y393" s="83" t="s">
        <v>3176</v>
      </c>
      <c r="Z393" s="44"/>
      <c r="AA393" s="45">
        <v>45642</v>
      </c>
      <c r="AB393" s="101"/>
      <c r="AC393" s="36"/>
      <c r="AD393" s="47" t="s">
        <v>49</v>
      </c>
      <c r="AE393" s="48" t="s">
        <v>41</v>
      </c>
      <c r="AF393" s="48" t="s">
        <v>41</v>
      </c>
      <c r="AG393" s="48" t="s">
        <v>41</v>
      </c>
      <c r="AH393" s="48" t="s">
        <v>49</v>
      </c>
      <c r="AI393" s="48" t="s">
        <v>49</v>
      </c>
      <c r="AJ393" s="49" t="s">
        <v>49</v>
      </c>
      <c r="AK393" s="48" t="s">
        <v>49</v>
      </c>
      <c r="AL393" s="62" t="s">
        <v>32</v>
      </c>
      <c r="AM393" s="62"/>
      <c r="AN393" s="59"/>
      <c r="AO393" s="117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1"/>
    </row>
    <row r="394" spans="1:52" x14ac:dyDescent="0.2">
      <c r="A394" s="33">
        <f t="shared" si="6"/>
        <v>389</v>
      </c>
      <c r="B394" s="34" t="s">
        <v>3177</v>
      </c>
      <c r="C394" s="35" t="s">
        <v>3178</v>
      </c>
      <c r="D394" s="36" t="s">
        <v>3179</v>
      </c>
      <c r="E394" s="36" t="s">
        <v>54</v>
      </c>
      <c r="F394" s="87" t="s">
        <v>3180</v>
      </c>
      <c r="G394" s="37" t="s">
        <v>73</v>
      </c>
      <c r="H394" s="37" t="s">
        <v>73</v>
      </c>
      <c r="I394" s="38" t="s">
        <v>3181</v>
      </c>
      <c r="J394" s="113" t="s">
        <v>3182</v>
      </c>
      <c r="K394" s="39" t="s">
        <v>42</v>
      </c>
      <c r="L394" s="120">
        <v>34344</v>
      </c>
      <c r="M394" s="56"/>
      <c r="N394" s="56"/>
      <c r="O394" s="56"/>
      <c r="P394" s="56"/>
      <c r="Q394" s="56"/>
      <c r="R394" s="56"/>
      <c r="S394" s="56"/>
      <c r="T394" s="56" t="s">
        <v>732</v>
      </c>
      <c r="U394" s="56"/>
      <c r="V394" s="56"/>
      <c r="W394" s="56"/>
      <c r="X394" s="42" t="s">
        <v>3183</v>
      </c>
      <c r="Y394" s="100" t="s">
        <v>3184</v>
      </c>
      <c r="Z394" s="44"/>
      <c r="AA394" s="45" t="s">
        <v>47</v>
      </c>
      <c r="AB394" s="101"/>
      <c r="AC394" s="36" t="s">
        <v>26</v>
      </c>
      <c r="AD394" s="47" t="s">
        <v>49</v>
      </c>
      <c r="AE394" s="48" t="s">
        <v>49</v>
      </c>
      <c r="AF394" s="48" t="s">
        <v>49</v>
      </c>
      <c r="AG394" s="48" t="s">
        <v>49</v>
      </c>
      <c r="AH394" s="48" t="s">
        <v>49</v>
      </c>
      <c r="AI394" s="48" t="s">
        <v>49</v>
      </c>
      <c r="AJ394" s="49" t="s">
        <v>49</v>
      </c>
      <c r="AK394" s="48" t="s">
        <v>49</v>
      </c>
      <c r="AL394" s="62" t="s">
        <v>32</v>
      </c>
      <c r="AM394" s="62"/>
      <c r="AN394" s="59"/>
      <c r="AO394" s="102"/>
      <c r="AP394" s="32"/>
      <c r="AQ394" s="32"/>
      <c r="AR394" s="32"/>
      <c r="AS394" s="32"/>
      <c r="AT394" s="32"/>
      <c r="AU394" s="32"/>
      <c r="AV394" s="32"/>
      <c r="AW394" s="32"/>
      <c r="AX394" s="32"/>
      <c r="AY394" s="32"/>
      <c r="AZ394" s="31"/>
    </row>
    <row r="395" spans="1:52" x14ac:dyDescent="0.2">
      <c r="A395" s="33">
        <f t="shared" si="6"/>
        <v>390</v>
      </c>
      <c r="B395" s="34" t="s">
        <v>3185</v>
      </c>
      <c r="C395" s="35" t="s">
        <v>3186</v>
      </c>
      <c r="D395" s="36" t="s">
        <v>3187</v>
      </c>
      <c r="E395" s="36" t="s">
        <v>54</v>
      </c>
      <c r="F395" s="34" t="s">
        <v>3188</v>
      </c>
      <c r="G395" s="37" t="s">
        <v>398</v>
      </c>
      <c r="H395" s="37" t="s">
        <v>205</v>
      </c>
      <c r="I395" s="38" t="s">
        <v>3189</v>
      </c>
      <c r="J395" s="38" t="s">
        <v>3190</v>
      </c>
      <c r="K395" s="39" t="s">
        <v>42</v>
      </c>
      <c r="L395" s="120">
        <v>42499</v>
      </c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42" t="s">
        <v>3191</v>
      </c>
      <c r="Y395" s="100" t="s">
        <v>3192</v>
      </c>
      <c r="Z395" s="44" t="s">
        <v>3193</v>
      </c>
      <c r="AA395" s="45">
        <v>42935</v>
      </c>
      <c r="AB395" s="101" t="s">
        <v>30</v>
      </c>
      <c r="AC395" s="36" t="s">
        <v>26</v>
      </c>
      <c r="AD395" s="47" t="s">
        <v>49</v>
      </c>
      <c r="AE395" s="48" t="s">
        <v>49</v>
      </c>
      <c r="AF395" s="48" t="s">
        <v>49</v>
      </c>
      <c r="AG395" s="48" t="s">
        <v>49</v>
      </c>
      <c r="AH395" s="48" t="s">
        <v>49</v>
      </c>
      <c r="AI395" s="48" t="s">
        <v>41</v>
      </c>
      <c r="AJ395" s="49" t="s">
        <v>41</v>
      </c>
      <c r="AK395" s="48" t="s">
        <v>41</v>
      </c>
      <c r="AL395" s="62" t="s">
        <v>4589</v>
      </c>
      <c r="AM395" s="62"/>
      <c r="AN395" s="59"/>
      <c r="AO395" s="102"/>
      <c r="AP395" s="3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1"/>
    </row>
    <row r="396" spans="1:52" x14ac:dyDescent="0.2">
      <c r="A396" s="33">
        <f t="shared" ref="A396:A459" si="7">+A395+1</f>
        <v>391</v>
      </c>
      <c r="B396" s="34" t="s">
        <v>3194</v>
      </c>
      <c r="C396" s="35" t="s">
        <v>3195</v>
      </c>
      <c r="D396" s="36" t="s">
        <v>3196</v>
      </c>
      <c r="E396" s="36" t="s">
        <v>54</v>
      </c>
      <c r="F396" s="108" t="s">
        <v>3197</v>
      </c>
      <c r="G396" s="37" t="s">
        <v>4658</v>
      </c>
      <c r="H396" s="37" t="s">
        <v>350</v>
      </c>
      <c r="I396" s="38" t="s">
        <v>3198</v>
      </c>
      <c r="J396" s="34" t="s">
        <v>41</v>
      </c>
      <c r="K396" s="39" t="s">
        <v>42</v>
      </c>
      <c r="L396" s="99" t="s">
        <v>1254</v>
      </c>
      <c r="M396" s="56" t="s">
        <v>179</v>
      </c>
      <c r="N396" s="56"/>
      <c r="O396" s="56"/>
      <c r="P396" s="56">
        <v>5</v>
      </c>
      <c r="Q396" s="56"/>
      <c r="R396" s="56"/>
      <c r="S396" s="56"/>
      <c r="T396" s="56"/>
      <c r="U396" s="56"/>
      <c r="V396" s="56"/>
      <c r="W396" s="56"/>
      <c r="X396" s="42" t="s">
        <v>3199</v>
      </c>
      <c r="Y396" s="100" t="s">
        <v>3200</v>
      </c>
      <c r="Z396" s="44"/>
      <c r="AA396" s="45" t="s">
        <v>47</v>
      </c>
      <c r="AB396" s="101"/>
      <c r="AC396" s="36"/>
      <c r="AD396" s="47" t="s">
        <v>49</v>
      </c>
      <c r="AE396" s="48" t="s">
        <v>41</v>
      </c>
      <c r="AF396" s="48" t="s">
        <v>41</v>
      </c>
      <c r="AG396" s="48" t="s">
        <v>41</v>
      </c>
      <c r="AH396" s="48" t="s">
        <v>41</v>
      </c>
      <c r="AI396" s="48" t="s">
        <v>41</v>
      </c>
      <c r="AJ396" s="49" t="s">
        <v>41</v>
      </c>
      <c r="AK396" s="48" t="s">
        <v>41</v>
      </c>
      <c r="AL396" s="65" t="s">
        <v>4588</v>
      </c>
      <c r="AM396" s="65"/>
      <c r="AN396" s="59"/>
      <c r="AO396" s="10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1"/>
    </row>
    <row r="397" spans="1:52" x14ac:dyDescent="0.2">
      <c r="A397" s="33">
        <f t="shared" si="7"/>
        <v>392</v>
      </c>
      <c r="B397" s="34" t="s">
        <v>3201</v>
      </c>
      <c r="C397" s="35" t="s">
        <v>3202</v>
      </c>
      <c r="D397" s="73" t="s">
        <v>3203</v>
      </c>
      <c r="E397" s="36" t="s">
        <v>54</v>
      </c>
      <c r="F397" s="98" t="s">
        <v>3204</v>
      </c>
      <c r="G397" s="37" t="s">
        <v>252</v>
      </c>
      <c r="H397" s="37" t="s">
        <v>57</v>
      </c>
      <c r="I397" s="38" t="s">
        <v>3205</v>
      </c>
      <c r="J397" s="34"/>
      <c r="K397" s="39" t="s">
        <v>42</v>
      </c>
      <c r="L397" s="99" t="s">
        <v>3206</v>
      </c>
      <c r="M397" s="56"/>
      <c r="N397" s="56"/>
      <c r="O397" s="56"/>
      <c r="P397" s="56"/>
      <c r="Q397" s="56"/>
      <c r="R397" s="56"/>
      <c r="S397" s="56"/>
      <c r="T397" s="56" t="s">
        <v>44</v>
      </c>
      <c r="U397" s="56"/>
      <c r="V397" s="56"/>
      <c r="W397" s="56"/>
      <c r="X397" s="42" t="s">
        <v>3207</v>
      </c>
      <c r="Y397" s="58" t="s">
        <v>3208</v>
      </c>
      <c r="Z397" s="58"/>
      <c r="AA397" s="45">
        <v>45644</v>
      </c>
      <c r="AB397" s="101" t="s">
        <v>30</v>
      </c>
      <c r="AC397" s="73"/>
      <c r="AD397" s="47" t="s">
        <v>49</v>
      </c>
      <c r="AE397" s="48" t="s">
        <v>41</v>
      </c>
      <c r="AF397" s="48" t="s">
        <v>41</v>
      </c>
      <c r="AG397" s="48" t="s">
        <v>41</v>
      </c>
      <c r="AH397" s="48" t="s">
        <v>49</v>
      </c>
      <c r="AI397" s="48" t="s">
        <v>49</v>
      </c>
      <c r="AJ397" s="49" t="s">
        <v>49</v>
      </c>
      <c r="AK397" s="48" t="s">
        <v>49</v>
      </c>
      <c r="AL397" s="65" t="s">
        <v>32</v>
      </c>
      <c r="AM397" s="65"/>
      <c r="AN397" s="59"/>
      <c r="AO397" s="117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1"/>
    </row>
    <row r="398" spans="1:52" x14ac:dyDescent="0.2">
      <c r="A398" s="33">
        <f t="shared" si="7"/>
        <v>393</v>
      </c>
      <c r="B398" s="34" t="s">
        <v>3209</v>
      </c>
      <c r="C398" s="35" t="s">
        <v>3210</v>
      </c>
      <c r="D398" s="36" t="s">
        <v>3211</v>
      </c>
      <c r="E398" s="36" t="s">
        <v>54</v>
      </c>
      <c r="F398" s="226" t="s">
        <v>3212</v>
      </c>
      <c r="G398" s="37" t="s">
        <v>4660</v>
      </c>
      <c r="H398" s="37" t="s">
        <v>39</v>
      </c>
      <c r="I398" s="38" t="s">
        <v>3213</v>
      </c>
      <c r="J398" s="34" t="s">
        <v>41</v>
      </c>
      <c r="K398" s="39" t="s">
        <v>42</v>
      </c>
      <c r="L398" s="99" t="s">
        <v>1119</v>
      </c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42" t="s">
        <v>3214</v>
      </c>
      <c r="Y398" s="69" t="s">
        <v>3215</v>
      </c>
      <c r="Z398" s="44" t="s">
        <v>61</v>
      </c>
      <c r="AA398" s="45">
        <v>40280</v>
      </c>
      <c r="AB398" s="101" t="s">
        <v>30</v>
      </c>
      <c r="AC398" s="36" t="s">
        <v>26</v>
      </c>
      <c r="AD398" s="47" t="s">
        <v>49</v>
      </c>
      <c r="AE398" s="48" t="s">
        <v>49</v>
      </c>
      <c r="AF398" s="48" t="s">
        <v>49</v>
      </c>
      <c r="AG398" s="48" t="s">
        <v>49</v>
      </c>
      <c r="AH398" s="48" t="s">
        <v>49</v>
      </c>
      <c r="AI398" s="48" t="s">
        <v>49</v>
      </c>
      <c r="AJ398" s="49" t="s">
        <v>49</v>
      </c>
      <c r="AK398" s="48" t="s">
        <v>49</v>
      </c>
      <c r="AL398" s="62" t="s">
        <v>32</v>
      </c>
      <c r="AM398" s="62"/>
      <c r="AN398" s="103"/>
      <c r="AO398" s="10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1"/>
    </row>
    <row r="399" spans="1:52" x14ac:dyDescent="0.2">
      <c r="A399" s="33">
        <f t="shared" si="7"/>
        <v>394</v>
      </c>
      <c r="B399" s="34" t="s">
        <v>3216</v>
      </c>
      <c r="C399" s="35" t="s">
        <v>3217</v>
      </c>
      <c r="D399" s="36" t="s">
        <v>3218</v>
      </c>
      <c r="E399" s="36" t="s">
        <v>54</v>
      </c>
      <c r="F399" s="34" t="s">
        <v>3219</v>
      </c>
      <c r="G399" s="37" t="s">
        <v>323</v>
      </c>
      <c r="H399" s="37" t="s">
        <v>39</v>
      </c>
      <c r="I399" s="34" t="s">
        <v>3220</v>
      </c>
      <c r="J399" s="34" t="s">
        <v>41</v>
      </c>
      <c r="K399" s="39" t="s">
        <v>42</v>
      </c>
      <c r="L399" s="99" t="s">
        <v>3003</v>
      </c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2" t="s">
        <v>3221</v>
      </c>
      <c r="Y399" s="69" t="s">
        <v>3222</v>
      </c>
      <c r="Z399" s="44" t="s">
        <v>61</v>
      </c>
      <c r="AA399" s="45">
        <v>36803</v>
      </c>
      <c r="AB399" s="101" t="s">
        <v>30</v>
      </c>
      <c r="AC399" s="36" t="s">
        <v>26</v>
      </c>
      <c r="AD399" s="47" t="s">
        <v>49</v>
      </c>
      <c r="AE399" s="48" t="s">
        <v>49</v>
      </c>
      <c r="AF399" s="48" t="s">
        <v>49</v>
      </c>
      <c r="AG399" s="48" t="s">
        <v>49</v>
      </c>
      <c r="AH399" s="48" t="s">
        <v>49</v>
      </c>
      <c r="AI399" s="48" t="s">
        <v>49</v>
      </c>
      <c r="AJ399" s="49" t="s">
        <v>49</v>
      </c>
      <c r="AK399" s="48" t="s">
        <v>49</v>
      </c>
      <c r="AL399" s="62" t="s">
        <v>32</v>
      </c>
      <c r="AM399" s="62"/>
      <c r="AN399" s="59"/>
      <c r="AO399" s="10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1"/>
    </row>
    <row r="400" spans="1:52" x14ac:dyDescent="0.2">
      <c r="A400" s="33">
        <f t="shared" si="7"/>
        <v>395</v>
      </c>
      <c r="B400" s="34" t="s">
        <v>3223</v>
      </c>
      <c r="C400" s="35" t="s">
        <v>3224</v>
      </c>
      <c r="D400" s="36" t="s">
        <v>3225</v>
      </c>
      <c r="E400" s="36" t="s">
        <v>54</v>
      </c>
      <c r="F400" s="34" t="s">
        <v>3226</v>
      </c>
      <c r="G400" s="37" t="s">
        <v>73</v>
      </c>
      <c r="H400" s="37" t="s">
        <v>73</v>
      </c>
      <c r="I400" s="34" t="s">
        <v>3227</v>
      </c>
      <c r="J400" s="34" t="s">
        <v>3227</v>
      </c>
      <c r="K400" s="39" t="s">
        <v>42</v>
      </c>
      <c r="L400" s="120">
        <v>36594</v>
      </c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2" t="s">
        <v>3228</v>
      </c>
      <c r="Y400" s="100" t="s">
        <v>3229</v>
      </c>
      <c r="Z400" s="44" t="s">
        <v>61</v>
      </c>
      <c r="AA400" s="45">
        <v>36803</v>
      </c>
      <c r="AB400" s="101" t="s">
        <v>30</v>
      </c>
      <c r="AC400" s="36" t="s">
        <v>26</v>
      </c>
      <c r="AD400" s="47" t="s">
        <v>49</v>
      </c>
      <c r="AE400" s="48" t="s">
        <v>49</v>
      </c>
      <c r="AF400" s="48" t="s">
        <v>49</v>
      </c>
      <c r="AG400" s="48" t="s">
        <v>49</v>
      </c>
      <c r="AH400" s="48" t="s">
        <v>49</v>
      </c>
      <c r="AI400" s="48" t="s">
        <v>49</v>
      </c>
      <c r="AJ400" s="49" t="s">
        <v>49</v>
      </c>
      <c r="AK400" s="48" t="s">
        <v>49</v>
      </c>
      <c r="AL400" s="62" t="s">
        <v>32</v>
      </c>
      <c r="AM400" s="62"/>
      <c r="AN400" s="59"/>
      <c r="AO400" s="10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1"/>
    </row>
    <row r="401" spans="1:52" x14ac:dyDescent="0.2">
      <c r="A401" s="33">
        <f t="shared" si="7"/>
        <v>396</v>
      </c>
      <c r="B401" s="34" t="s">
        <v>3230</v>
      </c>
      <c r="C401" s="35" t="s">
        <v>3231</v>
      </c>
      <c r="D401" s="36" t="s">
        <v>3232</v>
      </c>
      <c r="E401" s="36" t="s">
        <v>54</v>
      </c>
      <c r="F401" s="34" t="s">
        <v>3233</v>
      </c>
      <c r="G401" s="37" t="s">
        <v>73</v>
      </c>
      <c r="H401" s="37" t="s">
        <v>73</v>
      </c>
      <c r="I401" s="34" t="s">
        <v>1679</v>
      </c>
      <c r="J401" s="34" t="s">
        <v>1877</v>
      </c>
      <c r="K401" s="39" t="s">
        <v>42</v>
      </c>
      <c r="L401" s="99" t="s">
        <v>3234</v>
      </c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42" t="s">
        <v>3235</v>
      </c>
      <c r="Y401" s="58" t="s">
        <v>3236</v>
      </c>
      <c r="Z401" s="44" t="s">
        <v>61</v>
      </c>
      <c r="AA401" s="45">
        <v>36803</v>
      </c>
      <c r="AB401" s="101" t="s">
        <v>30</v>
      </c>
      <c r="AC401" s="36" t="s">
        <v>26</v>
      </c>
      <c r="AD401" s="64" t="s">
        <v>120</v>
      </c>
      <c r="AE401" s="48" t="s">
        <v>120</v>
      </c>
      <c r="AF401" s="48" t="s">
        <v>120</v>
      </c>
      <c r="AG401" s="48" t="s">
        <v>120</v>
      </c>
      <c r="AH401" s="48" t="s">
        <v>120</v>
      </c>
      <c r="AI401" s="48" t="s">
        <v>120</v>
      </c>
      <c r="AJ401" s="49" t="s">
        <v>120</v>
      </c>
      <c r="AK401" s="48" t="s">
        <v>120</v>
      </c>
      <c r="AL401" s="65" t="s">
        <v>32</v>
      </c>
      <c r="AM401" s="65"/>
      <c r="AN401" s="59"/>
      <c r="AO401" s="10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1"/>
    </row>
    <row r="402" spans="1:52" x14ac:dyDescent="0.2">
      <c r="A402" s="33">
        <f t="shared" si="7"/>
        <v>397</v>
      </c>
      <c r="B402" s="34" t="s">
        <v>3237</v>
      </c>
      <c r="C402" s="35" t="s">
        <v>3238</v>
      </c>
      <c r="D402" s="36" t="s">
        <v>4607</v>
      </c>
      <c r="E402" s="36" t="s">
        <v>54</v>
      </c>
      <c r="F402" s="34" t="s">
        <v>4608</v>
      </c>
      <c r="G402" s="37" t="s">
        <v>73</v>
      </c>
      <c r="H402" s="37" t="s">
        <v>73</v>
      </c>
      <c r="I402" s="42" t="s">
        <v>4610</v>
      </c>
      <c r="J402" s="34" t="s">
        <v>41</v>
      </c>
      <c r="K402" s="39" t="s">
        <v>42</v>
      </c>
      <c r="L402" s="120">
        <v>37202</v>
      </c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 t="s">
        <v>732</v>
      </c>
      <c r="X402" s="42" t="s">
        <v>4609</v>
      </c>
      <c r="Y402" s="58" t="s">
        <v>3239</v>
      </c>
      <c r="Z402" s="44" t="s">
        <v>61</v>
      </c>
      <c r="AA402" s="45">
        <v>40280</v>
      </c>
      <c r="AB402" s="101" t="s">
        <v>30</v>
      </c>
      <c r="AC402" s="36" t="s">
        <v>26</v>
      </c>
      <c r="AD402" s="47" t="s">
        <v>49</v>
      </c>
      <c r="AE402" s="48" t="s">
        <v>49</v>
      </c>
      <c r="AF402" s="48" t="s">
        <v>49</v>
      </c>
      <c r="AG402" s="48" t="s">
        <v>49</v>
      </c>
      <c r="AH402" s="48" t="s">
        <v>49</v>
      </c>
      <c r="AI402" s="48" t="s">
        <v>49</v>
      </c>
      <c r="AJ402" s="49" t="s">
        <v>49</v>
      </c>
      <c r="AK402" s="48" t="s">
        <v>49</v>
      </c>
      <c r="AL402" s="62" t="s">
        <v>32</v>
      </c>
      <c r="AM402" s="62"/>
      <c r="AN402" s="59"/>
      <c r="AO402" s="10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1"/>
    </row>
    <row r="403" spans="1:52" x14ac:dyDescent="0.2">
      <c r="A403" s="33">
        <f t="shared" si="7"/>
        <v>398</v>
      </c>
      <c r="B403" s="34" t="s">
        <v>3240</v>
      </c>
      <c r="C403" s="35" t="s">
        <v>3241</v>
      </c>
      <c r="D403" s="36" t="s">
        <v>3242</v>
      </c>
      <c r="E403" s="36" t="s">
        <v>36</v>
      </c>
      <c r="F403" s="34" t="s">
        <v>3243</v>
      </c>
      <c r="G403" s="37" t="s">
        <v>73</v>
      </c>
      <c r="H403" s="37" t="s">
        <v>73</v>
      </c>
      <c r="I403" s="34" t="s">
        <v>3244</v>
      </c>
      <c r="J403" s="34" t="s">
        <v>41</v>
      </c>
      <c r="K403" s="39" t="s">
        <v>42</v>
      </c>
      <c r="L403" s="120">
        <v>36895</v>
      </c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2" t="s">
        <v>3245</v>
      </c>
      <c r="Y403" s="52" t="s">
        <v>3246</v>
      </c>
      <c r="Z403" s="44" t="s">
        <v>61</v>
      </c>
      <c r="AA403" s="45">
        <v>36803</v>
      </c>
      <c r="AB403" s="101" t="s">
        <v>30</v>
      </c>
      <c r="AC403" s="36" t="s">
        <v>26</v>
      </c>
      <c r="AD403" s="47" t="s">
        <v>49</v>
      </c>
      <c r="AE403" s="48" t="s">
        <v>49</v>
      </c>
      <c r="AF403" s="48" t="s">
        <v>49</v>
      </c>
      <c r="AG403" s="48" t="s">
        <v>49</v>
      </c>
      <c r="AH403" s="48" t="s">
        <v>49</v>
      </c>
      <c r="AI403" s="48" t="s">
        <v>49</v>
      </c>
      <c r="AJ403" s="49" t="s">
        <v>49</v>
      </c>
      <c r="AK403" s="48" t="s">
        <v>49</v>
      </c>
      <c r="AL403" s="65" t="s">
        <v>32</v>
      </c>
      <c r="AM403" s="65"/>
      <c r="AN403" s="59"/>
      <c r="AO403" s="10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1"/>
    </row>
    <row r="404" spans="1:52" x14ac:dyDescent="0.2">
      <c r="A404" s="33">
        <f t="shared" si="7"/>
        <v>399</v>
      </c>
      <c r="B404" s="34" t="s">
        <v>3247</v>
      </c>
      <c r="C404" s="35" t="s">
        <v>3248</v>
      </c>
      <c r="D404" s="73" t="s">
        <v>3249</v>
      </c>
      <c r="E404" s="36" t="s">
        <v>54</v>
      </c>
      <c r="F404" s="98" t="s">
        <v>3250</v>
      </c>
      <c r="G404" s="37" t="s">
        <v>73</v>
      </c>
      <c r="H404" s="37" t="s">
        <v>73</v>
      </c>
      <c r="I404" s="34" t="s">
        <v>3251</v>
      </c>
      <c r="J404" s="34" t="s">
        <v>41</v>
      </c>
      <c r="K404" s="39" t="s">
        <v>42</v>
      </c>
      <c r="L404" s="120">
        <v>35681</v>
      </c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42" t="s">
        <v>3252</v>
      </c>
      <c r="Y404" s="58" t="s">
        <v>3253</v>
      </c>
      <c r="Z404" s="44" t="s">
        <v>3254</v>
      </c>
      <c r="AA404" s="45">
        <v>42325</v>
      </c>
      <c r="AB404" s="101" t="s">
        <v>30</v>
      </c>
      <c r="AC404" s="73"/>
      <c r="AD404" s="47" t="s">
        <v>49</v>
      </c>
      <c r="AE404" s="48" t="s">
        <v>41</v>
      </c>
      <c r="AF404" s="48" t="s">
        <v>41</v>
      </c>
      <c r="AG404" s="48" t="s">
        <v>41</v>
      </c>
      <c r="AH404" s="48" t="s">
        <v>41</v>
      </c>
      <c r="AI404" s="48" t="s">
        <v>41</v>
      </c>
      <c r="AJ404" s="49" t="s">
        <v>41</v>
      </c>
      <c r="AK404" s="48" t="s">
        <v>41</v>
      </c>
      <c r="AL404" s="65" t="s">
        <v>4590</v>
      </c>
      <c r="AM404" s="65"/>
      <c r="AN404" s="59"/>
      <c r="AO404" s="10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1"/>
    </row>
    <row r="405" spans="1:52" x14ac:dyDescent="0.2">
      <c r="A405" s="33">
        <f t="shared" si="7"/>
        <v>400</v>
      </c>
      <c r="B405" s="34" t="s">
        <v>3255</v>
      </c>
      <c r="C405" s="35" t="s">
        <v>3256</v>
      </c>
      <c r="D405" s="36" t="s">
        <v>3257</v>
      </c>
      <c r="E405" s="36" t="s">
        <v>36</v>
      </c>
      <c r="F405" s="34" t="s">
        <v>3258</v>
      </c>
      <c r="G405" s="37" t="s">
        <v>73</v>
      </c>
      <c r="H405" s="37" t="s">
        <v>73</v>
      </c>
      <c r="I405" s="34" t="s">
        <v>3259</v>
      </c>
      <c r="J405" s="34" t="s">
        <v>41</v>
      </c>
      <c r="K405" s="39" t="s">
        <v>42</v>
      </c>
      <c r="L405" s="120" t="s">
        <v>3260</v>
      </c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2" t="s">
        <v>3261</v>
      </c>
      <c r="Y405" s="58" t="s">
        <v>3262</v>
      </c>
      <c r="Z405" s="44" t="s">
        <v>3263</v>
      </c>
      <c r="AA405" s="45">
        <v>43200</v>
      </c>
      <c r="AB405" s="101" t="s">
        <v>30</v>
      </c>
      <c r="AC405" s="36" t="s">
        <v>26</v>
      </c>
      <c r="AD405" s="47" t="s">
        <v>49</v>
      </c>
      <c r="AE405" s="48" t="s">
        <v>49</v>
      </c>
      <c r="AF405" s="48" t="s">
        <v>49</v>
      </c>
      <c r="AG405" s="48" t="s">
        <v>49</v>
      </c>
      <c r="AH405" s="48" t="s">
        <v>49</v>
      </c>
      <c r="AI405" s="48" t="s">
        <v>49</v>
      </c>
      <c r="AJ405" s="49" t="s">
        <v>49</v>
      </c>
      <c r="AK405" s="48" t="s">
        <v>49</v>
      </c>
      <c r="AL405" s="65" t="s">
        <v>32</v>
      </c>
      <c r="AM405" s="65"/>
      <c r="AN405" s="59"/>
      <c r="AO405" s="10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1"/>
    </row>
    <row r="406" spans="1:52" x14ac:dyDescent="0.2">
      <c r="A406" s="33">
        <f t="shared" si="7"/>
        <v>401</v>
      </c>
      <c r="B406" s="34" t="s">
        <v>3264</v>
      </c>
      <c r="C406" s="35" t="s">
        <v>3265</v>
      </c>
      <c r="D406" s="36" t="s">
        <v>3266</v>
      </c>
      <c r="E406" s="36" t="s">
        <v>54</v>
      </c>
      <c r="F406" s="34" t="s">
        <v>3267</v>
      </c>
      <c r="G406" s="37" t="s">
        <v>73</v>
      </c>
      <c r="H406" s="37" t="s">
        <v>73</v>
      </c>
      <c r="I406" s="38" t="s">
        <v>3268</v>
      </c>
      <c r="J406" s="34" t="s">
        <v>41</v>
      </c>
      <c r="K406" s="39" t="s">
        <v>42</v>
      </c>
      <c r="L406" s="120" t="s">
        <v>3269</v>
      </c>
      <c r="M406" s="41"/>
      <c r="N406" s="41"/>
      <c r="O406" s="41"/>
      <c r="P406" s="41"/>
      <c r="Q406" s="41"/>
      <c r="R406" s="41"/>
      <c r="S406" s="41"/>
      <c r="T406" s="41" t="s">
        <v>44</v>
      </c>
      <c r="U406" s="41"/>
      <c r="V406" s="41"/>
      <c r="W406" s="41"/>
      <c r="X406" s="42" t="s">
        <v>3270</v>
      </c>
      <c r="Y406" s="83" t="s">
        <v>3271</v>
      </c>
      <c r="Z406" s="83"/>
      <c r="AA406" s="45">
        <v>45642</v>
      </c>
      <c r="AB406" s="101"/>
      <c r="AC406" s="36"/>
      <c r="AD406" s="47" t="s">
        <v>49</v>
      </c>
      <c r="AE406" s="48" t="s">
        <v>41</v>
      </c>
      <c r="AF406" s="48" t="s">
        <v>41</v>
      </c>
      <c r="AG406" s="48" t="s">
        <v>41</v>
      </c>
      <c r="AH406" s="48" t="s">
        <v>49</v>
      </c>
      <c r="AI406" s="48" t="s">
        <v>49</v>
      </c>
      <c r="AJ406" s="49" t="s">
        <v>49</v>
      </c>
      <c r="AK406" s="48" t="s">
        <v>49</v>
      </c>
      <c r="AL406" s="65" t="s">
        <v>32</v>
      </c>
      <c r="AM406" s="65" t="s">
        <v>4681</v>
      </c>
      <c r="AN406" s="59"/>
      <c r="AO406" s="10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1"/>
    </row>
    <row r="407" spans="1:52" x14ac:dyDescent="0.2">
      <c r="A407" s="33">
        <f t="shared" si="7"/>
        <v>402</v>
      </c>
      <c r="B407" s="34" t="s">
        <v>3272</v>
      </c>
      <c r="C407" s="35" t="s">
        <v>3273</v>
      </c>
      <c r="D407" s="36" t="s">
        <v>3274</v>
      </c>
      <c r="E407" s="36" t="s">
        <v>54</v>
      </c>
      <c r="F407" s="34" t="s">
        <v>3275</v>
      </c>
      <c r="G407" s="37" t="s">
        <v>73</v>
      </c>
      <c r="H407" s="37" t="s">
        <v>73</v>
      </c>
      <c r="I407" s="34" t="s">
        <v>3276</v>
      </c>
      <c r="J407" s="34" t="s">
        <v>41</v>
      </c>
      <c r="K407" s="39" t="s">
        <v>42</v>
      </c>
      <c r="L407" s="120">
        <v>35531</v>
      </c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42" t="s">
        <v>3277</v>
      </c>
      <c r="Y407" s="100" t="s">
        <v>3278</v>
      </c>
      <c r="Z407" s="44" t="s">
        <v>3279</v>
      </c>
      <c r="AA407" s="45">
        <v>42935</v>
      </c>
      <c r="AB407" s="101" t="s">
        <v>30</v>
      </c>
      <c r="AC407" s="36" t="s">
        <v>26</v>
      </c>
      <c r="AD407" s="64" t="s">
        <v>120</v>
      </c>
      <c r="AE407" s="48" t="s">
        <v>120</v>
      </c>
      <c r="AF407" s="48" t="s">
        <v>120</v>
      </c>
      <c r="AG407" s="48" t="s">
        <v>120</v>
      </c>
      <c r="AH407" s="48" t="s">
        <v>120</v>
      </c>
      <c r="AI407" s="48" t="s">
        <v>120</v>
      </c>
      <c r="AJ407" s="49" t="s">
        <v>120</v>
      </c>
      <c r="AK407" s="48" t="s">
        <v>120</v>
      </c>
      <c r="AL407" s="65" t="s">
        <v>32</v>
      </c>
      <c r="AM407" s="65"/>
      <c r="AN407" s="59"/>
      <c r="AO407" s="10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1"/>
    </row>
    <row r="408" spans="1:52" x14ac:dyDescent="0.2">
      <c r="A408" s="33">
        <f t="shared" si="7"/>
        <v>403</v>
      </c>
      <c r="B408" s="34" t="s">
        <v>3280</v>
      </c>
      <c r="C408" s="35" t="s">
        <v>3281</v>
      </c>
      <c r="D408" s="36" t="s">
        <v>3282</v>
      </c>
      <c r="E408" s="36" t="s">
        <v>54</v>
      </c>
      <c r="F408" s="34" t="s">
        <v>3283</v>
      </c>
      <c r="G408" s="37" t="s">
        <v>73</v>
      </c>
      <c r="H408" s="37" t="s">
        <v>73</v>
      </c>
      <c r="I408" s="34" t="s">
        <v>3284</v>
      </c>
      <c r="J408" s="34" t="s">
        <v>41</v>
      </c>
      <c r="K408" s="39" t="s">
        <v>42</v>
      </c>
      <c r="L408" s="99" t="s">
        <v>3285</v>
      </c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42" t="s">
        <v>3286</v>
      </c>
      <c r="Y408" s="58" t="s">
        <v>3287</v>
      </c>
      <c r="Z408" s="44" t="s">
        <v>61</v>
      </c>
      <c r="AA408" s="45">
        <v>39286</v>
      </c>
      <c r="AB408" s="101" t="s">
        <v>30</v>
      </c>
      <c r="AC408" s="36"/>
      <c r="AD408" s="47" t="s">
        <v>49</v>
      </c>
      <c r="AE408" s="48" t="s">
        <v>41</v>
      </c>
      <c r="AF408" s="48" t="s">
        <v>41</v>
      </c>
      <c r="AG408" s="48" t="s">
        <v>41</v>
      </c>
      <c r="AH408" s="48" t="s">
        <v>41</v>
      </c>
      <c r="AI408" s="48" t="s">
        <v>41</v>
      </c>
      <c r="AJ408" s="49" t="s">
        <v>41</v>
      </c>
      <c r="AK408" s="48" t="s">
        <v>41</v>
      </c>
      <c r="AL408" s="65" t="s">
        <v>4588</v>
      </c>
      <c r="AM408" s="65"/>
      <c r="AN408" s="59"/>
      <c r="AO408" s="10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1"/>
    </row>
    <row r="409" spans="1:52" x14ac:dyDescent="0.2">
      <c r="A409" s="33">
        <f t="shared" si="7"/>
        <v>404</v>
      </c>
      <c r="B409" s="34" t="s">
        <v>3288</v>
      </c>
      <c r="C409" s="35" t="s">
        <v>3289</v>
      </c>
      <c r="D409" s="36" t="s">
        <v>3290</v>
      </c>
      <c r="E409" s="36" t="s">
        <v>241</v>
      </c>
      <c r="F409" s="34" t="s">
        <v>3291</v>
      </c>
      <c r="G409" s="37" t="s">
        <v>73</v>
      </c>
      <c r="H409" s="37" t="s">
        <v>73</v>
      </c>
      <c r="I409" s="34" t="s">
        <v>3292</v>
      </c>
      <c r="J409" s="34" t="s">
        <v>41</v>
      </c>
      <c r="K409" s="39" t="s">
        <v>42</v>
      </c>
      <c r="L409" s="99" t="s">
        <v>3293</v>
      </c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2" t="s">
        <v>3294</v>
      </c>
      <c r="Y409" s="58" t="s">
        <v>3295</v>
      </c>
      <c r="Z409" s="44" t="s">
        <v>61</v>
      </c>
      <c r="AA409" s="45">
        <v>34597</v>
      </c>
      <c r="AB409" s="101" t="s">
        <v>129</v>
      </c>
      <c r="AC409" s="36" t="s">
        <v>26</v>
      </c>
      <c r="AD409" s="47" t="s">
        <v>49</v>
      </c>
      <c r="AE409" s="48" t="s">
        <v>49</v>
      </c>
      <c r="AF409" s="48" t="s">
        <v>41</v>
      </c>
      <c r="AG409" s="48" t="s">
        <v>41</v>
      </c>
      <c r="AH409" s="48" t="s">
        <v>41</v>
      </c>
      <c r="AI409" s="48" t="s">
        <v>41</v>
      </c>
      <c r="AJ409" s="49" t="s">
        <v>41</v>
      </c>
      <c r="AK409" s="48" t="s">
        <v>41</v>
      </c>
      <c r="AL409" s="62" t="s">
        <v>4587</v>
      </c>
      <c r="AM409" s="62"/>
      <c r="AN409" s="59"/>
      <c r="AO409" s="117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1"/>
    </row>
    <row r="410" spans="1:52" x14ac:dyDescent="0.2">
      <c r="A410" s="33">
        <f t="shared" si="7"/>
        <v>405</v>
      </c>
      <c r="B410" s="108" t="s">
        <v>3296</v>
      </c>
      <c r="C410" s="35" t="s">
        <v>3297</v>
      </c>
      <c r="D410" s="73" t="s">
        <v>3298</v>
      </c>
      <c r="E410" s="36" t="s">
        <v>36</v>
      </c>
      <c r="F410" s="192" t="s">
        <v>3299</v>
      </c>
      <c r="G410" s="37" t="s">
        <v>398</v>
      </c>
      <c r="H410" s="37" t="s">
        <v>205</v>
      </c>
      <c r="I410" s="140" t="s">
        <v>3300</v>
      </c>
      <c r="J410" s="38" t="s">
        <v>41</v>
      </c>
      <c r="K410" s="39" t="s">
        <v>42</v>
      </c>
      <c r="L410" s="166" t="s">
        <v>3301</v>
      </c>
      <c r="M410" s="56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42" t="s">
        <v>3302</v>
      </c>
      <c r="Y410" s="58" t="s">
        <v>3303</v>
      </c>
      <c r="Z410" s="44" t="s">
        <v>3304</v>
      </c>
      <c r="AA410" s="45">
        <v>42325</v>
      </c>
      <c r="AB410" s="101" t="s">
        <v>30</v>
      </c>
      <c r="AC410" s="73" t="s">
        <v>26</v>
      </c>
      <c r="AD410" s="47" t="s">
        <v>49</v>
      </c>
      <c r="AE410" s="48" t="s">
        <v>49</v>
      </c>
      <c r="AF410" s="48" t="s">
        <v>49</v>
      </c>
      <c r="AG410" s="48" t="s">
        <v>49</v>
      </c>
      <c r="AH410" s="48" t="s">
        <v>49</v>
      </c>
      <c r="AI410" s="48" t="s">
        <v>49</v>
      </c>
      <c r="AJ410" s="49" t="s">
        <v>49</v>
      </c>
      <c r="AK410" s="48" t="s">
        <v>49</v>
      </c>
      <c r="AL410" s="65" t="s">
        <v>32</v>
      </c>
      <c r="AM410" s="65" t="s">
        <v>4681</v>
      </c>
      <c r="AN410" s="59"/>
      <c r="AO410" s="10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1"/>
    </row>
    <row r="411" spans="1:52" x14ac:dyDescent="0.2">
      <c r="A411" s="33">
        <f t="shared" si="7"/>
        <v>406</v>
      </c>
      <c r="B411" s="34" t="s">
        <v>3305</v>
      </c>
      <c r="C411" s="35" t="s">
        <v>3306</v>
      </c>
      <c r="D411" s="36" t="s">
        <v>3307</v>
      </c>
      <c r="E411" s="36" t="s">
        <v>54</v>
      </c>
      <c r="F411" s="34" t="s">
        <v>3308</v>
      </c>
      <c r="G411" s="37" t="s">
        <v>73</v>
      </c>
      <c r="H411" s="37" t="s">
        <v>73</v>
      </c>
      <c r="I411" s="34" t="s">
        <v>3309</v>
      </c>
      <c r="J411" s="34" t="s">
        <v>41</v>
      </c>
      <c r="K411" s="39" t="s">
        <v>42</v>
      </c>
      <c r="L411" s="120">
        <v>36895</v>
      </c>
      <c r="M411" s="41"/>
      <c r="N411" s="177"/>
      <c r="O411" s="112"/>
      <c r="P411" s="177"/>
      <c r="Q411" s="112"/>
      <c r="R411" s="112"/>
      <c r="S411" s="112"/>
      <c r="T411" s="177"/>
      <c r="U411" s="112"/>
      <c r="V411" s="41"/>
      <c r="W411" s="41"/>
      <c r="X411" s="42" t="s">
        <v>3310</v>
      </c>
      <c r="Y411" s="52" t="s">
        <v>3311</v>
      </c>
      <c r="Z411" s="44" t="s">
        <v>61</v>
      </c>
      <c r="AA411" s="45">
        <v>39286</v>
      </c>
      <c r="AB411" s="101" t="s">
        <v>30</v>
      </c>
      <c r="AC411" s="36" t="s">
        <v>26</v>
      </c>
      <c r="AD411" s="61" t="s">
        <v>49</v>
      </c>
      <c r="AE411" s="48" t="s">
        <v>49</v>
      </c>
      <c r="AF411" s="48" t="s">
        <v>49</v>
      </c>
      <c r="AG411" s="48" t="s">
        <v>49</v>
      </c>
      <c r="AH411" s="48" t="s">
        <v>49</v>
      </c>
      <c r="AI411" s="48" t="s">
        <v>49</v>
      </c>
      <c r="AJ411" s="49" t="s">
        <v>49</v>
      </c>
      <c r="AK411" s="48" t="s">
        <v>49</v>
      </c>
      <c r="AL411" s="65" t="s">
        <v>32</v>
      </c>
      <c r="AM411" s="65"/>
      <c r="AN411" s="59"/>
      <c r="AO411" s="10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1"/>
    </row>
    <row r="412" spans="1:52" x14ac:dyDescent="0.2">
      <c r="A412" s="33">
        <f t="shared" si="7"/>
        <v>407</v>
      </c>
      <c r="B412" s="34" t="s">
        <v>3312</v>
      </c>
      <c r="C412" s="35" t="s">
        <v>3313</v>
      </c>
      <c r="D412" s="36" t="s">
        <v>3314</v>
      </c>
      <c r="E412" s="36" t="s">
        <v>54</v>
      </c>
      <c r="F412" s="87" t="s">
        <v>3315</v>
      </c>
      <c r="G412" s="37" t="s">
        <v>323</v>
      </c>
      <c r="H412" s="37" t="s">
        <v>39</v>
      </c>
      <c r="I412" s="34" t="s">
        <v>3316</v>
      </c>
      <c r="J412" s="34" t="s">
        <v>41</v>
      </c>
      <c r="K412" s="39" t="s">
        <v>42</v>
      </c>
      <c r="L412" s="120">
        <v>42254</v>
      </c>
      <c r="M412" s="56"/>
      <c r="N412" s="114"/>
      <c r="O412" s="115"/>
      <c r="P412" s="114"/>
      <c r="Q412" s="115"/>
      <c r="R412" s="115"/>
      <c r="S412" s="115"/>
      <c r="T412" s="114"/>
      <c r="U412" s="115"/>
      <c r="V412" s="56"/>
      <c r="W412" s="56"/>
      <c r="X412" s="42" t="s">
        <v>3317</v>
      </c>
      <c r="Y412" s="100" t="s">
        <v>3318</v>
      </c>
      <c r="Z412" s="44" t="s">
        <v>3319</v>
      </c>
      <c r="AA412" s="45">
        <v>42325</v>
      </c>
      <c r="AB412" s="101" t="s">
        <v>30</v>
      </c>
      <c r="AC412" s="36" t="s">
        <v>26</v>
      </c>
      <c r="AD412" s="47" t="s">
        <v>49</v>
      </c>
      <c r="AE412" s="48" t="s">
        <v>49</v>
      </c>
      <c r="AF412" s="48" t="s">
        <v>49</v>
      </c>
      <c r="AG412" s="48" t="s">
        <v>49</v>
      </c>
      <c r="AH412" s="48" t="s">
        <v>49</v>
      </c>
      <c r="AI412" s="48" t="s">
        <v>49</v>
      </c>
      <c r="AJ412" s="49" t="s">
        <v>49</v>
      </c>
      <c r="AK412" s="48" t="s">
        <v>49</v>
      </c>
      <c r="AL412" s="62" t="s">
        <v>32</v>
      </c>
      <c r="AM412" s="62"/>
      <c r="AN412" s="59"/>
      <c r="AO412" s="10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1"/>
    </row>
    <row r="413" spans="1:52" x14ac:dyDescent="0.2">
      <c r="A413" s="33">
        <f t="shared" si="7"/>
        <v>408</v>
      </c>
      <c r="B413" s="34" t="s">
        <v>3320</v>
      </c>
      <c r="C413" s="35" t="s">
        <v>3321</v>
      </c>
      <c r="D413" s="109" t="s">
        <v>3322</v>
      </c>
      <c r="E413" s="36" t="s">
        <v>54</v>
      </c>
      <c r="F413" s="108" t="s">
        <v>3323</v>
      </c>
      <c r="G413" s="37" t="s">
        <v>413</v>
      </c>
      <c r="H413" s="37" t="s">
        <v>378</v>
      </c>
      <c r="I413" s="108" t="s">
        <v>3324</v>
      </c>
      <c r="J413" s="38" t="s">
        <v>3325</v>
      </c>
      <c r="K413" s="39" t="s">
        <v>42</v>
      </c>
      <c r="L413" s="120">
        <v>40004</v>
      </c>
      <c r="M413" s="41"/>
      <c r="N413" s="111"/>
      <c r="O413" s="112"/>
      <c r="P413" s="111"/>
      <c r="Q413" s="112"/>
      <c r="R413" s="112"/>
      <c r="S413" s="112"/>
      <c r="T413" s="230"/>
      <c r="U413" s="112"/>
      <c r="V413" s="41"/>
      <c r="W413" s="41"/>
      <c r="X413" s="42" t="s">
        <v>3326</v>
      </c>
      <c r="Y413" s="52" t="s">
        <v>3327</v>
      </c>
      <c r="Z413" s="44" t="s">
        <v>61</v>
      </c>
      <c r="AA413" s="45">
        <v>39286</v>
      </c>
      <c r="AB413" s="101" t="s">
        <v>30</v>
      </c>
      <c r="AC413" s="36" t="s">
        <v>26</v>
      </c>
      <c r="AD413" s="47" t="s">
        <v>49</v>
      </c>
      <c r="AE413" s="48" t="s">
        <v>49</v>
      </c>
      <c r="AF413" s="48" t="s">
        <v>49</v>
      </c>
      <c r="AG413" s="48" t="s">
        <v>49</v>
      </c>
      <c r="AH413" s="48" t="s">
        <v>49</v>
      </c>
      <c r="AI413" s="48" t="s">
        <v>49</v>
      </c>
      <c r="AJ413" s="49" t="s">
        <v>49</v>
      </c>
      <c r="AK413" s="48" t="s">
        <v>49</v>
      </c>
      <c r="AL413" s="62" t="s">
        <v>32</v>
      </c>
      <c r="AM413" s="62"/>
      <c r="AN413" s="59"/>
      <c r="AO413" s="10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1"/>
    </row>
    <row r="414" spans="1:52" x14ac:dyDescent="0.2">
      <c r="A414" s="33">
        <f t="shared" si="7"/>
        <v>409</v>
      </c>
      <c r="B414" s="34" t="s">
        <v>3328</v>
      </c>
      <c r="C414" s="35" t="s">
        <v>3329</v>
      </c>
      <c r="D414" s="36" t="s">
        <v>3330</v>
      </c>
      <c r="E414" s="36" t="s">
        <v>54</v>
      </c>
      <c r="F414" s="34" t="s">
        <v>3331</v>
      </c>
      <c r="G414" s="37" t="s">
        <v>73</v>
      </c>
      <c r="H414" s="37" t="s">
        <v>73</v>
      </c>
      <c r="I414" s="34" t="s">
        <v>3332</v>
      </c>
      <c r="J414" s="34" t="s">
        <v>3333</v>
      </c>
      <c r="K414" s="39" t="s">
        <v>42</v>
      </c>
      <c r="L414" s="99" t="s">
        <v>3334</v>
      </c>
      <c r="M414" s="41"/>
      <c r="N414" s="41"/>
      <c r="O414" s="41"/>
      <c r="P414" s="41"/>
      <c r="Q414" s="112"/>
      <c r="R414" s="231"/>
      <c r="S414" s="112"/>
      <c r="T414" s="230"/>
      <c r="U414" s="112"/>
      <c r="V414" s="41"/>
      <c r="W414" s="41"/>
      <c r="X414" s="42" t="s">
        <v>3335</v>
      </c>
      <c r="Y414" s="43" t="s">
        <v>3336</v>
      </c>
      <c r="Z414" s="44" t="s">
        <v>61</v>
      </c>
      <c r="AA414" s="45">
        <v>34597</v>
      </c>
      <c r="AB414" s="101" t="s">
        <v>30</v>
      </c>
      <c r="AC414" s="36" t="s">
        <v>26</v>
      </c>
      <c r="AD414" s="47" t="s">
        <v>49</v>
      </c>
      <c r="AE414" s="48" t="s">
        <v>49</v>
      </c>
      <c r="AF414" s="48" t="s">
        <v>49</v>
      </c>
      <c r="AG414" s="48" t="s">
        <v>49</v>
      </c>
      <c r="AH414" s="48" t="s">
        <v>49</v>
      </c>
      <c r="AI414" s="48" t="s">
        <v>49</v>
      </c>
      <c r="AJ414" s="49" t="s">
        <v>49</v>
      </c>
      <c r="AK414" s="48" t="s">
        <v>49</v>
      </c>
      <c r="AL414" s="65" t="s">
        <v>32</v>
      </c>
      <c r="AM414" s="65"/>
      <c r="AN414" s="59"/>
      <c r="AO414" s="10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1"/>
    </row>
    <row r="415" spans="1:52" x14ac:dyDescent="0.2">
      <c r="A415" s="33">
        <f t="shared" si="7"/>
        <v>410</v>
      </c>
      <c r="B415" s="34" t="s">
        <v>3337</v>
      </c>
      <c r="C415" s="35" t="s">
        <v>3338</v>
      </c>
      <c r="D415" s="36" t="s">
        <v>3339</v>
      </c>
      <c r="E415" s="36" t="s">
        <v>54</v>
      </c>
      <c r="F415" s="34" t="s">
        <v>3340</v>
      </c>
      <c r="G415" s="37" t="s">
        <v>73</v>
      </c>
      <c r="H415" s="37" t="s">
        <v>73</v>
      </c>
      <c r="I415" s="34" t="s">
        <v>3341</v>
      </c>
      <c r="J415" s="34" t="s">
        <v>41</v>
      </c>
      <c r="K415" s="39" t="s">
        <v>42</v>
      </c>
      <c r="L415" s="99" t="s">
        <v>3342</v>
      </c>
      <c r="M415" s="41"/>
      <c r="N415" s="41"/>
      <c r="O415" s="41"/>
      <c r="P415" s="41"/>
      <c r="Q415" s="112"/>
      <c r="R415" s="231"/>
      <c r="S415" s="112"/>
      <c r="T415" s="177"/>
      <c r="U415" s="112"/>
      <c r="V415" s="41"/>
      <c r="W415" s="41"/>
      <c r="X415" s="42" t="s">
        <v>3343</v>
      </c>
      <c r="Y415" s="43" t="s">
        <v>3344</v>
      </c>
      <c r="Z415" s="84" t="s">
        <v>3345</v>
      </c>
      <c r="AA415" s="45">
        <v>44650</v>
      </c>
      <c r="AB415" s="101" t="s">
        <v>30</v>
      </c>
      <c r="AC415" s="36"/>
      <c r="AD415" s="47" t="s">
        <v>49</v>
      </c>
      <c r="AE415" s="48" t="s">
        <v>41</v>
      </c>
      <c r="AF415" s="48" t="s">
        <v>49</v>
      </c>
      <c r="AG415" s="48" t="s">
        <v>49</v>
      </c>
      <c r="AH415" s="48" t="s">
        <v>49</v>
      </c>
      <c r="AI415" s="48" t="s">
        <v>49</v>
      </c>
      <c r="AJ415" s="49" t="s">
        <v>49</v>
      </c>
      <c r="AK415" s="48" t="s">
        <v>49</v>
      </c>
      <c r="AL415" s="62" t="s">
        <v>32</v>
      </c>
      <c r="AM415" s="62"/>
      <c r="AN415" s="59"/>
      <c r="AO415" s="10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1"/>
    </row>
    <row r="416" spans="1:52" x14ac:dyDescent="0.2">
      <c r="A416" s="33">
        <f t="shared" si="7"/>
        <v>411</v>
      </c>
      <c r="B416" s="34" t="s">
        <v>3346</v>
      </c>
      <c r="C416" s="35" t="s">
        <v>3347</v>
      </c>
      <c r="D416" s="36" t="s">
        <v>3348</v>
      </c>
      <c r="E416" s="36" t="s">
        <v>54</v>
      </c>
      <c r="F416" s="34" t="s">
        <v>3349</v>
      </c>
      <c r="G416" s="37" t="s">
        <v>73</v>
      </c>
      <c r="H416" s="37" t="s">
        <v>73</v>
      </c>
      <c r="I416" s="38" t="s">
        <v>3350</v>
      </c>
      <c r="J416" s="34" t="s">
        <v>41</v>
      </c>
      <c r="K416" s="39" t="s">
        <v>42</v>
      </c>
      <c r="L416" s="99" t="s">
        <v>3351</v>
      </c>
      <c r="M416" s="41"/>
      <c r="N416" s="41"/>
      <c r="O416" s="41"/>
      <c r="P416" s="41"/>
      <c r="Q416" s="41"/>
      <c r="R416" s="41"/>
      <c r="S416" s="41"/>
      <c r="T416" s="177" t="s">
        <v>44</v>
      </c>
      <c r="U416" s="112" t="s">
        <v>732</v>
      </c>
      <c r="V416" s="41"/>
      <c r="W416" s="41"/>
      <c r="X416" s="42" t="s">
        <v>3352</v>
      </c>
      <c r="Y416" s="55" t="s">
        <v>3353</v>
      </c>
      <c r="Z416" s="44"/>
      <c r="AA416" s="45">
        <v>45642</v>
      </c>
      <c r="AB416" s="101"/>
      <c r="AC416" s="36"/>
      <c r="AD416" s="47" t="s">
        <v>49</v>
      </c>
      <c r="AE416" s="48" t="s">
        <v>41</v>
      </c>
      <c r="AF416" s="48" t="s">
        <v>41</v>
      </c>
      <c r="AG416" s="48" t="s">
        <v>41</v>
      </c>
      <c r="AH416" s="48" t="s">
        <v>49</v>
      </c>
      <c r="AI416" s="48" t="s">
        <v>49</v>
      </c>
      <c r="AJ416" s="49" t="s">
        <v>41</v>
      </c>
      <c r="AK416" s="48" t="s">
        <v>41</v>
      </c>
      <c r="AL416" s="62" t="s">
        <v>276</v>
      </c>
      <c r="AM416" s="62"/>
      <c r="AN416" s="59"/>
      <c r="AO416" s="10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1"/>
    </row>
    <row r="417" spans="1:52" x14ac:dyDescent="0.2">
      <c r="A417" s="33">
        <f t="shared" si="7"/>
        <v>412</v>
      </c>
      <c r="B417" s="34" t="s">
        <v>3354</v>
      </c>
      <c r="C417" s="35" t="s">
        <v>3355</v>
      </c>
      <c r="D417" s="36" t="s">
        <v>3356</v>
      </c>
      <c r="E417" s="36" t="s">
        <v>54</v>
      </c>
      <c r="F417" s="34" t="s">
        <v>3357</v>
      </c>
      <c r="G417" s="37" t="s">
        <v>73</v>
      </c>
      <c r="H417" s="37" t="s">
        <v>73</v>
      </c>
      <c r="I417" s="34" t="s">
        <v>3358</v>
      </c>
      <c r="J417" s="34" t="s">
        <v>41</v>
      </c>
      <c r="K417" s="39" t="s">
        <v>42</v>
      </c>
      <c r="L417" s="120">
        <v>40399</v>
      </c>
      <c r="M417" s="41"/>
      <c r="N417" s="41"/>
      <c r="O417" s="41"/>
      <c r="P417" s="41"/>
      <c r="Q417" s="41"/>
      <c r="R417" s="41"/>
      <c r="S417" s="41"/>
      <c r="T417" s="177"/>
      <c r="U417" s="112"/>
      <c r="V417" s="112"/>
      <c r="W417" s="112"/>
      <c r="X417" s="57" t="s">
        <v>3359</v>
      </c>
      <c r="Y417" s="69" t="s">
        <v>3360</v>
      </c>
      <c r="Z417" s="44" t="s">
        <v>3361</v>
      </c>
      <c r="AA417" s="45">
        <v>42936</v>
      </c>
      <c r="AB417" s="101" t="s">
        <v>30</v>
      </c>
      <c r="AC417" s="36" t="s">
        <v>26</v>
      </c>
      <c r="AD417" s="64" t="s">
        <v>120</v>
      </c>
      <c r="AE417" s="48" t="s">
        <v>120</v>
      </c>
      <c r="AF417" s="48" t="s">
        <v>120</v>
      </c>
      <c r="AG417" s="48" t="s">
        <v>120</v>
      </c>
      <c r="AH417" s="48" t="s">
        <v>41</v>
      </c>
      <c r="AI417" s="48" t="s">
        <v>41</v>
      </c>
      <c r="AJ417" s="49" t="s">
        <v>41</v>
      </c>
      <c r="AK417" s="48" t="s">
        <v>41</v>
      </c>
      <c r="AL417" s="62" t="s">
        <v>139</v>
      </c>
      <c r="AM417" s="62"/>
      <c r="AN417" s="59"/>
      <c r="AO417" s="10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1"/>
    </row>
    <row r="418" spans="1:52" x14ac:dyDescent="0.2">
      <c r="A418" s="33">
        <f t="shared" si="7"/>
        <v>413</v>
      </c>
      <c r="B418" s="34" t="s">
        <v>3362</v>
      </c>
      <c r="C418" s="35" t="s">
        <v>3363</v>
      </c>
      <c r="D418" s="36" t="s">
        <v>3364</v>
      </c>
      <c r="E418" s="36" t="s">
        <v>36</v>
      </c>
      <c r="F418" s="34" t="s">
        <v>3365</v>
      </c>
      <c r="G418" s="37" t="s">
        <v>73</v>
      </c>
      <c r="H418" s="37" t="s">
        <v>73</v>
      </c>
      <c r="I418" s="38" t="s">
        <v>3366</v>
      </c>
      <c r="J418" s="34" t="s">
        <v>41</v>
      </c>
      <c r="K418" s="39" t="s">
        <v>42</v>
      </c>
      <c r="L418" s="120">
        <v>43750</v>
      </c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42" t="s">
        <v>3367</v>
      </c>
      <c r="Y418" s="58" t="s">
        <v>3368</v>
      </c>
      <c r="Z418" s="44" t="s">
        <v>3369</v>
      </c>
      <c r="AA418" s="45">
        <v>44041</v>
      </c>
      <c r="AB418" s="101" t="s">
        <v>30</v>
      </c>
      <c r="AC418" s="36" t="s">
        <v>26</v>
      </c>
      <c r="AD418" s="47" t="s">
        <v>49</v>
      </c>
      <c r="AE418" s="48" t="s">
        <v>49</v>
      </c>
      <c r="AF418" s="48" t="s">
        <v>49</v>
      </c>
      <c r="AG418" s="48" t="s">
        <v>49</v>
      </c>
      <c r="AH418" s="48" t="s">
        <v>49</v>
      </c>
      <c r="AI418" s="48" t="s">
        <v>49</v>
      </c>
      <c r="AJ418" s="49" t="s">
        <v>49</v>
      </c>
      <c r="AK418" s="48" t="s">
        <v>49</v>
      </c>
      <c r="AL418" s="62" t="s">
        <v>32</v>
      </c>
      <c r="AM418" s="62"/>
      <c r="AN418" s="59"/>
      <c r="AO418" s="10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1"/>
    </row>
    <row r="419" spans="1:52" x14ac:dyDescent="0.2">
      <c r="A419" s="33">
        <f t="shared" si="7"/>
        <v>414</v>
      </c>
      <c r="B419" s="34" t="s">
        <v>3370</v>
      </c>
      <c r="C419" s="35" t="s">
        <v>3371</v>
      </c>
      <c r="D419" s="36" t="s">
        <v>3372</v>
      </c>
      <c r="E419" s="36" t="s">
        <v>54</v>
      </c>
      <c r="F419" s="34" t="s">
        <v>3373</v>
      </c>
      <c r="G419" s="37" t="s">
        <v>73</v>
      </c>
      <c r="H419" s="37" t="s">
        <v>73</v>
      </c>
      <c r="I419" s="34" t="s">
        <v>3374</v>
      </c>
      <c r="J419" s="34" t="s">
        <v>3375</v>
      </c>
      <c r="K419" s="39" t="s">
        <v>42</v>
      </c>
      <c r="L419" s="99" t="s">
        <v>3376</v>
      </c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2" t="s">
        <v>3377</v>
      </c>
      <c r="Y419" s="100" t="s">
        <v>3378</v>
      </c>
      <c r="Z419" s="44" t="s">
        <v>61</v>
      </c>
      <c r="AA419" s="45">
        <v>36641</v>
      </c>
      <c r="AB419" s="101" t="s">
        <v>30</v>
      </c>
      <c r="AC419" s="36" t="s">
        <v>26</v>
      </c>
      <c r="AD419" s="47" t="s">
        <v>49</v>
      </c>
      <c r="AE419" s="48" t="s">
        <v>49</v>
      </c>
      <c r="AF419" s="48" t="s">
        <v>49</v>
      </c>
      <c r="AG419" s="48" t="s">
        <v>49</v>
      </c>
      <c r="AH419" s="48" t="s">
        <v>49</v>
      </c>
      <c r="AI419" s="48" t="s">
        <v>49</v>
      </c>
      <c r="AJ419" s="49" t="s">
        <v>49</v>
      </c>
      <c r="AK419" s="48" t="s">
        <v>49</v>
      </c>
      <c r="AL419" s="65" t="s">
        <v>32</v>
      </c>
      <c r="AM419" s="65"/>
      <c r="AN419" s="59"/>
      <c r="AO419" s="10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1"/>
    </row>
    <row r="420" spans="1:52" x14ac:dyDescent="0.2">
      <c r="A420" s="33">
        <f t="shared" si="7"/>
        <v>415</v>
      </c>
      <c r="B420" s="34" t="s">
        <v>3379</v>
      </c>
      <c r="C420" s="35" t="s">
        <v>3380</v>
      </c>
      <c r="D420" s="36" t="s">
        <v>3381</v>
      </c>
      <c r="E420" s="36" t="s">
        <v>54</v>
      </c>
      <c r="F420" s="34" t="s">
        <v>3382</v>
      </c>
      <c r="G420" s="37" t="s">
        <v>456</v>
      </c>
      <c r="H420" s="37" t="s">
        <v>187</v>
      </c>
      <c r="I420" s="38" t="s">
        <v>3383</v>
      </c>
      <c r="J420" s="34" t="s">
        <v>41</v>
      </c>
      <c r="K420" s="39" t="s">
        <v>42</v>
      </c>
      <c r="L420" s="99" t="s">
        <v>3384</v>
      </c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7" t="s">
        <v>3385</v>
      </c>
      <c r="Y420" s="58" t="s">
        <v>3386</v>
      </c>
      <c r="Z420" s="44" t="s">
        <v>61</v>
      </c>
      <c r="AA420" s="45">
        <v>38593</v>
      </c>
      <c r="AB420" s="101" t="s">
        <v>30</v>
      </c>
      <c r="AC420" s="36" t="s">
        <v>26</v>
      </c>
      <c r="AD420" s="47" t="s">
        <v>49</v>
      </c>
      <c r="AE420" s="48" t="s">
        <v>49</v>
      </c>
      <c r="AF420" s="48" t="s">
        <v>49</v>
      </c>
      <c r="AG420" s="48" t="s">
        <v>49</v>
      </c>
      <c r="AH420" s="48" t="s">
        <v>49</v>
      </c>
      <c r="AI420" s="48" t="s">
        <v>49</v>
      </c>
      <c r="AJ420" s="49" t="s">
        <v>49</v>
      </c>
      <c r="AK420" s="48" t="s">
        <v>41</v>
      </c>
      <c r="AL420" s="65" t="s">
        <v>148</v>
      </c>
      <c r="AM420" s="65"/>
      <c r="AN420" s="59"/>
      <c r="AO420" s="10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1"/>
    </row>
    <row r="421" spans="1:52" x14ac:dyDescent="0.2">
      <c r="A421" s="33">
        <f t="shared" si="7"/>
        <v>416</v>
      </c>
      <c r="B421" s="34" t="s">
        <v>3387</v>
      </c>
      <c r="C421" s="35" t="s">
        <v>3388</v>
      </c>
      <c r="D421" s="36" t="s">
        <v>3389</v>
      </c>
      <c r="E421" s="36" t="s">
        <v>54</v>
      </c>
      <c r="F421" s="34" t="s">
        <v>3390</v>
      </c>
      <c r="G421" s="37" t="s">
        <v>176</v>
      </c>
      <c r="H421" s="37" t="s">
        <v>39</v>
      </c>
      <c r="I421" s="38" t="s">
        <v>3391</v>
      </c>
      <c r="J421" s="34"/>
      <c r="K421" s="39" t="s">
        <v>42</v>
      </c>
      <c r="L421" s="99" t="s">
        <v>3392</v>
      </c>
      <c r="M421" s="56"/>
      <c r="N421" s="56"/>
      <c r="O421" s="56"/>
      <c r="P421" s="56"/>
      <c r="Q421" s="56"/>
      <c r="R421" s="56"/>
      <c r="S421" s="56"/>
      <c r="T421" s="56" t="s">
        <v>44</v>
      </c>
      <c r="U421" s="56"/>
      <c r="V421" s="56"/>
      <c r="W421" s="56"/>
      <c r="X421" s="42" t="s">
        <v>3393</v>
      </c>
      <c r="Y421" s="58" t="s">
        <v>3394</v>
      </c>
      <c r="Z421" s="44"/>
      <c r="AA421" s="45">
        <v>45642</v>
      </c>
      <c r="AB421" s="101"/>
      <c r="AC421" s="36"/>
      <c r="AD421" s="47" t="s">
        <v>49</v>
      </c>
      <c r="AE421" s="48" t="s">
        <v>41</v>
      </c>
      <c r="AF421" s="48" t="s">
        <v>41</v>
      </c>
      <c r="AG421" s="48" t="s">
        <v>41</v>
      </c>
      <c r="AH421" s="48" t="s">
        <v>49</v>
      </c>
      <c r="AI421" s="48" t="s">
        <v>49</v>
      </c>
      <c r="AJ421" s="49" t="s">
        <v>49</v>
      </c>
      <c r="AK421" s="48" t="s">
        <v>49</v>
      </c>
      <c r="AL421" s="62" t="s">
        <v>32</v>
      </c>
      <c r="AM421" s="62"/>
      <c r="AN421" s="59"/>
      <c r="AO421" s="10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1"/>
    </row>
    <row r="422" spans="1:52" x14ac:dyDescent="0.2">
      <c r="A422" s="33">
        <f t="shared" si="7"/>
        <v>417</v>
      </c>
      <c r="B422" s="34" t="s">
        <v>3395</v>
      </c>
      <c r="C422" s="35" t="s">
        <v>3396</v>
      </c>
      <c r="D422" s="36" t="s">
        <v>3397</v>
      </c>
      <c r="E422" s="36" t="s">
        <v>54</v>
      </c>
      <c r="F422" s="34" t="s">
        <v>3398</v>
      </c>
      <c r="G422" s="37" t="s">
        <v>73</v>
      </c>
      <c r="H422" s="37" t="s">
        <v>73</v>
      </c>
      <c r="I422" s="38" t="s">
        <v>3399</v>
      </c>
      <c r="J422" s="34" t="s">
        <v>41</v>
      </c>
      <c r="K422" s="39" t="s">
        <v>42</v>
      </c>
      <c r="L422" s="120">
        <v>45355</v>
      </c>
      <c r="M422" s="41"/>
      <c r="N422" s="94"/>
      <c r="O422" s="94"/>
      <c r="P422" s="94"/>
      <c r="Q422" s="94"/>
      <c r="R422" s="94"/>
      <c r="S422" s="94"/>
      <c r="T422" s="94"/>
      <c r="U422" s="94" t="s">
        <v>44</v>
      </c>
      <c r="V422" s="94"/>
      <c r="W422" s="94"/>
      <c r="X422" s="54" t="s">
        <v>3400</v>
      </c>
      <c r="Y422" s="58" t="s">
        <v>3401</v>
      </c>
      <c r="Z422" s="44"/>
      <c r="AA422" s="45"/>
      <c r="AB422" s="101"/>
      <c r="AC422" s="36"/>
      <c r="AD422" s="61" t="s">
        <v>49</v>
      </c>
      <c r="AE422" s="48" t="s">
        <v>41</v>
      </c>
      <c r="AF422" s="48" t="s">
        <v>41</v>
      </c>
      <c r="AG422" s="48" t="s">
        <v>41</v>
      </c>
      <c r="AH422" s="48" t="s">
        <v>41</v>
      </c>
      <c r="AI422" s="48" t="s">
        <v>49</v>
      </c>
      <c r="AJ422" s="49" t="s">
        <v>41</v>
      </c>
      <c r="AK422" s="48" t="s">
        <v>41</v>
      </c>
      <c r="AL422" s="62" t="s">
        <v>276</v>
      </c>
      <c r="AM422" s="62"/>
      <c r="AN422" s="59"/>
      <c r="AO422" s="10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1"/>
    </row>
    <row r="423" spans="1:52" x14ac:dyDescent="0.2">
      <c r="A423" s="33">
        <f t="shared" si="7"/>
        <v>418</v>
      </c>
      <c r="B423" s="34" t="s">
        <v>3402</v>
      </c>
      <c r="C423" s="35" t="s">
        <v>3403</v>
      </c>
      <c r="D423" s="36" t="s">
        <v>3404</v>
      </c>
      <c r="E423" s="36" t="s">
        <v>54</v>
      </c>
      <c r="F423" s="34" t="s">
        <v>3405</v>
      </c>
      <c r="G423" s="37" t="s">
        <v>38</v>
      </c>
      <c r="H423" s="37" t="s">
        <v>39</v>
      </c>
      <c r="I423" s="38" t="s">
        <v>3325</v>
      </c>
      <c r="J423" s="34" t="s">
        <v>41</v>
      </c>
      <c r="K423" s="39" t="s">
        <v>42</v>
      </c>
      <c r="L423" s="99" t="s">
        <v>1824</v>
      </c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42" t="s">
        <v>3406</v>
      </c>
      <c r="Y423" s="58" t="s">
        <v>3407</v>
      </c>
      <c r="Z423" s="44" t="s">
        <v>61</v>
      </c>
      <c r="AA423" s="45">
        <v>39288</v>
      </c>
      <c r="AB423" s="101" t="s">
        <v>30</v>
      </c>
      <c r="AC423" s="36" t="s">
        <v>26</v>
      </c>
      <c r="AD423" s="47" t="s">
        <v>49</v>
      </c>
      <c r="AE423" s="48" t="s">
        <v>49</v>
      </c>
      <c r="AF423" s="48" t="s">
        <v>41</v>
      </c>
      <c r="AG423" s="48" t="s">
        <v>41</v>
      </c>
      <c r="AH423" s="48" t="s">
        <v>41</v>
      </c>
      <c r="AI423" s="48" t="s">
        <v>41</v>
      </c>
      <c r="AJ423" s="49" t="s">
        <v>41</v>
      </c>
      <c r="AK423" s="48" t="s">
        <v>41</v>
      </c>
      <c r="AL423" s="62" t="s">
        <v>4587</v>
      </c>
      <c r="AM423" s="62"/>
      <c r="AN423" s="59"/>
      <c r="AO423" s="10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1"/>
    </row>
    <row r="424" spans="1:52" x14ac:dyDescent="0.2">
      <c r="A424" s="33">
        <f t="shared" si="7"/>
        <v>419</v>
      </c>
      <c r="B424" s="34" t="s">
        <v>3408</v>
      </c>
      <c r="C424" s="35" t="s">
        <v>3409</v>
      </c>
      <c r="D424" s="36" t="s">
        <v>3410</v>
      </c>
      <c r="E424" s="36" t="s">
        <v>54</v>
      </c>
      <c r="F424" s="34" t="s">
        <v>3411</v>
      </c>
      <c r="G424" s="37" t="s">
        <v>73</v>
      </c>
      <c r="H424" s="37" t="s">
        <v>73</v>
      </c>
      <c r="I424" s="34" t="s">
        <v>3412</v>
      </c>
      <c r="J424" s="34" t="s">
        <v>3413</v>
      </c>
      <c r="K424" s="39" t="s">
        <v>42</v>
      </c>
      <c r="L424" s="120">
        <v>34761</v>
      </c>
      <c r="M424" s="41"/>
      <c r="N424" s="41"/>
      <c r="O424" s="41"/>
      <c r="P424" s="41"/>
      <c r="Q424" s="41"/>
      <c r="R424" s="41"/>
      <c r="S424" s="41"/>
      <c r="T424" s="41"/>
      <c r="U424" s="41" t="s">
        <v>732</v>
      </c>
      <c r="V424" s="41"/>
      <c r="W424" s="41"/>
      <c r="X424" s="42" t="s">
        <v>3414</v>
      </c>
      <c r="Y424" s="58" t="s">
        <v>3415</v>
      </c>
      <c r="Z424" s="44" t="s">
        <v>61</v>
      </c>
      <c r="AA424" s="45">
        <v>40815</v>
      </c>
      <c r="AB424" s="101" t="s">
        <v>30</v>
      </c>
      <c r="AC424" s="36" t="s">
        <v>26</v>
      </c>
      <c r="AD424" s="64" t="s">
        <v>120</v>
      </c>
      <c r="AE424" s="48" t="s">
        <v>120</v>
      </c>
      <c r="AF424" s="48" t="s">
        <v>120</v>
      </c>
      <c r="AG424" s="48" t="s">
        <v>120</v>
      </c>
      <c r="AH424" s="48" t="s">
        <v>120</v>
      </c>
      <c r="AI424" s="48" t="s">
        <v>120</v>
      </c>
      <c r="AJ424" s="49" t="s">
        <v>41</v>
      </c>
      <c r="AK424" s="48" t="s">
        <v>41</v>
      </c>
      <c r="AL424" s="62" t="s">
        <v>276</v>
      </c>
      <c r="AM424" s="62"/>
      <c r="AN424" s="59"/>
      <c r="AO424" s="10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1"/>
    </row>
    <row r="425" spans="1:52" x14ac:dyDescent="0.2">
      <c r="A425" s="33">
        <f t="shared" si="7"/>
        <v>420</v>
      </c>
      <c r="B425" s="34" t="s">
        <v>3416</v>
      </c>
      <c r="C425" s="35" t="s">
        <v>3417</v>
      </c>
      <c r="D425" s="36" t="s">
        <v>3418</v>
      </c>
      <c r="E425" s="36" t="s">
        <v>54</v>
      </c>
      <c r="F425" s="34" t="s">
        <v>3419</v>
      </c>
      <c r="G425" s="37" t="s">
        <v>176</v>
      </c>
      <c r="H425" s="37" t="s">
        <v>39</v>
      </c>
      <c r="I425" s="38" t="s">
        <v>3420</v>
      </c>
      <c r="J425" s="34" t="s">
        <v>41</v>
      </c>
      <c r="K425" s="39" t="s">
        <v>42</v>
      </c>
      <c r="L425" s="120">
        <v>45349</v>
      </c>
      <c r="M425" s="56"/>
      <c r="N425" s="56"/>
      <c r="O425" s="56"/>
      <c r="P425" s="56"/>
      <c r="Q425" s="56"/>
      <c r="R425" s="56"/>
      <c r="S425" s="56"/>
      <c r="T425" s="56"/>
      <c r="U425" s="56" t="s">
        <v>44</v>
      </c>
      <c r="V425" s="56"/>
      <c r="W425" s="56"/>
      <c r="X425" s="54" t="s">
        <v>3421</v>
      </c>
      <c r="Y425" s="83" t="s">
        <v>3422</v>
      </c>
      <c r="Z425" s="119"/>
      <c r="AA425" s="45"/>
      <c r="AB425" s="101"/>
      <c r="AC425" s="36"/>
      <c r="AD425" s="47" t="s">
        <v>49</v>
      </c>
      <c r="AE425" s="48" t="s">
        <v>41</v>
      </c>
      <c r="AF425" s="48" t="s">
        <v>41</v>
      </c>
      <c r="AG425" s="48" t="s">
        <v>41</v>
      </c>
      <c r="AH425" s="48" t="s">
        <v>41</v>
      </c>
      <c r="AI425" s="48" t="s">
        <v>49</v>
      </c>
      <c r="AJ425" s="49" t="s">
        <v>41</v>
      </c>
      <c r="AK425" s="48" t="s">
        <v>41</v>
      </c>
      <c r="AL425" s="62" t="s">
        <v>276</v>
      </c>
      <c r="AM425" s="62"/>
      <c r="AN425" s="59"/>
      <c r="AO425" s="10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1"/>
    </row>
    <row r="426" spans="1:52" x14ac:dyDescent="0.2">
      <c r="A426" s="33">
        <f t="shared" si="7"/>
        <v>421</v>
      </c>
      <c r="B426" s="34" t="s">
        <v>3423</v>
      </c>
      <c r="C426" s="35" t="s">
        <v>3424</v>
      </c>
      <c r="D426" s="36" t="s">
        <v>3425</v>
      </c>
      <c r="E426" s="36" t="s">
        <v>54</v>
      </c>
      <c r="F426" s="34" t="s">
        <v>3426</v>
      </c>
      <c r="G426" s="37" t="s">
        <v>176</v>
      </c>
      <c r="H426" s="37" t="s">
        <v>39</v>
      </c>
      <c r="I426" s="38" t="s">
        <v>3427</v>
      </c>
      <c r="J426" s="34" t="s">
        <v>41</v>
      </c>
      <c r="K426" s="39" t="s">
        <v>42</v>
      </c>
      <c r="L426" s="99" t="s">
        <v>3428</v>
      </c>
      <c r="M426" s="115"/>
      <c r="N426" s="115"/>
      <c r="O426" s="115"/>
      <c r="P426" s="115"/>
      <c r="Q426" s="115"/>
      <c r="R426" s="115"/>
      <c r="S426" s="115"/>
      <c r="T426" s="56"/>
      <c r="U426" s="56"/>
      <c r="V426" s="56"/>
      <c r="W426" s="56"/>
      <c r="X426" s="42" t="s">
        <v>3429</v>
      </c>
      <c r="Y426" s="58" t="s">
        <v>3430</v>
      </c>
      <c r="Z426" s="121" t="s">
        <v>3431</v>
      </c>
      <c r="AA426" s="45">
        <v>44650</v>
      </c>
      <c r="AB426" s="101" t="s">
        <v>30</v>
      </c>
      <c r="AC426" s="36" t="s">
        <v>26</v>
      </c>
      <c r="AD426" s="47" t="s">
        <v>49</v>
      </c>
      <c r="AE426" s="48" t="s">
        <v>49</v>
      </c>
      <c r="AF426" s="48" t="s">
        <v>49</v>
      </c>
      <c r="AG426" s="48" t="s">
        <v>49</v>
      </c>
      <c r="AH426" s="48" t="s">
        <v>49</v>
      </c>
      <c r="AI426" s="48" t="s">
        <v>49</v>
      </c>
      <c r="AJ426" s="49" t="s">
        <v>41</v>
      </c>
      <c r="AK426" s="48" t="s">
        <v>41</v>
      </c>
      <c r="AL426" s="62" t="s">
        <v>276</v>
      </c>
      <c r="AM426" s="62"/>
      <c r="AN426" s="59"/>
      <c r="AO426" s="10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1"/>
    </row>
    <row r="427" spans="1:52" x14ac:dyDescent="0.2">
      <c r="A427" s="33">
        <f t="shared" si="7"/>
        <v>422</v>
      </c>
      <c r="B427" s="34" t="s">
        <v>3432</v>
      </c>
      <c r="C427" s="35" t="s">
        <v>3433</v>
      </c>
      <c r="D427" s="36" t="s">
        <v>3434</v>
      </c>
      <c r="E427" s="36" t="s">
        <v>54</v>
      </c>
      <c r="F427" s="34" t="s">
        <v>3435</v>
      </c>
      <c r="G427" s="37" t="s">
        <v>205</v>
      </c>
      <c r="H427" s="37" t="s">
        <v>205</v>
      </c>
      <c r="I427" s="38" t="s">
        <v>3436</v>
      </c>
      <c r="J427" s="38" t="s">
        <v>3437</v>
      </c>
      <c r="K427" s="39" t="s">
        <v>42</v>
      </c>
      <c r="L427" s="99" t="s">
        <v>3438</v>
      </c>
      <c r="M427" s="115"/>
      <c r="N427" s="115"/>
      <c r="O427" s="115"/>
      <c r="P427" s="115"/>
      <c r="Q427" s="115"/>
      <c r="R427" s="115"/>
      <c r="S427" s="115"/>
      <c r="T427" s="56"/>
      <c r="U427" s="56"/>
      <c r="V427" s="56"/>
      <c r="W427" s="56"/>
      <c r="X427" s="42" t="s">
        <v>3439</v>
      </c>
      <c r="Y427" s="58" t="s">
        <v>3440</v>
      </c>
      <c r="Z427" s="44" t="s">
        <v>3441</v>
      </c>
      <c r="AA427" s="45">
        <v>44041</v>
      </c>
      <c r="AB427" s="101" t="s">
        <v>30</v>
      </c>
      <c r="AC427" s="36" t="s">
        <v>26</v>
      </c>
      <c r="AD427" s="47" t="s">
        <v>49</v>
      </c>
      <c r="AE427" s="48" t="s">
        <v>49</v>
      </c>
      <c r="AF427" s="48" t="s">
        <v>49</v>
      </c>
      <c r="AG427" s="48" t="s">
        <v>49</v>
      </c>
      <c r="AH427" s="48" t="s">
        <v>49</v>
      </c>
      <c r="AI427" s="48" t="s">
        <v>49</v>
      </c>
      <c r="AJ427" s="49" t="s">
        <v>49</v>
      </c>
      <c r="AK427" s="48" t="s">
        <v>49</v>
      </c>
      <c r="AL427" s="62" t="s">
        <v>32</v>
      </c>
      <c r="AM427" s="62"/>
      <c r="AN427" s="59"/>
      <c r="AO427" s="117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1"/>
    </row>
    <row r="428" spans="1:52" x14ac:dyDescent="0.2">
      <c r="A428" s="33">
        <f t="shared" si="7"/>
        <v>423</v>
      </c>
      <c r="B428" s="34" t="s">
        <v>3442</v>
      </c>
      <c r="C428" s="35" t="s">
        <v>3443</v>
      </c>
      <c r="D428" s="36" t="s">
        <v>3444</v>
      </c>
      <c r="E428" s="36" t="s">
        <v>36</v>
      </c>
      <c r="F428" s="34" t="s">
        <v>3445</v>
      </c>
      <c r="G428" s="37" t="s">
        <v>243</v>
      </c>
      <c r="H428" s="37" t="s">
        <v>205</v>
      </c>
      <c r="I428" s="38" t="s">
        <v>3446</v>
      </c>
      <c r="J428" s="38" t="s">
        <v>41</v>
      </c>
      <c r="K428" s="39" t="s">
        <v>42</v>
      </c>
      <c r="L428" s="99" t="s">
        <v>3447</v>
      </c>
      <c r="M428" s="115"/>
      <c r="N428" s="115"/>
      <c r="O428" s="115"/>
      <c r="P428" s="115"/>
      <c r="Q428" s="115"/>
      <c r="R428" s="115"/>
      <c r="S428" s="115" t="s">
        <v>44</v>
      </c>
      <c r="T428" s="56"/>
      <c r="U428" s="56"/>
      <c r="V428" s="56"/>
      <c r="W428" s="56"/>
      <c r="X428" s="42" t="s">
        <v>3448</v>
      </c>
      <c r="Y428" s="58" t="s">
        <v>3449</v>
      </c>
      <c r="Z428" s="58"/>
      <c r="AA428" s="223" t="s">
        <v>47</v>
      </c>
      <c r="AB428" s="101"/>
      <c r="AC428" s="36"/>
      <c r="AD428" s="47" t="s">
        <v>49</v>
      </c>
      <c r="AE428" s="48" t="s">
        <v>41</v>
      </c>
      <c r="AF428" s="48" t="s">
        <v>41</v>
      </c>
      <c r="AG428" s="48" t="s">
        <v>49</v>
      </c>
      <c r="AH428" s="48" t="s">
        <v>49</v>
      </c>
      <c r="AI428" s="48" t="s">
        <v>49</v>
      </c>
      <c r="AJ428" s="49" t="s">
        <v>49</v>
      </c>
      <c r="AK428" s="48" t="s">
        <v>41</v>
      </c>
      <c r="AL428" s="62" t="s">
        <v>148</v>
      </c>
      <c r="AM428" s="62"/>
      <c r="AN428" s="59"/>
      <c r="AO428" s="10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1"/>
    </row>
    <row r="429" spans="1:52" x14ac:dyDescent="0.2">
      <c r="A429" s="33">
        <f t="shared" si="7"/>
        <v>424</v>
      </c>
      <c r="B429" s="34" t="s">
        <v>3450</v>
      </c>
      <c r="C429" s="123" t="s">
        <v>3451</v>
      </c>
      <c r="D429" s="202" t="s">
        <v>3452</v>
      </c>
      <c r="E429" s="36" t="s">
        <v>54</v>
      </c>
      <c r="F429" s="34" t="s">
        <v>3453</v>
      </c>
      <c r="G429" s="126" t="s">
        <v>323</v>
      </c>
      <c r="H429" s="126" t="s">
        <v>39</v>
      </c>
      <c r="I429" s="34" t="s">
        <v>3454</v>
      </c>
      <c r="J429" s="34" t="s">
        <v>3455</v>
      </c>
      <c r="K429" s="128" t="s">
        <v>42</v>
      </c>
      <c r="L429" s="120">
        <v>37201</v>
      </c>
      <c r="M429" s="188"/>
      <c r="N429" s="188"/>
      <c r="O429" s="188"/>
      <c r="P429" s="188"/>
      <c r="Q429" s="188"/>
      <c r="R429" s="188"/>
      <c r="S429" s="188"/>
      <c r="T429" s="188"/>
      <c r="U429" s="188"/>
      <c r="V429" s="188"/>
      <c r="W429" s="188"/>
      <c r="X429" s="42" t="s">
        <v>3456</v>
      </c>
      <c r="Y429" s="100" t="s">
        <v>3457</v>
      </c>
      <c r="Z429" s="119" t="s">
        <v>61</v>
      </c>
      <c r="AA429" s="131">
        <v>39286</v>
      </c>
      <c r="AB429" s="164" t="s">
        <v>30</v>
      </c>
      <c r="AC429" s="36" t="s">
        <v>26</v>
      </c>
      <c r="AD429" s="133" t="s">
        <v>49</v>
      </c>
      <c r="AE429" s="48" t="s">
        <v>49</v>
      </c>
      <c r="AF429" s="48" t="s">
        <v>49</v>
      </c>
      <c r="AG429" s="48" t="s">
        <v>49</v>
      </c>
      <c r="AH429" s="48" t="s">
        <v>49</v>
      </c>
      <c r="AI429" s="48" t="s">
        <v>49</v>
      </c>
      <c r="AJ429" s="49" t="s">
        <v>49</v>
      </c>
      <c r="AK429" s="48" t="s">
        <v>49</v>
      </c>
      <c r="AL429" s="62" t="s">
        <v>32</v>
      </c>
      <c r="AM429" s="232"/>
      <c r="AN429" s="134"/>
      <c r="AO429" s="10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1"/>
    </row>
    <row r="430" spans="1:52" x14ac:dyDescent="0.2">
      <c r="A430" s="33">
        <f t="shared" si="7"/>
        <v>425</v>
      </c>
      <c r="B430" s="34" t="s">
        <v>3458</v>
      </c>
      <c r="C430" s="123" t="s">
        <v>3459</v>
      </c>
      <c r="D430" s="202" t="s">
        <v>3460</v>
      </c>
      <c r="E430" s="36" t="s">
        <v>54</v>
      </c>
      <c r="F430" s="34" t="s">
        <v>3461</v>
      </c>
      <c r="G430" s="126" t="s">
        <v>349</v>
      </c>
      <c r="H430" s="126" t="s">
        <v>350</v>
      </c>
      <c r="I430" s="38" t="s">
        <v>3462</v>
      </c>
      <c r="J430" s="34" t="s">
        <v>41</v>
      </c>
      <c r="K430" s="128" t="s">
        <v>42</v>
      </c>
      <c r="L430" s="163" t="s">
        <v>3463</v>
      </c>
      <c r="M430" s="130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42" t="s">
        <v>3464</v>
      </c>
      <c r="Y430" s="58" t="s">
        <v>3465</v>
      </c>
      <c r="Z430" s="44" t="s">
        <v>3466</v>
      </c>
      <c r="AA430" s="131">
        <v>42935</v>
      </c>
      <c r="AB430" s="101" t="s">
        <v>30</v>
      </c>
      <c r="AC430" s="36" t="s">
        <v>26</v>
      </c>
      <c r="AD430" s="133" t="s">
        <v>49</v>
      </c>
      <c r="AE430" s="48" t="s">
        <v>49</v>
      </c>
      <c r="AF430" s="48" t="s">
        <v>41</v>
      </c>
      <c r="AG430" s="48" t="s">
        <v>41</v>
      </c>
      <c r="AH430" s="48" t="s">
        <v>41</v>
      </c>
      <c r="AI430" s="48" t="s">
        <v>41</v>
      </c>
      <c r="AJ430" s="49" t="s">
        <v>41</v>
      </c>
      <c r="AK430" s="48" t="s">
        <v>41</v>
      </c>
      <c r="AL430" s="232" t="s">
        <v>4587</v>
      </c>
      <c r="AM430" s="232"/>
      <c r="AN430" s="134"/>
      <c r="AO430" s="117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1"/>
    </row>
    <row r="431" spans="1:52" x14ac:dyDescent="0.2">
      <c r="A431" s="33">
        <f t="shared" si="7"/>
        <v>426</v>
      </c>
      <c r="B431" s="122" t="s">
        <v>3467</v>
      </c>
      <c r="C431" s="123" t="s">
        <v>3468</v>
      </c>
      <c r="D431" s="202" t="s">
        <v>3469</v>
      </c>
      <c r="E431" s="36" t="s">
        <v>54</v>
      </c>
      <c r="F431" s="122" t="s">
        <v>3470</v>
      </c>
      <c r="G431" s="126" t="s">
        <v>73</v>
      </c>
      <c r="H431" s="126" t="s">
        <v>73</v>
      </c>
      <c r="I431" s="127" t="s">
        <v>3471</v>
      </c>
      <c r="J431" s="122"/>
      <c r="K431" s="128" t="s">
        <v>42</v>
      </c>
      <c r="L431" s="163" t="s">
        <v>3472</v>
      </c>
      <c r="M431" s="130"/>
      <c r="N431" s="130"/>
      <c r="O431" s="130"/>
      <c r="P431" s="130"/>
      <c r="Q431" s="130"/>
      <c r="R431" s="130"/>
      <c r="S431" s="130" t="s">
        <v>44</v>
      </c>
      <c r="T431" s="130"/>
      <c r="U431" s="130"/>
      <c r="V431" s="130"/>
      <c r="W431" s="130"/>
      <c r="X431" s="42" t="s">
        <v>3474</v>
      </c>
      <c r="Y431" s="58" t="s">
        <v>3475</v>
      </c>
      <c r="Z431" s="121" t="s">
        <v>3476</v>
      </c>
      <c r="AA431" s="45">
        <v>44650</v>
      </c>
      <c r="AB431" s="101" t="s">
        <v>30</v>
      </c>
      <c r="AC431" s="36"/>
      <c r="AD431" s="133" t="s">
        <v>49</v>
      </c>
      <c r="AE431" s="48" t="s">
        <v>41</v>
      </c>
      <c r="AF431" s="48" t="s">
        <v>41</v>
      </c>
      <c r="AG431" s="48" t="s">
        <v>49</v>
      </c>
      <c r="AH431" s="48" t="s">
        <v>49</v>
      </c>
      <c r="AI431" s="48" t="s">
        <v>49</v>
      </c>
      <c r="AJ431" s="49" t="s">
        <v>49</v>
      </c>
      <c r="AK431" s="48" t="s">
        <v>49</v>
      </c>
      <c r="AL431" s="65" t="s">
        <v>32</v>
      </c>
      <c r="AM431" s="325"/>
      <c r="AN431" s="134"/>
      <c r="AO431" s="117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1"/>
    </row>
    <row r="432" spans="1:52" x14ac:dyDescent="0.2">
      <c r="A432" s="33">
        <f t="shared" si="7"/>
        <v>427</v>
      </c>
      <c r="B432" s="34" t="s">
        <v>3477</v>
      </c>
      <c r="C432" s="35" t="s">
        <v>3478</v>
      </c>
      <c r="D432" s="36" t="s">
        <v>3479</v>
      </c>
      <c r="E432" s="36" t="s">
        <v>36</v>
      </c>
      <c r="F432" s="34" t="s">
        <v>3480</v>
      </c>
      <c r="G432" s="37" t="s">
        <v>38</v>
      </c>
      <c r="H432" s="37" t="s">
        <v>39</v>
      </c>
      <c r="I432" s="38" t="s">
        <v>3481</v>
      </c>
      <c r="J432" s="34" t="s">
        <v>41</v>
      </c>
      <c r="K432" s="39" t="s">
        <v>42</v>
      </c>
      <c r="L432" s="120">
        <v>38295</v>
      </c>
      <c r="M432" s="56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42" t="s">
        <v>3482</v>
      </c>
      <c r="Y432" s="58" t="s">
        <v>3483</v>
      </c>
      <c r="Z432" s="44" t="s">
        <v>61</v>
      </c>
      <c r="AA432" s="45">
        <v>39286</v>
      </c>
      <c r="AB432" s="101" t="s">
        <v>30</v>
      </c>
      <c r="AC432" s="36"/>
      <c r="AD432" s="47" t="s">
        <v>49</v>
      </c>
      <c r="AE432" s="48" t="s">
        <v>41</v>
      </c>
      <c r="AF432" s="48" t="s">
        <v>41</v>
      </c>
      <c r="AG432" s="48" t="s">
        <v>41</v>
      </c>
      <c r="AH432" s="48" t="s">
        <v>41</v>
      </c>
      <c r="AI432" s="48" t="s">
        <v>41</v>
      </c>
      <c r="AJ432" s="49" t="s">
        <v>41</v>
      </c>
      <c r="AK432" s="48" t="s">
        <v>41</v>
      </c>
      <c r="AL432" s="65" t="s">
        <v>4588</v>
      </c>
      <c r="AM432" s="65"/>
      <c r="AN432" s="59" t="s">
        <v>451</v>
      </c>
      <c r="AO432" s="117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1"/>
    </row>
    <row r="433" spans="1:52" x14ac:dyDescent="0.2">
      <c r="A433" s="33">
        <f t="shared" si="7"/>
        <v>428</v>
      </c>
      <c r="B433" s="34" t="s">
        <v>3484</v>
      </c>
      <c r="C433" s="35" t="s">
        <v>3485</v>
      </c>
      <c r="D433" s="73" t="s">
        <v>3486</v>
      </c>
      <c r="E433" s="36" t="s">
        <v>54</v>
      </c>
      <c r="F433" s="98" t="s">
        <v>3487</v>
      </c>
      <c r="G433" s="37" t="s">
        <v>747</v>
      </c>
      <c r="H433" s="37" t="s">
        <v>378</v>
      </c>
      <c r="I433" s="34" t="s">
        <v>3488</v>
      </c>
      <c r="J433" s="34" t="s">
        <v>41</v>
      </c>
      <c r="K433" s="39" t="s">
        <v>42</v>
      </c>
      <c r="L433" s="120" t="s">
        <v>3489</v>
      </c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2" t="s">
        <v>3490</v>
      </c>
      <c r="Y433" s="58" t="s">
        <v>3491</v>
      </c>
      <c r="Z433" s="44" t="s">
        <v>61</v>
      </c>
      <c r="AA433" s="45">
        <v>36641</v>
      </c>
      <c r="AB433" s="101" t="s">
        <v>30</v>
      </c>
      <c r="AC433" s="73"/>
      <c r="AD433" s="47" t="s">
        <v>49</v>
      </c>
      <c r="AE433" s="48" t="s">
        <v>41</v>
      </c>
      <c r="AF433" s="48" t="s">
        <v>41</v>
      </c>
      <c r="AG433" s="48" t="s">
        <v>41</v>
      </c>
      <c r="AH433" s="48" t="s">
        <v>41</v>
      </c>
      <c r="AI433" s="48" t="s">
        <v>41</v>
      </c>
      <c r="AJ433" s="49" t="s">
        <v>41</v>
      </c>
      <c r="AK433" s="48" t="s">
        <v>41</v>
      </c>
      <c r="AL433" s="65" t="s">
        <v>4588</v>
      </c>
      <c r="AM433" s="65"/>
      <c r="AN433" s="59" t="s">
        <v>192</v>
      </c>
      <c r="AO433" s="117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1"/>
    </row>
    <row r="434" spans="1:52" x14ac:dyDescent="0.2">
      <c r="A434" s="33">
        <f t="shared" si="7"/>
        <v>429</v>
      </c>
      <c r="B434" s="34" t="s">
        <v>3492</v>
      </c>
      <c r="C434" s="35" t="s">
        <v>3493</v>
      </c>
      <c r="D434" s="36" t="s">
        <v>3494</v>
      </c>
      <c r="E434" s="36" t="s">
        <v>36</v>
      </c>
      <c r="F434" s="34" t="s">
        <v>3495</v>
      </c>
      <c r="G434" s="37" t="s">
        <v>4660</v>
      </c>
      <c r="H434" s="37" t="s">
        <v>39</v>
      </c>
      <c r="I434" s="183" t="s">
        <v>3496</v>
      </c>
      <c r="J434" s="34" t="s">
        <v>41</v>
      </c>
      <c r="K434" s="39" t="s">
        <v>42</v>
      </c>
      <c r="L434" s="120" t="s">
        <v>3497</v>
      </c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2" t="s">
        <v>3498</v>
      </c>
      <c r="Y434" s="100" t="s">
        <v>3499</v>
      </c>
      <c r="Z434" s="44" t="s">
        <v>3500</v>
      </c>
      <c r="AA434" s="131">
        <v>44041</v>
      </c>
      <c r="AB434" s="101" t="s">
        <v>30</v>
      </c>
      <c r="AC434" s="36" t="s">
        <v>26</v>
      </c>
      <c r="AD434" s="47" t="s">
        <v>49</v>
      </c>
      <c r="AE434" s="48" t="s">
        <v>49</v>
      </c>
      <c r="AF434" s="48" t="s">
        <v>49</v>
      </c>
      <c r="AG434" s="48" t="s">
        <v>49</v>
      </c>
      <c r="AH434" s="48" t="s">
        <v>49</v>
      </c>
      <c r="AI434" s="48" t="s">
        <v>49</v>
      </c>
      <c r="AJ434" s="49" t="s">
        <v>49</v>
      </c>
      <c r="AK434" s="48" t="s">
        <v>49</v>
      </c>
      <c r="AL434" s="65" t="s">
        <v>32</v>
      </c>
      <c r="AM434" s="65"/>
      <c r="AN434" s="59"/>
      <c r="AO434" s="102"/>
      <c r="AP434" s="32"/>
      <c r="AQ434" s="32"/>
      <c r="AR434" s="32"/>
      <c r="AS434" s="32"/>
      <c r="AT434" s="32"/>
      <c r="AU434" s="32"/>
      <c r="AV434" s="32"/>
      <c r="AW434" s="32"/>
      <c r="AX434" s="32"/>
      <c r="AY434" s="32"/>
      <c r="AZ434" s="31"/>
    </row>
    <row r="435" spans="1:52" x14ac:dyDescent="0.2">
      <c r="A435" s="33">
        <f t="shared" si="7"/>
        <v>430</v>
      </c>
      <c r="B435" s="34" t="s">
        <v>3501</v>
      </c>
      <c r="C435" s="35" t="s">
        <v>3502</v>
      </c>
      <c r="D435" s="73" t="s">
        <v>3503</v>
      </c>
      <c r="E435" s="36" t="s">
        <v>54</v>
      </c>
      <c r="F435" s="226" t="s">
        <v>3504</v>
      </c>
      <c r="G435" s="37" t="s">
        <v>73</v>
      </c>
      <c r="H435" s="37" t="s">
        <v>73</v>
      </c>
      <c r="I435" s="108" t="s">
        <v>3505</v>
      </c>
      <c r="J435" s="34" t="s">
        <v>41</v>
      </c>
      <c r="K435" s="39" t="s">
        <v>42</v>
      </c>
      <c r="L435" s="99" t="s">
        <v>3506</v>
      </c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42" t="s">
        <v>3507</v>
      </c>
      <c r="Y435" s="58" t="s">
        <v>3508</v>
      </c>
      <c r="Z435" s="44" t="s">
        <v>61</v>
      </c>
      <c r="AA435" s="45">
        <v>38593</v>
      </c>
      <c r="AB435" s="101" t="s">
        <v>30</v>
      </c>
      <c r="AC435" s="73" t="s">
        <v>26</v>
      </c>
      <c r="AD435" s="47" t="s">
        <v>49</v>
      </c>
      <c r="AE435" s="48" t="s">
        <v>49</v>
      </c>
      <c r="AF435" s="48" t="s">
        <v>49</v>
      </c>
      <c r="AG435" s="48" t="s">
        <v>49</v>
      </c>
      <c r="AH435" s="48" t="s">
        <v>49</v>
      </c>
      <c r="AI435" s="48" t="s">
        <v>49</v>
      </c>
      <c r="AJ435" s="49" t="s">
        <v>49</v>
      </c>
      <c r="AK435" s="48" t="s">
        <v>49</v>
      </c>
      <c r="AL435" s="62" t="s">
        <v>32</v>
      </c>
      <c r="AM435" s="62"/>
      <c r="AN435" s="59"/>
      <c r="AO435" s="117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1"/>
    </row>
    <row r="436" spans="1:52" x14ac:dyDescent="0.2">
      <c r="A436" s="33">
        <f t="shared" si="7"/>
        <v>431</v>
      </c>
      <c r="B436" s="34" t="s">
        <v>3509</v>
      </c>
      <c r="C436" s="35" t="s">
        <v>3510</v>
      </c>
      <c r="D436" s="36" t="s">
        <v>3511</v>
      </c>
      <c r="E436" s="36" t="s">
        <v>54</v>
      </c>
      <c r="F436" s="34" t="s">
        <v>3512</v>
      </c>
      <c r="G436" s="37" t="s">
        <v>243</v>
      </c>
      <c r="H436" s="37" t="s">
        <v>205</v>
      </c>
      <c r="I436" s="34" t="s">
        <v>3513</v>
      </c>
      <c r="J436" s="34" t="s">
        <v>3514</v>
      </c>
      <c r="K436" s="39" t="s">
        <v>42</v>
      </c>
      <c r="L436" s="99" t="s">
        <v>3515</v>
      </c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2" t="s">
        <v>3516</v>
      </c>
      <c r="Y436" s="43" t="s">
        <v>3517</v>
      </c>
      <c r="Z436" s="44" t="s">
        <v>61</v>
      </c>
      <c r="AA436" s="45">
        <v>40280</v>
      </c>
      <c r="AB436" s="101" t="s">
        <v>30</v>
      </c>
      <c r="AC436" s="36" t="s">
        <v>26</v>
      </c>
      <c r="AD436" s="47" t="s">
        <v>49</v>
      </c>
      <c r="AE436" s="48" t="s">
        <v>49</v>
      </c>
      <c r="AF436" s="48" t="s">
        <v>49</v>
      </c>
      <c r="AG436" s="48" t="s">
        <v>49</v>
      </c>
      <c r="AH436" s="48" t="s">
        <v>49</v>
      </c>
      <c r="AI436" s="48" t="s">
        <v>49</v>
      </c>
      <c r="AJ436" s="49" t="s">
        <v>49</v>
      </c>
      <c r="AK436" s="48" t="s">
        <v>49</v>
      </c>
      <c r="AL436" s="65" t="s">
        <v>32</v>
      </c>
      <c r="AM436" s="65"/>
      <c r="AN436" s="59"/>
      <c r="AO436" s="117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1"/>
    </row>
    <row r="437" spans="1:52" x14ac:dyDescent="0.2">
      <c r="A437" s="33">
        <f t="shared" si="7"/>
        <v>432</v>
      </c>
      <c r="B437" s="34" t="s">
        <v>3518</v>
      </c>
      <c r="C437" s="35" t="s">
        <v>3519</v>
      </c>
      <c r="D437" s="36" t="s">
        <v>3520</v>
      </c>
      <c r="E437" s="36" t="s">
        <v>54</v>
      </c>
      <c r="F437" s="34" t="s">
        <v>3521</v>
      </c>
      <c r="G437" s="37" t="s">
        <v>39</v>
      </c>
      <c r="H437" s="37" t="s">
        <v>39</v>
      </c>
      <c r="I437" s="34" t="s">
        <v>3522</v>
      </c>
      <c r="J437" s="34" t="s">
        <v>3523</v>
      </c>
      <c r="K437" s="39" t="s">
        <v>42</v>
      </c>
      <c r="L437" s="120">
        <v>33918</v>
      </c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2" t="s">
        <v>3524</v>
      </c>
      <c r="Y437" s="58" t="s">
        <v>3525</v>
      </c>
      <c r="Z437" s="44" t="s">
        <v>61</v>
      </c>
      <c r="AA437" s="131">
        <v>39286</v>
      </c>
      <c r="AB437" s="101" t="s">
        <v>30</v>
      </c>
      <c r="AC437" s="36"/>
      <c r="AD437" s="47" t="s">
        <v>49</v>
      </c>
      <c r="AE437" s="48" t="s">
        <v>41</v>
      </c>
      <c r="AF437" s="48" t="s">
        <v>41</v>
      </c>
      <c r="AG437" s="48" t="s">
        <v>41</v>
      </c>
      <c r="AH437" s="48" t="s">
        <v>41</v>
      </c>
      <c r="AI437" s="48" t="s">
        <v>41</v>
      </c>
      <c r="AJ437" s="49" t="s">
        <v>41</v>
      </c>
      <c r="AK437" s="48" t="s">
        <v>41</v>
      </c>
      <c r="AL437" s="65" t="s">
        <v>4591</v>
      </c>
      <c r="AM437" s="65"/>
      <c r="AN437" s="59" t="s">
        <v>1230</v>
      </c>
      <c r="AO437" s="10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1"/>
    </row>
    <row r="438" spans="1:52" x14ac:dyDescent="0.2">
      <c r="A438" s="33">
        <f t="shared" si="7"/>
        <v>433</v>
      </c>
      <c r="B438" s="34" t="s">
        <v>3526</v>
      </c>
      <c r="C438" s="35" t="s">
        <v>3527</v>
      </c>
      <c r="D438" s="36" t="s">
        <v>3528</v>
      </c>
      <c r="E438" s="36" t="s">
        <v>54</v>
      </c>
      <c r="F438" s="34" t="s">
        <v>3529</v>
      </c>
      <c r="G438" s="37" t="s">
        <v>73</v>
      </c>
      <c r="H438" s="37" t="s">
        <v>73</v>
      </c>
      <c r="I438" s="34" t="s">
        <v>3530</v>
      </c>
      <c r="J438" s="34" t="s">
        <v>3531</v>
      </c>
      <c r="K438" s="39" t="s">
        <v>42</v>
      </c>
      <c r="L438" s="120" t="s">
        <v>2817</v>
      </c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2" t="s">
        <v>3532</v>
      </c>
      <c r="Y438" s="83" t="s">
        <v>3533</v>
      </c>
      <c r="Z438" s="44" t="s">
        <v>61</v>
      </c>
      <c r="AA438" s="45">
        <v>40280</v>
      </c>
      <c r="AB438" s="101" t="s">
        <v>30</v>
      </c>
      <c r="AC438" s="36" t="s">
        <v>26</v>
      </c>
      <c r="AD438" s="47" t="s">
        <v>49</v>
      </c>
      <c r="AE438" s="48" t="s">
        <v>49</v>
      </c>
      <c r="AF438" s="48" t="s">
        <v>49</v>
      </c>
      <c r="AG438" s="48" t="s">
        <v>49</v>
      </c>
      <c r="AH438" s="48" t="s">
        <v>49</v>
      </c>
      <c r="AI438" s="48" t="s">
        <v>49</v>
      </c>
      <c r="AJ438" s="49" t="s">
        <v>49</v>
      </c>
      <c r="AK438" s="48" t="s">
        <v>41</v>
      </c>
      <c r="AL438" s="62" t="s">
        <v>148</v>
      </c>
      <c r="AM438" s="62"/>
      <c r="AN438" s="59"/>
      <c r="AO438" s="10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1"/>
    </row>
    <row r="439" spans="1:52" x14ac:dyDescent="0.2">
      <c r="A439" s="33">
        <f t="shared" si="7"/>
        <v>434</v>
      </c>
      <c r="B439" s="34" t="s">
        <v>3534</v>
      </c>
      <c r="C439" s="35" t="s">
        <v>3535</v>
      </c>
      <c r="D439" s="36" t="s">
        <v>3536</v>
      </c>
      <c r="E439" s="36" t="s">
        <v>54</v>
      </c>
      <c r="F439" s="34" t="s">
        <v>3537</v>
      </c>
      <c r="G439" s="37" t="s">
        <v>4605</v>
      </c>
      <c r="H439" s="37" t="s">
        <v>205</v>
      </c>
      <c r="I439" s="38" t="s">
        <v>3538</v>
      </c>
      <c r="J439" s="34" t="s">
        <v>41</v>
      </c>
      <c r="K439" s="39" t="s">
        <v>42</v>
      </c>
      <c r="L439" s="120">
        <v>44167</v>
      </c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2" t="s">
        <v>3539</v>
      </c>
      <c r="Y439" s="43" t="s">
        <v>3540</v>
      </c>
      <c r="Z439" s="44" t="s">
        <v>2487</v>
      </c>
      <c r="AA439" s="45">
        <v>44041</v>
      </c>
      <c r="AB439" s="101" t="s">
        <v>30</v>
      </c>
      <c r="AC439" s="36" t="s">
        <v>26</v>
      </c>
      <c r="AD439" s="47" t="s">
        <v>49</v>
      </c>
      <c r="AE439" s="48" t="s">
        <v>49</v>
      </c>
      <c r="AF439" s="48" t="s">
        <v>49</v>
      </c>
      <c r="AG439" s="48" t="s">
        <v>49</v>
      </c>
      <c r="AH439" s="48" t="s">
        <v>49</v>
      </c>
      <c r="AI439" s="48" t="s">
        <v>49</v>
      </c>
      <c r="AJ439" s="49" t="s">
        <v>49</v>
      </c>
      <c r="AK439" s="48" t="s">
        <v>49</v>
      </c>
      <c r="AL439" s="62" t="s">
        <v>32</v>
      </c>
      <c r="AM439" s="62"/>
      <c r="AN439" s="59"/>
      <c r="AO439" s="10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1"/>
    </row>
    <row r="440" spans="1:52" x14ac:dyDescent="0.2">
      <c r="A440" s="33">
        <f t="shared" si="7"/>
        <v>435</v>
      </c>
      <c r="B440" s="34" t="s">
        <v>3541</v>
      </c>
      <c r="C440" s="35" t="s">
        <v>3542</v>
      </c>
      <c r="D440" s="36" t="s">
        <v>3543</v>
      </c>
      <c r="E440" s="36" t="s">
        <v>36</v>
      </c>
      <c r="F440" s="87" t="s">
        <v>3544</v>
      </c>
      <c r="G440" s="37" t="s">
        <v>252</v>
      </c>
      <c r="H440" s="37" t="s">
        <v>57</v>
      </c>
      <c r="I440" s="34" t="s">
        <v>3545</v>
      </c>
      <c r="J440" s="107" t="s">
        <v>41</v>
      </c>
      <c r="K440" s="39" t="s">
        <v>42</v>
      </c>
      <c r="L440" s="120">
        <v>37381</v>
      </c>
      <c r="M440" s="41"/>
      <c r="N440" s="41"/>
      <c r="O440" s="41"/>
      <c r="P440" s="41"/>
      <c r="Q440" s="41"/>
      <c r="R440" s="41"/>
      <c r="S440" s="41"/>
      <c r="T440" s="41"/>
      <c r="U440" s="41" t="s">
        <v>732</v>
      </c>
      <c r="V440" s="41"/>
      <c r="W440" s="41"/>
      <c r="X440" s="42" t="s">
        <v>3547</v>
      </c>
      <c r="Y440" s="58" t="s">
        <v>3548</v>
      </c>
      <c r="Z440" s="44"/>
      <c r="AA440" s="45" t="s">
        <v>47</v>
      </c>
      <c r="AB440" s="101"/>
      <c r="AC440" s="36" t="s">
        <v>26</v>
      </c>
      <c r="AD440" s="47" t="s">
        <v>49</v>
      </c>
      <c r="AE440" s="48" t="s">
        <v>49</v>
      </c>
      <c r="AF440" s="48" t="s">
        <v>49</v>
      </c>
      <c r="AG440" s="48" t="s">
        <v>49</v>
      </c>
      <c r="AH440" s="48" t="s">
        <v>49</v>
      </c>
      <c r="AI440" s="48" t="s">
        <v>49</v>
      </c>
      <c r="AJ440" s="49" t="s">
        <v>41</v>
      </c>
      <c r="AK440" s="48" t="s">
        <v>41</v>
      </c>
      <c r="AL440" s="62" t="s">
        <v>276</v>
      </c>
      <c r="AM440" s="62"/>
      <c r="AN440" s="59"/>
      <c r="AO440" s="10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1"/>
    </row>
    <row r="441" spans="1:52" x14ac:dyDescent="0.2">
      <c r="A441" s="33">
        <f t="shared" si="7"/>
        <v>436</v>
      </c>
      <c r="B441" s="34" t="s">
        <v>3549</v>
      </c>
      <c r="C441" s="35" t="s">
        <v>3550</v>
      </c>
      <c r="D441" s="36" t="s">
        <v>3551</v>
      </c>
      <c r="E441" s="36" t="s">
        <v>54</v>
      </c>
      <c r="F441" s="34" t="s">
        <v>3552</v>
      </c>
      <c r="G441" s="37" t="s">
        <v>73</v>
      </c>
      <c r="H441" s="37" t="s">
        <v>73</v>
      </c>
      <c r="I441" s="107" t="s">
        <v>3553</v>
      </c>
      <c r="J441" s="34" t="s">
        <v>3554</v>
      </c>
      <c r="K441" s="39" t="s">
        <v>42</v>
      </c>
      <c r="L441" s="120">
        <v>35952</v>
      </c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42" t="s">
        <v>3555</v>
      </c>
      <c r="Y441" s="52" t="s">
        <v>3556</v>
      </c>
      <c r="Z441" s="44" t="s">
        <v>3557</v>
      </c>
      <c r="AA441" s="45">
        <v>44041</v>
      </c>
      <c r="AB441" s="101" t="s">
        <v>30</v>
      </c>
      <c r="AC441" s="36" t="s">
        <v>26</v>
      </c>
      <c r="AD441" s="47" t="s">
        <v>49</v>
      </c>
      <c r="AE441" s="48" t="s">
        <v>49</v>
      </c>
      <c r="AF441" s="48" t="s">
        <v>49</v>
      </c>
      <c r="AG441" s="48" t="s">
        <v>49</v>
      </c>
      <c r="AH441" s="48" t="s">
        <v>49</v>
      </c>
      <c r="AI441" s="48" t="s">
        <v>49</v>
      </c>
      <c r="AJ441" s="49" t="s">
        <v>49</v>
      </c>
      <c r="AK441" s="48" t="s">
        <v>49</v>
      </c>
      <c r="AL441" s="62" t="s">
        <v>32</v>
      </c>
      <c r="AM441" s="62"/>
      <c r="AN441" s="59"/>
      <c r="AO441" s="10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1"/>
    </row>
    <row r="442" spans="1:52" ht="15" customHeight="1" x14ac:dyDescent="0.2">
      <c r="A442" s="33">
        <f t="shared" si="7"/>
        <v>437</v>
      </c>
      <c r="B442" s="34" t="s">
        <v>3558</v>
      </c>
      <c r="C442" s="35" t="s">
        <v>3559</v>
      </c>
      <c r="D442" s="36" t="s">
        <v>3560</v>
      </c>
      <c r="E442" s="36" t="s">
        <v>54</v>
      </c>
      <c r="F442" s="226" t="s">
        <v>3561</v>
      </c>
      <c r="G442" s="37" t="s">
        <v>186</v>
      </c>
      <c r="H442" s="37" t="s">
        <v>187</v>
      </c>
      <c r="I442" s="136" t="s">
        <v>3562</v>
      </c>
      <c r="J442" s="34" t="s">
        <v>41</v>
      </c>
      <c r="K442" s="39" t="s">
        <v>42</v>
      </c>
      <c r="L442" s="99" t="s">
        <v>3563</v>
      </c>
      <c r="M442" s="41"/>
      <c r="N442" s="41"/>
      <c r="O442" s="41"/>
      <c r="P442" s="41"/>
      <c r="Q442" s="41"/>
      <c r="R442" s="41"/>
      <c r="S442" s="41" t="s">
        <v>44</v>
      </c>
      <c r="T442" s="41"/>
      <c r="U442" s="41"/>
      <c r="V442" s="41"/>
      <c r="W442" s="41"/>
      <c r="X442" s="42" t="s">
        <v>3564</v>
      </c>
      <c r="Y442" s="43" t="s">
        <v>3565</v>
      </c>
      <c r="Z442" s="211" t="s">
        <v>3566</v>
      </c>
      <c r="AA442" s="45">
        <v>44944</v>
      </c>
      <c r="AB442" s="101" t="s">
        <v>30</v>
      </c>
      <c r="AC442" s="36"/>
      <c r="AD442" s="47" t="s">
        <v>49</v>
      </c>
      <c r="AE442" s="48" t="s">
        <v>41</v>
      </c>
      <c r="AF442" s="48" t="s">
        <v>41</v>
      </c>
      <c r="AG442" s="48" t="s">
        <v>49</v>
      </c>
      <c r="AH442" s="48" t="s">
        <v>41</v>
      </c>
      <c r="AI442" s="48" t="s">
        <v>41</v>
      </c>
      <c r="AJ442" s="49" t="s">
        <v>41</v>
      </c>
      <c r="AK442" s="48" t="s">
        <v>41</v>
      </c>
      <c r="AL442" s="62" t="s">
        <v>139</v>
      </c>
      <c r="AM442" s="62"/>
      <c r="AN442" s="59"/>
      <c r="AO442" s="10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1"/>
    </row>
    <row r="443" spans="1:52" ht="15" customHeight="1" x14ac:dyDescent="0.2">
      <c r="A443" s="33">
        <f t="shared" si="7"/>
        <v>438</v>
      </c>
      <c r="B443" s="34" t="s">
        <v>3567</v>
      </c>
      <c r="C443" s="35" t="s">
        <v>3568</v>
      </c>
      <c r="D443" s="36" t="s">
        <v>3569</v>
      </c>
      <c r="E443" s="36" t="s">
        <v>54</v>
      </c>
      <c r="F443" s="226" t="s">
        <v>3570</v>
      </c>
      <c r="G443" s="37" t="s">
        <v>360</v>
      </c>
      <c r="H443" s="37" t="s">
        <v>350</v>
      </c>
      <c r="I443" s="140" t="s">
        <v>3571</v>
      </c>
      <c r="J443" s="34" t="s">
        <v>41</v>
      </c>
      <c r="K443" s="39" t="s">
        <v>42</v>
      </c>
      <c r="L443" s="99" t="s">
        <v>1409</v>
      </c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2" t="s">
        <v>3572</v>
      </c>
      <c r="Y443" s="52" t="s">
        <v>3573</v>
      </c>
      <c r="Z443" s="119" t="s">
        <v>61</v>
      </c>
      <c r="AA443" s="45">
        <v>40280</v>
      </c>
      <c r="AB443" s="101" t="s">
        <v>30</v>
      </c>
      <c r="AC443" s="36" t="s">
        <v>26</v>
      </c>
      <c r="AD443" s="47" t="s">
        <v>49</v>
      </c>
      <c r="AE443" s="48" t="s">
        <v>49</v>
      </c>
      <c r="AF443" s="48" t="s">
        <v>41</v>
      </c>
      <c r="AG443" s="48" t="s">
        <v>41</v>
      </c>
      <c r="AH443" s="48" t="s">
        <v>41</v>
      </c>
      <c r="AI443" s="48" t="s">
        <v>41</v>
      </c>
      <c r="AJ443" s="49" t="s">
        <v>41</v>
      </c>
      <c r="AK443" s="48" t="s">
        <v>41</v>
      </c>
      <c r="AL443" s="62" t="s">
        <v>4587</v>
      </c>
      <c r="AM443" s="62"/>
      <c r="AN443" s="59"/>
      <c r="AO443" s="10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1"/>
    </row>
    <row r="444" spans="1:52" ht="15" customHeight="1" x14ac:dyDescent="0.2">
      <c r="A444" s="33">
        <f t="shared" si="7"/>
        <v>439</v>
      </c>
      <c r="B444" s="34" t="s">
        <v>3574</v>
      </c>
      <c r="C444" s="35" t="s">
        <v>3575</v>
      </c>
      <c r="D444" s="36" t="s">
        <v>3576</v>
      </c>
      <c r="E444" s="36" t="s">
        <v>36</v>
      </c>
      <c r="F444" s="226" t="s">
        <v>3577</v>
      </c>
      <c r="G444" s="37" t="s">
        <v>252</v>
      </c>
      <c r="H444" s="37" t="s">
        <v>57</v>
      </c>
      <c r="I444" s="140" t="s">
        <v>3578</v>
      </c>
      <c r="J444" s="34"/>
      <c r="K444" s="39" t="s">
        <v>42</v>
      </c>
      <c r="L444" s="120">
        <v>45699</v>
      </c>
      <c r="M444" s="41"/>
      <c r="N444" s="41"/>
      <c r="O444" s="41"/>
      <c r="P444" s="41"/>
      <c r="Q444" s="41"/>
      <c r="R444" s="41"/>
      <c r="S444" s="41"/>
      <c r="T444" s="41"/>
      <c r="U444" s="41"/>
      <c r="V444" s="41" t="s">
        <v>44</v>
      </c>
      <c r="W444" s="41"/>
      <c r="X444" s="140" t="s">
        <v>3579</v>
      </c>
      <c r="Y444" s="43" t="s">
        <v>3580</v>
      </c>
      <c r="Z444" s="119"/>
      <c r="AA444" s="45"/>
      <c r="AB444" s="101"/>
      <c r="AC444" s="36"/>
      <c r="AD444" s="47" t="s">
        <v>49</v>
      </c>
      <c r="AE444" s="48" t="s">
        <v>41</v>
      </c>
      <c r="AF444" s="48" t="s">
        <v>41</v>
      </c>
      <c r="AG444" s="48" t="s">
        <v>41</v>
      </c>
      <c r="AH444" s="48" t="s">
        <v>41</v>
      </c>
      <c r="AI444" s="48" t="s">
        <v>41</v>
      </c>
      <c r="AJ444" s="49" t="s">
        <v>49</v>
      </c>
      <c r="AK444" s="48" t="s">
        <v>49</v>
      </c>
      <c r="AL444" s="62" t="s">
        <v>32</v>
      </c>
      <c r="AM444" s="62"/>
      <c r="AN444" s="59"/>
      <c r="AO444" s="10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1"/>
    </row>
    <row r="445" spans="1:52" ht="15" customHeight="1" x14ac:dyDescent="0.2">
      <c r="A445" s="33">
        <f t="shared" si="7"/>
        <v>440</v>
      </c>
      <c r="B445" s="34" t="s">
        <v>3581</v>
      </c>
      <c r="C445" s="35" t="s">
        <v>3582</v>
      </c>
      <c r="D445" s="36" t="s">
        <v>3583</v>
      </c>
      <c r="E445" s="36" t="s">
        <v>54</v>
      </c>
      <c r="F445" s="226" t="s">
        <v>3584</v>
      </c>
      <c r="G445" s="37" t="s">
        <v>377</v>
      </c>
      <c r="H445" s="37" t="s">
        <v>378</v>
      </c>
      <c r="I445" s="140" t="s">
        <v>3585</v>
      </c>
      <c r="J445" s="34" t="s">
        <v>41</v>
      </c>
      <c r="K445" s="39" t="s">
        <v>42</v>
      </c>
      <c r="L445" s="99" t="s">
        <v>3586</v>
      </c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42" t="s">
        <v>3587</v>
      </c>
      <c r="Y445" s="52" t="s">
        <v>3588</v>
      </c>
      <c r="Z445" s="211" t="s">
        <v>3589</v>
      </c>
      <c r="AA445" s="45">
        <v>44944</v>
      </c>
      <c r="AB445" s="101" t="s">
        <v>30</v>
      </c>
      <c r="AC445" s="36" t="s">
        <v>26</v>
      </c>
      <c r="AD445" s="47" t="s">
        <v>49</v>
      </c>
      <c r="AE445" s="48" t="s">
        <v>49</v>
      </c>
      <c r="AF445" s="48" t="s">
        <v>49</v>
      </c>
      <c r="AG445" s="48" t="s">
        <v>49</v>
      </c>
      <c r="AH445" s="48" t="s">
        <v>49</v>
      </c>
      <c r="AI445" s="48" t="s">
        <v>49</v>
      </c>
      <c r="AJ445" s="49" t="s">
        <v>49</v>
      </c>
      <c r="AK445" s="48" t="s">
        <v>41</v>
      </c>
      <c r="AL445" s="62" t="s">
        <v>148</v>
      </c>
      <c r="AM445" s="62"/>
      <c r="AN445" s="59"/>
      <c r="AO445" s="10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1"/>
    </row>
    <row r="446" spans="1:52" ht="15" customHeight="1" x14ac:dyDescent="0.2">
      <c r="A446" s="33">
        <f t="shared" si="7"/>
        <v>441</v>
      </c>
      <c r="B446" s="34" t="s">
        <v>3590</v>
      </c>
      <c r="C446" s="35" t="s">
        <v>3591</v>
      </c>
      <c r="D446" s="36" t="s">
        <v>3592</v>
      </c>
      <c r="E446" s="36" t="s">
        <v>36</v>
      </c>
      <c r="F446" s="226" t="s">
        <v>3593</v>
      </c>
      <c r="G446" s="37" t="s">
        <v>1354</v>
      </c>
      <c r="H446" s="37" t="s">
        <v>57</v>
      </c>
      <c r="I446" s="140" t="s">
        <v>3594</v>
      </c>
      <c r="J446" s="34" t="s">
        <v>41</v>
      </c>
      <c r="K446" s="39" t="s">
        <v>42</v>
      </c>
      <c r="L446" s="120">
        <v>44689</v>
      </c>
      <c r="M446" s="115"/>
      <c r="N446" s="115"/>
      <c r="O446" s="115"/>
      <c r="P446" s="115"/>
      <c r="Q446" s="115"/>
      <c r="R446" s="115"/>
      <c r="S446" s="115" t="s">
        <v>44</v>
      </c>
      <c r="T446" s="56"/>
      <c r="U446" s="56"/>
      <c r="V446" s="56"/>
      <c r="W446" s="56"/>
      <c r="X446" s="42" t="s">
        <v>3595</v>
      </c>
      <c r="Y446" s="43" t="s">
        <v>3596</v>
      </c>
      <c r="Z446" s="207" t="s">
        <v>3597</v>
      </c>
      <c r="AA446" s="45">
        <v>44944</v>
      </c>
      <c r="AB446" s="101" t="s">
        <v>30</v>
      </c>
      <c r="AC446" s="36"/>
      <c r="AD446" s="47" t="s">
        <v>49</v>
      </c>
      <c r="AE446" s="48" t="s">
        <v>41</v>
      </c>
      <c r="AF446" s="48" t="s">
        <v>41</v>
      </c>
      <c r="AG446" s="48" t="s">
        <v>49</v>
      </c>
      <c r="AH446" s="48" t="s">
        <v>49</v>
      </c>
      <c r="AI446" s="48" t="s">
        <v>49</v>
      </c>
      <c r="AJ446" s="49" t="s">
        <v>49</v>
      </c>
      <c r="AK446" s="48" t="s">
        <v>49</v>
      </c>
      <c r="AL446" s="62" t="s">
        <v>32</v>
      </c>
      <c r="AM446" s="62"/>
      <c r="AN446" s="59"/>
      <c r="AO446" s="10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1"/>
    </row>
    <row r="447" spans="1:52" ht="15" customHeight="1" x14ac:dyDescent="0.2">
      <c r="A447" s="33">
        <f t="shared" si="7"/>
        <v>442</v>
      </c>
      <c r="B447" s="122" t="s">
        <v>3598</v>
      </c>
      <c r="C447" s="123" t="s">
        <v>3599</v>
      </c>
      <c r="D447" s="202" t="s">
        <v>3600</v>
      </c>
      <c r="E447" s="36" t="s">
        <v>54</v>
      </c>
      <c r="F447" s="122" t="s">
        <v>3601</v>
      </c>
      <c r="G447" s="126" t="s">
        <v>323</v>
      </c>
      <c r="H447" s="126" t="s">
        <v>39</v>
      </c>
      <c r="I447" s="122" t="s">
        <v>3602</v>
      </c>
      <c r="J447" s="122" t="s">
        <v>41</v>
      </c>
      <c r="K447" s="128" t="s">
        <v>42</v>
      </c>
      <c r="L447" s="163" t="s">
        <v>3603</v>
      </c>
      <c r="M447" s="112"/>
      <c r="N447" s="112"/>
      <c r="O447" s="112"/>
      <c r="P447" s="112"/>
      <c r="Q447" s="112"/>
      <c r="R447" s="112"/>
      <c r="S447" s="112"/>
      <c r="T447" s="41"/>
      <c r="U447" s="41"/>
      <c r="V447" s="41"/>
      <c r="W447" s="41"/>
      <c r="X447" s="42" t="s">
        <v>3604</v>
      </c>
      <c r="Y447" s="52" t="s">
        <v>3605</v>
      </c>
      <c r="Z447" s="233" t="s">
        <v>61</v>
      </c>
      <c r="AA447" s="45">
        <v>40280</v>
      </c>
      <c r="AB447" s="164" t="s">
        <v>30</v>
      </c>
      <c r="AC447" s="36" t="s">
        <v>26</v>
      </c>
      <c r="AD447" s="133" t="s">
        <v>49</v>
      </c>
      <c r="AE447" s="48" t="s">
        <v>49</v>
      </c>
      <c r="AF447" s="48" t="s">
        <v>49</v>
      </c>
      <c r="AG447" s="48" t="s">
        <v>49</v>
      </c>
      <c r="AH447" s="48" t="s">
        <v>49</v>
      </c>
      <c r="AI447" s="48" t="s">
        <v>49</v>
      </c>
      <c r="AJ447" s="49" t="s">
        <v>49</v>
      </c>
      <c r="AK447" s="48" t="s">
        <v>49</v>
      </c>
      <c r="AL447" s="62" t="s">
        <v>32</v>
      </c>
      <c r="AM447" s="232"/>
      <c r="AN447" s="134"/>
      <c r="AO447" s="10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1"/>
    </row>
    <row r="448" spans="1:52" ht="15" customHeight="1" x14ac:dyDescent="0.2">
      <c r="A448" s="33">
        <f t="shared" si="7"/>
        <v>443</v>
      </c>
      <c r="B448" s="122" t="s">
        <v>3606</v>
      </c>
      <c r="C448" s="123" t="s">
        <v>3607</v>
      </c>
      <c r="D448" s="202" t="s">
        <v>3608</v>
      </c>
      <c r="E448" s="36" t="s">
        <v>54</v>
      </c>
      <c r="F448" s="122" t="s">
        <v>3609</v>
      </c>
      <c r="G448" s="126" t="s">
        <v>747</v>
      </c>
      <c r="H448" s="126" t="s">
        <v>378</v>
      </c>
      <c r="I448" s="122" t="s">
        <v>3610</v>
      </c>
      <c r="J448" s="122" t="s">
        <v>3611</v>
      </c>
      <c r="K448" s="128" t="s">
        <v>42</v>
      </c>
      <c r="L448" s="163" t="s">
        <v>3612</v>
      </c>
      <c r="M448" s="41"/>
      <c r="N448" s="188"/>
      <c r="O448" s="188"/>
      <c r="P448" s="188"/>
      <c r="Q448" s="188"/>
      <c r="R448" s="188"/>
      <c r="S448" s="188"/>
      <c r="T448" s="188"/>
      <c r="U448" s="188"/>
      <c r="V448" s="188"/>
      <c r="W448" s="188"/>
      <c r="X448" s="42" t="s">
        <v>3613</v>
      </c>
      <c r="Y448" s="52" t="s">
        <v>3614</v>
      </c>
      <c r="Z448" s="44" t="s">
        <v>61</v>
      </c>
      <c r="AA448" s="45">
        <v>38593</v>
      </c>
      <c r="AB448" s="164" t="s">
        <v>30</v>
      </c>
      <c r="AC448" s="36" t="s">
        <v>26</v>
      </c>
      <c r="AD448" s="133" t="s">
        <v>49</v>
      </c>
      <c r="AE448" s="48" t="s">
        <v>49</v>
      </c>
      <c r="AF448" s="48" t="s">
        <v>49</v>
      </c>
      <c r="AG448" s="48" t="s">
        <v>49</v>
      </c>
      <c r="AH448" s="48" t="s">
        <v>49</v>
      </c>
      <c r="AI448" s="48" t="s">
        <v>49</v>
      </c>
      <c r="AJ448" s="49" t="s">
        <v>49</v>
      </c>
      <c r="AK448" s="48" t="s">
        <v>49</v>
      </c>
      <c r="AL448" s="62" t="s">
        <v>32</v>
      </c>
      <c r="AM448" s="232"/>
      <c r="AN448" s="134"/>
      <c r="AO448" s="10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1"/>
    </row>
    <row r="449" spans="1:52" ht="15" customHeight="1" x14ac:dyDescent="0.2">
      <c r="A449" s="33">
        <f t="shared" si="7"/>
        <v>444</v>
      </c>
      <c r="B449" s="34" t="s">
        <v>3615</v>
      </c>
      <c r="C449" s="35" t="s">
        <v>3616</v>
      </c>
      <c r="D449" s="36" t="s">
        <v>3617</v>
      </c>
      <c r="E449" s="36" t="s">
        <v>54</v>
      </c>
      <c r="F449" s="34" t="s">
        <v>3618</v>
      </c>
      <c r="G449" s="37" t="s">
        <v>186</v>
      </c>
      <c r="H449" s="37" t="s">
        <v>187</v>
      </c>
      <c r="I449" s="34" t="s">
        <v>3619</v>
      </c>
      <c r="J449" s="122" t="s">
        <v>41</v>
      </c>
      <c r="K449" s="39" t="s">
        <v>42</v>
      </c>
      <c r="L449" s="99" t="s">
        <v>3158</v>
      </c>
      <c r="M449" s="56"/>
      <c r="N449" s="137"/>
      <c r="O449" s="137"/>
      <c r="P449" s="137"/>
      <c r="Q449" s="137"/>
      <c r="R449" s="137"/>
      <c r="S449" s="137"/>
      <c r="T449" s="137" t="s">
        <v>732</v>
      </c>
      <c r="U449" s="137"/>
      <c r="V449" s="137"/>
      <c r="W449" s="137"/>
      <c r="X449" s="42" t="s">
        <v>3620</v>
      </c>
      <c r="Y449" s="58" t="s">
        <v>3621</v>
      </c>
      <c r="Z449" s="44"/>
      <c r="AA449" s="45">
        <v>45642</v>
      </c>
      <c r="AB449" s="101"/>
      <c r="AC449" s="36" t="s">
        <v>26</v>
      </c>
      <c r="AD449" s="47" t="s">
        <v>49</v>
      </c>
      <c r="AE449" s="48" t="s">
        <v>49</v>
      </c>
      <c r="AF449" s="48" t="s">
        <v>49</v>
      </c>
      <c r="AG449" s="48" t="s">
        <v>49</v>
      </c>
      <c r="AH449" s="48" t="s">
        <v>49</v>
      </c>
      <c r="AI449" s="48" t="s">
        <v>49</v>
      </c>
      <c r="AJ449" s="49" t="s">
        <v>49</v>
      </c>
      <c r="AK449" s="48" t="s">
        <v>49</v>
      </c>
      <c r="AL449" s="62" t="s">
        <v>32</v>
      </c>
      <c r="AM449" s="62"/>
      <c r="AN449" s="59"/>
      <c r="AO449" s="10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1"/>
    </row>
    <row r="450" spans="1:52" ht="15" customHeight="1" x14ac:dyDescent="0.2">
      <c r="A450" s="33">
        <f t="shared" si="7"/>
        <v>445</v>
      </c>
      <c r="B450" s="34" t="s">
        <v>3622</v>
      </c>
      <c r="C450" s="35" t="s">
        <v>3623</v>
      </c>
      <c r="D450" s="36" t="s">
        <v>3624</v>
      </c>
      <c r="E450" s="36" t="s">
        <v>54</v>
      </c>
      <c r="F450" s="34" t="s">
        <v>3625</v>
      </c>
      <c r="G450" s="37" t="s">
        <v>858</v>
      </c>
      <c r="H450" s="37" t="s">
        <v>57</v>
      </c>
      <c r="I450" s="34" t="s">
        <v>3626</v>
      </c>
      <c r="J450" s="34" t="s">
        <v>41</v>
      </c>
      <c r="K450" s="39" t="s">
        <v>42</v>
      </c>
      <c r="L450" s="120">
        <v>31057</v>
      </c>
      <c r="M450" s="56"/>
      <c r="N450" s="114"/>
      <c r="O450" s="115"/>
      <c r="P450" s="114"/>
      <c r="Q450" s="115"/>
      <c r="R450" s="115"/>
      <c r="S450" s="114"/>
      <c r="T450" s="115"/>
      <c r="U450" s="115"/>
      <c r="V450" s="115"/>
      <c r="W450" s="115"/>
      <c r="X450" s="57" t="s">
        <v>3627</v>
      </c>
      <c r="Y450" s="43" t="s">
        <v>3628</v>
      </c>
      <c r="Z450" s="44" t="s">
        <v>3629</v>
      </c>
      <c r="AA450" s="45">
        <v>42325</v>
      </c>
      <c r="AB450" s="101" t="s">
        <v>30</v>
      </c>
      <c r="AC450" s="36" t="s">
        <v>26</v>
      </c>
      <c r="AD450" s="47" t="s">
        <v>49</v>
      </c>
      <c r="AE450" s="48" t="s">
        <v>49</v>
      </c>
      <c r="AF450" s="48" t="s">
        <v>49</v>
      </c>
      <c r="AG450" s="48" t="s">
        <v>49</v>
      </c>
      <c r="AH450" s="48" t="s">
        <v>49</v>
      </c>
      <c r="AI450" s="48" t="s">
        <v>49</v>
      </c>
      <c r="AJ450" s="49" t="s">
        <v>49</v>
      </c>
      <c r="AK450" s="48" t="s">
        <v>49</v>
      </c>
      <c r="AL450" s="65" t="s">
        <v>32</v>
      </c>
      <c r="AM450" s="65"/>
      <c r="AN450" s="59"/>
      <c r="AO450" s="10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1"/>
    </row>
    <row r="451" spans="1:52" ht="15" customHeight="1" x14ac:dyDescent="0.2">
      <c r="A451" s="33">
        <f t="shared" si="7"/>
        <v>446</v>
      </c>
      <c r="B451" s="34" t="s">
        <v>3630</v>
      </c>
      <c r="C451" s="35" t="s">
        <v>3631</v>
      </c>
      <c r="D451" s="36" t="s">
        <v>3632</v>
      </c>
      <c r="E451" s="36" t="s">
        <v>241</v>
      </c>
      <c r="F451" s="34" t="s">
        <v>3633</v>
      </c>
      <c r="G451" s="37" t="s">
        <v>858</v>
      </c>
      <c r="H451" s="37" t="s">
        <v>57</v>
      </c>
      <c r="I451" s="34" t="s">
        <v>3634</v>
      </c>
      <c r="J451" s="38" t="s">
        <v>3635</v>
      </c>
      <c r="K451" s="39" t="s">
        <v>42</v>
      </c>
      <c r="L451" s="99" t="s">
        <v>3636</v>
      </c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2" t="s">
        <v>3637</v>
      </c>
      <c r="Y451" s="83" t="s">
        <v>3638</v>
      </c>
      <c r="Z451" s="44" t="s">
        <v>61</v>
      </c>
      <c r="AA451" s="131">
        <v>36803</v>
      </c>
      <c r="AB451" s="101" t="s">
        <v>30</v>
      </c>
      <c r="AC451" s="36" t="s">
        <v>26</v>
      </c>
      <c r="AD451" s="47" t="s">
        <v>49</v>
      </c>
      <c r="AE451" s="48" t="s">
        <v>49</v>
      </c>
      <c r="AF451" s="48" t="s">
        <v>49</v>
      </c>
      <c r="AG451" s="48" t="s">
        <v>49</v>
      </c>
      <c r="AH451" s="48" t="s">
        <v>49</v>
      </c>
      <c r="AI451" s="48" t="s">
        <v>49</v>
      </c>
      <c r="AJ451" s="49" t="s">
        <v>49</v>
      </c>
      <c r="AK451" s="48" t="s">
        <v>49</v>
      </c>
      <c r="AL451" s="62" t="s">
        <v>32</v>
      </c>
      <c r="AM451" s="62"/>
      <c r="AN451" s="59"/>
      <c r="AO451" s="10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1"/>
    </row>
    <row r="452" spans="1:52" ht="15" customHeight="1" x14ac:dyDescent="0.2">
      <c r="A452" s="33">
        <f t="shared" si="7"/>
        <v>447</v>
      </c>
      <c r="B452" s="34" t="s">
        <v>3639</v>
      </c>
      <c r="C452" s="35" t="s">
        <v>3640</v>
      </c>
      <c r="D452" s="36" t="s">
        <v>3641</v>
      </c>
      <c r="E452" s="36" t="s">
        <v>54</v>
      </c>
      <c r="F452" s="34" t="s">
        <v>3642</v>
      </c>
      <c r="G452" s="37" t="s">
        <v>73</v>
      </c>
      <c r="H452" s="37" t="s">
        <v>73</v>
      </c>
      <c r="I452" s="34" t="s">
        <v>3643</v>
      </c>
      <c r="J452" s="34" t="s">
        <v>3644</v>
      </c>
      <c r="K452" s="39" t="s">
        <v>42</v>
      </c>
      <c r="L452" s="99" t="s">
        <v>3645</v>
      </c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42" t="s">
        <v>3646</v>
      </c>
      <c r="Y452" s="100" t="s">
        <v>3647</v>
      </c>
      <c r="Z452" s="44" t="s">
        <v>61</v>
      </c>
      <c r="AA452" s="45">
        <v>38593</v>
      </c>
      <c r="AB452" s="101" t="s">
        <v>30</v>
      </c>
      <c r="AC452" s="36" t="s">
        <v>26</v>
      </c>
      <c r="AD452" s="47" t="s">
        <v>49</v>
      </c>
      <c r="AE452" s="48" t="s">
        <v>49</v>
      </c>
      <c r="AF452" s="48" t="s">
        <v>49</v>
      </c>
      <c r="AG452" s="48" t="s">
        <v>49</v>
      </c>
      <c r="AH452" s="48" t="s">
        <v>41</v>
      </c>
      <c r="AI452" s="48" t="s">
        <v>41</v>
      </c>
      <c r="AJ452" s="49" t="s">
        <v>41</v>
      </c>
      <c r="AK452" s="48" t="s">
        <v>41</v>
      </c>
      <c r="AL452" s="62" t="s">
        <v>139</v>
      </c>
      <c r="AM452" s="62"/>
      <c r="AN452" s="59"/>
      <c r="AO452" s="10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1"/>
    </row>
    <row r="453" spans="1:52" ht="15" customHeight="1" x14ac:dyDescent="0.2">
      <c r="A453" s="33">
        <f t="shared" si="7"/>
        <v>448</v>
      </c>
      <c r="B453" s="34" t="s">
        <v>3648</v>
      </c>
      <c r="C453" s="35" t="s">
        <v>3649</v>
      </c>
      <c r="D453" s="36" t="s">
        <v>3650</v>
      </c>
      <c r="E453" s="36" t="s">
        <v>54</v>
      </c>
      <c r="F453" s="34" t="s">
        <v>3651</v>
      </c>
      <c r="G453" s="37" t="s">
        <v>205</v>
      </c>
      <c r="H453" s="37" t="s">
        <v>205</v>
      </c>
      <c r="I453" s="38" t="s">
        <v>3652</v>
      </c>
      <c r="J453" s="34" t="s">
        <v>41</v>
      </c>
      <c r="K453" s="39" t="s">
        <v>42</v>
      </c>
      <c r="L453" s="120">
        <v>45803</v>
      </c>
      <c r="M453" s="56"/>
      <c r="N453" s="56"/>
      <c r="O453" s="56"/>
      <c r="P453" s="56"/>
      <c r="Q453" s="56"/>
      <c r="R453" s="56"/>
      <c r="S453" s="56"/>
      <c r="T453" s="56"/>
      <c r="U453" s="56"/>
      <c r="V453" s="56" t="s">
        <v>44</v>
      </c>
      <c r="W453" s="56"/>
      <c r="X453" s="38" t="s">
        <v>3653</v>
      </c>
      <c r="Y453" s="146" t="s">
        <v>3654</v>
      </c>
      <c r="Z453" s="224"/>
      <c r="AA453" s="45"/>
      <c r="AB453" s="101"/>
      <c r="AC453" s="36"/>
      <c r="AD453" s="47" t="s">
        <v>49</v>
      </c>
      <c r="AE453" s="48" t="s">
        <v>41</v>
      </c>
      <c r="AF453" s="48" t="s">
        <v>41</v>
      </c>
      <c r="AG453" s="48" t="s">
        <v>41</v>
      </c>
      <c r="AH453" s="48" t="s">
        <v>41</v>
      </c>
      <c r="AI453" s="48" t="s">
        <v>41</v>
      </c>
      <c r="AJ453" s="49" t="s">
        <v>49</v>
      </c>
      <c r="AK453" s="48" t="s">
        <v>41</v>
      </c>
      <c r="AL453" s="62" t="s">
        <v>148</v>
      </c>
      <c r="AM453" s="62"/>
      <c r="AN453" s="59"/>
      <c r="AO453" s="10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1"/>
    </row>
    <row r="454" spans="1:52" ht="15" customHeight="1" x14ac:dyDescent="0.2">
      <c r="A454" s="33">
        <f t="shared" si="7"/>
        <v>449</v>
      </c>
      <c r="B454" s="34" t="s">
        <v>3655</v>
      </c>
      <c r="C454" s="35" t="s">
        <v>3656</v>
      </c>
      <c r="D454" s="36" t="s">
        <v>3657</v>
      </c>
      <c r="E454" s="36" t="s">
        <v>54</v>
      </c>
      <c r="F454" s="34" t="s">
        <v>3658</v>
      </c>
      <c r="G454" s="37" t="s">
        <v>1285</v>
      </c>
      <c r="H454" s="37" t="s">
        <v>350</v>
      </c>
      <c r="I454" s="34" t="s">
        <v>3659</v>
      </c>
      <c r="J454" s="34" t="s">
        <v>41</v>
      </c>
      <c r="K454" s="39" t="s">
        <v>42</v>
      </c>
      <c r="L454" s="120">
        <v>36739</v>
      </c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2" t="s">
        <v>3660</v>
      </c>
      <c r="Y454" s="52" t="s">
        <v>3661</v>
      </c>
      <c r="Z454" s="119" t="s">
        <v>61</v>
      </c>
      <c r="AA454" s="45">
        <v>40280</v>
      </c>
      <c r="AB454" s="101" t="s">
        <v>30</v>
      </c>
      <c r="AC454" s="36" t="s">
        <v>26</v>
      </c>
      <c r="AD454" s="47" t="s">
        <v>49</v>
      </c>
      <c r="AE454" s="48" t="s">
        <v>49</v>
      </c>
      <c r="AF454" s="48" t="s">
        <v>49</v>
      </c>
      <c r="AG454" s="48" t="s">
        <v>49</v>
      </c>
      <c r="AH454" s="48" t="s">
        <v>49</v>
      </c>
      <c r="AI454" s="48" t="s">
        <v>49</v>
      </c>
      <c r="AJ454" s="49" t="s">
        <v>49</v>
      </c>
      <c r="AK454" s="48" t="s">
        <v>49</v>
      </c>
      <c r="AL454" s="62" t="s">
        <v>32</v>
      </c>
      <c r="AM454" s="62"/>
      <c r="AN454" s="59"/>
      <c r="AO454" s="10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1"/>
    </row>
    <row r="455" spans="1:52" ht="15" customHeight="1" x14ac:dyDescent="0.2">
      <c r="A455" s="33">
        <f t="shared" si="7"/>
        <v>450</v>
      </c>
      <c r="B455" s="34" t="s">
        <v>3662</v>
      </c>
      <c r="C455" s="35" t="s">
        <v>3663</v>
      </c>
      <c r="D455" s="36" t="s">
        <v>3664</v>
      </c>
      <c r="E455" s="36" t="s">
        <v>54</v>
      </c>
      <c r="F455" s="34" t="s">
        <v>3665</v>
      </c>
      <c r="G455" s="37" t="s">
        <v>4658</v>
      </c>
      <c r="H455" s="37" t="s">
        <v>350</v>
      </c>
      <c r="I455" s="38" t="s">
        <v>3666</v>
      </c>
      <c r="J455" s="34" t="s">
        <v>41</v>
      </c>
      <c r="K455" s="39" t="s">
        <v>42</v>
      </c>
      <c r="L455" s="120" t="s">
        <v>3667</v>
      </c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2" t="s">
        <v>3668</v>
      </c>
      <c r="Y455" s="43" t="s">
        <v>3669</v>
      </c>
      <c r="Z455" s="84" t="s">
        <v>3670</v>
      </c>
      <c r="AA455" s="45">
        <v>44650</v>
      </c>
      <c r="AB455" s="101" t="s">
        <v>30</v>
      </c>
      <c r="AC455" s="36" t="s">
        <v>26</v>
      </c>
      <c r="AD455" s="47" t="s">
        <v>49</v>
      </c>
      <c r="AE455" s="48" t="s">
        <v>49</v>
      </c>
      <c r="AF455" s="48" t="s">
        <v>49</v>
      </c>
      <c r="AG455" s="48" t="s">
        <v>49</v>
      </c>
      <c r="AH455" s="48" t="s">
        <v>41</v>
      </c>
      <c r="AI455" s="48" t="s">
        <v>41</v>
      </c>
      <c r="AJ455" s="49" t="s">
        <v>41</v>
      </c>
      <c r="AK455" s="48" t="s">
        <v>41</v>
      </c>
      <c r="AL455" s="62" t="s">
        <v>139</v>
      </c>
      <c r="AM455" s="62"/>
      <c r="AN455" s="59"/>
      <c r="AO455" s="10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1"/>
    </row>
    <row r="456" spans="1:52" ht="15" customHeight="1" x14ac:dyDescent="0.2">
      <c r="A456" s="33">
        <f t="shared" si="7"/>
        <v>451</v>
      </c>
      <c r="B456" s="34" t="s">
        <v>3671</v>
      </c>
      <c r="C456" s="35" t="s">
        <v>3672</v>
      </c>
      <c r="D456" s="36" t="s">
        <v>3673</v>
      </c>
      <c r="E456" s="36" t="s">
        <v>54</v>
      </c>
      <c r="F456" s="34" t="s">
        <v>3674</v>
      </c>
      <c r="G456" s="37" t="s">
        <v>73</v>
      </c>
      <c r="H456" s="37" t="s">
        <v>73</v>
      </c>
      <c r="I456" s="38" t="s">
        <v>3675</v>
      </c>
      <c r="J456" s="34" t="s">
        <v>41</v>
      </c>
      <c r="K456" s="39" t="s">
        <v>42</v>
      </c>
      <c r="L456" s="120">
        <v>44844</v>
      </c>
      <c r="M456" s="41"/>
      <c r="N456" s="94"/>
      <c r="O456" s="94"/>
      <c r="P456" s="94"/>
      <c r="Q456" s="94"/>
      <c r="R456" s="94"/>
      <c r="S456" s="94" t="s">
        <v>44</v>
      </c>
      <c r="T456" s="94"/>
      <c r="U456" s="94"/>
      <c r="V456" s="94"/>
      <c r="W456" s="94"/>
      <c r="X456" s="42" t="s">
        <v>3676</v>
      </c>
      <c r="Y456" s="43" t="s">
        <v>3677</v>
      </c>
      <c r="Z456" s="207" t="s">
        <v>3678</v>
      </c>
      <c r="AA456" s="45">
        <v>44944</v>
      </c>
      <c r="AB456" s="101" t="s">
        <v>30</v>
      </c>
      <c r="AC456" s="36"/>
      <c r="AD456" s="47" t="s">
        <v>49</v>
      </c>
      <c r="AE456" s="48" t="s">
        <v>41</v>
      </c>
      <c r="AF456" s="48" t="s">
        <v>41</v>
      </c>
      <c r="AG456" s="48" t="s">
        <v>49</v>
      </c>
      <c r="AH456" s="48" t="s">
        <v>49</v>
      </c>
      <c r="AI456" s="48" t="s">
        <v>49</v>
      </c>
      <c r="AJ456" s="49" t="s">
        <v>41</v>
      </c>
      <c r="AK456" s="48" t="s">
        <v>41</v>
      </c>
      <c r="AL456" s="62" t="s">
        <v>276</v>
      </c>
      <c r="AM456" s="62"/>
      <c r="AN456" s="59"/>
      <c r="AO456" s="10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1"/>
    </row>
    <row r="457" spans="1:52" x14ac:dyDescent="0.2">
      <c r="A457" s="33">
        <f t="shared" si="7"/>
        <v>452</v>
      </c>
      <c r="B457" s="34" t="s">
        <v>3679</v>
      </c>
      <c r="C457" s="35" t="s">
        <v>3680</v>
      </c>
      <c r="D457" s="36" t="s">
        <v>3681</v>
      </c>
      <c r="E457" s="36" t="s">
        <v>54</v>
      </c>
      <c r="F457" s="34" t="s">
        <v>3682</v>
      </c>
      <c r="G457" s="37" t="s">
        <v>73</v>
      </c>
      <c r="H457" s="37" t="s">
        <v>73</v>
      </c>
      <c r="I457" s="34" t="s">
        <v>3683</v>
      </c>
      <c r="J457" s="34" t="s">
        <v>3683</v>
      </c>
      <c r="K457" s="39" t="s">
        <v>42</v>
      </c>
      <c r="L457" s="120" t="s">
        <v>3684</v>
      </c>
      <c r="M457" s="41"/>
      <c r="N457" s="41"/>
      <c r="O457" s="41"/>
      <c r="P457" s="41"/>
      <c r="Q457" s="112"/>
      <c r="R457" s="41"/>
      <c r="S457" s="41"/>
      <c r="T457" s="41"/>
      <c r="U457" s="41"/>
      <c r="V457" s="41"/>
      <c r="W457" s="41"/>
      <c r="X457" s="42" t="s">
        <v>3685</v>
      </c>
      <c r="Y457" s="58" t="s">
        <v>3686</v>
      </c>
      <c r="Z457" s="84" t="s">
        <v>3687</v>
      </c>
      <c r="AA457" s="45">
        <v>44650</v>
      </c>
      <c r="AB457" s="101" t="s">
        <v>30</v>
      </c>
      <c r="AC457" s="36" t="s">
        <v>26</v>
      </c>
      <c r="AD457" s="61" t="s">
        <v>49</v>
      </c>
      <c r="AE457" s="48" t="s">
        <v>49</v>
      </c>
      <c r="AF457" s="48" t="s">
        <v>49</v>
      </c>
      <c r="AG457" s="48" t="s">
        <v>49</v>
      </c>
      <c r="AH457" s="48" t="s">
        <v>49</v>
      </c>
      <c r="AI457" s="48" t="s">
        <v>49</v>
      </c>
      <c r="AJ457" s="49" t="s">
        <v>49</v>
      </c>
      <c r="AK457" s="48" t="s">
        <v>49</v>
      </c>
      <c r="AL457" s="62" t="s">
        <v>32</v>
      </c>
      <c r="AM457" s="62"/>
      <c r="AN457" s="59"/>
      <c r="AO457" s="10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1"/>
    </row>
    <row r="458" spans="1:52" x14ac:dyDescent="0.2">
      <c r="A458" s="33">
        <f t="shared" si="7"/>
        <v>453</v>
      </c>
      <c r="B458" s="34" t="s">
        <v>3688</v>
      </c>
      <c r="C458" s="35" t="s">
        <v>3689</v>
      </c>
      <c r="D458" s="36" t="s">
        <v>3690</v>
      </c>
      <c r="E458" s="36" t="s">
        <v>36</v>
      </c>
      <c r="F458" s="34" t="s">
        <v>3552</v>
      </c>
      <c r="G458" s="37" t="s">
        <v>73</v>
      </c>
      <c r="H458" s="37" t="s">
        <v>73</v>
      </c>
      <c r="I458" s="34" t="s">
        <v>3553</v>
      </c>
      <c r="J458" s="34" t="s">
        <v>3691</v>
      </c>
      <c r="K458" s="39" t="s">
        <v>42</v>
      </c>
      <c r="L458" s="120">
        <v>30353</v>
      </c>
      <c r="M458" s="41"/>
      <c r="N458" s="41"/>
      <c r="O458" s="41"/>
      <c r="P458" s="41"/>
      <c r="Q458" s="41"/>
      <c r="R458" s="41"/>
      <c r="S458" s="41"/>
      <c r="T458" s="41"/>
      <c r="U458" s="41" t="s">
        <v>732</v>
      </c>
      <c r="V458" s="41"/>
      <c r="W458" s="41"/>
      <c r="X458" s="42" t="s">
        <v>3692</v>
      </c>
      <c r="Y458" s="58" t="s">
        <v>3693</v>
      </c>
      <c r="Z458" s="44" t="s">
        <v>61</v>
      </c>
      <c r="AA458" s="45">
        <v>40815</v>
      </c>
      <c r="AB458" s="101" t="s">
        <v>30</v>
      </c>
      <c r="AC458" s="36" t="s">
        <v>26</v>
      </c>
      <c r="AD458" s="64" t="s">
        <v>120</v>
      </c>
      <c r="AE458" s="48" t="s">
        <v>120</v>
      </c>
      <c r="AF458" s="48" t="s">
        <v>130</v>
      </c>
      <c r="AG458" s="48" t="s">
        <v>120</v>
      </c>
      <c r="AH458" s="48" t="s">
        <v>120</v>
      </c>
      <c r="AI458" s="48" t="s">
        <v>120</v>
      </c>
      <c r="AJ458" s="49" t="s">
        <v>120</v>
      </c>
      <c r="AK458" s="48" t="s">
        <v>120</v>
      </c>
      <c r="AL458" s="62" t="s">
        <v>32</v>
      </c>
      <c r="AM458" s="62"/>
      <c r="AN458" s="59"/>
      <c r="AO458" s="10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1"/>
    </row>
    <row r="459" spans="1:52" x14ac:dyDescent="0.2">
      <c r="A459" s="33">
        <f t="shared" si="7"/>
        <v>454</v>
      </c>
      <c r="B459" s="34" t="s">
        <v>3694</v>
      </c>
      <c r="C459" s="35" t="s">
        <v>3695</v>
      </c>
      <c r="D459" s="36" t="s">
        <v>3696</v>
      </c>
      <c r="E459" s="36" t="s">
        <v>54</v>
      </c>
      <c r="F459" s="34" t="s">
        <v>3697</v>
      </c>
      <c r="G459" s="37" t="s">
        <v>39</v>
      </c>
      <c r="H459" s="37" t="s">
        <v>39</v>
      </c>
      <c r="I459" s="34" t="s">
        <v>3698</v>
      </c>
      <c r="J459" s="34" t="s">
        <v>3699</v>
      </c>
      <c r="K459" s="39" t="s">
        <v>42</v>
      </c>
      <c r="L459" s="120">
        <v>37439</v>
      </c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2" t="s">
        <v>3700</v>
      </c>
      <c r="Y459" s="58" t="s">
        <v>3701</v>
      </c>
      <c r="Z459" s="44" t="s">
        <v>61</v>
      </c>
      <c r="AA459" s="45">
        <v>37877</v>
      </c>
      <c r="AB459" s="101" t="s">
        <v>30</v>
      </c>
      <c r="AC459" s="36" t="s">
        <v>26</v>
      </c>
      <c r="AD459" s="47" t="s">
        <v>49</v>
      </c>
      <c r="AE459" s="48" t="s">
        <v>49</v>
      </c>
      <c r="AF459" s="48" t="s">
        <v>49</v>
      </c>
      <c r="AG459" s="48" t="s">
        <v>49</v>
      </c>
      <c r="AH459" s="48" t="s">
        <v>49</v>
      </c>
      <c r="AI459" s="48" t="s">
        <v>49</v>
      </c>
      <c r="AJ459" s="49" t="s">
        <v>41</v>
      </c>
      <c r="AK459" s="48" t="s">
        <v>41</v>
      </c>
      <c r="AL459" s="62" t="s">
        <v>276</v>
      </c>
      <c r="AM459" s="62"/>
      <c r="AN459" s="59"/>
      <c r="AO459" s="10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1"/>
    </row>
    <row r="460" spans="1:52" x14ac:dyDescent="0.2">
      <c r="A460" s="33">
        <f t="shared" ref="A460:A523" si="8">+A459+1</f>
        <v>455</v>
      </c>
      <c r="B460" s="34" t="s">
        <v>3702</v>
      </c>
      <c r="C460" s="35" t="s">
        <v>3703</v>
      </c>
      <c r="D460" s="36" t="s">
        <v>3704</v>
      </c>
      <c r="E460" s="36" t="s">
        <v>54</v>
      </c>
      <c r="F460" s="34" t="s">
        <v>3705</v>
      </c>
      <c r="G460" s="37" t="s">
        <v>73</v>
      </c>
      <c r="H460" s="37" t="s">
        <v>73</v>
      </c>
      <c r="I460" s="34" t="s">
        <v>3292</v>
      </c>
      <c r="J460" s="34" t="s">
        <v>41</v>
      </c>
      <c r="K460" s="39" t="s">
        <v>42</v>
      </c>
      <c r="L460" s="99" t="s">
        <v>3706</v>
      </c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2" t="s">
        <v>3707</v>
      </c>
      <c r="Y460" s="58" t="s">
        <v>3708</v>
      </c>
      <c r="Z460" s="119" t="s">
        <v>61</v>
      </c>
      <c r="AA460" s="45">
        <v>34597</v>
      </c>
      <c r="AB460" s="101" t="s">
        <v>30</v>
      </c>
      <c r="AC460" s="36"/>
      <c r="AD460" s="47" t="s">
        <v>49</v>
      </c>
      <c r="AE460" s="48" t="s">
        <v>41</v>
      </c>
      <c r="AF460" s="48" t="s">
        <v>41</v>
      </c>
      <c r="AG460" s="48" t="s">
        <v>41</v>
      </c>
      <c r="AH460" s="48" t="s">
        <v>41</v>
      </c>
      <c r="AI460" s="48" t="s">
        <v>41</v>
      </c>
      <c r="AJ460" s="49" t="s">
        <v>41</v>
      </c>
      <c r="AK460" s="48" t="s">
        <v>41</v>
      </c>
      <c r="AL460" s="65" t="s">
        <v>4588</v>
      </c>
      <c r="AM460" s="65"/>
      <c r="AN460" s="59"/>
      <c r="AO460" s="117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1"/>
    </row>
    <row r="461" spans="1:52" x14ac:dyDescent="0.2">
      <c r="A461" s="33">
        <f t="shared" si="8"/>
        <v>456</v>
      </c>
      <c r="B461" s="34" t="s">
        <v>3709</v>
      </c>
      <c r="C461" s="35" t="s">
        <v>3710</v>
      </c>
      <c r="D461" s="36" t="s">
        <v>3711</v>
      </c>
      <c r="E461" s="36" t="s">
        <v>54</v>
      </c>
      <c r="F461" s="34" t="s">
        <v>3712</v>
      </c>
      <c r="G461" s="37" t="s">
        <v>528</v>
      </c>
      <c r="H461" s="37" t="s">
        <v>57</v>
      </c>
      <c r="I461" s="38" t="s">
        <v>3713</v>
      </c>
      <c r="J461" s="34" t="s">
        <v>41</v>
      </c>
      <c r="K461" s="39" t="s">
        <v>42</v>
      </c>
      <c r="L461" s="120">
        <v>44409</v>
      </c>
      <c r="M461" s="41"/>
      <c r="N461" s="41"/>
      <c r="O461" s="41"/>
      <c r="P461" s="41"/>
      <c r="Q461" s="112"/>
      <c r="R461" s="41" t="s">
        <v>44</v>
      </c>
      <c r="S461" s="41"/>
      <c r="T461" s="41"/>
      <c r="U461" s="41"/>
      <c r="V461" s="41"/>
      <c r="W461" s="41"/>
      <c r="X461" s="42" t="s">
        <v>3714</v>
      </c>
      <c r="Y461" s="58" t="s">
        <v>3715</v>
      </c>
      <c r="Z461" s="144" t="s">
        <v>3716</v>
      </c>
      <c r="AA461" s="45">
        <v>44650</v>
      </c>
      <c r="AB461" s="101" t="s">
        <v>30</v>
      </c>
      <c r="AC461" s="36"/>
      <c r="AD461" s="47" t="s">
        <v>49</v>
      </c>
      <c r="AE461" s="48" t="s">
        <v>41</v>
      </c>
      <c r="AF461" s="48" t="s">
        <v>49</v>
      </c>
      <c r="AG461" s="48" t="s">
        <v>41</v>
      </c>
      <c r="AH461" s="48" t="s">
        <v>41</v>
      </c>
      <c r="AI461" s="48" t="s">
        <v>41</v>
      </c>
      <c r="AJ461" s="49" t="s">
        <v>41</v>
      </c>
      <c r="AK461" s="48" t="s">
        <v>41</v>
      </c>
      <c r="AL461" s="62" t="s">
        <v>110</v>
      </c>
      <c r="AM461" s="62"/>
      <c r="AN461" s="59"/>
      <c r="AO461" s="117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1"/>
    </row>
    <row r="462" spans="1:52" x14ac:dyDescent="0.2">
      <c r="A462" s="33">
        <f t="shared" si="8"/>
        <v>457</v>
      </c>
      <c r="B462" s="34" t="s">
        <v>3717</v>
      </c>
      <c r="C462" s="35" t="s">
        <v>3718</v>
      </c>
      <c r="D462" s="36" t="s">
        <v>3719</v>
      </c>
      <c r="E462" s="36" t="s">
        <v>54</v>
      </c>
      <c r="F462" s="34" t="s">
        <v>3720</v>
      </c>
      <c r="G462" s="37" t="s">
        <v>1285</v>
      </c>
      <c r="H462" s="37" t="s">
        <v>350</v>
      </c>
      <c r="I462" s="34" t="s">
        <v>3721</v>
      </c>
      <c r="J462" s="34" t="s">
        <v>41</v>
      </c>
      <c r="K462" s="39" t="s">
        <v>42</v>
      </c>
      <c r="L462" s="99" t="s">
        <v>3722</v>
      </c>
      <c r="M462" s="56"/>
      <c r="N462" s="186"/>
      <c r="O462" s="186"/>
      <c r="P462" s="186"/>
      <c r="Q462" s="115"/>
      <c r="R462" s="115"/>
      <c r="S462" s="115"/>
      <c r="T462" s="56"/>
      <c r="U462" s="56"/>
      <c r="V462" s="56"/>
      <c r="W462" s="56"/>
      <c r="X462" s="42" t="s">
        <v>3723</v>
      </c>
      <c r="Y462" s="69" t="s">
        <v>3724</v>
      </c>
      <c r="Z462" s="44" t="s">
        <v>61</v>
      </c>
      <c r="AA462" s="45">
        <v>36803</v>
      </c>
      <c r="AB462" s="101" t="s">
        <v>30</v>
      </c>
      <c r="AC462" s="36" t="s">
        <v>26</v>
      </c>
      <c r="AD462" s="47" t="s">
        <v>49</v>
      </c>
      <c r="AE462" s="48" t="s">
        <v>49</v>
      </c>
      <c r="AF462" s="48" t="s">
        <v>49</v>
      </c>
      <c r="AG462" s="48" t="s">
        <v>49</v>
      </c>
      <c r="AH462" s="48" t="s">
        <v>49</v>
      </c>
      <c r="AI462" s="48" t="s">
        <v>49</v>
      </c>
      <c r="AJ462" s="49" t="s">
        <v>49</v>
      </c>
      <c r="AK462" s="48" t="s">
        <v>49</v>
      </c>
      <c r="AL462" s="62" t="s">
        <v>32</v>
      </c>
      <c r="AM462" s="62"/>
      <c r="AN462" s="59"/>
      <c r="AO462" s="10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1"/>
    </row>
    <row r="463" spans="1:52" x14ac:dyDescent="0.2">
      <c r="A463" s="33">
        <f t="shared" si="8"/>
        <v>458</v>
      </c>
      <c r="B463" s="34" t="s">
        <v>3725</v>
      </c>
      <c r="C463" s="35" t="s">
        <v>3726</v>
      </c>
      <c r="D463" s="36" t="s">
        <v>3727</v>
      </c>
      <c r="E463" s="36" t="s">
        <v>36</v>
      </c>
      <c r="F463" s="34" t="s">
        <v>3728</v>
      </c>
      <c r="G463" s="37" t="s">
        <v>73</v>
      </c>
      <c r="H463" s="37" t="s">
        <v>73</v>
      </c>
      <c r="I463" s="34" t="s">
        <v>3729</v>
      </c>
      <c r="J463" s="34" t="s">
        <v>41</v>
      </c>
      <c r="K463" s="39" t="s">
        <v>42</v>
      </c>
      <c r="L463" s="120">
        <v>35106</v>
      </c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42" t="s">
        <v>3730</v>
      </c>
      <c r="Y463" s="52" t="s">
        <v>3731</v>
      </c>
      <c r="Z463" s="44" t="s">
        <v>3732</v>
      </c>
      <c r="AA463" s="45">
        <v>42325</v>
      </c>
      <c r="AB463" s="101" t="s">
        <v>30</v>
      </c>
      <c r="AC463" s="36" t="s">
        <v>26</v>
      </c>
      <c r="AD463" s="47" t="s">
        <v>49</v>
      </c>
      <c r="AE463" s="48" t="s">
        <v>49</v>
      </c>
      <c r="AF463" s="48" t="s">
        <v>49</v>
      </c>
      <c r="AG463" s="48" t="s">
        <v>49</v>
      </c>
      <c r="AH463" s="48" t="s">
        <v>49</v>
      </c>
      <c r="AI463" s="48" t="s">
        <v>49</v>
      </c>
      <c r="AJ463" s="49" t="s">
        <v>49</v>
      </c>
      <c r="AK463" s="48" t="s">
        <v>49</v>
      </c>
      <c r="AL463" s="62" t="s">
        <v>32</v>
      </c>
      <c r="AM463" s="62"/>
      <c r="AN463" s="59"/>
      <c r="AO463" s="10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1"/>
    </row>
    <row r="464" spans="1:52" x14ac:dyDescent="0.2">
      <c r="A464" s="33">
        <f t="shared" si="8"/>
        <v>459</v>
      </c>
      <c r="B464" s="34" t="s">
        <v>3733</v>
      </c>
      <c r="C464" s="35" t="s">
        <v>3734</v>
      </c>
      <c r="D464" s="36" t="s">
        <v>3735</v>
      </c>
      <c r="E464" s="36" t="s">
        <v>54</v>
      </c>
      <c r="F464" s="34" t="s">
        <v>3736</v>
      </c>
      <c r="G464" s="37" t="s">
        <v>73</v>
      </c>
      <c r="H464" s="37" t="s">
        <v>73</v>
      </c>
      <c r="I464" s="34" t="s">
        <v>3737</v>
      </c>
      <c r="J464" s="34" t="s">
        <v>41</v>
      </c>
      <c r="K464" s="39" t="s">
        <v>42</v>
      </c>
      <c r="L464" s="120">
        <v>43807</v>
      </c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42" t="s">
        <v>3738</v>
      </c>
      <c r="Y464" s="58" t="s">
        <v>3739</v>
      </c>
      <c r="Z464" s="44" t="s">
        <v>3740</v>
      </c>
      <c r="AA464" s="45">
        <v>42325</v>
      </c>
      <c r="AB464" s="101" t="s">
        <v>30</v>
      </c>
      <c r="AC464" s="36" t="s">
        <v>26</v>
      </c>
      <c r="AD464" s="47" t="s">
        <v>49</v>
      </c>
      <c r="AE464" s="48" t="s">
        <v>49</v>
      </c>
      <c r="AF464" s="48" t="s">
        <v>49</v>
      </c>
      <c r="AG464" s="48" t="s">
        <v>49</v>
      </c>
      <c r="AH464" s="48" t="s">
        <v>49</v>
      </c>
      <c r="AI464" s="48" t="s">
        <v>49</v>
      </c>
      <c r="AJ464" s="49" t="s">
        <v>49</v>
      </c>
      <c r="AK464" s="48" t="s">
        <v>49</v>
      </c>
      <c r="AL464" s="62" t="s">
        <v>32</v>
      </c>
      <c r="AM464" s="62"/>
      <c r="AN464" s="59"/>
      <c r="AO464" s="10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1"/>
    </row>
    <row r="465" spans="1:52" x14ac:dyDescent="0.2">
      <c r="A465" s="33">
        <f t="shared" si="8"/>
        <v>460</v>
      </c>
      <c r="B465" s="34" t="s">
        <v>3741</v>
      </c>
      <c r="C465" s="35" t="s">
        <v>3742</v>
      </c>
      <c r="D465" s="36" t="s">
        <v>3743</v>
      </c>
      <c r="E465" s="36" t="s">
        <v>36</v>
      </c>
      <c r="F465" s="34" t="s">
        <v>3744</v>
      </c>
      <c r="G465" s="37" t="s">
        <v>73</v>
      </c>
      <c r="H465" s="37" t="s">
        <v>73</v>
      </c>
      <c r="I465" s="34" t="s">
        <v>3745</v>
      </c>
      <c r="J465" s="34" t="s">
        <v>3746</v>
      </c>
      <c r="K465" s="39" t="s">
        <v>42</v>
      </c>
      <c r="L465" s="99" t="s">
        <v>3747</v>
      </c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42" t="s">
        <v>3748</v>
      </c>
      <c r="Y465" s="69" t="s">
        <v>3749</v>
      </c>
      <c r="Z465" s="44" t="s">
        <v>61</v>
      </c>
      <c r="AA465" s="45">
        <v>42325</v>
      </c>
      <c r="AB465" s="101" t="s">
        <v>30</v>
      </c>
      <c r="AC465" s="36" t="s">
        <v>26</v>
      </c>
      <c r="AD465" s="64" t="s">
        <v>120</v>
      </c>
      <c r="AE465" s="48" t="s">
        <v>120</v>
      </c>
      <c r="AF465" s="48" t="s">
        <v>120</v>
      </c>
      <c r="AG465" s="48" t="s">
        <v>120</v>
      </c>
      <c r="AH465" s="48" t="s">
        <v>120</v>
      </c>
      <c r="AI465" s="48" t="s">
        <v>120</v>
      </c>
      <c r="AJ465" s="49" t="s">
        <v>120</v>
      </c>
      <c r="AK465" s="48" t="s">
        <v>120</v>
      </c>
      <c r="AL465" s="65" t="s">
        <v>32</v>
      </c>
      <c r="AM465" s="65"/>
      <c r="AN465" s="59"/>
      <c r="AO465" s="10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1"/>
    </row>
    <row r="466" spans="1:52" x14ac:dyDescent="0.2">
      <c r="A466" s="33">
        <f t="shared" si="8"/>
        <v>461</v>
      </c>
      <c r="B466" s="34" t="s">
        <v>3750</v>
      </c>
      <c r="C466" s="35" t="s">
        <v>3751</v>
      </c>
      <c r="D466" s="36" t="s">
        <v>3752</v>
      </c>
      <c r="E466" s="36" t="s">
        <v>54</v>
      </c>
      <c r="F466" s="34" t="s">
        <v>3753</v>
      </c>
      <c r="G466" s="37" t="s">
        <v>73</v>
      </c>
      <c r="H466" s="37" t="s">
        <v>73</v>
      </c>
      <c r="I466" s="34" t="s">
        <v>3754</v>
      </c>
      <c r="J466" s="38" t="s">
        <v>3755</v>
      </c>
      <c r="K466" s="39" t="s">
        <v>42</v>
      </c>
      <c r="L466" s="120">
        <v>34430</v>
      </c>
      <c r="M466" s="41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42" t="s">
        <v>3756</v>
      </c>
      <c r="Y466" s="69" t="s">
        <v>3757</v>
      </c>
      <c r="Z466" s="44" t="s">
        <v>61</v>
      </c>
      <c r="AA466" s="45">
        <v>34597</v>
      </c>
      <c r="AB466" s="101" t="s">
        <v>30</v>
      </c>
      <c r="AC466" s="36" t="s">
        <v>26</v>
      </c>
      <c r="AD466" s="47" t="s">
        <v>49</v>
      </c>
      <c r="AE466" s="48" t="s">
        <v>49</v>
      </c>
      <c r="AF466" s="48" t="s">
        <v>49</v>
      </c>
      <c r="AG466" s="48" t="s">
        <v>49</v>
      </c>
      <c r="AH466" s="48" t="s">
        <v>41</v>
      </c>
      <c r="AI466" s="48" t="s">
        <v>41</v>
      </c>
      <c r="AJ466" s="49" t="s">
        <v>41</v>
      </c>
      <c r="AK466" s="48" t="s">
        <v>41</v>
      </c>
      <c r="AL466" s="62" t="s">
        <v>139</v>
      </c>
      <c r="AM466" s="62"/>
      <c r="AN466" s="59"/>
      <c r="AO466" s="10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1"/>
    </row>
    <row r="467" spans="1:52" x14ac:dyDescent="0.2">
      <c r="A467" s="33">
        <f t="shared" si="8"/>
        <v>462</v>
      </c>
      <c r="B467" s="34" t="s">
        <v>3758</v>
      </c>
      <c r="C467" s="35" t="s">
        <v>3759</v>
      </c>
      <c r="D467" s="36" t="s">
        <v>3760</v>
      </c>
      <c r="E467" s="36" t="s">
        <v>54</v>
      </c>
      <c r="F467" s="34" t="s">
        <v>3761</v>
      </c>
      <c r="G467" s="37" t="s">
        <v>323</v>
      </c>
      <c r="H467" s="37" t="s">
        <v>39</v>
      </c>
      <c r="I467" s="38" t="s">
        <v>3762</v>
      </c>
      <c r="J467" s="38"/>
      <c r="K467" s="39" t="s">
        <v>42</v>
      </c>
      <c r="L467" s="120">
        <v>45357</v>
      </c>
      <c r="M467" s="41"/>
      <c r="N467" s="41"/>
      <c r="O467" s="41"/>
      <c r="P467" s="41"/>
      <c r="Q467" s="41"/>
      <c r="R467" s="41"/>
      <c r="S467" s="41"/>
      <c r="T467" s="41"/>
      <c r="U467" s="41" t="s">
        <v>44</v>
      </c>
      <c r="V467" s="41"/>
      <c r="W467" s="41"/>
      <c r="X467" s="54" t="s">
        <v>3763</v>
      </c>
      <c r="Y467" s="58" t="s">
        <v>3764</v>
      </c>
      <c r="Z467" s="44"/>
      <c r="AA467" s="45"/>
      <c r="AB467" s="101"/>
      <c r="AC467" s="36"/>
      <c r="AD467" s="47" t="s">
        <v>49</v>
      </c>
      <c r="AE467" s="48" t="s">
        <v>41</v>
      </c>
      <c r="AF467" s="48" t="s">
        <v>41</v>
      </c>
      <c r="AG467" s="48" t="s">
        <v>41</v>
      </c>
      <c r="AH467" s="48" t="s">
        <v>41</v>
      </c>
      <c r="AI467" s="48" t="s">
        <v>49</v>
      </c>
      <c r="AJ467" s="49" t="s">
        <v>49</v>
      </c>
      <c r="AK467" s="48" t="s">
        <v>49</v>
      </c>
      <c r="AL467" s="65" t="s">
        <v>32</v>
      </c>
      <c r="AM467" s="65"/>
      <c r="AN467" s="103"/>
      <c r="AO467" s="10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1"/>
    </row>
    <row r="468" spans="1:52" x14ac:dyDescent="0.2">
      <c r="A468" s="33">
        <f t="shared" si="8"/>
        <v>463</v>
      </c>
      <c r="B468" s="34" t="s">
        <v>3765</v>
      </c>
      <c r="C468" s="35" t="s">
        <v>3766</v>
      </c>
      <c r="D468" s="36" t="s">
        <v>3767</v>
      </c>
      <c r="E468" s="36" t="s">
        <v>54</v>
      </c>
      <c r="F468" s="34" t="s">
        <v>3768</v>
      </c>
      <c r="G468" s="37" t="s">
        <v>1417</v>
      </c>
      <c r="H468" s="37" t="s">
        <v>187</v>
      </c>
      <c r="I468" s="38" t="s">
        <v>3769</v>
      </c>
      <c r="J468" s="34" t="s">
        <v>41</v>
      </c>
      <c r="K468" s="39" t="s">
        <v>42</v>
      </c>
      <c r="L468" s="120">
        <v>42562</v>
      </c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7" t="s">
        <v>3770</v>
      </c>
      <c r="Y468" s="58" t="s">
        <v>3771</v>
      </c>
      <c r="Z468" s="44" t="s">
        <v>3772</v>
      </c>
      <c r="AA468" s="45">
        <v>44041</v>
      </c>
      <c r="AB468" s="101" t="s">
        <v>30</v>
      </c>
      <c r="AC468" s="36" t="s">
        <v>26</v>
      </c>
      <c r="AD468" s="47" t="s">
        <v>49</v>
      </c>
      <c r="AE468" s="48" t="s">
        <v>49</v>
      </c>
      <c r="AF468" s="48" t="s">
        <v>41</v>
      </c>
      <c r="AG468" s="48" t="s">
        <v>41</v>
      </c>
      <c r="AH468" s="48" t="s">
        <v>41</v>
      </c>
      <c r="AI468" s="48" t="s">
        <v>41</v>
      </c>
      <c r="AJ468" s="49" t="s">
        <v>41</v>
      </c>
      <c r="AK468" s="48" t="s">
        <v>41</v>
      </c>
      <c r="AL468" s="62" t="s">
        <v>4587</v>
      </c>
      <c r="AM468" s="62"/>
      <c r="AN468" s="59"/>
      <c r="AO468" s="10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1"/>
    </row>
    <row r="469" spans="1:52" x14ac:dyDescent="0.2">
      <c r="A469" s="33">
        <f t="shared" si="8"/>
        <v>464</v>
      </c>
      <c r="B469" s="34" t="s">
        <v>3773</v>
      </c>
      <c r="C469" s="35" t="s">
        <v>3774</v>
      </c>
      <c r="D469" s="36" t="s">
        <v>3775</v>
      </c>
      <c r="E469" s="36" t="s">
        <v>54</v>
      </c>
      <c r="F469" s="34" t="s">
        <v>3776</v>
      </c>
      <c r="G469" s="37" t="s">
        <v>1417</v>
      </c>
      <c r="H469" s="37" t="s">
        <v>187</v>
      </c>
      <c r="I469" s="38" t="s">
        <v>3777</v>
      </c>
      <c r="J469" s="34" t="s">
        <v>41</v>
      </c>
      <c r="K469" s="39" t="s">
        <v>42</v>
      </c>
      <c r="L469" s="120">
        <v>43227</v>
      </c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42" t="s">
        <v>3778</v>
      </c>
      <c r="Y469" s="69" t="s">
        <v>3779</v>
      </c>
      <c r="Z469" s="44" t="s">
        <v>3780</v>
      </c>
      <c r="AA469" s="45">
        <v>44041</v>
      </c>
      <c r="AB469" s="101" t="s">
        <v>30</v>
      </c>
      <c r="AC469" s="36" t="s">
        <v>26</v>
      </c>
      <c r="AD469" s="47" t="s">
        <v>49</v>
      </c>
      <c r="AE469" s="48" t="s">
        <v>49</v>
      </c>
      <c r="AF469" s="48" t="s">
        <v>49</v>
      </c>
      <c r="AG469" s="48" t="s">
        <v>49</v>
      </c>
      <c r="AH469" s="48" t="s">
        <v>49</v>
      </c>
      <c r="AI469" s="48" t="s">
        <v>41</v>
      </c>
      <c r="AJ469" s="49" t="s">
        <v>41</v>
      </c>
      <c r="AK469" s="48" t="s">
        <v>41</v>
      </c>
      <c r="AL469" s="62" t="s">
        <v>4589</v>
      </c>
      <c r="AM469" s="62"/>
      <c r="AN469" s="59"/>
      <c r="AO469" s="117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1"/>
    </row>
    <row r="470" spans="1:52" ht="15" customHeight="1" x14ac:dyDescent="0.2">
      <c r="A470" s="33">
        <f t="shared" si="8"/>
        <v>465</v>
      </c>
      <c r="B470" s="34" t="s">
        <v>3781</v>
      </c>
      <c r="C470" s="35" t="s">
        <v>3782</v>
      </c>
      <c r="D470" s="36" t="s">
        <v>3783</v>
      </c>
      <c r="E470" s="36" t="s">
        <v>54</v>
      </c>
      <c r="F470" s="34" t="s">
        <v>3784</v>
      </c>
      <c r="G470" s="37" t="s">
        <v>323</v>
      </c>
      <c r="H470" s="37" t="s">
        <v>39</v>
      </c>
      <c r="I470" s="38" t="s">
        <v>3785</v>
      </c>
      <c r="J470" s="34" t="s">
        <v>41</v>
      </c>
      <c r="K470" s="39" t="s">
        <v>42</v>
      </c>
      <c r="L470" s="120" t="s">
        <v>3786</v>
      </c>
      <c r="M470" s="56"/>
      <c r="N470" s="56"/>
      <c r="O470" s="56"/>
      <c r="P470" s="56"/>
      <c r="Q470" s="56"/>
      <c r="R470" s="56" t="s">
        <v>44</v>
      </c>
      <c r="S470" s="56"/>
      <c r="T470" s="56"/>
      <c r="U470" s="56"/>
      <c r="V470" s="56"/>
      <c r="W470" s="56"/>
      <c r="X470" s="42" t="s">
        <v>3787</v>
      </c>
      <c r="Y470" s="58" t="s">
        <v>3788</v>
      </c>
      <c r="Z470" s="207" t="s">
        <v>3789</v>
      </c>
      <c r="AA470" s="45">
        <v>44944</v>
      </c>
      <c r="AB470" s="101" t="s">
        <v>30</v>
      </c>
      <c r="AC470" s="36"/>
      <c r="AD470" s="47" t="s">
        <v>49</v>
      </c>
      <c r="AE470" s="48" t="s">
        <v>41</v>
      </c>
      <c r="AF470" s="48" t="s">
        <v>49</v>
      </c>
      <c r="AG470" s="48" t="s">
        <v>49</v>
      </c>
      <c r="AH470" s="48" t="s">
        <v>49</v>
      </c>
      <c r="AI470" s="48" t="s">
        <v>49</v>
      </c>
      <c r="AJ470" s="49" t="s">
        <v>49</v>
      </c>
      <c r="AK470" s="48" t="s">
        <v>49</v>
      </c>
      <c r="AL470" s="65" t="s">
        <v>32</v>
      </c>
      <c r="AM470" s="65"/>
      <c r="AN470" s="59"/>
      <c r="AO470" s="10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1"/>
    </row>
    <row r="471" spans="1:52" ht="15" customHeight="1" x14ac:dyDescent="0.2">
      <c r="A471" s="33">
        <f t="shared" si="8"/>
        <v>466</v>
      </c>
      <c r="B471" s="34" t="s">
        <v>4622</v>
      </c>
      <c r="C471" s="35" t="s">
        <v>3791</v>
      </c>
      <c r="D471" s="36" t="s">
        <v>4623</v>
      </c>
      <c r="E471" s="36" t="s">
        <v>54</v>
      </c>
      <c r="F471" s="34" t="s">
        <v>4621</v>
      </c>
      <c r="G471" s="37" t="s">
        <v>252</v>
      </c>
      <c r="H471" s="37" t="s">
        <v>57</v>
      </c>
      <c r="I471" s="34" t="s">
        <v>3794</v>
      </c>
      <c r="J471" s="34" t="s">
        <v>41</v>
      </c>
      <c r="K471" s="39" t="s">
        <v>42</v>
      </c>
      <c r="L471" s="120">
        <v>30353</v>
      </c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2" t="s">
        <v>3795</v>
      </c>
      <c r="Y471" s="43" t="s">
        <v>3796</v>
      </c>
      <c r="Z471" s="119" t="s">
        <v>61</v>
      </c>
      <c r="AA471" s="45">
        <v>34597</v>
      </c>
      <c r="AB471" s="101" t="s">
        <v>30</v>
      </c>
      <c r="AC471" s="36" t="s">
        <v>26</v>
      </c>
      <c r="AD471" s="47" t="s">
        <v>49</v>
      </c>
      <c r="AE471" s="48" t="s">
        <v>49</v>
      </c>
      <c r="AF471" s="48" t="s">
        <v>49</v>
      </c>
      <c r="AG471" s="48" t="s">
        <v>49</v>
      </c>
      <c r="AH471" s="48" t="s">
        <v>49</v>
      </c>
      <c r="AI471" s="48" t="s">
        <v>49</v>
      </c>
      <c r="AJ471" s="49" t="s">
        <v>49</v>
      </c>
      <c r="AK471" s="48" t="s">
        <v>49</v>
      </c>
      <c r="AL471" s="65" t="s">
        <v>32</v>
      </c>
      <c r="AM471" s="65"/>
      <c r="AN471" s="59"/>
      <c r="AO471" s="10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1"/>
    </row>
    <row r="472" spans="1:52" ht="15" customHeight="1" x14ac:dyDescent="0.2">
      <c r="A472" s="33">
        <f t="shared" si="8"/>
        <v>467</v>
      </c>
      <c r="B472" s="34" t="s">
        <v>3797</v>
      </c>
      <c r="C472" s="35" t="s">
        <v>3798</v>
      </c>
      <c r="D472" s="36" t="s">
        <v>3799</v>
      </c>
      <c r="E472" s="36" t="s">
        <v>54</v>
      </c>
      <c r="F472" s="34" t="s">
        <v>3800</v>
      </c>
      <c r="G472" s="37" t="s">
        <v>73</v>
      </c>
      <c r="H472" s="37" t="s">
        <v>73</v>
      </c>
      <c r="I472" s="34" t="s">
        <v>3801</v>
      </c>
      <c r="J472" s="38" t="s">
        <v>41</v>
      </c>
      <c r="K472" s="39" t="s">
        <v>42</v>
      </c>
      <c r="L472" s="120">
        <v>33795</v>
      </c>
      <c r="M472" s="56" t="s">
        <v>179</v>
      </c>
      <c r="N472" s="56" t="s">
        <v>341</v>
      </c>
      <c r="O472" s="56" t="s">
        <v>1878</v>
      </c>
      <c r="P472" s="56"/>
      <c r="Q472" s="56"/>
      <c r="R472" s="56"/>
      <c r="S472" s="56"/>
      <c r="T472" s="56"/>
      <c r="U472" s="56" t="s">
        <v>732</v>
      </c>
      <c r="V472" s="56"/>
      <c r="W472" s="56"/>
      <c r="X472" s="42" t="s">
        <v>3802</v>
      </c>
      <c r="Y472" s="69" t="s">
        <v>3803</v>
      </c>
      <c r="Z472" s="44" t="s">
        <v>3804</v>
      </c>
      <c r="AA472" s="45">
        <v>44041</v>
      </c>
      <c r="AB472" s="101" t="s">
        <v>30</v>
      </c>
      <c r="AC472" s="36" t="s">
        <v>26</v>
      </c>
      <c r="AD472" s="47" t="s">
        <v>49</v>
      </c>
      <c r="AE472" s="48" t="s">
        <v>49</v>
      </c>
      <c r="AF472" s="48" t="s">
        <v>49</v>
      </c>
      <c r="AG472" s="48" t="s">
        <v>49</v>
      </c>
      <c r="AH472" s="48" t="s">
        <v>49</v>
      </c>
      <c r="AI472" s="48" t="s">
        <v>49</v>
      </c>
      <c r="AJ472" s="49" t="s">
        <v>41</v>
      </c>
      <c r="AK472" s="48" t="s">
        <v>41</v>
      </c>
      <c r="AL472" s="62" t="s">
        <v>276</v>
      </c>
      <c r="AM472" s="62"/>
      <c r="AN472" s="59"/>
      <c r="AO472" s="10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1"/>
    </row>
    <row r="473" spans="1:52" ht="15" customHeight="1" x14ac:dyDescent="0.2">
      <c r="A473" s="33">
        <f t="shared" si="8"/>
        <v>468</v>
      </c>
      <c r="B473" s="34" t="s">
        <v>3805</v>
      </c>
      <c r="C473" s="35" t="s">
        <v>3806</v>
      </c>
      <c r="D473" s="174" t="s">
        <v>3807</v>
      </c>
      <c r="E473" s="36" t="s">
        <v>54</v>
      </c>
      <c r="F473" s="34" t="s">
        <v>3808</v>
      </c>
      <c r="G473" s="37" t="s">
        <v>73</v>
      </c>
      <c r="H473" s="37" t="s">
        <v>73</v>
      </c>
      <c r="I473" s="38" t="s">
        <v>3809</v>
      </c>
      <c r="J473" s="38" t="s">
        <v>41</v>
      </c>
      <c r="K473" s="39" t="s">
        <v>42</v>
      </c>
      <c r="L473" s="120" t="s">
        <v>3810</v>
      </c>
      <c r="M473" s="56"/>
      <c r="N473" s="56"/>
      <c r="O473" s="56"/>
      <c r="P473" s="56"/>
      <c r="Q473" s="56"/>
      <c r="R473" s="56" t="s">
        <v>44</v>
      </c>
      <c r="S473" s="56"/>
      <c r="T473" s="56"/>
      <c r="U473" s="56" t="s">
        <v>732</v>
      </c>
      <c r="V473" s="56"/>
      <c r="W473" s="56"/>
      <c r="X473" s="42" t="s">
        <v>3811</v>
      </c>
      <c r="Y473" s="58" t="s">
        <v>3812</v>
      </c>
      <c r="Z473" s="121"/>
      <c r="AA473" s="45"/>
      <c r="AB473" s="101"/>
      <c r="AC473" s="36"/>
      <c r="AD473" s="47" t="s">
        <v>49</v>
      </c>
      <c r="AE473" s="48" t="s">
        <v>41</v>
      </c>
      <c r="AF473" s="48" t="s">
        <v>49</v>
      </c>
      <c r="AG473" s="48" t="s">
        <v>49</v>
      </c>
      <c r="AH473" s="48" t="s">
        <v>49</v>
      </c>
      <c r="AI473" s="48" t="s">
        <v>49</v>
      </c>
      <c r="AJ473" s="49" t="s">
        <v>49</v>
      </c>
      <c r="AK473" s="48" t="s">
        <v>49</v>
      </c>
      <c r="AL473" s="62" t="s">
        <v>32</v>
      </c>
      <c r="AM473" s="62"/>
      <c r="AN473" s="59"/>
      <c r="AO473" s="10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1"/>
    </row>
    <row r="474" spans="1:52" ht="15" customHeight="1" x14ac:dyDescent="0.2">
      <c r="A474" s="33">
        <f t="shared" si="8"/>
        <v>469</v>
      </c>
      <c r="B474" s="34" t="s">
        <v>3813</v>
      </c>
      <c r="C474" s="35" t="s">
        <v>3814</v>
      </c>
      <c r="D474" s="104" t="s">
        <v>3815</v>
      </c>
      <c r="E474" s="36" t="s">
        <v>54</v>
      </c>
      <c r="F474" s="34" t="s">
        <v>3816</v>
      </c>
      <c r="G474" s="37" t="s">
        <v>73</v>
      </c>
      <c r="H474" s="37" t="s">
        <v>73</v>
      </c>
      <c r="I474" s="34" t="s">
        <v>3746</v>
      </c>
      <c r="J474" s="34" t="s">
        <v>41</v>
      </c>
      <c r="K474" s="39" t="s">
        <v>42</v>
      </c>
      <c r="L474" s="99" t="s">
        <v>3817</v>
      </c>
      <c r="M474" s="56"/>
      <c r="N474" s="56"/>
      <c r="O474" s="56"/>
      <c r="P474" s="56"/>
      <c r="Q474" s="56"/>
      <c r="R474" s="56"/>
      <c r="S474" s="56"/>
      <c r="T474" s="56" t="s">
        <v>732</v>
      </c>
      <c r="U474" s="56"/>
      <c r="V474" s="56"/>
      <c r="W474" s="56"/>
      <c r="X474" s="42" t="s">
        <v>3818</v>
      </c>
      <c r="Y474" s="52" t="s">
        <v>3819</v>
      </c>
      <c r="Z474" s="119"/>
      <c r="AA474" s="45">
        <v>45642</v>
      </c>
      <c r="AB474" s="101"/>
      <c r="AC474" s="36" t="s">
        <v>26</v>
      </c>
      <c r="AD474" s="47" t="s">
        <v>49</v>
      </c>
      <c r="AE474" s="48" t="s">
        <v>49</v>
      </c>
      <c r="AF474" s="48" t="s">
        <v>49</v>
      </c>
      <c r="AG474" s="48" t="s">
        <v>49</v>
      </c>
      <c r="AH474" s="48" t="s">
        <v>49</v>
      </c>
      <c r="AI474" s="48" t="s">
        <v>49</v>
      </c>
      <c r="AJ474" s="49" t="s">
        <v>49</v>
      </c>
      <c r="AK474" s="48" t="s">
        <v>49</v>
      </c>
      <c r="AL474" s="65" t="s">
        <v>32</v>
      </c>
      <c r="AM474" s="65"/>
      <c r="AN474" s="59"/>
      <c r="AO474" s="102"/>
      <c r="AP474" s="3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1"/>
    </row>
    <row r="475" spans="1:52" ht="15" customHeight="1" x14ac:dyDescent="0.2">
      <c r="A475" s="33">
        <f t="shared" si="8"/>
        <v>470</v>
      </c>
      <c r="B475" s="34" t="s">
        <v>3820</v>
      </c>
      <c r="C475" s="35" t="s">
        <v>3821</v>
      </c>
      <c r="D475" s="36" t="s">
        <v>3822</v>
      </c>
      <c r="E475" s="36" t="s">
        <v>54</v>
      </c>
      <c r="F475" s="34" t="s">
        <v>3808</v>
      </c>
      <c r="G475" s="37" t="s">
        <v>73</v>
      </c>
      <c r="H475" s="37" t="s">
        <v>73</v>
      </c>
      <c r="I475" s="34" t="s">
        <v>3823</v>
      </c>
      <c r="J475" s="34" t="s">
        <v>41</v>
      </c>
      <c r="K475" s="39" t="s">
        <v>42</v>
      </c>
      <c r="L475" s="99" t="s">
        <v>3824</v>
      </c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42" t="s">
        <v>3825</v>
      </c>
      <c r="Y475" s="58" t="s">
        <v>3826</v>
      </c>
      <c r="Z475" s="44" t="s">
        <v>3827</v>
      </c>
      <c r="AA475" s="45">
        <v>44041</v>
      </c>
      <c r="AB475" s="101" t="s">
        <v>30</v>
      </c>
      <c r="AC475" s="36" t="s">
        <v>26</v>
      </c>
      <c r="AD475" s="47" t="s">
        <v>49</v>
      </c>
      <c r="AE475" s="48" t="s">
        <v>49</v>
      </c>
      <c r="AF475" s="48" t="s">
        <v>49</v>
      </c>
      <c r="AG475" s="48" t="s">
        <v>49</v>
      </c>
      <c r="AH475" s="48" t="s">
        <v>49</v>
      </c>
      <c r="AI475" s="48" t="s">
        <v>49</v>
      </c>
      <c r="AJ475" s="49" t="s">
        <v>49</v>
      </c>
      <c r="AK475" s="48" t="s">
        <v>49</v>
      </c>
      <c r="AL475" s="62" t="s">
        <v>32</v>
      </c>
      <c r="AM475" s="62"/>
      <c r="AN475" s="59"/>
      <c r="AO475" s="102"/>
      <c r="AP475" s="3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1"/>
    </row>
    <row r="476" spans="1:52" ht="15" customHeight="1" x14ac:dyDescent="0.2">
      <c r="A476" s="33">
        <f t="shared" si="8"/>
        <v>471</v>
      </c>
      <c r="B476" s="34" t="s">
        <v>3828</v>
      </c>
      <c r="C476" s="35" t="s">
        <v>3829</v>
      </c>
      <c r="D476" s="36" t="s">
        <v>3830</v>
      </c>
      <c r="E476" s="36" t="s">
        <v>54</v>
      </c>
      <c r="F476" s="34" t="s">
        <v>3831</v>
      </c>
      <c r="G476" s="37" t="s">
        <v>176</v>
      </c>
      <c r="H476" s="37" t="s">
        <v>39</v>
      </c>
      <c r="I476" s="38" t="s">
        <v>3832</v>
      </c>
      <c r="J476" s="34" t="s">
        <v>41</v>
      </c>
      <c r="K476" s="39" t="s">
        <v>42</v>
      </c>
      <c r="L476" s="99" t="s">
        <v>3833</v>
      </c>
      <c r="M476" s="56"/>
      <c r="N476" s="56"/>
      <c r="O476" s="56"/>
      <c r="P476" s="56"/>
      <c r="Q476" s="56"/>
      <c r="R476" s="56"/>
      <c r="S476" s="56"/>
      <c r="T476" s="56" t="s">
        <v>732</v>
      </c>
      <c r="U476" s="56"/>
      <c r="V476" s="56"/>
      <c r="W476" s="56"/>
      <c r="X476" s="42" t="s">
        <v>3834</v>
      </c>
      <c r="Y476" s="58" t="s">
        <v>3835</v>
      </c>
      <c r="Z476" s="58"/>
      <c r="AA476" s="58" t="s">
        <v>47</v>
      </c>
      <c r="AB476" s="101"/>
      <c r="AC476" s="36" t="s">
        <v>26</v>
      </c>
      <c r="AD476" s="47" t="s">
        <v>49</v>
      </c>
      <c r="AE476" s="48" t="s">
        <v>49</v>
      </c>
      <c r="AF476" s="48" t="s">
        <v>49</v>
      </c>
      <c r="AG476" s="48" t="s">
        <v>49</v>
      </c>
      <c r="AH476" s="48" t="s">
        <v>49</v>
      </c>
      <c r="AI476" s="48" t="s">
        <v>41</v>
      </c>
      <c r="AJ476" s="49" t="s">
        <v>41</v>
      </c>
      <c r="AK476" s="48" t="s">
        <v>41</v>
      </c>
      <c r="AL476" s="62" t="s">
        <v>4589</v>
      </c>
      <c r="AM476" s="62"/>
      <c r="AN476" s="59"/>
      <c r="AO476" s="10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1"/>
    </row>
    <row r="477" spans="1:52" ht="15" customHeight="1" x14ac:dyDescent="0.2">
      <c r="A477" s="33">
        <f t="shared" si="8"/>
        <v>472</v>
      </c>
      <c r="B477" s="34" t="s">
        <v>3836</v>
      </c>
      <c r="C477" s="35" t="s">
        <v>3837</v>
      </c>
      <c r="D477" s="36" t="s">
        <v>3838</v>
      </c>
      <c r="E477" s="36" t="s">
        <v>54</v>
      </c>
      <c r="F477" s="34" t="s">
        <v>3839</v>
      </c>
      <c r="G477" s="37" t="s">
        <v>252</v>
      </c>
      <c r="H477" s="37" t="s">
        <v>57</v>
      </c>
      <c r="I477" s="38" t="s">
        <v>3840</v>
      </c>
      <c r="J477" s="34" t="s">
        <v>41</v>
      </c>
      <c r="K477" s="39" t="s">
        <v>42</v>
      </c>
      <c r="L477" s="120">
        <v>45322</v>
      </c>
      <c r="M477" s="41"/>
      <c r="N477" s="41"/>
      <c r="O477" s="41"/>
      <c r="P477" s="41"/>
      <c r="Q477" s="41"/>
      <c r="R477" s="41"/>
      <c r="S477" s="41"/>
      <c r="T477" s="41"/>
      <c r="U477" s="41" t="s">
        <v>44</v>
      </c>
      <c r="V477" s="41"/>
      <c r="W477" s="41"/>
      <c r="X477" s="42" t="s">
        <v>3841</v>
      </c>
      <c r="Y477" s="58" t="s">
        <v>3842</v>
      </c>
      <c r="Z477" s="121"/>
      <c r="AA477" s="45"/>
      <c r="AB477" s="101"/>
      <c r="AC477" s="36"/>
      <c r="AD477" s="47" t="s">
        <v>49</v>
      </c>
      <c r="AE477" s="48" t="s">
        <v>41</v>
      </c>
      <c r="AF477" s="48" t="s">
        <v>41</v>
      </c>
      <c r="AG477" s="48" t="s">
        <v>41</v>
      </c>
      <c r="AH477" s="48" t="s">
        <v>41</v>
      </c>
      <c r="AI477" s="48" t="s">
        <v>49</v>
      </c>
      <c r="AJ477" s="49" t="s">
        <v>49</v>
      </c>
      <c r="AK477" s="48" t="s">
        <v>49</v>
      </c>
      <c r="AL477" s="65" t="s">
        <v>32</v>
      </c>
      <c r="AM477" s="65"/>
      <c r="AN477" s="59"/>
      <c r="AO477" s="117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1"/>
    </row>
    <row r="478" spans="1:52" ht="15" customHeight="1" x14ac:dyDescent="0.2">
      <c r="A478" s="33">
        <f t="shared" si="8"/>
        <v>473</v>
      </c>
      <c r="B478" s="34" t="s">
        <v>3843</v>
      </c>
      <c r="C478" s="35" t="s">
        <v>3844</v>
      </c>
      <c r="D478" s="36" t="s">
        <v>3845</v>
      </c>
      <c r="E478" s="36" t="s">
        <v>54</v>
      </c>
      <c r="F478" s="34" t="s">
        <v>3846</v>
      </c>
      <c r="G478" s="37" t="s">
        <v>360</v>
      </c>
      <c r="H478" s="37" t="s">
        <v>350</v>
      </c>
      <c r="I478" s="34" t="s">
        <v>3847</v>
      </c>
      <c r="J478" s="34"/>
      <c r="K478" s="39" t="s">
        <v>42</v>
      </c>
      <c r="L478" s="99" t="s">
        <v>3848</v>
      </c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2" t="s">
        <v>3849</v>
      </c>
      <c r="Y478" s="52" t="s">
        <v>3850</v>
      </c>
      <c r="Z478" s="44" t="s">
        <v>61</v>
      </c>
      <c r="AA478" s="45">
        <v>37877</v>
      </c>
      <c r="AB478" s="101" t="s">
        <v>30</v>
      </c>
      <c r="AC478" s="36"/>
      <c r="AD478" s="47" t="s">
        <v>49</v>
      </c>
      <c r="AE478" s="48" t="s">
        <v>41</v>
      </c>
      <c r="AF478" s="48" t="s">
        <v>41</v>
      </c>
      <c r="AG478" s="48" t="s">
        <v>41</v>
      </c>
      <c r="AH478" s="48" t="s">
        <v>41</v>
      </c>
      <c r="AI478" s="48" t="s">
        <v>41</v>
      </c>
      <c r="AJ478" s="49" t="s">
        <v>41</v>
      </c>
      <c r="AK478" s="48" t="s">
        <v>41</v>
      </c>
      <c r="AL478" s="65" t="s">
        <v>4590</v>
      </c>
      <c r="AM478" s="65"/>
      <c r="AN478" s="59" t="s">
        <v>3851</v>
      </c>
      <c r="AO478" s="117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1"/>
    </row>
    <row r="479" spans="1:52" ht="15" customHeight="1" x14ac:dyDescent="0.2">
      <c r="A479" s="33">
        <f t="shared" si="8"/>
        <v>474</v>
      </c>
      <c r="B479" s="34" t="s">
        <v>3852</v>
      </c>
      <c r="C479" s="35" t="s">
        <v>3853</v>
      </c>
      <c r="D479" s="36" t="s">
        <v>3854</v>
      </c>
      <c r="E479" s="36" t="s">
        <v>54</v>
      </c>
      <c r="F479" s="34" t="s">
        <v>3855</v>
      </c>
      <c r="G479" s="37" t="s">
        <v>73</v>
      </c>
      <c r="H479" s="37" t="s">
        <v>73</v>
      </c>
      <c r="I479" s="34" t="s">
        <v>3856</v>
      </c>
      <c r="J479" s="34" t="s">
        <v>41</v>
      </c>
      <c r="K479" s="39" t="s">
        <v>42</v>
      </c>
      <c r="L479" s="99" t="s">
        <v>3857</v>
      </c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42" t="s">
        <v>3858</v>
      </c>
      <c r="Y479" s="52" t="s">
        <v>3859</v>
      </c>
      <c r="Z479" s="44" t="s">
        <v>61</v>
      </c>
      <c r="AA479" s="45">
        <v>38593</v>
      </c>
      <c r="AB479" s="101" t="s">
        <v>30</v>
      </c>
      <c r="AC479" s="36" t="s">
        <v>26</v>
      </c>
      <c r="AD479" s="47" t="s">
        <v>49</v>
      </c>
      <c r="AE479" s="48" t="s">
        <v>49</v>
      </c>
      <c r="AF479" s="48" t="s">
        <v>49</v>
      </c>
      <c r="AG479" s="48" t="s">
        <v>49</v>
      </c>
      <c r="AH479" s="48" t="s">
        <v>49</v>
      </c>
      <c r="AI479" s="48" t="s">
        <v>41</v>
      </c>
      <c r="AJ479" s="49" t="s">
        <v>41</v>
      </c>
      <c r="AK479" s="48" t="s">
        <v>41</v>
      </c>
      <c r="AL479" s="62" t="s">
        <v>4589</v>
      </c>
      <c r="AM479" s="62"/>
      <c r="AN479" s="59"/>
      <c r="AO479" s="10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1"/>
    </row>
    <row r="480" spans="1:52" ht="15" customHeight="1" x14ac:dyDescent="0.2">
      <c r="A480" s="33">
        <f t="shared" si="8"/>
        <v>475</v>
      </c>
      <c r="B480" s="34" t="s">
        <v>3860</v>
      </c>
      <c r="C480" s="35" t="s">
        <v>3861</v>
      </c>
      <c r="D480" s="36" t="s">
        <v>3862</v>
      </c>
      <c r="E480" s="36" t="s">
        <v>54</v>
      </c>
      <c r="F480" s="34" t="s">
        <v>3863</v>
      </c>
      <c r="G480" s="37" t="s">
        <v>176</v>
      </c>
      <c r="H480" s="37" t="s">
        <v>39</v>
      </c>
      <c r="I480" s="34" t="s">
        <v>3864</v>
      </c>
      <c r="J480" s="34" t="s">
        <v>41</v>
      </c>
      <c r="K480" s="39" t="s">
        <v>42</v>
      </c>
      <c r="L480" s="99" t="s">
        <v>3865</v>
      </c>
      <c r="M480" s="56" t="s">
        <v>179</v>
      </c>
      <c r="N480" s="56" t="s">
        <v>179</v>
      </c>
      <c r="O480" s="56"/>
      <c r="P480" s="56">
        <v>2</v>
      </c>
      <c r="Q480" s="56"/>
      <c r="R480" s="56"/>
      <c r="S480" s="56"/>
      <c r="T480" s="56" t="s">
        <v>732</v>
      </c>
      <c r="U480" s="56"/>
      <c r="V480" s="56"/>
      <c r="W480" s="56"/>
      <c r="X480" s="57" t="s">
        <v>3866</v>
      </c>
      <c r="Y480" s="55" t="s">
        <v>3867</v>
      </c>
      <c r="Z480" s="224" t="s">
        <v>3868</v>
      </c>
      <c r="AA480" s="45">
        <v>42325</v>
      </c>
      <c r="AB480" s="101" t="s">
        <v>30</v>
      </c>
      <c r="AC480" s="36" t="s">
        <v>26</v>
      </c>
      <c r="AD480" s="47" t="s">
        <v>49</v>
      </c>
      <c r="AE480" s="48" t="s">
        <v>49</v>
      </c>
      <c r="AF480" s="48" t="s">
        <v>49</v>
      </c>
      <c r="AG480" s="48" t="s">
        <v>49</v>
      </c>
      <c r="AH480" s="48" t="s">
        <v>49</v>
      </c>
      <c r="AI480" s="48" t="s">
        <v>49</v>
      </c>
      <c r="AJ480" s="49" t="s">
        <v>41</v>
      </c>
      <c r="AK480" s="48" t="s">
        <v>41</v>
      </c>
      <c r="AL480" s="62" t="s">
        <v>276</v>
      </c>
      <c r="AM480" s="62"/>
      <c r="AN480" s="59"/>
      <c r="AO480" s="10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1"/>
    </row>
    <row r="481" spans="1:52" ht="15" customHeight="1" x14ac:dyDescent="0.2">
      <c r="A481" s="33">
        <f t="shared" si="8"/>
        <v>476</v>
      </c>
      <c r="B481" s="34" t="s">
        <v>3869</v>
      </c>
      <c r="C481" s="35" t="s">
        <v>3870</v>
      </c>
      <c r="D481" s="36" t="s">
        <v>3871</v>
      </c>
      <c r="E481" s="36" t="s">
        <v>54</v>
      </c>
      <c r="F481" s="34" t="s">
        <v>3872</v>
      </c>
      <c r="G481" s="37" t="s">
        <v>252</v>
      </c>
      <c r="H481" s="37" t="s">
        <v>57</v>
      </c>
      <c r="I481" s="38" t="s">
        <v>3873</v>
      </c>
      <c r="J481" s="34" t="s">
        <v>41</v>
      </c>
      <c r="K481" s="39" t="s">
        <v>42</v>
      </c>
      <c r="L481" s="120">
        <v>45322</v>
      </c>
      <c r="M481" s="56"/>
      <c r="N481" s="56"/>
      <c r="O481" s="56"/>
      <c r="P481" s="56"/>
      <c r="Q481" s="56"/>
      <c r="R481" s="56"/>
      <c r="S481" s="56"/>
      <c r="T481" s="56"/>
      <c r="U481" s="56" t="s">
        <v>44</v>
      </c>
      <c r="V481" s="56"/>
      <c r="W481" s="56"/>
      <c r="X481" s="54" t="s">
        <v>3874</v>
      </c>
      <c r="Y481" s="43" t="s">
        <v>3875</v>
      </c>
      <c r="Z481" s="119"/>
      <c r="AA481" s="45"/>
      <c r="AB481" s="101"/>
      <c r="AC481" s="36"/>
      <c r="AD481" s="47" t="s">
        <v>49</v>
      </c>
      <c r="AE481" s="48" t="s">
        <v>41</v>
      </c>
      <c r="AF481" s="48" t="s">
        <v>41</v>
      </c>
      <c r="AG481" s="48" t="s">
        <v>41</v>
      </c>
      <c r="AH481" s="48" t="s">
        <v>41</v>
      </c>
      <c r="AI481" s="48" t="s">
        <v>49</v>
      </c>
      <c r="AJ481" s="49" t="s">
        <v>49</v>
      </c>
      <c r="AK481" s="48" t="s">
        <v>49</v>
      </c>
      <c r="AL481" s="62" t="s">
        <v>32</v>
      </c>
      <c r="AM481" s="62"/>
      <c r="AN481" s="59"/>
      <c r="AO481" s="10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1"/>
    </row>
    <row r="482" spans="1:52" ht="15" customHeight="1" x14ac:dyDescent="0.2">
      <c r="A482" s="33">
        <f t="shared" si="8"/>
        <v>477</v>
      </c>
      <c r="B482" s="34" t="s">
        <v>3876</v>
      </c>
      <c r="C482" s="35" t="s">
        <v>3877</v>
      </c>
      <c r="D482" s="36" t="s">
        <v>3878</v>
      </c>
      <c r="E482" s="36" t="s">
        <v>54</v>
      </c>
      <c r="F482" s="34" t="s">
        <v>3879</v>
      </c>
      <c r="G482" s="37" t="s">
        <v>176</v>
      </c>
      <c r="H482" s="37" t="s">
        <v>39</v>
      </c>
      <c r="I482" s="34" t="s">
        <v>3864</v>
      </c>
      <c r="J482" s="34" t="s">
        <v>41</v>
      </c>
      <c r="K482" s="39" t="s">
        <v>42</v>
      </c>
      <c r="L482" s="99" t="s">
        <v>3865</v>
      </c>
      <c r="M482" s="56"/>
      <c r="N482" s="56"/>
      <c r="O482" s="56"/>
      <c r="P482" s="56"/>
      <c r="Q482" s="56"/>
      <c r="R482" s="56"/>
      <c r="S482" s="56"/>
      <c r="T482" s="56" t="s">
        <v>44</v>
      </c>
      <c r="U482" s="56"/>
      <c r="V482" s="56"/>
      <c r="W482" s="56"/>
      <c r="X482" s="42" t="s">
        <v>3880</v>
      </c>
      <c r="Y482" s="43" t="s">
        <v>3881</v>
      </c>
      <c r="Z482" s="207" t="s">
        <v>3882</v>
      </c>
      <c r="AA482" s="45">
        <v>44944</v>
      </c>
      <c r="AB482" s="101" t="s">
        <v>30</v>
      </c>
      <c r="AC482" s="36"/>
      <c r="AD482" s="47" t="s">
        <v>49</v>
      </c>
      <c r="AE482" s="48" t="s">
        <v>41</v>
      </c>
      <c r="AF482" s="48" t="s">
        <v>41</v>
      </c>
      <c r="AG482" s="48" t="s">
        <v>41</v>
      </c>
      <c r="AH482" s="48" t="s">
        <v>49</v>
      </c>
      <c r="AI482" s="48" t="s">
        <v>49</v>
      </c>
      <c r="AJ482" s="49" t="s">
        <v>49</v>
      </c>
      <c r="AK482" s="48" t="s">
        <v>49</v>
      </c>
      <c r="AL482" s="62" t="s">
        <v>32</v>
      </c>
      <c r="AM482" s="62"/>
      <c r="AN482" s="59"/>
      <c r="AO482" s="10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1"/>
    </row>
    <row r="483" spans="1:52" x14ac:dyDescent="0.2">
      <c r="A483" s="33">
        <f t="shared" si="8"/>
        <v>478</v>
      </c>
      <c r="B483" s="34" t="s">
        <v>3883</v>
      </c>
      <c r="C483" s="35" t="s">
        <v>3884</v>
      </c>
      <c r="D483" s="36" t="s">
        <v>3885</v>
      </c>
      <c r="E483" s="36" t="s">
        <v>36</v>
      </c>
      <c r="F483" s="34" t="s">
        <v>3886</v>
      </c>
      <c r="G483" s="37" t="s">
        <v>73</v>
      </c>
      <c r="H483" s="37" t="s">
        <v>73</v>
      </c>
      <c r="I483" s="38" t="s">
        <v>3887</v>
      </c>
      <c r="J483" s="38" t="s">
        <v>41</v>
      </c>
      <c r="K483" s="39" t="s">
        <v>42</v>
      </c>
      <c r="L483" s="120" t="s">
        <v>3888</v>
      </c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42" t="s">
        <v>3889</v>
      </c>
      <c r="Y483" s="58" t="s">
        <v>3890</v>
      </c>
      <c r="Z483" s="119" t="s">
        <v>3891</v>
      </c>
      <c r="AA483" s="45">
        <v>43200</v>
      </c>
      <c r="AB483" s="101" t="s">
        <v>30</v>
      </c>
      <c r="AC483" s="36" t="s">
        <v>26</v>
      </c>
      <c r="AD483" s="64" t="s">
        <v>120</v>
      </c>
      <c r="AE483" s="48" t="s">
        <v>120</v>
      </c>
      <c r="AF483" s="48" t="s">
        <v>120</v>
      </c>
      <c r="AG483" s="48" t="s">
        <v>120</v>
      </c>
      <c r="AH483" s="48" t="s">
        <v>120</v>
      </c>
      <c r="AI483" s="48" t="s">
        <v>120</v>
      </c>
      <c r="AJ483" s="49" t="s">
        <v>120</v>
      </c>
      <c r="AK483" s="48" t="s">
        <v>120</v>
      </c>
      <c r="AL483" s="62" t="s">
        <v>32</v>
      </c>
      <c r="AM483" s="62"/>
      <c r="AN483" s="59"/>
      <c r="AO483" s="102"/>
      <c r="AP483" s="32"/>
      <c r="AQ483" s="32"/>
      <c r="AR483" s="32"/>
      <c r="AS483" s="32"/>
      <c r="AT483" s="32"/>
      <c r="AU483" s="32"/>
      <c r="AV483" s="220"/>
      <c r="AW483" s="220"/>
      <c r="AX483" s="220"/>
      <c r="AY483" s="220"/>
      <c r="AZ483" s="31"/>
    </row>
    <row r="484" spans="1:52" x14ac:dyDescent="0.2">
      <c r="A484" s="33">
        <f t="shared" si="8"/>
        <v>479</v>
      </c>
      <c r="B484" s="34" t="s">
        <v>3892</v>
      </c>
      <c r="C484" s="35" t="s">
        <v>3893</v>
      </c>
      <c r="D484" s="36" t="s">
        <v>3894</v>
      </c>
      <c r="E484" s="36" t="s">
        <v>36</v>
      </c>
      <c r="F484" s="34" t="s">
        <v>3895</v>
      </c>
      <c r="G484" s="37" t="s">
        <v>73</v>
      </c>
      <c r="H484" s="37" t="s">
        <v>73</v>
      </c>
      <c r="I484" s="38" t="s">
        <v>3896</v>
      </c>
      <c r="J484" s="38" t="s">
        <v>41</v>
      </c>
      <c r="K484" s="39" t="s">
        <v>42</v>
      </c>
      <c r="L484" s="120" t="s">
        <v>3897</v>
      </c>
      <c r="M484" s="56"/>
      <c r="N484" s="56"/>
      <c r="O484" s="56"/>
      <c r="P484" s="56"/>
      <c r="Q484" s="56"/>
      <c r="R484" s="56" t="s">
        <v>44</v>
      </c>
      <c r="S484" s="56"/>
      <c r="T484" s="56"/>
      <c r="U484" s="56"/>
      <c r="V484" s="56"/>
      <c r="W484" s="56"/>
      <c r="X484" s="42" t="s">
        <v>3898</v>
      </c>
      <c r="Y484" s="83" t="s">
        <v>3899</v>
      </c>
      <c r="Z484" s="121" t="s">
        <v>3900</v>
      </c>
      <c r="AA484" s="45">
        <v>44650</v>
      </c>
      <c r="AB484" s="101" t="s">
        <v>30</v>
      </c>
      <c r="AC484" s="36"/>
      <c r="AD484" s="61" t="s">
        <v>49</v>
      </c>
      <c r="AE484" s="48" t="s">
        <v>41</v>
      </c>
      <c r="AF484" s="48" t="s">
        <v>49</v>
      </c>
      <c r="AG484" s="48" t="s">
        <v>49</v>
      </c>
      <c r="AH484" s="48" t="s">
        <v>49</v>
      </c>
      <c r="AI484" s="48" t="s">
        <v>41</v>
      </c>
      <c r="AJ484" s="49" t="s">
        <v>41</v>
      </c>
      <c r="AK484" s="48" t="s">
        <v>41</v>
      </c>
      <c r="AL484" s="62" t="s">
        <v>4589</v>
      </c>
      <c r="AM484" s="62"/>
      <c r="AN484" s="59"/>
      <c r="AO484" s="117"/>
      <c r="AP484" s="32"/>
      <c r="AQ484" s="32"/>
      <c r="AR484" s="32"/>
      <c r="AS484" s="32"/>
      <c r="AT484" s="32"/>
      <c r="AU484" s="32"/>
      <c r="AV484" s="220"/>
      <c r="AW484" s="220"/>
      <c r="AX484" s="220"/>
      <c r="AY484" s="220"/>
      <c r="AZ484" s="31"/>
    </row>
    <row r="485" spans="1:52" x14ac:dyDescent="0.2">
      <c r="A485" s="33">
        <f t="shared" si="8"/>
        <v>480</v>
      </c>
      <c r="B485" s="34" t="s">
        <v>3901</v>
      </c>
      <c r="C485" s="35" t="s">
        <v>3902</v>
      </c>
      <c r="D485" s="36" t="s">
        <v>3903</v>
      </c>
      <c r="E485" s="36" t="s">
        <v>54</v>
      </c>
      <c r="F485" s="34" t="s">
        <v>3904</v>
      </c>
      <c r="G485" s="37" t="s">
        <v>73</v>
      </c>
      <c r="H485" s="37" t="s">
        <v>73</v>
      </c>
      <c r="I485" s="34" t="s">
        <v>3905</v>
      </c>
      <c r="J485" s="34" t="s">
        <v>3906</v>
      </c>
      <c r="K485" s="39" t="s">
        <v>42</v>
      </c>
      <c r="L485" s="120">
        <v>30353</v>
      </c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2" t="s">
        <v>3907</v>
      </c>
      <c r="Y485" s="52" t="s">
        <v>3908</v>
      </c>
      <c r="Z485" s="44" t="s">
        <v>61</v>
      </c>
      <c r="AA485" s="45">
        <v>34597</v>
      </c>
      <c r="AB485" s="101" t="s">
        <v>30</v>
      </c>
      <c r="AC485" s="36" t="s">
        <v>26</v>
      </c>
      <c r="AD485" s="47" t="s">
        <v>49</v>
      </c>
      <c r="AE485" s="48" t="s">
        <v>49</v>
      </c>
      <c r="AF485" s="48" t="s">
        <v>49</v>
      </c>
      <c r="AG485" s="48" t="s">
        <v>49</v>
      </c>
      <c r="AH485" s="48" t="s">
        <v>49</v>
      </c>
      <c r="AI485" s="48" t="s">
        <v>49</v>
      </c>
      <c r="AJ485" s="49" t="s">
        <v>49</v>
      </c>
      <c r="AK485" s="48" t="s">
        <v>49</v>
      </c>
      <c r="AL485" s="65" t="s">
        <v>32</v>
      </c>
      <c r="AM485" s="65"/>
      <c r="AN485" s="59"/>
      <c r="AO485" s="102"/>
      <c r="AP485" s="32"/>
      <c r="AQ485" s="32"/>
      <c r="AR485" s="32"/>
      <c r="AS485" s="32"/>
      <c r="AT485" s="32"/>
      <c r="AU485" s="32"/>
      <c r="AV485" s="234"/>
      <c r="AW485" s="234"/>
      <c r="AX485" s="234"/>
      <c r="AY485" s="234"/>
      <c r="AZ485" s="31"/>
    </row>
    <row r="486" spans="1:52" x14ac:dyDescent="0.2">
      <c r="A486" s="33">
        <f t="shared" si="8"/>
        <v>481</v>
      </c>
      <c r="B486" s="34" t="s">
        <v>3909</v>
      </c>
      <c r="C486" s="35" t="s">
        <v>3910</v>
      </c>
      <c r="D486" s="36" t="s">
        <v>3911</v>
      </c>
      <c r="E486" s="36" t="s">
        <v>36</v>
      </c>
      <c r="F486" s="34" t="s">
        <v>3912</v>
      </c>
      <c r="G486" s="37" t="s">
        <v>360</v>
      </c>
      <c r="H486" s="37" t="s">
        <v>350</v>
      </c>
      <c r="I486" s="38" t="s">
        <v>3913</v>
      </c>
      <c r="J486" s="38" t="s">
        <v>41</v>
      </c>
      <c r="K486" s="39" t="s">
        <v>42</v>
      </c>
      <c r="L486" s="120">
        <v>42499</v>
      </c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2" t="s">
        <v>3914</v>
      </c>
      <c r="Y486" s="69" t="s">
        <v>3915</v>
      </c>
      <c r="Z486" s="119" t="s">
        <v>3916</v>
      </c>
      <c r="AA486" s="45">
        <v>42935</v>
      </c>
      <c r="AB486" s="101" t="s">
        <v>30</v>
      </c>
      <c r="AC486" s="36" t="s">
        <v>26</v>
      </c>
      <c r="AD486" s="47" t="s">
        <v>49</v>
      </c>
      <c r="AE486" s="48" t="s">
        <v>49</v>
      </c>
      <c r="AF486" s="48" t="s">
        <v>49</v>
      </c>
      <c r="AG486" s="48" t="s">
        <v>49</v>
      </c>
      <c r="AH486" s="48" t="s">
        <v>49</v>
      </c>
      <c r="AI486" s="48" t="s">
        <v>49</v>
      </c>
      <c r="AJ486" s="49" t="s">
        <v>49</v>
      </c>
      <c r="AK486" s="48" t="s">
        <v>49</v>
      </c>
      <c r="AL486" s="62" t="s">
        <v>32</v>
      </c>
      <c r="AM486" s="62"/>
      <c r="AN486" s="59"/>
      <c r="AO486" s="10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1"/>
    </row>
    <row r="487" spans="1:52" ht="20.25" customHeight="1" x14ac:dyDescent="0.2">
      <c r="A487" s="33">
        <f t="shared" si="8"/>
        <v>482</v>
      </c>
      <c r="B487" s="34" t="s">
        <v>3917</v>
      </c>
      <c r="C487" s="35" t="s">
        <v>3918</v>
      </c>
      <c r="D487" s="36" t="s">
        <v>3919</v>
      </c>
      <c r="E487" s="36" t="s">
        <v>54</v>
      </c>
      <c r="F487" s="34" t="s">
        <v>3920</v>
      </c>
      <c r="G487" s="37" t="s">
        <v>73</v>
      </c>
      <c r="H487" s="37" t="s">
        <v>73</v>
      </c>
      <c r="I487" s="34" t="s">
        <v>3921</v>
      </c>
      <c r="J487" s="34" t="s">
        <v>3921</v>
      </c>
      <c r="K487" s="39" t="s">
        <v>42</v>
      </c>
      <c r="L487" s="120" t="s">
        <v>3922</v>
      </c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42" t="s">
        <v>3923</v>
      </c>
      <c r="Y487" s="58" t="s">
        <v>3924</v>
      </c>
      <c r="Z487" s="207" t="s">
        <v>3925</v>
      </c>
      <c r="AA487" s="45">
        <v>44944</v>
      </c>
      <c r="AB487" s="101" t="s">
        <v>30</v>
      </c>
      <c r="AC487" s="36" t="s">
        <v>26</v>
      </c>
      <c r="AD487" s="47" t="s">
        <v>49</v>
      </c>
      <c r="AE487" s="48" t="s">
        <v>49</v>
      </c>
      <c r="AF487" s="48" t="s">
        <v>49</v>
      </c>
      <c r="AG487" s="48" t="s">
        <v>49</v>
      </c>
      <c r="AH487" s="48" t="s">
        <v>49</v>
      </c>
      <c r="AI487" s="48" t="s">
        <v>49</v>
      </c>
      <c r="AJ487" s="49" t="s">
        <v>49</v>
      </c>
      <c r="AK487" s="48" t="s">
        <v>49</v>
      </c>
      <c r="AL487" s="62" t="s">
        <v>32</v>
      </c>
      <c r="AM487" s="62"/>
      <c r="AN487" s="59"/>
      <c r="AO487" s="10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1"/>
    </row>
    <row r="488" spans="1:52" x14ac:dyDescent="0.2">
      <c r="A488" s="33">
        <f t="shared" si="8"/>
        <v>483</v>
      </c>
      <c r="B488" s="34" t="s">
        <v>3926</v>
      </c>
      <c r="C488" s="35" t="s">
        <v>3927</v>
      </c>
      <c r="D488" s="36" t="s">
        <v>3928</v>
      </c>
      <c r="E488" s="36" t="s">
        <v>36</v>
      </c>
      <c r="F488" s="34" t="s">
        <v>3929</v>
      </c>
      <c r="G488" s="37" t="s">
        <v>73</v>
      </c>
      <c r="H488" s="37" t="s">
        <v>73</v>
      </c>
      <c r="I488" s="34" t="s">
        <v>3930</v>
      </c>
      <c r="J488" s="34" t="s">
        <v>3931</v>
      </c>
      <c r="K488" s="39" t="s">
        <v>42</v>
      </c>
      <c r="L488" s="99" t="s">
        <v>3932</v>
      </c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42" t="s">
        <v>3933</v>
      </c>
      <c r="Y488" s="52" t="s">
        <v>3934</v>
      </c>
      <c r="Z488" s="44" t="s">
        <v>3935</v>
      </c>
      <c r="AA488" s="45">
        <v>42935</v>
      </c>
      <c r="AB488" s="101" t="s">
        <v>30</v>
      </c>
      <c r="AC488" s="36" t="s">
        <v>26</v>
      </c>
      <c r="AD488" s="64" t="s">
        <v>120</v>
      </c>
      <c r="AE488" s="48" t="s">
        <v>120</v>
      </c>
      <c r="AF488" s="48" t="s">
        <v>120</v>
      </c>
      <c r="AG488" s="48" t="s">
        <v>120</v>
      </c>
      <c r="AH488" s="48" t="s">
        <v>120</v>
      </c>
      <c r="AI488" s="48" t="s">
        <v>120</v>
      </c>
      <c r="AJ488" s="49" t="s">
        <v>120</v>
      </c>
      <c r="AK488" s="48" t="s">
        <v>120</v>
      </c>
      <c r="AL488" s="62" t="s">
        <v>32</v>
      </c>
      <c r="AM488" s="62"/>
      <c r="AN488" s="59"/>
      <c r="AO488" s="10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1"/>
    </row>
    <row r="489" spans="1:52" x14ac:dyDescent="0.2">
      <c r="A489" s="33">
        <f t="shared" si="8"/>
        <v>484</v>
      </c>
      <c r="B489" s="34" t="s">
        <v>3936</v>
      </c>
      <c r="C489" s="35" t="s">
        <v>3937</v>
      </c>
      <c r="D489" s="36" t="s">
        <v>2845</v>
      </c>
      <c r="E489" s="36" t="s">
        <v>54</v>
      </c>
      <c r="F489" s="34" t="s">
        <v>3938</v>
      </c>
      <c r="G489" s="37" t="s">
        <v>73</v>
      </c>
      <c r="H489" s="37" t="s">
        <v>73</v>
      </c>
      <c r="I489" s="34" t="s">
        <v>3939</v>
      </c>
      <c r="J489" s="34" t="s">
        <v>3940</v>
      </c>
      <c r="K489" s="39" t="s">
        <v>42</v>
      </c>
      <c r="L489" s="159" t="s">
        <v>3941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42" t="s">
        <v>3942</v>
      </c>
      <c r="Y489" s="52" t="s">
        <v>3943</v>
      </c>
      <c r="Z489" s="44" t="s">
        <v>3944</v>
      </c>
      <c r="AA489" s="45">
        <v>42935</v>
      </c>
      <c r="AB489" s="160" t="s">
        <v>30</v>
      </c>
      <c r="AC489" s="36" t="s">
        <v>26</v>
      </c>
      <c r="AD489" s="47" t="s">
        <v>49</v>
      </c>
      <c r="AE489" s="48" t="s">
        <v>49</v>
      </c>
      <c r="AF489" s="48" t="s">
        <v>49</v>
      </c>
      <c r="AG489" s="48" t="s">
        <v>49</v>
      </c>
      <c r="AH489" s="48" t="s">
        <v>49</v>
      </c>
      <c r="AI489" s="48" t="s">
        <v>49</v>
      </c>
      <c r="AJ489" s="49" t="s">
        <v>41</v>
      </c>
      <c r="AK489" s="48" t="s">
        <v>41</v>
      </c>
      <c r="AL489" s="62" t="s">
        <v>276</v>
      </c>
      <c r="AM489" s="62"/>
      <c r="AN489" s="59"/>
      <c r="AO489" s="10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1"/>
    </row>
    <row r="490" spans="1:52" x14ac:dyDescent="0.2">
      <c r="A490" s="33">
        <f t="shared" si="8"/>
        <v>485</v>
      </c>
      <c r="B490" s="34" t="s">
        <v>3945</v>
      </c>
      <c r="C490" s="35" t="s">
        <v>3946</v>
      </c>
      <c r="D490" s="73" t="s">
        <v>3947</v>
      </c>
      <c r="E490" s="36" t="s">
        <v>54</v>
      </c>
      <c r="F490" s="98" t="s">
        <v>3948</v>
      </c>
      <c r="G490" s="37" t="s">
        <v>73</v>
      </c>
      <c r="H490" s="37" t="s">
        <v>73</v>
      </c>
      <c r="I490" s="38" t="s">
        <v>3949</v>
      </c>
      <c r="J490" s="38" t="s">
        <v>41</v>
      </c>
      <c r="K490" s="39" t="s">
        <v>42</v>
      </c>
      <c r="L490" s="235" t="s">
        <v>3950</v>
      </c>
      <c r="M490" s="68"/>
      <c r="N490" s="68"/>
      <c r="O490" s="68"/>
      <c r="P490" s="68"/>
      <c r="Q490" s="68"/>
      <c r="R490" s="68" t="s">
        <v>44</v>
      </c>
      <c r="S490" s="68"/>
      <c r="T490" s="68"/>
      <c r="U490" s="68"/>
      <c r="V490" s="68"/>
      <c r="W490" s="68"/>
      <c r="X490" s="42" t="s">
        <v>3951</v>
      </c>
      <c r="Y490" s="58" t="s">
        <v>3952</v>
      </c>
      <c r="Z490" s="84" t="s">
        <v>3953</v>
      </c>
      <c r="AA490" s="45">
        <v>44650</v>
      </c>
      <c r="AB490" s="160" t="s">
        <v>30</v>
      </c>
      <c r="AC490" s="73"/>
      <c r="AD490" s="47" t="s">
        <v>49</v>
      </c>
      <c r="AE490" s="48" t="s">
        <v>41</v>
      </c>
      <c r="AF490" s="48" t="s">
        <v>49</v>
      </c>
      <c r="AG490" s="48" t="s">
        <v>41</v>
      </c>
      <c r="AH490" s="48" t="s">
        <v>41</v>
      </c>
      <c r="AI490" s="48" t="s">
        <v>41</v>
      </c>
      <c r="AJ490" s="49" t="s">
        <v>41</v>
      </c>
      <c r="AK490" s="48" t="s">
        <v>41</v>
      </c>
      <c r="AL490" s="62" t="s">
        <v>110</v>
      </c>
      <c r="AM490" s="62"/>
      <c r="AN490" s="59"/>
      <c r="AO490" s="10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1"/>
    </row>
    <row r="491" spans="1:52" x14ac:dyDescent="0.2">
      <c r="A491" s="33">
        <f t="shared" si="8"/>
        <v>486</v>
      </c>
      <c r="B491" s="34" t="s">
        <v>3954</v>
      </c>
      <c r="C491" s="35" t="s">
        <v>3955</v>
      </c>
      <c r="D491" s="73" t="s">
        <v>3956</v>
      </c>
      <c r="E491" s="36" t="s">
        <v>54</v>
      </c>
      <c r="F491" s="98" t="s">
        <v>3957</v>
      </c>
      <c r="G491" s="37" t="s">
        <v>73</v>
      </c>
      <c r="H491" s="37" t="s">
        <v>73</v>
      </c>
      <c r="I491" s="38" t="s">
        <v>3958</v>
      </c>
      <c r="J491" s="38" t="s">
        <v>41</v>
      </c>
      <c r="K491" s="39" t="s">
        <v>42</v>
      </c>
      <c r="L491" s="159" t="s">
        <v>3959</v>
      </c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42" t="s">
        <v>3960</v>
      </c>
      <c r="Y491" s="58" t="s">
        <v>3961</v>
      </c>
      <c r="Z491" s="119" t="s">
        <v>3962</v>
      </c>
      <c r="AA491" s="45">
        <v>42325</v>
      </c>
      <c r="AB491" s="160" t="s">
        <v>30</v>
      </c>
      <c r="AC491" s="73"/>
      <c r="AD491" s="47" t="s">
        <v>49</v>
      </c>
      <c r="AE491" s="48" t="s">
        <v>41</v>
      </c>
      <c r="AF491" s="48" t="s">
        <v>41</v>
      </c>
      <c r="AG491" s="48" t="s">
        <v>41</v>
      </c>
      <c r="AH491" s="48" t="s">
        <v>41</v>
      </c>
      <c r="AI491" s="48" t="s">
        <v>41</v>
      </c>
      <c r="AJ491" s="49" t="s">
        <v>41</v>
      </c>
      <c r="AK491" s="48" t="s">
        <v>41</v>
      </c>
      <c r="AL491" s="65" t="s">
        <v>4588</v>
      </c>
      <c r="AM491" s="65"/>
      <c r="AN491" s="59"/>
      <c r="AO491" s="10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1"/>
    </row>
    <row r="492" spans="1:52" x14ac:dyDescent="0.2">
      <c r="A492" s="33">
        <f t="shared" si="8"/>
        <v>487</v>
      </c>
      <c r="B492" s="34" t="s">
        <v>3963</v>
      </c>
      <c r="C492" s="35" t="s">
        <v>3964</v>
      </c>
      <c r="D492" s="36" t="s">
        <v>3965</v>
      </c>
      <c r="E492" s="36" t="s">
        <v>54</v>
      </c>
      <c r="F492" s="98" t="s">
        <v>3966</v>
      </c>
      <c r="G492" s="37" t="s">
        <v>1354</v>
      </c>
      <c r="H492" s="37" t="s">
        <v>57</v>
      </c>
      <c r="I492" s="38" t="s">
        <v>3967</v>
      </c>
      <c r="J492" s="38" t="s">
        <v>41</v>
      </c>
      <c r="K492" s="39" t="s">
        <v>42</v>
      </c>
      <c r="L492" s="161">
        <v>44198</v>
      </c>
      <c r="M492" s="68"/>
      <c r="N492" s="68"/>
      <c r="O492" s="68"/>
      <c r="P492" s="68"/>
      <c r="Q492" s="68"/>
      <c r="R492" s="68" t="s">
        <v>44</v>
      </c>
      <c r="S492" s="68"/>
      <c r="T492" s="68"/>
      <c r="U492" s="68"/>
      <c r="V492" s="68"/>
      <c r="W492" s="68"/>
      <c r="X492" s="42" t="s">
        <v>3968</v>
      </c>
      <c r="Y492" s="58" t="s">
        <v>3969</v>
      </c>
      <c r="Z492" s="121" t="s">
        <v>3970</v>
      </c>
      <c r="AA492" s="45">
        <v>44650</v>
      </c>
      <c r="AB492" s="160" t="s">
        <v>30</v>
      </c>
      <c r="AC492" s="73"/>
      <c r="AD492" s="47" t="s">
        <v>49</v>
      </c>
      <c r="AE492" s="48" t="s">
        <v>41</v>
      </c>
      <c r="AF492" s="48" t="s">
        <v>49</v>
      </c>
      <c r="AG492" s="48" t="s">
        <v>49</v>
      </c>
      <c r="AH492" s="48" t="s">
        <v>49</v>
      </c>
      <c r="AI492" s="48" t="s">
        <v>49</v>
      </c>
      <c r="AJ492" s="49" t="s">
        <v>49</v>
      </c>
      <c r="AK492" s="48" t="s">
        <v>49</v>
      </c>
      <c r="AL492" s="62" t="s">
        <v>32</v>
      </c>
      <c r="AM492" s="62"/>
      <c r="AN492" s="59"/>
      <c r="AO492" s="102"/>
      <c r="AP492" s="3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1"/>
    </row>
    <row r="493" spans="1:52" x14ac:dyDescent="0.2">
      <c r="A493" s="33">
        <f t="shared" si="8"/>
        <v>488</v>
      </c>
      <c r="B493" s="34" t="s">
        <v>3971</v>
      </c>
      <c r="C493" s="35" t="s">
        <v>3972</v>
      </c>
      <c r="D493" s="36" t="s">
        <v>3973</v>
      </c>
      <c r="E493" s="36" t="s">
        <v>54</v>
      </c>
      <c r="F493" s="98" t="s">
        <v>3974</v>
      </c>
      <c r="G493" s="37" t="s">
        <v>377</v>
      </c>
      <c r="H493" s="37" t="s">
        <v>378</v>
      </c>
      <c r="I493" s="38" t="s">
        <v>3975</v>
      </c>
      <c r="J493" s="38" t="s">
        <v>41</v>
      </c>
      <c r="K493" s="39" t="s">
        <v>42</v>
      </c>
      <c r="L493" s="120" t="s">
        <v>3976</v>
      </c>
      <c r="M493" s="56"/>
      <c r="N493" s="56"/>
      <c r="O493" s="56"/>
      <c r="P493" s="56"/>
      <c r="Q493" s="56"/>
      <c r="R493" s="56"/>
      <c r="S493" s="56"/>
      <c r="T493" s="56" t="s">
        <v>44</v>
      </c>
      <c r="U493" s="56"/>
      <c r="V493" s="56"/>
      <c r="W493" s="56"/>
      <c r="X493" s="42" t="s">
        <v>3977</v>
      </c>
      <c r="Y493" s="58" t="s">
        <v>3978</v>
      </c>
      <c r="Z493" s="58"/>
      <c r="AA493" s="45">
        <v>45642</v>
      </c>
      <c r="AB493" s="101"/>
      <c r="AC493" s="73"/>
      <c r="AD493" s="47" t="s">
        <v>49</v>
      </c>
      <c r="AE493" s="48" t="s">
        <v>41</v>
      </c>
      <c r="AF493" s="48" t="s">
        <v>41</v>
      </c>
      <c r="AG493" s="48" t="s">
        <v>41</v>
      </c>
      <c r="AH493" s="48" t="s">
        <v>49</v>
      </c>
      <c r="AI493" s="48" t="s">
        <v>49</v>
      </c>
      <c r="AJ493" s="49" t="s">
        <v>49</v>
      </c>
      <c r="AK493" s="48" t="s">
        <v>41</v>
      </c>
      <c r="AL493" s="62" t="s">
        <v>148</v>
      </c>
      <c r="AM493" s="62"/>
      <c r="AN493" s="59"/>
      <c r="AO493" s="102"/>
      <c r="AP493" s="3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1"/>
    </row>
    <row r="494" spans="1:52" x14ac:dyDescent="0.2">
      <c r="A494" s="33">
        <f t="shared" si="8"/>
        <v>489</v>
      </c>
      <c r="B494" s="34" t="s">
        <v>3979</v>
      </c>
      <c r="C494" s="35" t="s">
        <v>3980</v>
      </c>
      <c r="D494" s="36" t="s">
        <v>3981</v>
      </c>
      <c r="E494" s="36" t="s">
        <v>54</v>
      </c>
      <c r="F494" s="34" t="s">
        <v>3982</v>
      </c>
      <c r="G494" s="37" t="s">
        <v>73</v>
      </c>
      <c r="H494" s="37" t="s">
        <v>73</v>
      </c>
      <c r="I494" s="34" t="s">
        <v>3983</v>
      </c>
      <c r="J494" s="236" t="s">
        <v>3984</v>
      </c>
      <c r="K494" s="39" t="s">
        <v>42</v>
      </c>
      <c r="L494" s="99" t="s">
        <v>3985</v>
      </c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42" t="s">
        <v>3986</v>
      </c>
      <c r="Y494" s="43" t="s">
        <v>3987</v>
      </c>
      <c r="Z494" s="119" t="s">
        <v>3988</v>
      </c>
      <c r="AA494" s="45">
        <v>41793</v>
      </c>
      <c r="AB494" s="101" t="s">
        <v>30</v>
      </c>
      <c r="AC494" s="36" t="s">
        <v>26</v>
      </c>
      <c r="AD494" s="47" t="s">
        <v>49</v>
      </c>
      <c r="AE494" s="48" t="s">
        <v>49</v>
      </c>
      <c r="AF494" s="48" t="s">
        <v>49</v>
      </c>
      <c r="AG494" s="48" t="s">
        <v>49</v>
      </c>
      <c r="AH494" s="48" t="s">
        <v>41</v>
      </c>
      <c r="AI494" s="48" t="s">
        <v>41</v>
      </c>
      <c r="AJ494" s="49" t="s">
        <v>41</v>
      </c>
      <c r="AK494" s="48" t="s">
        <v>41</v>
      </c>
      <c r="AL494" s="62" t="s">
        <v>139</v>
      </c>
      <c r="AM494" s="62"/>
      <c r="AN494" s="59"/>
      <c r="AO494" s="10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1"/>
    </row>
    <row r="495" spans="1:52" x14ac:dyDescent="0.2">
      <c r="A495" s="33">
        <f t="shared" si="8"/>
        <v>490</v>
      </c>
      <c r="B495" s="34" t="s">
        <v>3989</v>
      </c>
      <c r="C495" s="35" t="s">
        <v>3990</v>
      </c>
      <c r="D495" s="36" t="s">
        <v>3991</v>
      </c>
      <c r="E495" s="36" t="s">
        <v>54</v>
      </c>
      <c r="F495" s="98" t="s">
        <v>3992</v>
      </c>
      <c r="G495" s="37" t="s">
        <v>4605</v>
      </c>
      <c r="H495" s="37" t="s">
        <v>205</v>
      </c>
      <c r="I495" s="38" t="s">
        <v>3993</v>
      </c>
      <c r="J495" s="34" t="s">
        <v>41</v>
      </c>
      <c r="K495" s="39" t="s">
        <v>42</v>
      </c>
      <c r="L495" s="99" t="s">
        <v>3994</v>
      </c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42" t="s">
        <v>3995</v>
      </c>
      <c r="Y495" s="52" t="s">
        <v>3996</v>
      </c>
      <c r="Z495" s="44" t="s">
        <v>3997</v>
      </c>
      <c r="AA495" s="45">
        <v>41793</v>
      </c>
      <c r="AB495" s="101" t="s">
        <v>30</v>
      </c>
      <c r="AC495" s="36" t="s">
        <v>26</v>
      </c>
      <c r="AD495" s="47" t="s">
        <v>49</v>
      </c>
      <c r="AE495" s="48" t="s">
        <v>49</v>
      </c>
      <c r="AF495" s="48" t="s">
        <v>49</v>
      </c>
      <c r="AG495" s="48" t="s">
        <v>49</v>
      </c>
      <c r="AH495" s="48" t="s">
        <v>49</v>
      </c>
      <c r="AI495" s="48" t="s">
        <v>49</v>
      </c>
      <c r="AJ495" s="49" t="s">
        <v>41</v>
      </c>
      <c r="AK495" s="48" t="s">
        <v>41</v>
      </c>
      <c r="AL495" s="62" t="s">
        <v>276</v>
      </c>
      <c r="AM495" s="62"/>
      <c r="AN495" s="59"/>
      <c r="AO495" s="10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1"/>
    </row>
    <row r="496" spans="1:52" x14ac:dyDescent="0.2">
      <c r="A496" s="33">
        <f t="shared" si="8"/>
        <v>491</v>
      </c>
      <c r="B496" s="34" t="s">
        <v>3998</v>
      </c>
      <c r="C496" s="35" t="s">
        <v>3999</v>
      </c>
      <c r="D496" s="36" t="s">
        <v>4000</v>
      </c>
      <c r="E496" s="36" t="s">
        <v>54</v>
      </c>
      <c r="F496" s="98" t="s">
        <v>4001</v>
      </c>
      <c r="G496" s="37" t="s">
        <v>73</v>
      </c>
      <c r="H496" s="37" t="s">
        <v>73</v>
      </c>
      <c r="I496" s="38" t="s">
        <v>4002</v>
      </c>
      <c r="J496" s="107" t="s">
        <v>41</v>
      </c>
      <c r="K496" s="39" t="s">
        <v>42</v>
      </c>
      <c r="L496" s="99" t="s">
        <v>4003</v>
      </c>
      <c r="M496" s="56"/>
      <c r="N496" s="56"/>
      <c r="O496" s="56"/>
      <c r="P496" s="56"/>
      <c r="Q496" s="56"/>
      <c r="R496" s="56"/>
      <c r="S496" s="56" t="s">
        <v>44</v>
      </c>
      <c r="T496" s="56"/>
      <c r="U496" s="56"/>
      <c r="V496" s="56"/>
      <c r="W496" s="56"/>
      <c r="X496" s="42" t="s">
        <v>4004</v>
      </c>
      <c r="Y496" s="43" t="s">
        <v>4005</v>
      </c>
      <c r="Z496" s="121" t="s">
        <v>4006</v>
      </c>
      <c r="AA496" s="45">
        <v>44650</v>
      </c>
      <c r="AB496" s="101" t="s">
        <v>30</v>
      </c>
      <c r="AC496" s="36"/>
      <c r="AD496" s="47" t="s">
        <v>49</v>
      </c>
      <c r="AE496" s="48" t="s">
        <v>41</v>
      </c>
      <c r="AF496" s="48" t="s">
        <v>41</v>
      </c>
      <c r="AG496" s="48" t="s">
        <v>49</v>
      </c>
      <c r="AH496" s="48" t="s">
        <v>49</v>
      </c>
      <c r="AI496" s="48" t="s">
        <v>49</v>
      </c>
      <c r="AJ496" s="49" t="s">
        <v>49</v>
      </c>
      <c r="AK496" s="48" t="s">
        <v>49</v>
      </c>
      <c r="AL496" s="65" t="s">
        <v>32</v>
      </c>
      <c r="AM496" s="65"/>
      <c r="AN496" s="59"/>
      <c r="AO496" s="10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1"/>
    </row>
    <row r="497" spans="1:52" x14ac:dyDescent="0.2">
      <c r="A497" s="33">
        <f t="shared" si="8"/>
        <v>492</v>
      </c>
      <c r="B497" s="34" t="s">
        <v>4007</v>
      </c>
      <c r="C497" s="35" t="s">
        <v>4008</v>
      </c>
      <c r="D497" s="73" t="s">
        <v>4009</v>
      </c>
      <c r="E497" s="36" t="s">
        <v>54</v>
      </c>
      <c r="F497" s="98" t="s">
        <v>4010</v>
      </c>
      <c r="G497" s="37" t="s">
        <v>73</v>
      </c>
      <c r="H497" s="37" t="s">
        <v>73</v>
      </c>
      <c r="I497" s="34" t="s">
        <v>4011</v>
      </c>
      <c r="J497" s="34" t="s">
        <v>41</v>
      </c>
      <c r="K497" s="39" t="s">
        <v>42</v>
      </c>
      <c r="L497" s="163" t="s">
        <v>4012</v>
      </c>
      <c r="M497" s="130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42" t="s">
        <v>4013</v>
      </c>
      <c r="Y497" s="52" t="s">
        <v>4014</v>
      </c>
      <c r="Z497" s="44" t="s">
        <v>4015</v>
      </c>
      <c r="AA497" s="45">
        <v>42935</v>
      </c>
      <c r="AB497" s="164" t="s">
        <v>30</v>
      </c>
      <c r="AC497" s="73" t="s">
        <v>26</v>
      </c>
      <c r="AD497" s="47" t="s">
        <v>49</v>
      </c>
      <c r="AE497" s="48" t="s">
        <v>49</v>
      </c>
      <c r="AF497" s="48" t="s">
        <v>49</v>
      </c>
      <c r="AG497" s="48" t="s">
        <v>49</v>
      </c>
      <c r="AH497" s="48" t="s">
        <v>49</v>
      </c>
      <c r="AI497" s="48" t="s">
        <v>49</v>
      </c>
      <c r="AJ497" s="49" t="s">
        <v>49</v>
      </c>
      <c r="AK497" s="48" t="s">
        <v>41</v>
      </c>
      <c r="AL497" s="62" t="s">
        <v>148</v>
      </c>
      <c r="AM497" s="62"/>
      <c r="AN497" s="59"/>
      <c r="AO497" s="10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1"/>
    </row>
    <row r="498" spans="1:52" x14ac:dyDescent="0.2">
      <c r="A498" s="33">
        <f t="shared" si="8"/>
        <v>493</v>
      </c>
      <c r="B498" s="34" t="s">
        <v>4016</v>
      </c>
      <c r="C498" s="35" t="s">
        <v>4017</v>
      </c>
      <c r="D498" s="73" t="s">
        <v>4018</v>
      </c>
      <c r="E498" s="36" t="s">
        <v>36</v>
      </c>
      <c r="F498" s="34" t="s">
        <v>4019</v>
      </c>
      <c r="G498" s="37" t="s">
        <v>4605</v>
      </c>
      <c r="H498" s="37" t="s">
        <v>205</v>
      </c>
      <c r="I498" s="34" t="s">
        <v>4020</v>
      </c>
      <c r="J498" s="34" t="s">
        <v>4021</v>
      </c>
      <c r="K498" s="39" t="s">
        <v>42</v>
      </c>
      <c r="L498" s="165">
        <v>40706</v>
      </c>
      <c r="M498" s="188"/>
      <c r="N498" s="112"/>
      <c r="O498" s="112"/>
      <c r="P498" s="112"/>
      <c r="Q498" s="112"/>
      <c r="R498" s="41"/>
      <c r="S498" s="41"/>
      <c r="T498" s="41"/>
      <c r="U498" s="41"/>
      <c r="V498" s="41"/>
      <c r="W498" s="41"/>
      <c r="X498" s="57" t="s">
        <v>4022</v>
      </c>
      <c r="Y498" s="58" t="s">
        <v>4023</v>
      </c>
      <c r="Z498" s="44" t="s">
        <v>4024</v>
      </c>
      <c r="AA498" s="45">
        <v>41793</v>
      </c>
      <c r="AB498" s="164" t="s">
        <v>30</v>
      </c>
      <c r="AC498" s="73"/>
      <c r="AD498" s="47" t="s">
        <v>49</v>
      </c>
      <c r="AE498" s="48" t="s">
        <v>41</v>
      </c>
      <c r="AF498" s="48" t="s">
        <v>41</v>
      </c>
      <c r="AG498" s="48" t="s">
        <v>41</v>
      </c>
      <c r="AH498" s="48" t="s">
        <v>41</v>
      </c>
      <c r="AI498" s="48" t="s">
        <v>41</v>
      </c>
      <c r="AJ498" s="49" t="s">
        <v>41</v>
      </c>
      <c r="AK498" s="48" t="s">
        <v>41</v>
      </c>
      <c r="AL498" s="65" t="s">
        <v>4588</v>
      </c>
      <c r="AM498" s="65"/>
      <c r="AN498" s="59"/>
      <c r="AO498" s="117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1"/>
    </row>
    <row r="499" spans="1:52" x14ac:dyDescent="0.2">
      <c r="A499" s="33">
        <f t="shared" si="8"/>
        <v>494</v>
      </c>
      <c r="B499" s="34" t="s">
        <v>4025</v>
      </c>
      <c r="C499" s="35" t="s">
        <v>4026</v>
      </c>
      <c r="D499" s="73" t="s">
        <v>4027</v>
      </c>
      <c r="E499" s="36" t="s">
        <v>54</v>
      </c>
      <c r="F499" s="34" t="s">
        <v>4028</v>
      </c>
      <c r="G499" s="37" t="s">
        <v>360</v>
      </c>
      <c r="H499" s="37" t="s">
        <v>350</v>
      </c>
      <c r="I499" s="38" t="s">
        <v>4029</v>
      </c>
      <c r="J499" s="34" t="s">
        <v>41</v>
      </c>
      <c r="K499" s="39" t="s">
        <v>42</v>
      </c>
      <c r="L499" s="120" t="s">
        <v>4030</v>
      </c>
      <c r="M499" s="41"/>
      <c r="N499" s="41"/>
      <c r="O499" s="41"/>
      <c r="P499" s="41"/>
      <c r="Q499" s="41"/>
      <c r="R499" s="41"/>
      <c r="S499" s="41"/>
      <c r="T499" s="41" t="s">
        <v>44</v>
      </c>
      <c r="U499" s="41"/>
      <c r="V499" s="41"/>
      <c r="W499" s="41"/>
      <c r="X499" s="54" t="s">
        <v>4031</v>
      </c>
      <c r="Y499" s="58" t="s">
        <v>4032</v>
      </c>
      <c r="Z499" s="44"/>
      <c r="AA499" s="45">
        <v>45642</v>
      </c>
      <c r="AB499" s="101"/>
      <c r="AC499" s="73"/>
      <c r="AD499" s="47" t="s">
        <v>49</v>
      </c>
      <c r="AE499" s="48" t="s">
        <v>41</v>
      </c>
      <c r="AF499" s="48" t="s">
        <v>41</v>
      </c>
      <c r="AG499" s="48" t="s">
        <v>41</v>
      </c>
      <c r="AH499" s="48" t="s">
        <v>49</v>
      </c>
      <c r="AI499" s="48" t="s">
        <v>49</v>
      </c>
      <c r="AJ499" s="49" t="s">
        <v>49</v>
      </c>
      <c r="AK499" s="48" t="s">
        <v>49</v>
      </c>
      <c r="AL499" s="62" t="s">
        <v>32</v>
      </c>
      <c r="AM499" s="62"/>
      <c r="AN499" s="59"/>
      <c r="AO499" s="10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1"/>
    </row>
    <row r="500" spans="1:52" x14ac:dyDescent="0.2">
      <c r="A500" s="33">
        <f t="shared" si="8"/>
        <v>495</v>
      </c>
      <c r="B500" s="34" t="s">
        <v>4033</v>
      </c>
      <c r="C500" s="35" t="s">
        <v>4034</v>
      </c>
      <c r="D500" s="36" t="s">
        <v>4035</v>
      </c>
      <c r="E500" s="36" t="s">
        <v>54</v>
      </c>
      <c r="F500" s="34" t="s">
        <v>4036</v>
      </c>
      <c r="G500" s="37" t="s">
        <v>39</v>
      </c>
      <c r="H500" s="37" t="s">
        <v>39</v>
      </c>
      <c r="I500" s="34" t="s">
        <v>4037</v>
      </c>
      <c r="J500" s="38" t="s">
        <v>4038</v>
      </c>
      <c r="K500" s="39" t="s">
        <v>42</v>
      </c>
      <c r="L500" s="120">
        <v>41924</v>
      </c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42" t="s">
        <v>4039</v>
      </c>
      <c r="Y500" s="83" t="s">
        <v>4040</v>
      </c>
      <c r="Z500" s="44" t="s">
        <v>4041</v>
      </c>
      <c r="AA500" s="45">
        <v>42325</v>
      </c>
      <c r="AB500" s="101" t="s">
        <v>30</v>
      </c>
      <c r="AC500" s="36" t="s">
        <v>26</v>
      </c>
      <c r="AD500" s="47" t="s">
        <v>49</v>
      </c>
      <c r="AE500" s="48" t="s">
        <v>49</v>
      </c>
      <c r="AF500" s="48" t="s">
        <v>49</v>
      </c>
      <c r="AG500" s="48" t="s">
        <v>49</v>
      </c>
      <c r="AH500" s="48" t="s">
        <v>49</v>
      </c>
      <c r="AI500" s="48" t="s">
        <v>49</v>
      </c>
      <c r="AJ500" s="49" t="s">
        <v>49</v>
      </c>
      <c r="AK500" s="48" t="s">
        <v>49</v>
      </c>
      <c r="AL500" s="62" t="s">
        <v>32</v>
      </c>
      <c r="AM500" s="62"/>
      <c r="AN500" s="59"/>
      <c r="AO500" s="10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1"/>
    </row>
    <row r="501" spans="1:52" x14ac:dyDescent="0.2">
      <c r="A501" s="33">
        <f t="shared" si="8"/>
        <v>496</v>
      </c>
      <c r="B501" s="34" t="s">
        <v>4042</v>
      </c>
      <c r="C501" s="35" t="s">
        <v>4043</v>
      </c>
      <c r="D501" s="36" t="s">
        <v>4044</v>
      </c>
      <c r="E501" s="36" t="s">
        <v>54</v>
      </c>
      <c r="F501" s="34" t="s">
        <v>4045</v>
      </c>
      <c r="G501" s="37" t="s">
        <v>73</v>
      </c>
      <c r="H501" s="37" t="s">
        <v>73</v>
      </c>
      <c r="I501" s="34" t="s">
        <v>3939</v>
      </c>
      <c r="J501" s="34" t="s">
        <v>4046</v>
      </c>
      <c r="K501" s="39" t="s">
        <v>42</v>
      </c>
      <c r="L501" s="120">
        <v>34761</v>
      </c>
      <c r="M501" s="41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42" t="s">
        <v>4047</v>
      </c>
      <c r="Y501" s="69" t="s">
        <v>4048</v>
      </c>
      <c r="Z501" s="44" t="s">
        <v>4049</v>
      </c>
      <c r="AA501" s="45">
        <v>42325</v>
      </c>
      <c r="AB501" s="101" t="s">
        <v>30</v>
      </c>
      <c r="AC501" s="36" t="s">
        <v>26</v>
      </c>
      <c r="AD501" s="47" t="s">
        <v>49</v>
      </c>
      <c r="AE501" s="48" t="s">
        <v>49</v>
      </c>
      <c r="AF501" s="48" t="s">
        <v>49</v>
      </c>
      <c r="AG501" s="48" t="s">
        <v>49</v>
      </c>
      <c r="AH501" s="48" t="s">
        <v>49</v>
      </c>
      <c r="AI501" s="48" t="s">
        <v>41</v>
      </c>
      <c r="AJ501" s="49" t="s">
        <v>41</v>
      </c>
      <c r="AK501" s="48" t="s">
        <v>41</v>
      </c>
      <c r="AL501" s="62" t="s">
        <v>4589</v>
      </c>
      <c r="AM501" s="62"/>
      <c r="AN501" s="59"/>
      <c r="AO501" s="10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1"/>
    </row>
    <row r="502" spans="1:52" x14ac:dyDescent="0.2">
      <c r="A502" s="33">
        <f t="shared" si="8"/>
        <v>497</v>
      </c>
      <c r="B502" s="34" t="s">
        <v>4050</v>
      </c>
      <c r="C502" s="35" t="s">
        <v>4051</v>
      </c>
      <c r="D502" s="73" t="s">
        <v>4052</v>
      </c>
      <c r="E502" s="36" t="s">
        <v>54</v>
      </c>
      <c r="F502" s="98" t="s">
        <v>4053</v>
      </c>
      <c r="G502" s="37" t="s">
        <v>73</v>
      </c>
      <c r="H502" s="37" t="s">
        <v>73</v>
      </c>
      <c r="I502" s="38" t="s">
        <v>4054</v>
      </c>
      <c r="J502" s="34" t="s">
        <v>41</v>
      </c>
      <c r="K502" s="39" t="s">
        <v>42</v>
      </c>
      <c r="L502" s="99" t="s">
        <v>3438</v>
      </c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42" t="s">
        <v>4055</v>
      </c>
      <c r="Y502" s="100" t="s">
        <v>4056</v>
      </c>
      <c r="Z502" s="44" t="s">
        <v>4057</v>
      </c>
      <c r="AA502" s="45">
        <v>44041</v>
      </c>
      <c r="AB502" s="101" t="s">
        <v>30</v>
      </c>
      <c r="AC502" s="73" t="s">
        <v>26</v>
      </c>
      <c r="AD502" s="47" t="s">
        <v>49</v>
      </c>
      <c r="AE502" s="48" t="s">
        <v>49</v>
      </c>
      <c r="AF502" s="48" t="s">
        <v>49</v>
      </c>
      <c r="AG502" s="48" t="s">
        <v>49</v>
      </c>
      <c r="AH502" s="48" t="s">
        <v>49</v>
      </c>
      <c r="AI502" s="48" t="s">
        <v>49</v>
      </c>
      <c r="AJ502" s="49" t="s">
        <v>49</v>
      </c>
      <c r="AK502" s="48" t="s">
        <v>49</v>
      </c>
      <c r="AL502" s="65" t="s">
        <v>32</v>
      </c>
      <c r="AM502" s="65" t="s">
        <v>4681</v>
      </c>
      <c r="AN502" s="59"/>
      <c r="AO502" s="10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1"/>
    </row>
    <row r="503" spans="1:52" x14ac:dyDescent="0.2">
      <c r="A503" s="33">
        <f t="shared" si="8"/>
        <v>498</v>
      </c>
      <c r="B503" s="34" t="s">
        <v>4058</v>
      </c>
      <c r="C503" s="35" t="s">
        <v>4059</v>
      </c>
      <c r="D503" s="73" t="s">
        <v>4060</v>
      </c>
      <c r="E503" s="36" t="s">
        <v>54</v>
      </c>
      <c r="F503" s="98" t="s">
        <v>4061</v>
      </c>
      <c r="G503" s="37" t="s">
        <v>349</v>
      </c>
      <c r="H503" s="37" t="s">
        <v>350</v>
      </c>
      <c r="I503" s="38" t="s">
        <v>4062</v>
      </c>
      <c r="J503" s="34" t="s">
        <v>41</v>
      </c>
      <c r="K503" s="39" t="s">
        <v>42</v>
      </c>
      <c r="L503" s="99" t="s">
        <v>4063</v>
      </c>
      <c r="M503" s="56"/>
      <c r="N503" s="56"/>
      <c r="O503" s="56"/>
      <c r="P503" s="56"/>
      <c r="Q503" s="56"/>
      <c r="R503" s="56" t="s">
        <v>44</v>
      </c>
      <c r="S503" s="56"/>
      <c r="T503" s="56"/>
      <c r="U503" s="56"/>
      <c r="V503" s="56"/>
      <c r="W503" s="56"/>
      <c r="X503" s="42" t="s">
        <v>4064</v>
      </c>
      <c r="Y503" s="100" t="s">
        <v>4065</v>
      </c>
      <c r="Z503" s="84" t="s">
        <v>4066</v>
      </c>
      <c r="AA503" s="45">
        <v>44650</v>
      </c>
      <c r="AB503" s="101" t="s">
        <v>30</v>
      </c>
      <c r="AC503" s="73"/>
      <c r="AD503" s="47" t="s">
        <v>49</v>
      </c>
      <c r="AE503" s="48" t="s">
        <v>41</v>
      </c>
      <c r="AF503" s="48" t="s">
        <v>49</v>
      </c>
      <c r="AG503" s="48" t="s">
        <v>49</v>
      </c>
      <c r="AH503" s="48" t="s">
        <v>49</v>
      </c>
      <c r="AI503" s="48" t="s">
        <v>49</v>
      </c>
      <c r="AJ503" s="49" t="s">
        <v>49</v>
      </c>
      <c r="AK503" s="48" t="s">
        <v>49</v>
      </c>
      <c r="AL503" s="65" t="s">
        <v>32</v>
      </c>
      <c r="AM503" s="65"/>
      <c r="AN503" s="59"/>
      <c r="AO503" s="10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1"/>
    </row>
    <row r="504" spans="1:52" x14ac:dyDescent="0.2">
      <c r="A504" s="33">
        <f t="shared" si="8"/>
        <v>499</v>
      </c>
      <c r="B504" s="34" t="s">
        <v>4067</v>
      </c>
      <c r="C504" s="35" t="s">
        <v>4068</v>
      </c>
      <c r="D504" s="73" t="s">
        <v>4069</v>
      </c>
      <c r="E504" s="36" t="s">
        <v>54</v>
      </c>
      <c r="F504" s="98" t="s">
        <v>4070</v>
      </c>
      <c r="G504" s="37" t="s">
        <v>349</v>
      </c>
      <c r="H504" s="37" t="s">
        <v>350</v>
      </c>
      <c r="I504" s="38" t="s">
        <v>4071</v>
      </c>
      <c r="J504" s="34" t="s">
        <v>41</v>
      </c>
      <c r="K504" s="39" t="s">
        <v>42</v>
      </c>
      <c r="L504" s="99" t="s">
        <v>4072</v>
      </c>
      <c r="M504" s="56"/>
      <c r="N504" s="56"/>
      <c r="O504" s="56"/>
      <c r="P504" s="56"/>
      <c r="Q504" s="56"/>
      <c r="R504" s="56" t="s">
        <v>44</v>
      </c>
      <c r="S504" s="56"/>
      <c r="T504" s="56"/>
      <c r="U504" s="56"/>
      <c r="V504" s="56"/>
      <c r="W504" s="56"/>
      <c r="X504" s="42" t="s">
        <v>4073</v>
      </c>
      <c r="Y504" s="100" t="s">
        <v>4074</v>
      </c>
      <c r="Z504" s="84" t="s">
        <v>4075</v>
      </c>
      <c r="AA504" s="45">
        <v>44650</v>
      </c>
      <c r="AB504" s="101" t="s">
        <v>30</v>
      </c>
      <c r="AC504" s="73"/>
      <c r="AD504" s="47" t="s">
        <v>49</v>
      </c>
      <c r="AE504" s="48" t="s">
        <v>41</v>
      </c>
      <c r="AF504" s="48" t="s">
        <v>49</v>
      </c>
      <c r="AG504" s="48" t="s">
        <v>49</v>
      </c>
      <c r="AH504" s="48" t="s">
        <v>49</v>
      </c>
      <c r="AI504" s="48" t="s">
        <v>49</v>
      </c>
      <c r="AJ504" s="49" t="s">
        <v>49</v>
      </c>
      <c r="AK504" s="48" t="s">
        <v>49</v>
      </c>
      <c r="AL504" s="62" t="s">
        <v>32</v>
      </c>
      <c r="AM504" s="62"/>
      <c r="AN504" s="59"/>
      <c r="AO504" s="102"/>
      <c r="AP504" s="3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1"/>
    </row>
    <row r="505" spans="1:52" x14ac:dyDescent="0.2">
      <c r="A505" s="33">
        <f t="shared" si="8"/>
        <v>500</v>
      </c>
      <c r="B505" s="34" t="s">
        <v>4076</v>
      </c>
      <c r="C505" s="35" t="s">
        <v>4077</v>
      </c>
      <c r="D505" s="36" t="s">
        <v>4078</v>
      </c>
      <c r="E505" s="36" t="s">
        <v>54</v>
      </c>
      <c r="F505" s="34" t="s">
        <v>4079</v>
      </c>
      <c r="G505" s="37" t="s">
        <v>38</v>
      </c>
      <c r="H505" s="37" t="s">
        <v>39</v>
      </c>
      <c r="I505" s="34" t="s">
        <v>4080</v>
      </c>
      <c r="J505" s="34" t="s">
        <v>41</v>
      </c>
      <c r="K505" s="39" t="s">
        <v>42</v>
      </c>
      <c r="L505" s="99" t="s">
        <v>4081</v>
      </c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42" t="s">
        <v>4082</v>
      </c>
      <c r="Y505" s="58" t="s">
        <v>4083</v>
      </c>
      <c r="Z505" s="119" t="s">
        <v>61</v>
      </c>
      <c r="AA505" s="45">
        <v>39286</v>
      </c>
      <c r="AB505" s="101" t="s">
        <v>30</v>
      </c>
      <c r="AC505" s="36" t="s">
        <v>26</v>
      </c>
      <c r="AD505" s="47" t="s">
        <v>49</v>
      </c>
      <c r="AE505" s="48" t="s">
        <v>49</v>
      </c>
      <c r="AF505" s="48" t="s">
        <v>49</v>
      </c>
      <c r="AG505" s="48" t="s">
        <v>49</v>
      </c>
      <c r="AH505" s="48" t="s">
        <v>49</v>
      </c>
      <c r="AI505" s="48" t="s">
        <v>49</v>
      </c>
      <c r="AJ505" s="49" t="s">
        <v>49</v>
      </c>
      <c r="AK505" s="48" t="s">
        <v>41</v>
      </c>
      <c r="AL505" s="65" t="s">
        <v>148</v>
      </c>
      <c r="AM505" s="65"/>
      <c r="AN505" s="59"/>
      <c r="AO505" s="102"/>
      <c r="AP505" s="3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1"/>
    </row>
    <row r="506" spans="1:52" x14ac:dyDescent="0.2">
      <c r="A506" s="33">
        <f t="shared" si="8"/>
        <v>501</v>
      </c>
      <c r="B506" s="34" t="s">
        <v>4084</v>
      </c>
      <c r="C506" s="35" t="s">
        <v>4085</v>
      </c>
      <c r="D506" s="36" t="s">
        <v>4086</v>
      </c>
      <c r="E506" s="36" t="s">
        <v>54</v>
      </c>
      <c r="F506" s="34" t="s">
        <v>4087</v>
      </c>
      <c r="G506" s="37" t="s">
        <v>243</v>
      </c>
      <c r="H506" s="37" t="s">
        <v>205</v>
      </c>
      <c r="I506" s="34" t="s">
        <v>4088</v>
      </c>
      <c r="J506" s="34" t="s">
        <v>41</v>
      </c>
      <c r="K506" s="39" t="s">
        <v>42</v>
      </c>
      <c r="L506" s="99" t="s">
        <v>4089</v>
      </c>
      <c r="M506" s="56" t="s">
        <v>179</v>
      </c>
      <c r="N506" s="56" t="s">
        <v>179</v>
      </c>
      <c r="O506" s="56"/>
      <c r="P506" s="56">
        <v>2</v>
      </c>
      <c r="Q506" s="56"/>
      <c r="R506" s="56"/>
      <c r="S506" s="56"/>
      <c r="T506" s="56"/>
      <c r="U506" s="56" t="s">
        <v>732</v>
      </c>
      <c r="V506" s="56"/>
      <c r="W506" s="56"/>
      <c r="X506" s="42" t="s">
        <v>4090</v>
      </c>
      <c r="Y506" s="58" t="s">
        <v>4091</v>
      </c>
      <c r="Z506" s="44"/>
      <c r="AA506" s="45"/>
      <c r="AB506" s="101"/>
      <c r="AC506" s="73" t="s">
        <v>26</v>
      </c>
      <c r="AD506" s="47" t="s">
        <v>49</v>
      </c>
      <c r="AE506" s="48" t="s">
        <v>49</v>
      </c>
      <c r="AF506" s="48" t="s">
        <v>49</v>
      </c>
      <c r="AG506" s="48" t="s">
        <v>49</v>
      </c>
      <c r="AH506" s="48" t="s">
        <v>49</v>
      </c>
      <c r="AI506" s="48" t="s">
        <v>49</v>
      </c>
      <c r="AJ506" s="49" t="s">
        <v>41</v>
      </c>
      <c r="AK506" s="48" t="s">
        <v>41</v>
      </c>
      <c r="AL506" s="62" t="s">
        <v>276</v>
      </c>
      <c r="AM506" s="62"/>
      <c r="AN506" s="59"/>
      <c r="AO506" s="10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1"/>
    </row>
    <row r="507" spans="1:52" x14ac:dyDescent="0.2">
      <c r="A507" s="33">
        <f t="shared" si="8"/>
        <v>502</v>
      </c>
      <c r="B507" s="34" t="s">
        <v>4092</v>
      </c>
      <c r="C507" s="35" t="s">
        <v>4093</v>
      </c>
      <c r="D507" s="73" t="s">
        <v>4094</v>
      </c>
      <c r="E507" s="36" t="s">
        <v>54</v>
      </c>
      <c r="F507" s="98" t="s">
        <v>4095</v>
      </c>
      <c r="G507" s="37" t="s">
        <v>73</v>
      </c>
      <c r="H507" s="37" t="s">
        <v>73</v>
      </c>
      <c r="I507" s="38" t="s">
        <v>4096</v>
      </c>
      <c r="J507" s="34" t="s">
        <v>41</v>
      </c>
      <c r="K507" s="39" t="s">
        <v>42</v>
      </c>
      <c r="L507" s="99" t="s">
        <v>4097</v>
      </c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42" t="s">
        <v>4098</v>
      </c>
      <c r="Y507" s="100" t="s">
        <v>4099</v>
      </c>
      <c r="Z507" s="121" t="s">
        <v>4100</v>
      </c>
      <c r="AA507" s="45">
        <v>44650</v>
      </c>
      <c r="AB507" s="101" t="s">
        <v>30</v>
      </c>
      <c r="AC507" s="73" t="s">
        <v>26</v>
      </c>
      <c r="AD507" s="47" t="s">
        <v>49</v>
      </c>
      <c r="AE507" s="48" t="s">
        <v>49</v>
      </c>
      <c r="AF507" s="48" t="s">
        <v>49</v>
      </c>
      <c r="AG507" s="48" t="s">
        <v>49</v>
      </c>
      <c r="AH507" s="48" t="s">
        <v>49</v>
      </c>
      <c r="AI507" s="48" t="s">
        <v>49</v>
      </c>
      <c r="AJ507" s="49" t="s">
        <v>49</v>
      </c>
      <c r="AK507" s="48" t="s">
        <v>49</v>
      </c>
      <c r="AL507" s="65" t="s">
        <v>32</v>
      </c>
      <c r="AM507" s="65"/>
      <c r="AN507" s="59"/>
      <c r="AO507" s="10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1"/>
    </row>
    <row r="508" spans="1:52" x14ac:dyDescent="0.2">
      <c r="A508" s="33">
        <f t="shared" si="8"/>
        <v>503</v>
      </c>
      <c r="B508" s="34" t="s">
        <v>4101</v>
      </c>
      <c r="C508" s="35" t="s">
        <v>4102</v>
      </c>
      <c r="D508" s="36" t="s">
        <v>4103</v>
      </c>
      <c r="E508" s="36" t="s">
        <v>54</v>
      </c>
      <c r="F508" s="34" t="s">
        <v>4104</v>
      </c>
      <c r="G508" s="37" t="s">
        <v>73</v>
      </c>
      <c r="H508" s="37" t="s">
        <v>73</v>
      </c>
      <c r="I508" s="34" t="s">
        <v>4105</v>
      </c>
      <c r="J508" s="34" t="s">
        <v>4106</v>
      </c>
      <c r="K508" s="39" t="s">
        <v>42</v>
      </c>
      <c r="L508" s="99" t="s">
        <v>4107</v>
      </c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42" t="s">
        <v>4108</v>
      </c>
      <c r="Y508" s="43" t="s">
        <v>4109</v>
      </c>
      <c r="Z508" s="44" t="s">
        <v>4110</v>
      </c>
      <c r="AA508" s="45">
        <v>42935</v>
      </c>
      <c r="AB508" s="101" t="s">
        <v>30</v>
      </c>
      <c r="AC508" s="36" t="s">
        <v>26</v>
      </c>
      <c r="AD508" s="47" t="s">
        <v>49</v>
      </c>
      <c r="AE508" s="48" t="s">
        <v>49</v>
      </c>
      <c r="AF508" s="48" t="s">
        <v>49</v>
      </c>
      <c r="AG508" s="48" t="s">
        <v>49</v>
      </c>
      <c r="AH508" s="48" t="s">
        <v>49</v>
      </c>
      <c r="AI508" s="48" t="s">
        <v>49</v>
      </c>
      <c r="AJ508" s="49" t="s">
        <v>49</v>
      </c>
      <c r="AK508" s="48" t="s">
        <v>49</v>
      </c>
      <c r="AL508" s="65" t="s">
        <v>32</v>
      </c>
      <c r="AM508" s="65"/>
      <c r="AN508" s="59"/>
      <c r="AO508" s="10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1"/>
    </row>
    <row r="509" spans="1:52" x14ac:dyDescent="0.2">
      <c r="A509" s="33">
        <f t="shared" si="8"/>
        <v>504</v>
      </c>
      <c r="B509" s="34" t="s">
        <v>4111</v>
      </c>
      <c r="C509" s="35" t="s">
        <v>4112</v>
      </c>
      <c r="D509" s="36" t="s">
        <v>4113</v>
      </c>
      <c r="E509" s="36" t="s">
        <v>54</v>
      </c>
      <c r="F509" s="237" t="s">
        <v>4114</v>
      </c>
      <c r="G509" s="37" t="s">
        <v>73</v>
      </c>
      <c r="H509" s="37" t="s">
        <v>73</v>
      </c>
      <c r="I509" s="34" t="s">
        <v>4115</v>
      </c>
      <c r="J509" s="34" t="s">
        <v>41</v>
      </c>
      <c r="K509" s="39" t="s">
        <v>42</v>
      </c>
      <c r="L509" s="120">
        <v>30353</v>
      </c>
      <c r="M509" s="56" t="s">
        <v>179</v>
      </c>
      <c r="N509" s="56"/>
      <c r="O509" s="56"/>
      <c r="P509" s="56">
        <v>2</v>
      </c>
      <c r="Q509" s="56" t="s">
        <v>4116</v>
      </c>
      <c r="R509" s="56"/>
      <c r="S509" s="56"/>
      <c r="T509" s="56"/>
      <c r="U509" s="56"/>
      <c r="V509" s="56"/>
      <c r="W509" s="56"/>
      <c r="X509" s="42" t="s">
        <v>4117</v>
      </c>
      <c r="Y509" s="58" t="s">
        <v>4118</v>
      </c>
      <c r="Z509" s="44"/>
      <c r="AA509" s="45" t="s">
        <v>47</v>
      </c>
      <c r="AB509" s="101"/>
      <c r="AC509" s="36" t="s">
        <v>26</v>
      </c>
      <c r="AD509" s="66" t="s">
        <v>130</v>
      </c>
      <c r="AE509" s="48" t="s">
        <v>130</v>
      </c>
      <c r="AF509" s="48" t="s">
        <v>41</v>
      </c>
      <c r="AG509" s="48" t="s">
        <v>41</v>
      </c>
      <c r="AH509" s="48" t="s">
        <v>41</v>
      </c>
      <c r="AI509" s="48" t="s">
        <v>41</v>
      </c>
      <c r="AJ509" s="49" t="s">
        <v>41</v>
      </c>
      <c r="AK509" s="48" t="s">
        <v>41</v>
      </c>
      <c r="AL509" s="62" t="s">
        <v>4587</v>
      </c>
      <c r="AM509" s="62"/>
      <c r="AN509" s="59"/>
      <c r="AO509" s="10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1"/>
    </row>
    <row r="510" spans="1:52" x14ac:dyDescent="0.2">
      <c r="A510" s="33">
        <f t="shared" si="8"/>
        <v>505</v>
      </c>
      <c r="B510" s="107" t="s">
        <v>4119</v>
      </c>
      <c r="C510" s="35" t="s">
        <v>4120</v>
      </c>
      <c r="D510" s="36" t="s">
        <v>4121</v>
      </c>
      <c r="E510" s="36" t="s">
        <v>54</v>
      </c>
      <c r="F510" s="34" t="s">
        <v>4122</v>
      </c>
      <c r="G510" s="37" t="s">
        <v>1354</v>
      </c>
      <c r="H510" s="37" t="s">
        <v>57</v>
      </c>
      <c r="I510" s="34" t="s">
        <v>4123</v>
      </c>
      <c r="J510" s="34" t="s">
        <v>41</v>
      </c>
      <c r="K510" s="39" t="s">
        <v>42</v>
      </c>
      <c r="L510" s="228" t="s">
        <v>4124</v>
      </c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42" t="s">
        <v>4125</v>
      </c>
      <c r="Y510" s="58" t="s">
        <v>4126</v>
      </c>
      <c r="Z510" s="44" t="s">
        <v>4127</v>
      </c>
      <c r="AA510" s="45">
        <v>42325</v>
      </c>
      <c r="AB510" s="101"/>
      <c r="AC510" s="36" t="s">
        <v>26</v>
      </c>
      <c r="AD510" s="47" t="s">
        <v>49</v>
      </c>
      <c r="AE510" s="48" t="s">
        <v>49</v>
      </c>
      <c r="AF510" s="48" t="s">
        <v>49</v>
      </c>
      <c r="AG510" s="48" t="s">
        <v>49</v>
      </c>
      <c r="AH510" s="48" t="s">
        <v>49</v>
      </c>
      <c r="AI510" s="48" t="s">
        <v>49</v>
      </c>
      <c r="AJ510" s="49" t="s">
        <v>49</v>
      </c>
      <c r="AK510" s="48" t="s">
        <v>49</v>
      </c>
      <c r="AL510" s="65" t="s">
        <v>32</v>
      </c>
      <c r="AM510" s="65"/>
      <c r="AN510" s="59"/>
      <c r="AO510" s="10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1"/>
    </row>
    <row r="511" spans="1:52" x14ac:dyDescent="0.2">
      <c r="A511" s="33">
        <f t="shared" si="8"/>
        <v>506</v>
      </c>
      <c r="B511" s="34" t="s">
        <v>4128</v>
      </c>
      <c r="C511" s="35" t="s">
        <v>4129</v>
      </c>
      <c r="D511" s="36" t="s">
        <v>4130</v>
      </c>
      <c r="E511" s="36" t="s">
        <v>54</v>
      </c>
      <c r="F511" s="52" t="s">
        <v>4131</v>
      </c>
      <c r="G511" s="37" t="s">
        <v>323</v>
      </c>
      <c r="H511" s="37" t="s">
        <v>39</v>
      </c>
      <c r="I511" s="34" t="s">
        <v>4132</v>
      </c>
      <c r="J511" s="34" t="s">
        <v>41</v>
      </c>
      <c r="K511" s="39" t="s">
        <v>42</v>
      </c>
      <c r="L511" s="99" t="s">
        <v>4133</v>
      </c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42" t="s">
        <v>4134</v>
      </c>
      <c r="Y511" s="58" t="s">
        <v>4135</v>
      </c>
      <c r="Z511" s="44" t="s">
        <v>61</v>
      </c>
      <c r="AA511" s="45">
        <v>40280</v>
      </c>
      <c r="AB511" s="101" t="s">
        <v>30</v>
      </c>
      <c r="AC511" s="36" t="s">
        <v>26</v>
      </c>
      <c r="AD511" s="47" t="s">
        <v>49</v>
      </c>
      <c r="AE511" s="48" t="s">
        <v>49</v>
      </c>
      <c r="AF511" s="48" t="s">
        <v>49</v>
      </c>
      <c r="AG511" s="48" t="s">
        <v>49</v>
      </c>
      <c r="AH511" s="48" t="s">
        <v>49</v>
      </c>
      <c r="AI511" s="48" t="s">
        <v>49</v>
      </c>
      <c r="AJ511" s="49" t="s">
        <v>49</v>
      </c>
      <c r="AK511" s="48" t="s">
        <v>49</v>
      </c>
      <c r="AL511" s="65" t="s">
        <v>32</v>
      </c>
      <c r="AM511" s="65"/>
      <c r="AN511" s="59"/>
      <c r="AO511" s="10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1"/>
    </row>
    <row r="512" spans="1:52" x14ac:dyDescent="0.2">
      <c r="A512" s="33">
        <f t="shared" si="8"/>
        <v>507</v>
      </c>
      <c r="B512" s="107" t="s">
        <v>4136</v>
      </c>
      <c r="C512" s="35" t="s">
        <v>4137</v>
      </c>
      <c r="D512" s="154" t="s">
        <v>4138</v>
      </c>
      <c r="E512" s="36" t="s">
        <v>36</v>
      </c>
      <c r="F512" s="238" t="s">
        <v>4139</v>
      </c>
      <c r="G512" s="75" t="s">
        <v>243</v>
      </c>
      <c r="H512" s="75" t="s">
        <v>205</v>
      </c>
      <c r="I512" s="239" t="s">
        <v>4140</v>
      </c>
      <c r="J512" s="72" t="s">
        <v>41</v>
      </c>
      <c r="K512" s="77" t="s">
        <v>42</v>
      </c>
      <c r="L512" s="228" t="s">
        <v>4141</v>
      </c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42" t="s">
        <v>4142</v>
      </c>
      <c r="Y512" s="58" t="s">
        <v>4143</v>
      </c>
      <c r="Z512" s="44" t="s">
        <v>61</v>
      </c>
      <c r="AA512" s="45">
        <v>40280</v>
      </c>
      <c r="AB512" s="206" t="s">
        <v>30</v>
      </c>
      <c r="AC512" s="154" t="s">
        <v>26</v>
      </c>
      <c r="AD512" s="81" t="s">
        <v>49</v>
      </c>
      <c r="AE512" s="48" t="s">
        <v>49</v>
      </c>
      <c r="AF512" s="48" t="s">
        <v>49</v>
      </c>
      <c r="AG512" s="48" t="s">
        <v>49</v>
      </c>
      <c r="AH512" s="48" t="s">
        <v>49</v>
      </c>
      <c r="AI512" s="48" t="s">
        <v>49</v>
      </c>
      <c r="AJ512" s="49" t="s">
        <v>41</v>
      </c>
      <c r="AK512" s="48" t="s">
        <v>41</v>
      </c>
      <c r="AL512" s="62" t="s">
        <v>276</v>
      </c>
      <c r="AM512" s="62"/>
      <c r="AN512" s="59"/>
      <c r="AO512" s="10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1"/>
    </row>
    <row r="513" spans="1:52" x14ac:dyDescent="0.2">
      <c r="A513" s="33">
        <f t="shared" si="8"/>
        <v>508</v>
      </c>
      <c r="B513" s="34" t="s">
        <v>4144</v>
      </c>
      <c r="C513" s="35" t="s">
        <v>4145</v>
      </c>
      <c r="D513" s="36" t="s">
        <v>4146</v>
      </c>
      <c r="E513" s="36" t="s">
        <v>54</v>
      </c>
      <c r="F513" s="60" t="s">
        <v>4147</v>
      </c>
      <c r="G513" s="37" t="s">
        <v>176</v>
      </c>
      <c r="H513" s="37" t="s">
        <v>39</v>
      </c>
      <c r="I513" s="240" t="s">
        <v>4148</v>
      </c>
      <c r="J513" s="34" t="s">
        <v>41</v>
      </c>
      <c r="K513" s="39" t="s">
        <v>42</v>
      </c>
      <c r="L513" s="99" t="s">
        <v>1955</v>
      </c>
      <c r="M513" s="56"/>
      <c r="N513" s="56"/>
      <c r="O513" s="56"/>
      <c r="P513" s="56"/>
      <c r="Q513" s="56"/>
      <c r="R513" s="56"/>
      <c r="S513" s="56" t="s">
        <v>44</v>
      </c>
      <c r="T513" s="56"/>
      <c r="U513" s="56"/>
      <c r="V513" s="56"/>
      <c r="W513" s="56"/>
      <c r="X513" s="42" t="s">
        <v>4149</v>
      </c>
      <c r="Y513" s="58" t="s">
        <v>4150</v>
      </c>
      <c r="Z513" s="44"/>
      <c r="AA513" s="45">
        <v>45642</v>
      </c>
      <c r="AB513" s="101"/>
      <c r="AC513" s="36"/>
      <c r="AD513" s="47" t="s">
        <v>49</v>
      </c>
      <c r="AE513" s="48" t="s">
        <v>41</v>
      </c>
      <c r="AF513" s="48" t="s">
        <v>41</v>
      </c>
      <c r="AG513" s="48" t="s">
        <v>49</v>
      </c>
      <c r="AH513" s="48" t="s">
        <v>49</v>
      </c>
      <c r="AI513" s="48" t="s">
        <v>49</v>
      </c>
      <c r="AJ513" s="49" t="s">
        <v>41</v>
      </c>
      <c r="AK513" s="48" t="s">
        <v>41</v>
      </c>
      <c r="AL513" s="62" t="s">
        <v>276</v>
      </c>
      <c r="AM513" s="62"/>
      <c r="AN513" s="59"/>
      <c r="AO513" s="10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1"/>
    </row>
    <row r="514" spans="1:52" x14ac:dyDescent="0.2">
      <c r="A514" s="33">
        <f t="shared" si="8"/>
        <v>509</v>
      </c>
      <c r="B514" s="34" t="s">
        <v>4151</v>
      </c>
      <c r="C514" s="35" t="s">
        <v>4152</v>
      </c>
      <c r="D514" s="36" t="s">
        <v>4153</v>
      </c>
      <c r="E514" s="36" t="s">
        <v>54</v>
      </c>
      <c r="F514" s="108" t="s">
        <v>4154</v>
      </c>
      <c r="G514" s="37" t="s">
        <v>413</v>
      </c>
      <c r="H514" s="37" t="s">
        <v>378</v>
      </c>
      <c r="I514" s="108" t="s">
        <v>4155</v>
      </c>
      <c r="J514" s="34" t="s">
        <v>41</v>
      </c>
      <c r="K514" s="39" t="s">
        <v>42</v>
      </c>
      <c r="L514" s="99" t="s">
        <v>4156</v>
      </c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2" t="s">
        <v>4157</v>
      </c>
      <c r="Y514" s="58" t="s">
        <v>4158</v>
      </c>
      <c r="Z514" s="44" t="s">
        <v>61</v>
      </c>
      <c r="AA514" s="45">
        <v>37877</v>
      </c>
      <c r="AB514" s="101" t="s">
        <v>30</v>
      </c>
      <c r="AC514" s="36"/>
      <c r="AD514" s="47" t="s">
        <v>49</v>
      </c>
      <c r="AE514" s="48" t="s">
        <v>41</v>
      </c>
      <c r="AF514" s="48" t="s">
        <v>41</v>
      </c>
      <c r="AG514" s="48" t="s">
        <v>41</v>
      </c>
      <c r="AH514" s="48" t="s">
        <v>41</v>
      </c>
      <c r="AI514" s="48" t="s">
        <v>41</v>
      </c>
      <c r="AJ514" s="49" t="s">
        <v>41</v>
      </c>
      <c r="AK514" s="48" t="s">
        <v>41</v>
      </c>
      <c r="AL514" s="241" t="s">
        <v>4588</v>
      </c>
      <c r="AM514" s="241"/>
      <c r="AN514" s="59" t="s">
        <v>1230</v>
      </c>
      <c r="AO514" s="117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1"/>
    </row>
    <row r="515" spans="1:52" x14ac:dyDescent="0.2">
      <c r="A515" s="33">
        <f t="shared" si="8"/>
        <v>510</v>
      </c>
      <c r="B515" s="34" t="s">
        <v>4159</v>
      </c>
      <c r="C515" s="35" t="s">
        <v>4160</v>
      </c>
      <c r="D515" s="36" t="s">
        <v>4161</v>
      </c>
      <c r="E515" s="36" t="s">
        <v>241</v>
      </c>
      <c r="F515" s="34" t="s">
        <v>4162</v>
      </c>
      <c r="G515" s="37" t="s">
        <v>456</v>
      </c>
      <c r="H515" s="37" t="s">
        <v>187</v>
      </c>
      <c r="I515" s="34" t="s">
        <v>4163</v>
      </c>
      <c r="J515" s="34" t="s">
        <v>41</v>
      </c>
      <c r="K515" s="39" t="s">
        <v>42</v>
      </c>
      <c r="L515" s="99" t="s">
        <v>4164</v>
      </c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2" t="s">
        <v>1145</v>
      </c>
      <c r="Y515" s="58" t="s">
        <v>4165</v>
      </c>
      <c r="Z515" s="44" t="s">
        <v>61</v>
      </c>
      <c r="AA515" s="45">
        <v>36641</v>
      </c>
      <c r="AB515" s="101" t="s">
        <v>30</v>
      </c>
      <c r="AC515" s="36"/>
      <c r="AD515" s="47" t="s">
        <v>49</v>
      </c>
      <c r="AE515" s="48" t="s">
        <v>41</v>
      </c>
      <c r="AF515" s="48" t="s">
        <v>41</v>
      </c>
      <c r="AG515" s="48" t="s">
        <v>41</v>
      </c>
      <c r="AH515" s="48" t="s">
        <v>41</v>
      </c>
      <c r="AI515" s="48" t="s">
        <v>41</v>
      </c>
      <c r="AJ515" s="49" t="s">
        <v>41</v>
      </c>
      <c r="AK515" s="48" t="s">
        <v>41</v>
      </c>
      <c r="AL515" s="241" t="s">
        <v>4591</v>
      </c>
      <c r="AM515" s="241"/>
      <c r="AN515" s="59" t="s">
        <v>460</v>
      </c>
      <c r="AO515" s="10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1"/>
    </row>
    <row r="516" spans="1:52" x14ac:dyDescent="0.2">
      <c r="A516" s="33">
        <f t="shared" si="8"/>
        <v>511</v>
      </c>
      <c r="B516" s="34" t="s">
        <v>4166</v>
      </c>
      <c r="C516" s="35" t="s">
        <v>4167</v>
      </c>
      <c r="D516" s="36" t="s">
        <v>4657</v>
      </c>
      <c r="E516" s="36" t="s">
        <v>4169</v>
      </c>
      <c r="F516" s="34" t="s">
        <v>4170</v>
      </c>
      <c r="G516" s="37" t="s">
        <v>73</v>
      </c>
      <c r="H516" s="37" t="s">
        <v>73</v>
      </c>
      <c r="I516" s="42" t="s">
        <v>4171</v>
      </c>
      <c r="J516" s="34" t="s">
        <v>41</v>
      </c>
      <c r="K516" s="39" t="s">
        <v>42</v>
      </c>
      <c r="L516" s="120">
        <v>45933</v>
      </c>
      <c r="M516" s="41"/>
      <c r="N516" s="41"/>
      <c r="O516" s="41"/>
      <c r="P516" s="41"/>
      <c r="Q516" s="112"/>
      <c r="R516" s="41"/>
      <c r="S516" s="41"/>
      <c r="T516" s="41"/>
      <c r="U516" s="41"/>
      <c r="V516" s="41" t="s">
        <v>44</v>
      </c>
      <c r="W516" s="41"/>
      <c r="X516" s="42" t="s">
        <v>4172</v>
      </c>
      <c r="Y516" s="58" t="s">
        <v>4173</v>
      </c>
      <c r="Z516" s="44"/>
      <c r="AA516" s="45"/>
      <c r="AB516" s="101"/>
      <c r="AC516" s="36"/>
      <c r="AD516" s="47" t="s">
        <v>49</v>
      </c>
      <c r="AE516" s="48" t="s">
        <v>41</v>
      </c>
      <c r="AF516" s="48" t="s">
        <v>41</v>
      </c>
      <c r="AG516" s="48" t="s">
        <v>41</v>
      </c>
      <c r="AH516" s="48" t="s">
        <v>41</v>
      </c>
      <c r="AI516" s="48" t="s">
        <v>41</v>
      </c>
      <c r="AJ516" s="49" t="s">
        <v>49</v>
      </c>
      <c r="AK516" s="48" t="s">
        <v>49</v>
      </c>
      <c r="AL516" s="241" t="s">
        <v>32</v>
      </c>
      <c r="AM516" s="241"/>
      <c r="AN516" s="59"/>
      <c r="AO516" s="102"/>
      <c r="AP516" s="3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1"/>
    </row>
    <row r="517" spans="1:52" x14ac:dyDescent="0.2">
      <c r="A517" s="33">
        <f t="shared" si="8"/>
        <v>512</v>
      </c>
      <c r="B517" s="34" t="s">
        <v>4174</v>
      </c>
      <c r="C517" s="35" t="s">
        <v>4175</v>
      </c>
      <c r="D517" s="36" t="s">
        <v>4176</v>
      </c>
      <c r="E517" s="36" t="s">
        <v>54</v>
      </c>
      <c r="F517" s="34" t="s">
        <v>4177</v>
      </c>
      <c r="G517" s="37" t="s">
        <v>39</v>
      </c>
      <c r="H517" s="37" t="s">
        <v>39</v>
      </c>
      <c r="I517" s="38" t="s">
        <v>4178</v>
      </c>
      <c r="J517" s="34" t="s">
        <v>41</v>
      </c>
      <c r="K517" s="39" t="s">
        <v>42</v>
      </c>
      <c r="L517" s="99" t="s">
        <v>282</v>
      </c>
      <c r="M517" s="41"/>
      <c r="N517" s="112"/>
      <c r="O517" s="111"/>
      <c r="P517" s="112"/>
      <c r="Q517" s="111"/>
      <c r="R517" s="112"/>
      <c r="S517" s="112"/>
      <c r="T517" s="41"/>
      <c r="U517" s="41"/>
      <c r="V517" s="41"/>
      <c r="W517" s="41"/>
      <c r="X517" s="42" t="s">
        <v>4179</v>
      </c>
      <c r="Y517" s="69" t="s">
        <v>4180</v>
      </c>
      <c r="Z517" s="44" t="s">
        <v>4181</v>
      </c>
      <c r="AA517" s="45">
        <v>42935</v>
      </c>
      <c r="AB517" s="101" t="s">
        <v>30</v>
      </c>
      <c r="AC517" s="36" t="s">
        <v>26</v>
      </c>
      <c r="AD517" s="47" t="s">
        <v>49</v>
      </c>
      <c r="AE517" s="48" t="s">
        <v>49</v>
      </c>
      <c r="AF517" s="48" t="s">
        <v>49</v>
      </c>
      <c r="AG517" s="48" t="s">
        <v>49</v>
      </c>
      <c r="AH517" s="48" t="s">
        <v>49</v>
      </c>
      <c r="AI517" s="48" t="s">
        <v>49</v>
      </c>
      <c r="AJ517" s="49" t="s">
        <v>49</v>
      </c>
      <c r="AK517" s="48" t="s">
        <v>49</v>
      </c>
      <c r="AL517" s="213">
        <v>0</v>
      </c>
      <c r="AM517" s="213"/>
      <c r="AN517" s="59"/>
      <c r="AO517" s="102"/>
      <c r="AP517" s="3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1"/>
    </row>
    <row r="518" spans="1:52" x14ac:dyDescent="0.2">
      <c r="A518" s="33">
        <f t="shared" si="8"/>
        <v>513</v>
      </c>
      <c r="B518" s="34" t="s">
        <v>4182</v>
      </c>
      <c r="C518" s="35" t="s">
        <v>4183</v>
      </c>
      <c r="D518" s="36" t="s">
        <v>4184</v>
      </c>
      <c r="E518" s="36" t="s">
        <v>54</v>
      </c>
      <c r="F518" s="34" t="s">
        <v>4185</v>
      </c>
      <c r="G518" s="37" t="s">
        <v>377</v>
      </c>
      <c r="H518" s="37" t="s">
        <v>378</v>
      </c>
      <c r="I518" s="34" t="s">
        <v>41</v>
      </c>
      <c r="J518" s="34" t="s">
        <v>41</v>
      </c>
      <c r="K518" s="39" t="s">
        <v>42</v>
      </c>
      <c r="L518" s="99" t="s">
        <v>4186</v>
      </c>
      <c r="M518" s="41"/>
      <c r="N518" s="41"/>
      <c r="O518" s="41"/>
      <c r="P518" s="41"/>
      <c r="Q518" s="41"/>
      <c r="R518" s="41"/>
      <c r="S518" s="41"/>
      <c r="T518" s="41"/>
      <c r="U518" s="41" t="s">
        <v>732</v>
      </c>
      <c r="V518" s="41"/>
      <c r="W518" s="41"/>
      <c r="X518" s="42" t="s">
        <v>4187</v>
      </c>
      <c r="Y518" s="52" t="s">
        <v>4188</v>
      </c>
      <c r="Z518" s="44"/>
      <c r="AA518" s="45"/>
      <c r="AB518" s="101" t="s">
        <v>30</v>
      </c>
      <c r="AC518" s="36" t="s">
        <v>26</v>
      </c>
      <c r="AD518" s="47" t="s">
        <v>49</v>
      </c>
      <c r="AE518" s="48" t="s">
        <v>49</v>
      </c>
      <c r="AF518" s="48" t="s">
        <v>49</v>
      </c>
      <c r="AG518" s="48" t="s">
        <v>49</v>
      </c>
      <c r="AH518" s="48" t="s">
        <v>49</v>
      </c>
      <c r="AI518" s="48" t="s">
        <v>49</v>
      </c>
      <c r="AJ518" s="49" t="s">
        <v>49</v>
      </c>
      <c r="AK518" s="48" t="s">
        <v>49</v>
      </c>
      <c r="AL518" s="62" t="s">
        <v>32</v>
      </c>
      <c r="AM518" s="62"/>
      <c r="AN518" s="59"/>
      <c r="AO518" s="10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1"/>
    </row>
    <row r="519" spans="1:52" x14ac:dyDescent="0.2">
      <c r="A519" s="33">
        <f t="shared" si="8"/>
        <v>514</v>
      </c>
      <c r="B519" s="34" t="s">
        <v>4189</v>
      </c>
      <c r="C519" s="35" t="s">
        <v>4190</v>
      </c>
      <c r="D519" s="36" t="s">
        <v>4191</v>
      </c>
      <c r="E519" s="36" t="s">
        <v>54</v>
      </c>
      <c r="F519" s="34" t="s">
        <v>4192</v>
      </c>
      <c r="G519" s="37" t="s">
        <v>73</v>
      </c>
      <c r="H519" s="37" t="s">
        <v>73</v>
      </c>
      <c r="I519" s="38" t="s">
        <v>4193</v>
      </c>
      <c r="J519" s="34" t="s">
        <v>41</v>
      </c>
      <c r="K519" s="39" t="s">
        <v>42</v>
      </c>
      <c r="L519" s="99" t="s">
        <v>1887</v>
      </c>
      <c r="M519" s="41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42" t="s">
        <v>4194</v>
      </c>
      <c r="Y519" s="43" t="s">
        <v>4195</v>
      </c>
      <c r="Z519" s="44" t="s">
        <v>4196</v>
      </c>
      <c r="AA519" s="45">
        <v>44041</v>
      </c>
      <c r="AB519" s="101" t="s">
        <v>30</v>
      </c>
      <c r="AC519" s="36" t="s">
        <v>26</v>
      </c>
      <c r="AD519" s="47" t="s">
        <v>49</v>
      </c>
      <c r="AE519" s="48" t="s">
        <v>49</v>
      </c>
      <c r="AF519" s="48" t="s">
        <v>49</v>
      </c>
      <c r="AG519" s="48" t="s">
        <v>49</v>
      </c>
      <c r="AH519" s="48" t="s">
        <v>49</v>
      </c>
      <c r="AI519" s="48" t="s">
        <v>49</v>
      </c>
      <c r="AJ519" s="49" t="s">
        <v>49</v>
      </c>
      <c r="AK519" s="48" t="s">
        <v>49</v>
      </c>
      <c r="AL519" s="62" t="s">
        <v>32</v>
      </c>
      <c r="AM519" s="62"/>
      <c r="AN519" s="59"/>
      <c r="AO519" s="10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1"/>
    </row>
    <row r="520" spans="1:52" x14ac:dyDescent="0.2">
      <c r="A520" s="33">
        <f t="shared" si="8"/>
        <v>515</v>
      </c>
      <c r="B520" s="34" t="s">
        <v>4197</v>
      </c>
      <c r="C520" s="35" t="s">
        <v>4198</v>
      </c>
      <c r="D520" s="36" t="s">
        <v>4199</v>
      </c>
      <c r="E520" s="36" t="s">
        <v>54</v>
      </c>
      <c r="F520" s="34" t="s">
        <v>4200</v>
      </c>
      <c r="G520" s="37" t="s">
        <v>73</v>
      </c>
      <c r="H520" s="37" t="s">
        <v>73</v>
      </c>
      <c r="I520" s="34" t="s">
        <v>3116</v>
      </c>
      <c r="J520" s="34" t="s">
        <v>3117</v>
      </c>
      <c r="K520" s="39" t="s">
        <v>42</v>
      </c>
      <c r="L520" s="120">
        <v>36591</v>
      </c>
      <c r="M520" s="41"/>
      <c r="N520" s="41"/>
      <c r="O520" s="41"/>
      <c r="P520" s="41"/>
      <c r="Q520" s="112"/>
      <c r="R520" s="112"/>
      <c r="S520" s="112"/>
      <c r="T520" s="41"/>
      <c r="U520" s="41"/>
      <c r="V520" s="41"/>
      <c r="W520" s="41"/>
      <c r="X520" s="42" t="s">
        <v>4201</v>
      </c>
      <c r="Y520" s="100" t="s">
        <v>4202</v>
      </c>
      <c r="Z520" s="119" t="s">
        <v>61</v>
      </c>
      <c r="AA520" s="45">
        <v>37208</v>
      </c>
      <c r="AB520" s="101" t="s">
        <v>30</v>
      </c>
      <c r="AC520" s="36"/>
      <c r="AD520" s="47" t="s">
        <v>49</v>
      </c>
      <c r="AE520" s="48" t="s">
        <v>41</v>
      </c>
      <c r="AF520" s="48" t="s">
        <v>41</v>
      </c>
      <c r="AG520" s="48" t="s">
        <v>41</v>
      </c>
      <c r="AH520" s="48" t="s">
        <v>41</v>
      </c>
      <c r="AI520" s="48" t="s">
        <v>41</v>
      </c>
      <c r="AJ520" s="49" t="s">
        <v>41</v>
      </c>
      <c r="AK520" s="48" t="s">
        <v>41</v>
      </c>
      <c r="AL520" s="65" t="s">
        <v>4592</v>
      </c>
      <c r="AM520" s="65"/>
      <c r="AN520" s="59" t="s">
        <v>192</v>
      </c>
      <c r="AO520" s="10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1"/>
    </row>
    <row r="521" spans="1:52" x14ac:dyDescent="0.2">
      <c r="A521" s="33">
        <f t="shared" si="8"/>
        <v>516</v>
      </c>
      <c r="B521" s="34" t="s">
        <v>4203</v>
      </c>
      <c r="C521" s="35" t="s">
        <v>4204</v>
      </c>
      <c r="D521" s="36" t="s">
        <v>4205</v>
      </c>
      <c r="E521" s="36" t="s">
        <v>54</v>
      </c>
      <c r="F521" s="226" t="s">
        <v>4206</v>
      </c>
      <c r="G521" s="37" t="s">
        <v>73</v>
      </c>
      <c r="H521" s="37" t="s">
        <v>73</v>
      </c>
      <c r="I521" s="34" t="s">
        <v>4207</v>
      </c>
      <c r="J521" s="34" t="s">
        <v>41</v>
      </c>
      <c r="K521" s="39" t="s">
        <v>42</v>
      </c>
      <c r="L521" s="99" t="s">
        <v>235</v>
      </c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2" t="s">
        <v>4208</v>
      </c>
      <c r="Y521" s="58" t="s">
        <v>4209</v>
      </c>
      <c r="Z521" s="44" t="s">
        <v>61</v>
      </c>
      <c r="AA521" s="45">
        <v>40280</v>
      </c>
      <c r="AB521" s="101" t="s">
        <v>30</v>
      </c>
      <c r="AC521" s="36" t="s">
        <v>26</v>
      </c>
      <c r="AD521" s="47" t="s">
        <v>49</v>
      </c>
      <c r="AE521" s="48" t="s">
        <v>49</v>
      </c>
      <c r="AF521" s="48" t="s">
        <v>41</v>
      </c>
      <c r="AG521" s="48" t="s">
        <v>41</v>
      </c>
      <c r="AH521" s="48" t="s">
        <v>41</v>
      </c>
      <c r="AI521" s="48" t="s">
        <v>41</v>
      </c>
      <c r="AJ521" s="49" t="s">
        <v>41</v>
      </c>
      <c r="AK521" s="48" t="s">
        <v>41</v>
      </c>
      <c r="AL521" s="62" t="s">
        <v>4587</v>
      </c>
      <c r="AM521" s="62"/>
      <c r="AN521" s="59"/>
      <c r="AO521" s="10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1"/>
    </row>
    <row r="522" spans="1:52" x14ac:dyDescent="0.2">
      <c r="A522" s="33">
        <f t="shared" si="8"/>
        <v>517</v>
      </c>
      <c r="B522" s="34" t="s">
        <v>4210</v>
      </c>
      <c r="C522" s="35" t="s">
        <v>4211</v>
      </c>
      <c r="D522" s="36" t="s">
        <v>4212</v>
      </c>
      <c r="E522" s="36" t="s">
        <v>54</v>
      </c>
      <c r="F522" s="98" t="s">
        <v>4213</v>
      </c>
      <c r="G522" s="37" t="s">
        <v>73</v>
      </c>
      <c r="H522" s="37" t="s">
        <v>73</v>
      </c>
      <c r="I522" s="34" t="s">
        <v>4214</v>
      </c>
      <c r="J522" s="34" t="s">
        <v>4214</v>
      </c>
      <c r="K522" s="39" t="s">
        <v>42</v>
      </c>
      <c r="L522" s="120">
        <v>37110</v>
      </c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2" t="s">
        <v>4215</v>
      </c>
      <c r="Y522" s="58" t="s">
        <v>4216</v>
      </c>
      <c r="Z522" s="44" t="s">
        <v>4217</v>
      </c>
      <c r="AA522" s="45">
        <v>41793</v>
      </c>
      <c r="AB522" s="101" t="s">
        <v>30</v>
      </c>
      <c r="AC522" s="36" t="s">
        <v>26</v>
      </c>
      <c r="AD522" s="47" t="s">
        <v>49</v>
      </c>
      <c r="AE522" s="48" t="s">
        <v>49</v>
      </c>
      <c r="AF522" s="48" t="s">
        <v>49</v>
      </c>
      <c r="AG522" s="48" t="s">
        <v>49</v>
      </c>
      <c r="AH522" s="48" t="s">
        <v>41</v>
      </c>
      <c r="AI522" s="48" t="s">
        <v>41</v>
      </c>
      <c r="AJ522" s="49" t="s">
        <v>41</v>
      </c>
      <c r="AK522" s="48" t="s">
        <v>41</v>
      </c>
      <c r="AL522" s="62" t="s">
        <v>139</v>
      </c>
      <c r="AM522" s="62"/>
      <c r="AN522" s="59"/>
      <c r="AO522" s="10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1"/>
    </row>
    <row r="523" spans="1:52" x14ac:dyDescent="0.2">
      <c r="A523" s="33">
        <f t="shared" si="8"/>
        <v>518</v>
      </c>
      <c r="B523" s="34" t="s">
        <v>4218</v>
      </c>
      <c r="C523" s="35" t="s">
        <v>4219</v>
      </c>
      <c r="D523" s="36" t="s">
        <v>4220</v>
      </c>
      <c r="E523" s="36" t="s">
        <v>36</v>
      </c>
      <c r="F523" s="237" t="s">
        <v>4221</v>
      </c>
      <c r="G523" s="37" t="s">
        <v>252</v>
      </c>
      <c r="H523" s="37" t="s">
        <v>57</v>
      </c>
      <c r="I523" s="34" t="s">
        <v>4222</v>
      </c>
      <c r="J523" s="34" t="s">
        <v>41</v>
      </c>
      <c r="K523" s="39" t="s">
        <v>42</v>
      </c>
      <c r="L523" s="120">
        <v>30353</v>
      </c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42" t="s">
        <v>4223</v>
      </c>
      <c r="Y523" s="58" t="s">
        <v>4224</v>
      </c>
      <c r="Z523" s="44" t="s">
        <v>4225</v>
      </c>
      <c r="AA523" s="45">
        <v>43200</v>
      </c>
      <c r="AB523" s="101" t="s">
        <v>30</v>
      </c>
      <c r="AC523" s="36" t="s">
        <v>26</v>
      </c>
      <c r="AD523" s="47" t="s">
        <v>49</v>
      </c>
      <c r="AE523" s="48" t="s">
        <v>49</v>
      </c>
      <c r="AF523" s="48" t="s">
        <v>49</v>
      </c>
      <c r="AG523" s="48" t="s">
        <v>49</v>
      </c>
      <c r="AH523" s="48" t="s">
        <v>49</v>
      </c>
      <c r="AI523" s="48" t="s">
        <v>49</v>
      </c>
      <c r="AJ523" s="49" t="s">
        <v>49</v>
      </c>
      <c r="AK523" s="48" t="s">
        <v>49</v>
      </c>
      <c r="AL523" s="62" t="s">
        <v>32</v>
      </c>
      <c r="AM523" s="62"/>
      <c r="AN523" s="59"/>
      <c r="AO523" s="10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1"/>
    </row>
    <row r="524" spans="1:52" x14ac:dyDescent="0.2">
      <c r="A524" s="33">
        <f t="shared" ref="A524:A558" si="9">+A523+1</f>
        <v>519</v>
      </c>
      <c r="B524" s="34" t="s">
        <v>4226</v>
      </c>
      <c r="C524" s="35" t="s">
        <v>4227</v>
      </c>
      <c r="D524" s="36" t="s">
        <v>4228</v>
      </c>
      <c r="E524" s="36" t="s">
        <v>54</v>
      </c>
      <c r="F524" s="34" t="s">
        <v>4229</v>
      </c>
      <c r="G524" s="37" t="s">
        <v>73</v>
      </c>
      <c r="H524" s="37" t="s">
        <v>73</v>
      </c>
      <c r="I524" s="34" t="s">
        <v>4230</v>
      </c>
      <c r="J524" s="34" t="s">
        <v>4230</v>
      </c>
      <c r="K524" s="39" t="s">
        <v>42</v>
      </c>
      <c r="L524" s="120" t="s">
        <v>4231</v>
      </c>
      <c r="M524" s="41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42" t="s">
        <v>4232</v>
      </c>
      <c r="Y524" s="69" t="s">
        <v>4233</v>
      </c>
      <c r="Z524" s="44" t="s">
        <v>4234</v>
      </c>
      <c r="AA524" s="45">
        <v>42935</v>
      </c>
      <c r="AB524" s="101" t="s">
        <v>30</v>
      </c>
      <c r="AC524" s="36" t="s">
        <v>26</v>
      </c>
      <c r="AD524" s="47" t="s">
        <v>49</v>
      </c>
      <c r="AE524" s="48" t="s">
        <v>49</v>
      </c>
      <c r="AF524" s="48" t="s">
        <v>49</v>
      </c>
      <c r="AG524" s="48" t="s">
        <v>49</v>
      </c>
      <c r="AH524" s="48" t="s">
        <v>49</v>
      </c>
      <c r="AI524" s="48" t="s">
        <v>49</v>
      </c>
      <c r="AJ524" s="49" t="s">
        <v>41</v>
      </c>
      <c r="AK524" s="48" t="s">
        <v>41</v>
      </c>
      <c r="AL524" s="62" t="s">
        <v>276</v>
      </c>
      <c r="AM524" s="62"/>
      <c r="AN524" s="59"/>
      <c r="AO524" s="10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1"/>
    </row>
    <row r="525" spans="1:52" x14ac:dyDescent="0.2">
      <c r="A525" s="33">
        <f t="shared" si="9"/>
        <v>520</v>
      </c>
      <c r="B525" s="34" t="s">
        <v>4235</v>
      </c>
      <c r="C525" s="35" t="s">
        <v>4236</v>
      </c>
      <c r="D525" s="36" t="s">
        <v>4237</v>
      </c>
      <c r="E525" s="36" t="s">
        <v>54</v>
      </c>
      <c r="F525" s="34" t="s">
        <v>4238</v>
      </c>
      <c r="G525" s="37" t="s">
        <v>73</v>
      </c>
      <c r="H525" s="37" t="s">
        <v>73</v>
      </c>
      <c r="I525" s="34" t="s">
        <v>4239</v>
      </c>
      <c r="J525" s="34" t="s">
        <v>4240</v>
      </c>
      <c r="K525" s="39" t="s">
        <v>42</v>
      </c>
      <c r="L525" s="99" t="s">
        <v>4241</v>
      </c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42" t="s">
        <v>4242</v>
      </c>
      <c r="Y525" s="52" t="s">
        <v>4243</v>
      </c>
      <c r="Z525" s="44" t="s">
        <v>4244</v>
      </c>
      <c r="AA525" s="45">
        <v>43200</v>
      </c>
      <c r="AB525" s="101" t="s">
        <v>30</v>
      </c>
      <c r="AC525" s="36" t="s">
        <v>26</v>
      </c>
      <c r="AD525" s="47" t="s">
        <v>49</v>
      </c>
      <c r="AE525" s="48" t="s">
        <v>49</v>
      </c>
      <c r="AF525" s="48" t="s">
        <v>49</v>
      </c>
      <c r="AG525" s="48" t="s">
        <v>49</v>
      </c>
      <c r="AH525" s="48" t="s">
        <v>41</v>
      </c>
      <c r="AI525" s="48" t="s">
        <v>41</v>
      </c>
      <c r="AJ525" s="49" t="s">
        <v>41</v>
      </c>
      <c r="AK525" s="48" t="s">
        <v>41</v>
      </c>
      <c r="AL525" s="62" t="s">
        <v>139</v>
      </c>
      <c r="AM525" s="62"/>
      <c r="AN525" s="59"/>
      <c r="AO525" s="10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1"/>
    </row>
    <row r="526" spans="1:52" ht="14.25" customHeight="1" x14ac:dyDescent="0.2">
      <c r="A526" s="33">
        <f t="shared" si="9"/>
        <v>521</v>
      </c>
      <c r="B526" s="34" t="s">
        <v>4245</v>
      </c>
      <c r="C526" s="35" t="s">
        <v>4246</v>
      </c>
      <c r="D526" s="36" t="s">
        <v>4247</v>
      </c>
      <c r="E526" s="36" t="s">
        <v>54</v>
      </c>
      <c r="F526" s="34" t="s">
        <v>4248</v>
      </c>
      <c r="G526" s="37" t="s">
        <v>528</v>
      </c>
      <c r="H526" s="37" t="s">
        <v>57</v>
      </c>
      <c r="I526" s="38" t="s">
        <v>4249</v>
      </c>
      <c r="J526" s="34" t="s">
        <v>41</v>
      </c>
      <c r="K526" s="39" t="s">
        <v>42</v>
      </c>
      <c r="L526" s="99" t="s">
        <v>530</v>
      </c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2" t="s">
        <v>4250</v>
      </c>
      <c r="Y526" s="43" t="s">
        <v>4251</v>
      </c>
      <c r="Z526" s="207" t="s">
        <v>4252</v>
      </c>
      <c r="AA526" s="45">
        <v>44944</v>
      </c>
      <c r="AB526" s="101" t="s">
        <v>30</v>
      </c>
      <c r="AC526" s="36"/>
      <c r="AD526" s="47" t="s">
        <v>49</v>
      </c>
      <c r="AE526" s="48" t="s">
        <v>41</v>
      </c>
      <c r="AF526" s="48" t="s">
        <v>49</v>
      </c>
      <c r="AG526" s="48" t="s">
        <v>49</v>
      </c>
      <c r="AH526" s="48" t="s">
        <v>49</v>
      </c>
      <c r="AI526" s="48" t="s">
        <v>49</v>
      </c>
      <c r="AJ526" s="49" t="s">
        <v>41</v>
      </c>
      <c r="AK526" s="48" t="s">
        <v>41</v>
      </c>
      <c r="AL526" s="62" t="s">
        <v>276</v>
      </c>
      <c r="AM526" s="62"/>
      <c r="AN526" s="59"/>
      <c r="AO526" s="10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1"/>
    </row>
    <row r="527" spans="1:52" ht="14.25" customHeight="1" x14ac:dyDescent="0.2">
      <c r="A527" s="33">
        <f t="shared" si="9"/>
        <v>522</v>
      </c>
      <c r="B527" s="34" t="s">
        <v>4253</v>
      </c>
      <c r="C527" s="35" t="s">
        <v>4254</v>
      </c>
      <c r="D527" s="36" t="s">
        <v>4255</v>
      </c>
      <c r="E527" s="36" t="s">
        <v>36</v>
      </c>
      <c r="F527" s="34" t="s">
        <v>4256</v>
      </c>
      <c r="G527" s="37" t="s">
        <v>56</v>
      </c>
      <c r="H527" s="37" t="s">
        <v>57</v>
      </c>
      <c r="I527" s="38" t="s">
        <v>4257</v>
      </c>
      <c r="J527" s="34" t="s">
        <v>41</v>
      </c>
      <c r="K527" s="39" t="s">
        <v>42</v>
      </c>
      <c r="L527" s="120" t="s">
        <v>4258</v>
      </c>
      <c r="M527" s="41"/>
      <c r="N527" s="41"/>
      <c r="O527" s="41"/>
      <c r="P527" s="41"/>
      <c r="Q527" s="41"/>
      <c r="R527" s="41"/>
      <c r="S527" s="41"/>
      <c r="T527" s="41" t="s">
        <v>44</v>
      </c>
      <c r="U527" s="41"/>
      <c r="V527" s="41"/>
      <c r="W527" s="41"/>
      <c r="X527" s="42" t="s">
        <v>4259</v>
      </c>
      <c r="Y527" s="69" t="s">
        <v>4260</v>
      </c>
      <c r="Z527" s="44"/>
      <c r="AA527" s="45">
        <v>45642</v>
      </c>
      <c r="AB527" s="101"/>
      <c r="AC527" s="36"/>
      <c r="AD527" s="47" t="s">
        <v>49</v>
      </c>
      <c r="AE527" s="48" t="s">
        <v>41</v>
      </c>
      <c r="AF527" s="48" t="s">
        <v>41</v>
      </c>
      <c r="AG527" s="48" t="s">
        <v>41</v>
      </c>
      <c r="AH527" s="48" t="s">
        <v>49</v>
      </c>
      <c r="AI527" s="48" t="s">
        <v>49</v>
      </c>
      <c r="AJ527" s="49" t="s">
        <v>49</v>
      </c>
      <c r="AK527" s="48" t="s">
        <v>41</v>
      </c>
      <c r="AL527" s="65" t="s">
        <v>148</v>
      </c>
      <c r="AM527" s="65"/>
      <c r="AN527" s="59"/>
      <c r="AO527" s="10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1"/>
    </row>
    <row r="528" spans="1:52" ht="14.25" customHeight="1" x14ac:dyDescent="0.2">
      <c r="A528" s="33">
        <f t="shared" si="9"/>
        <v>523</v>
      </c>
      <c r="B528" s="34" t="s">
        <v>4261</v>
      </c>
      <c r="C528" s="35" t="s">
        <v>4262</v>
      </c>
      <c r="D528" s="36" t="s">
        <v>4263</v>
      </c>
      <c r="E528" s="36" t="s">
        <v>54</v>
      </c>
      <c r="F528" s="34" t="s">
        <v>4264</v>
      </c>
      <c r="G528" s="37" t="s">
        <v>73</v>
      </c>
      <c r="H528" s="37" t="s">
        <v>73</v>
      </c>
      <c r="I528" s="34" t="s">
        <v>4265</v>
      </c>
      <c r="J528" s="34" t="s">
        <v>4266</v>
      </c>
      <c r="K528" s="39" t="s">
        <v>42</v>
      </c>
      <c r="L528" s="99" t="s">
        <v>4267</v>
      </c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42" t="s">
        <v>4604</v>
      </c>
      <c r="Y528" s="52" t="s">
        <v>4268</v>
      </c>
      <c r="Z528" s="44" t="s">
        <v>61</v>
      </c>
      <c r="AA528" s="45">
        <v>40280</v>
      </c>
      <c r="AB528" s="101" t="s">
        <v>30</v>
      </c>
      <c r="AC528" s="36" t="s">
        <v>26</v>
      </c>
      <c r="AD528" s="61" t="s">
        <v>49</v>
      </c>
      <c r="AE528" s="48" t="s">
        <v>49</v>
      </c>
      <c r="AF528" s="48" t="s">
        <v>49</v>
      </c>
      <c r="AG528" s="48" t="s">
        <v>49</v>
      </c>
      <c r="AH528" s="48" t="s">
        <v>49</v>
      </c>
      <c r="AI528" s="48" t="s">
        <v>49</v>
      </c>
      <c r="AJ528" s="49" t="s">
        <v>49</v>
      </c>
      <c r="AK528" s="48" t="s">
        <v>49</v>
      </c>
      <c r="AL528" s="65" t="s">
        <v>32</v>
      </c>
      <c r="AM528" s="65"/>
      <c r="AN528" s="59"/>
      <c r="AO528" s="10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1"/>
    </row>
    <row r="529" spans="1:52" ht="14.25" customHeight="1" x14ac:dyDescent="0.2">
      <c r="A529" s="33">
        <f t="shared" si="9"/>
        <v>524</v>
      </c>
      <c r="B529" s="34" t="s">
        <v>4269</v>
      </c>
      <c r="C529" s="35" t="s">
        <v>4270</v>
      </c>
      <c r="D529" s="36" t="s">
        <v>4271</v>
      </c>
      <c r="E529" s="36" t="s">
        <v>54</v>
      </c>
      <c r="F529" s="34" t="s">
        <v>4272</v>
      </c>
      <c r="G529" s="37" t="s">
        <v>73</v>
      </c>
      <c r="H529" s="37" t="s">
        <v>73</v>
      </c>
      <c r="I529" s="34" t="s">
        <v>4273</v>
      </c>
      <c r="J529" s="34" t="s">
        <v>41</v>
      </c>
      <c r="K529" s="39" t="s">
        <v>42</v>
      </c>
      <c r="L529" s="120">
        <v>44662</v>
      </c>
      <c r="M529" s="56"/>
      <c r="N529" s="56"/>
      <c r="O529" s="56"/>
      <c r="P529" s="56"/>
      <c r="Q529" s="56"/>
      <c r="R529" s="56"/>
      <c r="S529" s="56" t="s">
        <v>44</v>
      </c>
      <c r="T529" s="56"/>
      <c r="U529" s="56"/>
      <c r="V529" s="56"/>
      <c r="W529" s="56"/>
      <c r="X529" s="42" t="s">
        <v>4274</v>
      </c>
      <c r="Y529" s="43" t="s">
        <v>4275</v>
      </c>
      <c r="Z529" s="211" t="s">
        <v>4276</v>
      </c>
      <c r="AA529" s="45">
        <v>44944</v>
      </c>
      <c r="AB529" s="101" t="s">
        <v>30</v>
      </c>
      <c r="AC529" s="36"/>
      <c r="AD529" s="61" t="s">
        <v>49</v>
      </c>
      <c r="AE529" s="48" t="s">
        <v>41</v>
      </c>
      <c r="AF529" s="48" t="s">
        <v>41</v>
      </c>
      <c r="AG529" s="48" t="s">
        <v>49</v>
      </c>
      <c r="AH529" s="48" t="s">
        <v>49</v>
      </c>
      <c r="AI529" s="48" t="s">
        <v>49</v>
      </c>
      <c r="AJ529" s="49" t="s">
        <v>49</v>
      </c>
      <c r="AK529" s="48" t="s">
        <v>49</v>
      </c>
      <c r="AL529" s="62" t="s">
        <v>32</v>
      </c>
      <c r="AM529" s="62"/>
      <c r="AN529" s="59"/>
      <c r="AO529" s="10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1"/>
    </row>
    <row r="530" spans="1:52" x14ac:dyDescent="0.2">
      <c r="A530" s="33">
        <f t="shared" si="9"/>
        <v>525</v>
      </c>
      <c r="B530" s="34" t="s">
        <v>4277</v>
      </c>
      <c r="C530" s="35" t="s">
        <v>4278</v>
      </c>
      <c r="D530" s="36" t="s">
        <v>4279</v>
      </c>
      <c r="E530" s="36" t="s">
        <v>54</v>
      </c>
      <c r="F530" s="34" t="s">
        <v>4280</v>
      </c>
      <c r="G530" s="37" t="s">
        <v>73</v>
      </c>
      <c r="H530" s="37" t="s">
        <v>73</v>
      </c>
      <c r="I530" s="34" t="s">
        <v>2633</v>
      </c>
      <c r="J530" s="34" t="s">
        <v>2633</v>
      </c>
      <c r="K530" s="39" t="s">
        <v>42</v>
      </c>
      <c r="L530" s="120">
        <v>44837</v>
      </c>
      <c r="M530" s="56"/>
      <c r="N530" s="56"/>
      <c r="O530" s="56"/>
      <c r="P530" s="56"/>
      <c r="Q530" s="56"/>
      <c r="R530" s="56"/>
      <c r="S530" s="56" t="s">
        <v>44</v>
      </c>
      <c r="T530" s="56"/>
      <c r="U530" s="56"/>
      <c r="V530" s="56"/>
      <c r="W530" s="56"/>
      <c r="X530" s="42" t="s">
        <v>4281</v>
      </c>
      <c r="Y530" s="43" t="s">
        <v>4282</v>
      </c>
      <c r="Z530" s="84" t="s">
        <v>4283</v>
      </c>
      <c r="AA530" s="45">
        <v>44650</v>
      </c>
      <c r="AB530" s="101" t="s">
        <v>30</v>
      </c>
      <c r="AC530" s="36"/>
      <c r="AD530" s="64" t="s">
        <v>120</v>
      </c>
      <c r="AE530" s="48" t="s">
        <v>41</v>
      </c>
      <c r="AF530" s="48" t="s">
        <v>120</v>
      </c>
      <c r="AG530" s="48" t="s">
        <v>120</v>
      </c>
      <c r="AH530" s="48" t="s">
        <v>120</v>
      </c>
      <c r="AI530" s="48" t="s">
        <v>120</v>
      </c>
      <c r="AJ530" s="49" t="s">
        <v>41</v>
      </c>
      <c r="AK530" s="48" t="s">
        <v>41</v>
      </c>
      <c r="AL530" s="62" t="s">
        <v>276</v>
      </c>
      <c r="AM530" s="62"/>
      <c r="AN530" s="59"/>
      <c r="AO530" s="10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1"/>
    </row>
    <row r="531" spans="1:52" x14ac:dyDescent="0.2">
      <c r="A531" s="33">
        <f t="shared" si="9"/>
        <v>526</v>
      </c>
      <c r="B531" s="72" t="s">
        <v>4284</v>
      </c>
      <c r="C531" s="35" t="s">
        <v>4285</v>
      </c>
      <c r="D531" s="73" t="s">
        <v>4286</v>
      </c>
      <c r="E531" s="36" t="s">
        <v>36</v>
      </c>
      <c r="F531" s="74" t="s">
        <v>4287</v>
      </c>
      <c r="G531" s="75" t="s">
        <v>73</v>
      </c>
      <c r="H531" s="75" t="s">
        <v>73</v>
      </c>
      <c r="I531" s="72" t="s">
        <v>4288</v>
      </c>
      <c r="J531" s="72" t="s">
        <v>4289</v>
      </c>
      <c r="K531" s="77" t="s">
        <v>42</v>
      </c>
      <c r="L531" s="242">
        <v>40195</v>
      </c>
      <c r="M531" s="243"/>
      <c r="N531" s="243"/>
      <c r="O531" s="243"/>
      <c r="P531" s="243"/>
      <c r="Q531" s="243"/>
      <c r="R531" s="243"/>
      <c r="S531" s="243"/>
      <c r="T531" s="243"/>
      <c r="U531" s="243"/>
      <c r="V531" s="243"/>
      <c r="W531" s="243"/>
      <c r="X531" s="42" t="s">
        <v>4290</v>
      </c>
      <c r="Y531" s="58" t="s">
        <v>4291</v>
      </c>
      <c r="Z531" s="44" t="s">
        <v>4292</v>
      </c>
      <c r="AA531" s="45">
        <v>41793</v>
      </c>
      <c r="AB531" s="244" t="s">
        <v>129</v>
      </c>
      <c r="AC531" s="73" t="s">
        <v>26</v>
      </c>
      <c r="AD531" s="81" t="s">
        <v>49</v>
      </c>
      <c r="AE531" s="48" t="s">
        <v>49</v>
      </c>
      <c r="AF531" s="48" t="s">
        <v>49</v>
      </c>
      <c r="AG531" s="48" t="s">
        <v>41</v>
      </c>
      <c r="AH531" s="48" t="s">
        <v>41</v>
      </c>
      <c r="AI531" s="48" t="s">
        <v>41</v>
      </c>
      <c r="AJ531" s="49" t="s">
        <v>41</v>
      </c>
      <c r="AK531" s="48" t="s">
        <v>41</v>
      </c>
      <c r="AL531" s="62" t="s">
        <v>110</v>
      </c>
      <c r="AM531" s="62"/>
      <c r="AN531" s="59"/>
      <c r="AO531" s="117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1"/>
    </row>
    <row r="532" spans="1:52" x14ac:dyDescent="0.2">
      <c r="A532" s="33">
        <f t="shared" si="9"/>
        <v>527</v>
      </c>
      <c r="B532" s="72" t="s">
        <v>4293</v>
      </c>
      <c r="C532" s="35" t="s">
        <v>4294</v>
      </c>
      <c r="D532" s="73" t="s">
        <v>4295</v>
      </c>
      <c r="E532" s="36" t="s">
        <v>36</v>
      </c>
      <c r="F532" s="74" t="s">
        <v>4296</v>
      </c>
      <c r="G532" s="75" t="s">
        <v>73</v>
      </c>
      <c r="H532" s="75" t="s">
        <v>73</v>
      </c>
      <c r="I532" s="245" t="s">
        <v>4297</v>
      </c>
      <c r="J532" s="72"/>
      <c r="K532" s="77" t="s">
        <v>42</v>
      </c>
      <c r="L532" s="242">
        <v>45198</v>
      </c>
      <c r="M532" s="243"/>
      <c r="N532" s="243"/>
      <c r="O532" s="243"/>
      <c r="P532" s="243"/>
      <c r="Q532" s="243"/>
      <c r="R532" s="243"/>
      <c r="S532" s="243"/>
      <c r="T532" s="243" t="s">
        <v>44</v>
      </c>
      <c r="U532" s="243"/>
      <c r="V532" s="243"/>
      <c r="W532" s="243"/>
      <c r="X532" s="229" t="s">
        <v>4298</v>
      </c>
      <c r="Y532" s="58" t="s">
        <v>4299</v>
      </c>
      <c r="Z532" s="58"/>
      <c r="AA532" s="58" t="s">
        <v>47</v>
      </c>
      <c r="AB532" s="244"/>
      <c r="AC532" s="73"/>
      <c r="AD532" s="81" t="s">
        <v>49</v>
      </c>
      <c r="AE532" s="48" t="s">
        <v>41</v>
      </c>
      <c r="AF532" s="48" t="s">
        <v>41</v>
      </c>
      <c r="AG532" s="48" t="s">
        <v>41</v>
      </c>
      <c r="AH532" s="48" t="s">
        <v>49</v>
      </c>
      <c r="AI532" s="48" t="s">
        <v>49</v>
      </c>
      <c r="AJ532" s="49" t="s">
        <v>49</v>
      </c>
      <c r="AK532" s="48" t="s">
        <v>49</v>
      </c>
      <c r="AL532" s="62" t="s">
        <v>32</v>
      </c>
      <c r="AM532" s="62"/>
      <c r="AN532" s="59"/>
      <c r="AO532" s="10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1"/>
    </row>
    <row r="533" spans="1:52" x14ac:dyDescent="0.2">
      <c r="A533" s="33">
        <f t="shared" si="9"/>
        <v>528</v>
      </c>
      <c r="B533" s="72" t="s">
        <v>4300</v>
      </c>
      <c r="C533" s="35" t="s">
        <v>4301</v>
      </c>
      <c r="D533" s="73" t="s">
        <v>4302</v>
      </c>
      <c r="E533" s="36" t="s">
        <v>36</v>
      </c>
      <c r="F533" s="74" t="s">
        <v>4303</v>
      </c>
      <c r="G533" s="75" t="s">
        <v>176</v>
      </c>
      <c r="H533" s="75" t="s">
        <v>39</v>
      </c>
      <c r="I533" s="72" t="s">
        <v>4304</v>
      </c>
      <c r="J533" s="72" t="s">
        <v>41</v>
      </c>
      <c r="K533" s="77" t="s">
        <v>42</v>
      </c>
      <c r="L533" s="242">
        <v>45171</v>
      </c>
      <c r="M533" s="243" t="s">
        <v>179</v>
      </c>
      <c r="N533" s="243" t="s">
        <v>179</v>
      </c>
      <c r="O533" s="243"/>
      <c r="P533" s="243">
        <v>3</v>
      </c>
      <c r="Q533" s="243"/>
      <c r="R533" s="243"/>
      <c r="S533" s="243"/>
      <c r="T533" s="243" t="s">
        <v>44</v>
      </c>
      <c r="U533" s="243"/>
      <c r="V533" s="243"/>
      <c r="W533" s="243"/>
      <c r="X533" s="42" t="s">
        <v>4305</v>
      </c>
      <c r="Y533" s="58" t="s">
        <v>4306</v>
      </c>
      <c r="Z533" s="58"/>
      <c r="AA533" s="58" t="s">
        <v>47</v>
      </c>
      <c r="AB533" s="244"/>
      <c r="AC533" s="73"/>
      <c r="AD533" s="81" t="s">
        <v>49</v>
      </c>
      <c r="AE533" s="48" t="s">
        <v>41</v>
      </c>
      <c r="AF533" s="48" t="s">
        <v>41</v>
      </c>
      <c r="AG533" s="48" t="s">
        <v>41</v>
      </c>
      <c r="AH533" s="48" t="s">
        <v>49</v>
      </c>
      <c r="AI533" s="48" t="s">
        <v>41</v>
      </c>
      <c r="AJ533" s="49" t="s">
        <v>41</v>
      </c>
      <c r="AK533" s="48" t="s">
        <v>41</v>
      </c>
      <c r="AL533" s="62" t="s">
        <v>4589</v>
      </c>
      <c r="AM533" s="62"/>
      <c r="AN533" s="59"/>
      <c r="AO533" s="117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1"/>
    </row>
    <row r="534" spans="1:52" x14ac:dyDescent="0.2">
      <c r="A534" s="33">
        <f t="shared" si="9"/>
        <v>529</v>
      </c>
      <c r="B534" s="34" t="s">
        <v>4307</v>
      </c>
      <c r="C534" s="35" t="s">
        <v>4308</v>
      </c>
      <c r="D534" s="36" t="s">
        <v>4309</v>
      </c>
      <c r="E534" s="36" t="s">
        <v>54</v>
      </c>
      <c r="F534" s="98" t="s">
        <v>4310</v>
      </c>
      <c r="G534" s="37" t="s">
        <v>39</v>
      </c>
      <c r="H534" s="37" t="s">
        <v>39</v>
      </c>
      <c r="I534" s="38" t="s">
        <v>4311</v>
      </c>
      <c r="J534" s="38" t="s">
        <v>4312</v>
      </c>
      <c r="K534" s="39" t="s">
        <v>42</v>
      </c>
      <c r="L534" s="120">
        <v>42552</v>
      </c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2" t="s">
        <v>4313</v>
      </c>
      <c r="Y534" s="52" t="s">
        <v>4314</v>
      </c>
      <c r="Z534" s="58"/>
      <c r="AA534" s="45">
        <v>42935</v>
      </c>
      <c r="AB534" s="101" t="s">
        <v>129</v>
      </c>
      <c r="AC534" s="36" t="s">
        <v>26</v>
      </c>
      <c r="AD534" s="47" t="s">
        <v>49</v>
      </c>
      <c r="AE534" s="48" t="s">
        <v>49</v>
      </c>
      <c r="AF534" s="48" t="s">
        <v>49</v>
      </c>
      <c r="AG534" s="48" t="s">
        <v>49</v>
      </c>
      <c r="AH534" s="48" t="s">
        <v>49</v>
      </c>
      <c r="AI534" s="48" t="s">
        <v>49</v>
      </c>
      <c r="AJ534" s="49" t="s">
        <v>49</v>
      </c>
      <c r="AK534" s="48" t="s">
        <v>49</v>
      </c>
      <c r="AL534" s="62" t="s">
        <v>32</v>
      </c>
      <c r="AM534" s="62"/>
      <c r="AN534" s="59"/>
      <c r="AO534" s="10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1"/>
    </row>
    <row r="535" spans="1:52" x14ac:dyDescent="0.2">
      <c r="A535" s="33">
        <f t="shared" si="9"/>
        <v>530</v>
      </c>
      <c r="B535" s="34" t="s">
        <v>4315</v>
      </c>
      <c r="C535" s="35" t="s">
        <v>4316</v>
      </c>
      <c r="D535" s="36" t="s">
        <v>4317</v>
      </c>
      <c r="E535" s="36" t="s">
        <v>36</v>
      </c>
      <c r="F535" s="98" t="s">
        <v>4318</v>
      </c>
      <c r="G535" s="37" t="s">
        <v>73</v>
      </c>
      <c r="H535" s="37" t="s">
        <v>73</v>
      </c>
      <c r="I535" s="38" t="s">
        <v>4319</v>
      </c>
      <c r="J535" s="38" t="s">
        <v>41</v>
      </c>
      <c r="K535" s="39" t="s">
        <v>42</v>
      </c>
      <c r="L535" s="120" t="s">
        <v>3950</v>
      </c>
      <c r="M535" s="41"/>
      <c r="N535" s="41"/>
      <c r="O535" s="41"/>
      <c r="P535" s="41"/>
      <c r="Q535" s="41"/>
      <c r="R535" s="41" t="s">
        <v>44</v>
      </c>
      <c r="S535" s="41"/>
      <c r="T535" s="41"/>
      <c r="U535" s="41"/>
      <c r="V535" s="41"/>
      <c r="W535" s="41"/>
      <c r="X535" s="42" t="s">
        <v>4320</v>
      </c>
      <c r="Y535" s="43" t="s">
        <v>4321</v>
      </c>
      <c r="Z535" s="84" t="s">
        <v>4322</v>
      </c>
      <c r="AA535" s="45">
        <v>44650</v>
      </c>
      <c r="AB535" s="101" t="s">
        <v>30</v>
      </c>
      <c r="AC535" s="36"/>
      <c r="AD535" s="64" t="s">
        <v>120</v>
      </c>
      <c r="AE535" s="48" t="s">
        <v>41</v>
      </c>
      <c r="AF535" s="48" t="s">
        <v>120</v>
      </c>
      <c r="AG535" s="48" t="s">
        <v>120</v>
      </c>
      <c r="AH535" s="48" t="s">
        <v>120</v>
      </c>
      <c r="AI535" s="48" t="s">
        <v>120</v>
      </c>
      <c r="AJ535" s="49" t="s">
        <v>120</v>
      </c>
      <c r="AK535" s="48" t="s">
        <v>120</v>
      </c>
      <c r="AL535" s="62" t="s">
        <v>32</v>
      </c>
      <c r="AM535" s="62"/>
      <c r="AN535" s="59"/>
      <c r="AO535" s="10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1"/>
    </row>
    <row r="536" spans="1:52" x14ac:dyDescent="0.2">
      <c r="A536" s="33">
        <f t="shared" si="9"/>
        <v>531</v>
      </c>
      <c r="B536" s="34" t="s">
        <v>4323</v>
      </c>
      <c r="C536" s="35" t="s">
        <v>4324</v>
      </c>
      <c r="D536" s="36" t="s">
        <v>4325</v>
      </c>
      <c r="E536" s="36" t="s">
        <v>54</v>
      </c>
      <c r="F536" s="34" t="s">
        <v>4326</v>
      </c>
      <c r="G536" s="37" t="s">
        <v>73</v>
      </c>
      <c r="H536" s="37" t="s">
        <v>73</v>
      </c>
      <c r="I536" s="34" t="s">
        <v>4327</v>
      </c>
      <c r="J536" s="34" t="s">
        <v>4328</v>
      </c>
      <c r="K536" s="39" t="s">
        <v>42</v>
      </c>
      <c r="L536" s="99" t="s">
        <v>4329</v>
      </c>
      <c r="M536" s="112"/>
      <c r="N536" s="112"/>
      <c r="O536" s="112"/>
      <c r="P536" s="112"/>
      <c r="Q536" s="112"/>
      <c r="R536" s="112"/>
      <c r="S536" s="112"/>
      <c r="T536" s="41"/>
      <c r="U536" s="41"/>
      <c r="V536" s="41"/>
      <c r="W536" s="41"/>
      <c r="X536" s="42" t="s">
        <v>4330</v>
      </c>
      <c r="Y536" s="43" t="s">
        <v>4331</v>
      </c>
      <c r="Z536" s="44" t="s">
        <v>4332</v>
      </c>
      <c r="AA536" s="45">
        <v>41793</v>
      </c>
      <c r="AB536" s="101" t="s">
        <v>30</v>
      </c>
      <c r="AC536" s="36" t="s">
        <v>26</v>
      </c>
      <c r="AD536" s="61" t="s">
        <v>49</v>
      </c>
      <c r="AE536" s="48" t="s">
        <v>49</v>
      </c>
      <c r="AF536" s="48" t="s">
        <v>49</v>
      </c>
      <c r="AG536" s="48" t="s">
        <v>49</v>
      </c>
      <c r="AH536" s="48" t="s">
        <v>49</v>
      </c>
      <c r="AI536" s="48" t="s">
        <v>49</v>
      </c>
      <c r="AJ536" s="49" t="s">
        <v>49</v>
      </c>
      <c r="AK536" s="48" t="s">
        <v>49</v>
      </c>
      <c r="AL536" s="62" t="s">
        <v>32</v>
      </c>
      <c r="AM536" s="62"/>
      <c r="AN536" s="59"/>
      <c r="AO536" s="10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1"/>
    </row>
    <row r="537" spans="1:52" x14ac:dyDescent="0.2">
      <c r="A537" s="33">
        <f t="shared" si="9"/>
        <v>532</v>
      </c>
      <c r="B537" s="122" t="s">
        <v>4333</v>
      </c>
      <c r="C537" s="123" t="s">
        <v>4334</v>
      </c>
      <c r="D537" s="202" t="s">
        <v>4335</v>
      </c>
      <c r="E537" s="36" t="s">
        <v>36</v>
      </c>
      <c r="F537" s="122" t="s">
        <v>4336</v>
      </c>
      <c r="G537" s="126" t="s">
        <v>39</v>
      </c>
      <c r="H537" s="126" t="s">
        <v>39</v>
      </c>
      <c r="I537" s="127" t="s">
        <v>4337</v>
      </c>
      <c r="J537" s="122" t="s">
        <v>41</v>
      </c>
      <c r="K537" s="128" t="s">
        <v>42</v>
      </c>
      <c r="L537" s="163" t="s">
        <v>1869</v>
      </c>
      <c r="M537" s="130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42" t="s">
        <v>4338</v>
      </c>
      <c r="Y537" s="52" t="s">
        <v>4339</v>
      </c>
      <c r="Z537" s="44" t="s">
        <v>61</v>
      </c>
      <c r="AA537" s="131">
        <v>37208</v>
      </c>
      <c r="AB537" s="164"/>
      <c r="AC537" s="36" t="s">
        <v>26</v>
      </c>
      <c r="AD537" s="133" t="s">
        <v>49</v>
      </c>
      <c r="AE537" s="48" t="s">
        <v>49</v>
      </c>
      <c r="AF537" s="48" t="s">
        <v>41</v>
      </c>
      <c r="AG537" s="48" t="s">
        <v>41</v>
      </c>
      <c r="AH537" s="48" t="s">
        <v>41</v>
      </c>
      <c r="AI537" s="48" t="s">
        <v>41</v>
      </c>
      <c r="AJ537" s="49" t="s">
        <v>41</v>
      </c>
      <c r="AK537" s="48" t="s">
        <v>41</v>
      </c>
      <c r="AL537" s="62" t="s">
        <v>4587</v>
      </c>
      <c r="AM537" s="232"/>
      <c r="AN537" s="134" t="s">
        <v>460</v>
      </c>
      <c r="AO537" s="10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1"/>
    </row>
    <row r="538" spans="1:52" x14ac:dyDescent="0.2">
      <c r="A538" s="33">
        <f t="shared" si="9"/>
        <v>533</v>
      </c>
      <c r="B538" s="122" t="s">
        <v>4340</v>
      </c>
      <c r="C538" s="123" t="s">
        <v>4341</v>
      </c>
      <c r="D538" s="202" t="s">
        <v>4342</v>
      </c>
      <c r="E538" s="36" t="s">
        <v>54</v>
      </c>
      <c r="F538" s="122" t="s">
        <v>4343</v>
      </c>
      <c r="G538" s="126" t="s">
        <v>39</v>
      </c>
      <c r="H538" s="126" t="s">
        <v>39</v>
      </c>
      <c r="I538" s="122" t="s">
        <v>4344</v>
      </c>
      <c r="J538" s="122" t="s">
        <v>4345</v>
      </c>
      <c r="K538" s="128" t="s">
        <v>42</v>
      </c>
      <c r="L538" s="165">
        <v>42343</v>
      </c>
      <c r="M538" s="130"/>
      <c r="N538" s="246"/>
      <c r="O538" s="115"/>
      <c r="P538" s="246"/>
      <c r="Q538" s="115"/>
      <c r="R538" s="115"/>
      <c r="S538" s="115"/>
      <c r="T538" s="56"/>
      <c r="U538" s="56"/>
      <c r="V538" s="56"/>
      <c r="W538" s="56"/>
      <c r="X538" s="42" t="s">
        <v>4346</v>
      </c>
      <c r="Y538" s="52" t="s">
        <v>4347</v>
      </c>
      <c r="Z538" s="44" t="s">
        <v>4348</v>
      </c>
      <c r="AA538" s="45" t="s">
        <v>1130</v>
      </c>
      <c r="AB538" s="164" t="s">
        <v>30</v>
      </c>
      <c r="AC538" s="36" t="s">
        <v>26</v>
      </c>
      <c r="AD538" s="133" t="s">
        <v>49</v>
      </c>
      <c r="AE538" s="48" t="s">
        <v>49</v>
      </c>
      <c r="AF538" s="48" t="s">
        <v>49</v>
      </c>
      <c r="AG538" s="48" t="s">
        <v>49</v>
      </c>
      <c r="AH538" s="48" t="s">
        <v>49</v>
      </c>
      <c r="AI538" s="48" t="s">
        <v>49</v>
      </c>
      <c r="AJ538" s="49" t="s">
        <v>49</v>
      </c>
      <c r="AK538" s="48" t="s">
        <v>49</v>
      </c>
      <c r="AL538" s="62" t="s">
        <v>32</v>
      </c>
      <c r="AM538" s="232"/>
      <c r="AN538" s="134"/>
      <c r="AO538" s="102"/>
      <c r="AP538" s="3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1"/>
    </row>
    <row r="539" spans="1:52" x14ac:dyDescent="0.2">
      <c r="A539" s="33">
        <f t="shared" si="9"/>
        <v>534</v>
      </c>
      <c r="B539" s="34" t="s">
        <v>4349</v>
      </c>
      <c r="C539" s="35" t="s">
        <v>4350</v>
      </c>
      <c r="D539" s="36" t="s">
        <v>4351</v>
      </c>
      <c r="E539" s="36" t="s">
        <v>54</v>
      </c>
      <c r="F539" s="34" t="s">
        <v>4352</v>
      </c>
      <c r="G539" s="37" t="s">
        <v>73</v>
      </c>
      <c r="H539" s="37" t="s">
        <v>73</v>
      </c>
      <c r="I539" s="34" t="s">
        <v>4353</v>
      </c>
      <c r="J539" s="34" t="s">
        <v>41</v>
      </c>
      <c r="K539" s="39" t="s">
        <v>42</v>
      </c>
      <c r="L539" s="165">
        <v>42555</v>
      </c>
      <c r="M539" s="188"/>
      <c r="N539" s="188"/>
      <c r="O539" s="188"/>
      <c r="P539" s="188"/>
      <c r="Q539" s="188"/>
      <c r="R539" s="188"/>
      <c r="S539" s="188"/>
      <c r="T539" s="188"/>
      <c r="U539" s="188"/>
      <c r="V539" s="188"/>
      <c r="W539" s="188"/>
      <c r="X539" s="42" t="s">
        <v>4354</v>
      </c>
      <c r="Y539" s="58" t="s">
        <v>4355</v>
      </c>
      <c r="Z539" s="44" t="s">
        <v>4356</v>
      </c>
      <c r="AA539" s="45">
        <v>42935</v>
      </c>
      <c r="AB539" s="164" t="s">
        <v>30</v>
      </c>
      <c r="AC539" s="36" t="s">
        <v>26</v>
      </c>
      <c r="AD539" s="47" t="s">
        <v>49</v>
      </c>
      <c r="AE539" s="48" t="s">
        <v>49</v>
      </c>
      <c r="AF539" s="48" t="s">
        <v>49</v>
      </c>
      <c r="AG539" s="48" t="s">
        <v>49</v>
      </c>
      <c r="AH539" s="48" t="s">
        <v>49</v>
      </c>
      <c r="AI539" s="48" t="s">
        <v>49</v>
      </c>
      <c r="AJ539" s="49" t="s">
        <v>49</v>
      </c>
      <c r="AK539" s="48" t="s">
        <v>49</v>
      </c>
      <c r="AL539" s="65" t="s">
        <v>32</v>
      </c>
      <c r="AM539" s="65"/>
      <c r="AN539" s="59"/>
      <c r="AO539" s="117"/>
      <c r="AP539" s="3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1"/>
    </row>
    <row r="540" spans="1:52" x14ac:dyDescent="0.2">
      <c r="A540" s="33">
        <f t="shared" si="9"/>
        <v>535</v>
      </c>
      <c r="B540" s="34" t="s">
        <v>4357</v>
      </c>
      <c r="C540" s="35" t="s">
        <v>4358</v>
      </c>
      <c r="D540" s="36" t="s">
        <v>4359</v>
      </c>
      <c r="E540" s="36" t="s">
        <v>54</v>
      </c>
      <c r="F540" s="34" t="s">
        <v>4360</v>
      </c>
      <c r="G540" s="37" t="s">
        <v>528</v>
      </c>
      <c r="H540" s="37" t="s">
        <v>57</v>
      </c>
      <c r="I540" s="34" t="s">
        <v>4361</v>
      </c>
      <c r="J540" s="34" t="s">
        <v>41</v>
      </c>
      <c r="K540" s="39" t="s">
        <v>42</v>
      </c>
      <c r="L540" s="165">
        <v>37174</v>
      </c>
      <c r="M540" s="188"/>
      <c r="N540" s="188"/>
      <c r="O540" s="188"/>
      <c r="P540" s="188"/>
      <c r="Q540" s="188"/>
      <c r="R540" s="188"/>
      <c r="S540" s="188"/>
      <c r="T540" s="188"/>
      <c r="U540" s="188"/>
      <c r="V540" s="188" t="s">
        <v>732</v>
      </c>
      <c r="W540" s="188"/>
      <c r="X540" s="42" t="s">
        <v>4362</v>
      </c>
      <c r="Y540" s="69" t="s">
        <v>4363</v>
      </c>
      <c r="Z540" s="44" t="s">
        <v>61</v>
      </c>
      <c r="AA540" s="45">
        <v>37208</v>
      </c>
      <c r="AB540" s="164" t="s">
        <v>30</v>
      </c>
      <c r="AC540" s="36" t="s">
        <v>26</v>
      </c>
      <c r="AD540" s="47" t="s">
        <v>49</v>
      </c>
      <c r="AE540" s="48" t="s">
        <v>49</v>
      </c>
      <c r="AF540" s="48" t="s">
        <v>49</v>
      </c>
      <c r="AG540" s="48" t="s">
        <v>49</v>
      </c>
      <c r="AH540" s="48" t="s">
        <v>49</v>
      </c>
      <c r="AI540" s="48" t="s">
        <v>49</v>
      </c>
      <c r="AJ540" s="49" t="s">
        <v>49</v>
      </c>
      <c r="AK540" s="48" t="s">
        <v>41</v>
      </c>
      <c r="AL540" s="62" t="s">
        <v>148</v>
      </c>
      <c r="AM540" s="62"/>
      <c r="AN540" s="59"/>
      <c r="AO540" s="10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1"/>
    </row>
    <row r="541" spans="1:52" x14ac:dyDescent="0.2">
      <c r="A541" s="33">
        <f t="shared" si="9"/>
        <v>536</v>
      </c>
      <c r="B541" s="34" t="s">
        <v>4364</v>
      </c>
      <c r="C541" s="35" t="s">
        <v>4365</v>
      </c>
      <c r="D541" s="36" t="s">
        <v>4366</v>
      </c>
      <c r="E541" s="36" t="s">
        <v>54</v>
      </c>
      <c r="F541" s="34" t="s">
        <v>4367</v>
      </c>
      <c r="G541" s="37" t="s">
        <v>1354</v>
      </c>
      <c r="H541" s="37" t="s">
        <v>57</v>
      </c>
      <c r="I541" s="34" t="s">
        <v>4368</v>
      </c>
      <c r="J541" s="34" t="s">
        <v>41</v>
      </c>
      <c r="K541" s="39" t="s">
        <v>42</v>
      </c>
      <c r="L541" s="99" t="s">
        <v>3857</v>
      </c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42" t="s">
        <v>4369</v>
      </c>
      <c r="Y541" s="52" t="s">
        <v>4370</v>
      </c>
      <c r="Z541" s="44" t="s">
        <v>4371</v>
      </c>
      <c r="AA541" s="45">
        <v>41793</v>
      </c>
      <c r="AB541" s="101" t="s">
        <v>30</v>
      </c>
      <c r="AC541" s="36" t="s">
        <v>26</v>
      </c>
      <c r="AD541" s="47" t="s">
        <v>49</v>
      </c>
      <c r="AE541" s="48" t="s">
        <v>49</v>
      </c>
      <c r="AF541" s="48" t="s">
        <v>49</v>
      </c>
      <c r="AG541" s="48" t="s">
        <v>49</v>
      </c>
      <c r="AH541" s="48" t="s">
        <v>49</v>
      </c>
      <c r="AI541" s="48" t="s">
        <v>49</v>
      </c>
      <c r="AJ541" s="49" t="s">
        <v>49</v>
      </c>
      <c r="AK541" s="48" t="s">
        <v>49</v>
      </c>
      <c r="AL541" s="62" t="s">
        <v>32</v>
      </c>
      <c r="AM541" s="232"/>
      <c r="AN541" s="134"/>
      <c r="AO541" s="10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1"/>
    </row>
    <row r="542" spans="1:52" x14ac:dyDescent="0.2">
      <c r="A542" s="33">
        <f t="shared" si="9"/>
        <v>537</v>
      </c>
      <c r="B542" s="34" t="s">
        <v>4372</v>
      </c>
      <c r="C542" s="35" t="s">
        <v>4373</v>
      </c>
      <c r="D542" s="73" t="s">
        <v>4374</v>
      </c>
      <c r="E542" s="36" t="s">
        <v>54</v>
      </c>
      <c r="F542" s="98" t="s">
        <v>4375</v>
      </c>
      <c r="G542" s="37" t="s">
        <v>73</v>
      </c>
      <c r="H542" s="37" t="s">
        <v>73</v>
      </c>
      <c r="I542" s="38" t="s">
        <v>4376</v>
      </c>
      <c r="J542" s="34" t="s">
        <v>41</v>
      </c>
      <c r="K542" s="39" t="s">
        <v>42</v>
      </c>
      <c r="L542" s="120">
        <v>42440</v>
      </c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42" t="s">
        <v>4377</v>
      </c>
      <c r="Y542" s="69" t="s">
        <v>4378</v>
      </c>
      <c r="Z542" s="44" t="s">
        <v>4379</v>
      </c>
      <c r="AA542" s="45">
        <v>42935</v>
      </c>
      <c r="AB542" s="101" t="s">
        <v>30</v>
      </c>
      <c r="AC542" s="73" t="s">
        <v>26</v>
      </c>
      <c r="AD542" s="47" t="s">
        <v>49</v>
      </c>
      <c r="AE542" s="48" t="s">
        <v>49</v>
      </c>
      <c r="AF542" s="48" t="s">
        <v>49</v>
      </c>
      <c r="AG542" s="48" t="s">
        <v>49</v>
      </c>
      <c r="AH542" s="48" t="s">
        <v>41</v>
      </c>
      <c r="AI542" s="48" t="s">
        <v>41</v>
      </c>
      <c r="AJ542" s="49" t="s">
        <v>41</v>
      </c>
      <c r="AK542" s="48" t="s">
        <v>41</v>
      </c>
      <c r="AL542" s="62" t="s">
        <v>139</v>
      </c>
      <c r="AM542" s="62"/>
      <c r="AN542" s="59"/>
      <c r="AO542" s="10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1"/>
    </row>
    <row r="543" spans="1:52" x14ac:dyDescent="0.2">
      <c r="A543" s="33">
        <f t="shared" si="9"/>
        <v>538</v>
      </c>
      <c r="B543" s="34" t="s">
        <v>4380</v>
      </c>
      <c r="C543" s="35" t="s">
        <v>4381</v>
      </c>
      <c r="D543" s="73" t="s">
        <v>4382</v>
      </c>
      <c r="E543" s="36" t="s">
        <v>54</v>
      </c>
      <c r="F543" s="98" t="s">
        <v>4383</v>
      </c>
      <c r="G543" s="37" t="s">
        <v>73</v>
      </c>
      <c r="H543" s="37" t="s">
        <v>73</v>
      </c>
      <c r="I543" s="38" t="s">
        <v>4384</v>
      </c>
      <c r="J543" s="34" t="s">
        <v>41</v>
      </c>
      <c r="K543" s="39" t="s">
        <v>42</v>
      </c>
      <c r="L543" s="120">
        <v>43771</v>
      </c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42" t="s">
        <v>4385</v>
      </c>
      <c r="Y543" s="52" t="s">
        <v>4386</v>
      </c>
      <c r="Z543" s="44" t="s">
        <v>4387</v>
      </c>
      <c r="AA543" s="45">
        <v>44041</v>
      </c>
      <c r="AB543" s="101" t="s">
        <v>30</v>
      </c>
      <c r="AC543" s="73" t="s">
        <v>26</v>
      </c>
      <c r="AD543" s="47" t="s">
        <v>49</v>
      </c>
      <c r="AE543" s="48" t="s">
        <v>49</v>
      </c>
      <c r="AF543" s="48" t="s">
        <v>49</v>
      </c>
      <c r="AG543" s="48" t="s">
        <v>49</v>
      </c>
      <c r="AH543" s="48" t="s">
        <v>49</v>
      </c>
      <c r="AI543" s="48" t="s">
        <v>41</v>
      </c>
      <c r="AJ543" s="49" t="s">
        <v>41</v>
      </c>
      <c r="AK543" s="48" t="s">
        <v>41</v>
      </c>
      <c r="AL543" s="62" t="s">
        <v>4589</v>
      </c>
      <c r="AM543" s="62"/>
      <c r="AN543" s="59"/>
      <c r="AO543" s="10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1"/>
    </row>
    <row r="544" spans="1:52" x14ac:dyDescent="0.2">
      <c r="A544" s="33">
        <f t="shared" si="9"/>
        <v>539</v>
      </c>
      <c r="B544" s="34" t="s">
        <v>4388</v>
      </c>
      <c r="C544" s="35" t="s">
        <v>4389</v>
      </c>
      <c r="D544" s="36" t="s">
        <v>4390</v>
      </c>
      <c r="E544" s="36" t="s">
        <v>54</v>
      </c>
      <c r="F544" s="34" t="s">
        <v>4391</v>
      </c>
      <c r="G544" s="37" t="s">
        <v>4658</v>
      </c>
      <c r="H544" s="37" t="s">
        <v>350</v>
      </c>
      <c r="I544" s="34" t="s">
        <v>4392</v>
      </c>
      <c r="J544" s="34" t="s">
        <v>41</v>
      </c>
      <c r="K544" s="39" t="s">
        <v>42</v>
      </c>
      <c r="L544" s="120">
        <v>37264</v>
      </c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2" t="s">
        <v>4393</v>
      </c>
      <c r="Y544" s="69" t="s">
        <v>4394</v>
      </c>
      <c r="Z544" s="44" t="s">
        <v>61</v>
      </c>
      <c r="AA544" s="45" t="s">
        <v>4395</v>
      </c>
      <c r="AB544" s="101" t="s">
        <v>30</v>
      </c>
      <c r="AC544" s="36" t="s">
        <v>26</v>
      </c>
      <c r="AD544" s="47" t="s">
        <v>49</v>
      </c>
      <c r="AE544" s="48" t="s">
        <v>49</v>
      </c>
      <c r="AF544" s="48" t="s">
        <v>49</v>
      </c>
      <c r="AG544" s="48" t="s">
        <v>49</v>
      </c>
      <c r="AH544" s="48" t="s">
        <v>49</v>
      </c>
      <c r="AI544" s="48" t="s">
        <v>49</v>
      </c>
      <c r="AJ544" s="49" t="s">
        <v>49</v>
      </c>
      <c r="AK544" s="48" t="s">
        <v>49</v>
      </c>
      <c r="AL544" s="65" t="s">
        <v>32</v>
      </c>
      <c r="AM544" s="65"/>
      <c r="AN544" s="59"/>
      <c r="AO544" s="10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1"/>
    </row>
    <row r="545" spans="1:52" x14ac:dyDescent="0.2">
      <c r="A545" s="33">
        <f t="shared" si="9"/>
        <v>540</v>
      </c>
      <c r="B545" s="34" t="s">
        <v>4396</v>
      </c>
      <c r="C545" s="35" t="s">
        <v>4397</v>
      </c>
      <c r="D545" s="36" t="s">
        <v>4398</v>
      </c>
      <c r="E545" s="36" t="s">
        <v>36</v>
      </c>
      <c r="F545" s="34" t="s">
        <v>4399</v>
      </c>
      <c r="G545" s="37" t="s">
        <v>73</v>
      </c>
      <c r="H545" s="37" t="s">
        <v>73</v>
      </c>
      <c r="I545" s="34" t="s">
        <v>4400</v>
      </c>
      <c r="J545" s="34" t="s">
        <v>4400</v>
      </c>
      <c r="K545" s="39" t="s">
        <v>42</v>
      </c>
      <c r="L545" s="120">
        <v>30353</v>
      </c>
      <c r="M545" s="56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42" t="s">
        <v>4401</v>
      </c>
      <c r="Y545" s="58" t="s">
        <v>4402</v>
      </c>
      <c r="Z545" s="44" t="s">
        <v>4403</v>
      </c>
      <c r="AA545" s="131" t="s">
        <v>1130</v>
      </c>
      <c r="AB545" s="101" t="s">
        <v>30</v>
      </c>
      <c r="AC545" s="36" t="s">
        <v>26</v>
      </c>
      <c r="AD545" s="64" t="s">
        <v>120</v>
      </c>
      <c r="AE545" s="48" t="s">
        <v>120</v>
      </c>
      <c r="AF545" s="48" t="s">
        <v>120</v>
      </c>
      <c r="AG545" s="48" t="s">
        <v>120</v>
      </c>
      <c r="AH545" s="48" t="s">
        <v>120</v>
      </c>
      <c r="AI545" s="48" t="s">
        <v>120</v>
      </c>
      <c r="AJ545" s="49" t="s">
        <v>120</v>
      </c>
      <c r="AK545" s="48" t="s">
        <v>120</v>
      </c>
      <c r="AL545" s="62" t="s">
        <v>32</v>
      </c>
      <c r="AM545" s="62"/>
      <c r="AN545" s="103"/>
      <c r="AO545" s="10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1"/>
    </row>
    <row r="546" spans="1:52" x14ac:dyDescent="0.2">
      <c r="A546" s="33">
        <f t="shared" si="9"/>
        <v>541</v>
      </c>
      <c r="B546" s="34" t="s">
        <v>4404</v>
      </c>
      <c r="C546" s="35" t="s">
        <v>4405</v>
      </c>
      <c r="D546" s="36" t="s">
        <v>4406</v>
      </c>
      <c r="E546" s="36" t="s">
        <v>54</v>
      </c>
      <c r="F546" s="34" t="s">
        <v>4407</v>
      </c>
      <c r="G546" s="37" t="s">
        <v>681</v>
      </c>
      <c r="H546" s="37" t="s">
        <v>378</v>
      </c>
      <c r="I546" s="38" t="s">
        <v>4408</v>
      </c>
      <c r="J546" s="38" t="s">
        <v>4409</v>
      </c>
      <c r="K546" s="39" t="s">
        <v>42</v>
      </c>
      <c r="L546" s="99" t="s">
        <v>4410</v>
      </c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42" t="s">
        <v>4411</v>
      </c>
      <c r="Y546" s="58" t="s">
        <v>4412</v>
      </c>
      <c r="Z546" s="44" t="s">
        <v>4413</v>
      </c>
      <c r="AA546" s="45">
        <v>45003</v>
      </c>
      <c r="AB546" s="101" t="s">
        <v>30</v>
      </c>
      <c r="AC546" s="36" t="s">
        <v>26</v>
      </c>
      <c r="AD546" s="47" t="s">
        <v>49</v>
      </c>
      <c r="AE546" s="48" t="s">
        <v>49</v>
      </c>
      <c r="AF546" s="48" t="s">
        <v>49</v>
      </c>
      <c r="AG546" s="48" t="s">
        <v>49</v>
      </c>
      <c r="AH546" s="48" t="s">
        <v>49</v>
      </c>
      <c r="AI546" s="48" t="s">
        <v>49</v>
      </c>
      <c r="AJ546" s="49" t="s">
        <v>49</v>
      </c>
      <c r="AK546" s="48" t="s">
        <v>49</v>
      </c>
      <c r="AL546" s="62" t="s">
        <v>32</v>
      </c>
      <c r="AM546" s="62"/>
      <c r="AN546" s="59"/>
      <c r="AO546" s="10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1"/>
    </row>
    <row r="547" spans="1:52" x14ac:dyDescent="0.2">
      <c r="A547" s="33">
        <f t="shared" si="9"/>
        <v>542</v>
      </c>
      <c r="B547" s="34" t="s">
        <v>4414</v>
      </c>
      <c r="C547" s="35" t="s">
        <v>4415</v>
      </c>
      <c r="D547" s="36" t="s">
        <v>4416</v>
      </c>
      <c r="E547" s="36" t="s">
        <v>36</v>
      </c>
      <c r="F547" s="34" t="s">
        <v>4417</v>
      </c>
      <c r="G547" s="37" t="s">
        <v>73</v>
      </c>
      <c r="H547" s="37" t="s">
        <v>73</v>
      </c>
      <c r="I547" s="34" t="s">
        <v>4418</v>
      </c>
      <c r="J547" s="34" t="s">
        <v>1996</v>
      </c>
      <c r="K547" s="39" t="s">
        <v>42</v>
      </c>
      <c r="L547" s="120">
        <v>30353</v>
      </c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42" t="s">
        <v>4419</v>
      </c>
      <c r="Y547" s="52" t="s">
        <v>4420</v>
      </c>
      <c r="Z547" s="44" t="s">
        <v>4421</v>
      </c>
      <c r="AA547" s="45">
        <v>44041</v>
      </c>
      <c r="AB547" s="101" t="s">
        <v>30</v>
      </c>
      <c r="AC547" s="36" t="s">
        <v>26</v>
      </c>
      <c r="AD547" s="66" t="s">
        <v>130</v>
      </c>
      <c r="AE547" s="48" t="s">
        <v>130</v>
      </c>
      <c r="AF547" s="48" t="s">
        <v>130</v>
      </c>
      <c r="AG547" s="48" t="s">
        <v>130</v>
      </c>
      <c r="AH547" s="48" t="s">
        <v>130</v>
      </c>
      <c r="AI547" s="48" t="s">
        <v>130</v>
      </c>
      <c r="AJ547" s="49" t="s">
        <v>130</v>
      </c>
      <c r="AK547" s="48" t="s">
        <v>130</v>
      </c>
      <c r="AL547" s="62" t="s">
        <v>32</v>
      </c>
      <c r="AM547" s="62"/>
      <c r="AN547" s="59"/>
      <c r="AO547" s="10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1"/>
    </row>
    <row r="548" spans="1:52" x14ac:dyDescent="0.2">
      <c r="A548" s="33">
        <f t="shared" si="9"/>
        <v>543</v>
      </c>
      <c r="B548" s="34" t="s">
        <v>4422</v>
      </c>
      <c r="C548" s="35" t="s">
        <v>4423</v>
      </c>
      <c r="D548" s="36" t="s">
        <v>4424</v>
      </c>
      <c r="E548" s="36" t="s">
        <v>54</v>
      </c>
      <c r="F548" s="34" t="s">
        <v>4425</v>
      </c>
      <c r="G548" s="37" t="s">
        <v>1285</v>
      </c>
      <c r="H548" s="37" t="s">
        <v>350</v>
      </c>
      <c r="I548" s="38" t="s">
        <v>4426</v>
      </c>
      <c r="J548" s="34" t="s">
        <v>41</v>
      </c>
      <c r="K548" s="39" t="s">
        <v>42</v>
      </c>
      <c r="L548" s="120" t="s">
        <v>4427</v>
      </c>
      <c r="M548" s="115" t="s">
        <v>179</v>
      </c>
      <c r="N548" s="56"/>
      <c r="O548" s="56"/>
      <c r="P548" s="56">
        <v>5</v>
      </c>
      <c r="Q548" s="56"/>
      <c r="R548" s="56"/>
      <c r="S548" s="56"/>
      <c r="T548" s="56"/>
      <c r="U548" s="56"/>
      <c r="V548" s="56"/>
      <c r="W548" s="56"/>
      <c r="X548" s="42" t="s">
        <v>4428</v>
      </c>
      <c r="Y548" s="69" t="s">
        <v>4429</v>
      </c>
      <c r="Z548" s="44"/>
      <c r="AA548" s="45" t="s">
        <v>4430</v>
      </c>
      <c r="AB548" s="101"/>
      <c r="AC548" s="36"/>
      <c r="AD548" s="61" t="s">
        <v>49</v>
      </c>
      <c r="AE548" s="48" t="s">
        <v>41</v>
      </c>
      <c r="AF548" s="48" t="s">
        <v>41</v>
      </c>
      <c r="AG548" s="48" t="s">
        <v>41</v>
      </c>
      <c r="AH548" s="48" t="s">
        <v>41</v>
      </c>
      <c r="AI548" s="48" t="s">
        <v>41</v>
      </c>
      <c r="AJ548" s="49" t="s">
        <v>41</v>
      </c>
      <c r="AK548" s="48" t="s">
        <v>41</v>
      </c>
      <c r="AL548" s="65" t="s">
        <v>4588</v>
      </c>
      <c r="AM548" s="65"/>
      <c r="AN548" s="59"/>
      <c r="AO548" s="117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1"/>
    </row>
    <row r="549" spans="1:52" x14ac:dyDescent="0.2">
      <c r="A549" s="33">
        <f t="shared" si="9"/>
        <v>544</v>
      </c>
      <c r="B549" s="34" t="s">
        <v>4431</v>
      </c>
      <c r="C549" s="35" t="s">
        <v>4432</v>
      </c>
      <c r="D549" s="36" t="s">
        <v>4433</v>
      </c>
      <c r="E549" s="36" t="s">
        <v>54</v>
      </c>
      <c r="F549" s="34" t="s">
        <v>4434</v>
      </c>
      <c r="G549" s="37" t="s">
        <v>214</v>
      </c>
      <c r="H549" s="37" t="s">
        <v>205</v>
      </c>
      <c r="I549" s="38" t="s">
        <v>4435</v>
      </c>
      <c r="J549" s="34" t="s">
        <v>41</v>
      </c>
      <c r="K549" s="39" t="s">
        <v>42</v>
      </c>
      <c r="L549" s="120">
        <v>45716</v>
      </c>
      <c r="M549" s="56" t="s">
        <v>179</v>
      </c>
      <c r="N549" s="56"/>
      <c r="O549" s="56"/>
      <c r="P549" s="56"/>
      <c r="Q549" s="56"/>
      <c r="R549" s="56"/>
      <c r="S549" s="56"/>
      <c r="T549" s="56"/>
      <c r="U549" s="56"/>
      <c r="V549" s="56" t="s">
        <v>44</v>
      </c>
      <c r="W549" s="56"/>
      <c r="X549" s="42" t="s">
        <v>4436</v>
      </c>
      <c r="Y549" s="58" t="s">
        <v>4437</v>
      </c>
      <c r="Z549" s="44"/>
      <c r="AA549" s="45"/>
      <c r="AB549" s="101"/>
      <c r="AC549" s="36"/>
      <c r="AD549" s="61" t="s">
        <v>49</v>
      </c>
      <c r="AE549" s="48" t="s">
        <v>41</v>
      </c>
      <c r="AF549" s="48" t="s">
        <v>41</v>
      </c>
      <c r="AG549" s="48" t="s">
        <v>41</v>
      </c>
      <c r="AH549" s="48" t="s">
        <v>41</v>
      </c>
      <c r="AI549" s="48" t="s">
        <v>41</v>
      </c>
      <c r="AJ549" s="49" t="s">
        <v>49</v>
      </c>
      <c r="AK549" s="48" t="s">
        <v>41</v>
      </c>
      <c r="AL549" s="62" t="s">
        <v>148</v>
      </c>
      <c r="AM549" s="62"/>
      <c r="AN549" s="59"/>
      <c r="AO549" s="117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1"/>
    </row>
    <row r="550" spans="1:52" x14ac:dyDescent="0.2">
      <c r="A550" s="33">
        <f t="shared" si="9"/>
        <v>545</v>
      </c>
      <c r="B550" s="34" t="s">
        <v>4438</v>
      </c>
      <c r="C550" s="35" t="s">
        <v>4439</v>
      </c>
      <c r="D550" s="36" t="s">
        <v>4440</v>
      </c>
      <c r="E550" s="36" t="s">
        <v>54</v>
      </c>
      <c r="F550" s="34" t="s">
        <v>4441</v>
      </c>
      <c r="G550" s="37" t="s">
        <v>349</v>
      </c>
      <c r="H550" s="37" t="s">
        <v>350</v>
      </c>
      <c r="I550" s="38" t="s">
        <v>4442</v>
      </c>
      <c r="J550" s="34" t="s">
        <v>41</v>
      </c>
      <c r="K550" s="39" t="s">
        <v>42</v>
      </c>
      <c r="L550" s="120">
        <v>43682</v>
      </c>
      <c r="M550" s="53"/>
      <c r="N550" s="53"/>
      <c r="O550" s="53"/>
      <c r="P550" s="53"/>
      <c r="Q550" s="115"/>
      <c r="R550" s="115"/>
      <c r="S550" s="115"/>
      <c r="T550" s="115"/>
      <c r="U550" s="115"/>
      <c r="V550" s="115"/>
      <c r="W550" s="115"/>
      <c r="X550" s="57" t="s">
        <v>4443</v>
      </c>
      <c r="Y550" s="43" t="s">
        <v>4444</v>
      </c>
      <c r="Z550" s="44" t="s">
        <v>4445</v>
      </c>
      <c r="AA550" s="45">
        <v>44041</v>
      </c>
      <c r="AB550" s="101" t="s">
        <v>30</v>
      </c>
      <c r="AC550" s="36" t="s">
        <v>26</v>
      </c>
      <c r="AD550" s="61" t="s">
        <v>49</v>
      </c>
      <c r="AE550" s="48" t="s">
        <v>49</v>
      </c>
      <c r="AF550" s="48" t="s">
        <v>49</v>
      </c>
      <c r="AG550" s="48" t="s">
        <v>49</v>
      </c>
      <c r="AH550" s="48" t="s">
        <v>49</v>
      </c>
      <c r="AI550" s="48" t="s">
        <v>49</v>
      </c>
      <c r="AJ550" s="49" t="s">
        <v>49</v>
      </c>
      <c r="AK550" s="48" t="s">
        <v>49</v>
      </c>
      <c r="AL550" s="62" t="s">
        <v>32</v>
      </c>
      <c r="AM550" s="62"/>
      <c r="AN550" s="59"/>
      <c r="AO550" s="10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1"/>
    </row>
    <row r="551" spans="1:52" x14ac:dyDescent="0.2">
      <c r="A551" s="33">
        <f t="shared" si="9"/>
        <v>546</v>
      </c>
      <c r="B551" s="34" t="s">
        <v>4446</v>
      </c>
      <c r="C551" s="35" t="s">
        <v>4447</v>
      </c>
      <c r="D551" s="36" t="s">
        <v>4448</v>
      </c>
      <c r="E551" s="36" t="s">
        <v>54</v>
      </c>
      <c r="F551" s="34" t="s">
        <v>4449</v>
      </c>
      <c r="G551" s="37" t="s">
        <v>1285</v>
      </c>
      <c r="H551" s="37" t="s">
        <v>350</v>
      </c>
      <c r="I551" s="38" t="s">
        <v>4450</v>
      </c>
      <c r="J551" s="34" t="s">
        <v>41</v>
      </c>
      <c r="K551" s="39" t="s">
        <v>42</v>
      </c>
      <c r="L551" s="120">
        <v>45372</v>
      </c>
      <c r="M551" s="56"/>
      <c r="N551" s="137"/>
      <c r="O551" s="137"/>
      <c r="P551" s="137"/>
      <c r="Q551" s="137"/>
      <c r="R551" s="137"/>
      <c r="S551" s="137"/>
      <c r="T551" s="137"/>
      <c r="U551" s="137" t="s">
        <v>44</v>
      </c>
      <c r="V551" s="137"/>
      <c r="W551" s="137"/>
      <c r="X551" s="54" t="s">
        <v>4451</v>
      </c>
      <c r="Y551" s="43" t="s">
        <v>4452</v>
      </c>
      <c r="Z551" s="44"/>
      <c r="AA551" s="45"/>
      <c r="AB551" s="101"/>
      <c r="AC551" s="36"/>
      <c r="AD551" s="61" t="s">
        <v>49</v>
      </c>
      <c r="AE551" s="48" t="s">
        <v>41</v>
      </c>
      <c r="AF551" s="48" t="s">
        <v>41</v>
      </c>
      <c r="AG551" s="48" t="s">
        <v>41</v>
      </c>
      <c r="AH551" s="48" t="s">
        <v>41</v>
      </c>
      <c r="AI551" s="48" t="s">
        <v>49</v>
      </c>
      <c r="AJ551" s="49" t="s">
        <v>49</v>
      </c>
      <c r="AK551" s="48" t="s">
        <v>49</v>
      </c>
      <c r="AL551" s="62" t="s">
        <v>32</v>
      </c>
      <c r="AM551" s="62"/>
      <c r="AN551" s="59"/>
      <c r="AO551" s="10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1"/>
    </row>
    <row r="552" spans="1:52" x14ac:dyDescent="0.2">
      <c r="A552" s="33">
        <f t="shared" si="9"/>
        <v>547</v>
      </c>
      <c r="B552" s="34" t="s">
        <v>4453</v>
      </c>
      <c r="C552" s="35" t="s">
        <v>4454</v>
      </c>
      <c r="D552" s="247" t="s">
        <v>4594</v>
      </c>
      <c r="E552" s="36" t="s">
        <v>54</v>
      </c>
      <c r="F552" s="34" t="s">
        <v>4455</v>
      </c>
      <c r="G552" s="37" t="s">
        <v>39</v>
      </c>
      <c r="H552" s="37" t="s">
        <v>39</v>
      </c>
      <c r="I552" s="38" t="s">
        <v>4456</v>
      </c>
      <c r="J552" s="34" t="s">
        <v>41</v>
      </c>
      <c r="K552" s="39" t="s">
        <v>42</v>
      </c>
      <c r="L552" s="120">
        <v>45357</v>
      </c>
      <c r="M552" s="56"/>
      <c r="N552" s="56"/>
      <c r="O552" s="56"/>
      <c r="P552" s="56"/>
      <c r="Q552" s="56"/>
      <c r="R552" s="56"/>
      <c r="S552" s="56"/>
      <c r="T552" s="56"/>
      <c r="U552" s="56" t="s">
        <v>44</v>
      </c>
      <c r="V552" s="56"/>
      <c r="W552" s="56"/>
      <c r="X552" s="54" t="s">
        <v>4457</v>
      </c>
      <c r="Y552" s="55" t="s">
        <v>4458</v>
      </c>
      <c r="Z552" s="44"/>
      <c r="AA552" s="45"/>
      <c r="AB552" s="101"/>
      <c r="AC552" s="36"/>
      <c r="AD552" s="47" t="s">
        <v>49</v>
      </c>
      <c r="AE552" s="48" t="s">
        <v>41</v>
      </c>
      <c r="AF552" s="48" t="s">
        <v>41</v>
      </c>
      <c r="AG552" s="48" t="s">
        <v>41</v>
      </c>
      <c r="AH552" s="48" t="s">
        <v>41</v>
      </c>
      <c r="AI552" s="48" t="s">
        <v>49</v>
      </c>
      <c r="AJ552" s="49" t="s">
        <v>49</v>
      </c>
      <c r="AK552" s="48" t="s">
        <v>49</v>
      </c>
      <c r="AL552" s="62" t="s">
        <v>32</v>
      </c>
      <c r="AM552" s="62"/>
      <c r="AN552" s="59"/>
      <c r="AO552" s="10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1"/>
    </row>
    <row r="553" spans="1:52" x14ac:dyDescent="0.2">
      <c r="A553" s="33">
        <f t="shared" si="9"/>
        <v>548</v>
      </c>
      <c r="B553" s="34" t="s">
        <v>4459</v>
      </c>
      <c r="C553" s="35" t="s">
        <v>4460</v>
      </c>
      <c r="D553" s="36" t="s">
        <v>4461</v>
      </c>
      <c r="E553" s="36" t="s">
        <v>54</v>
      </c>
      <c r="F553" s="34" t="s">
        <v>4462</v>
      </c>
      <c r="G553" s="37" t="s">
        <v>252</v>
      </c>
      <c r="H553" s="37" t="s">
        <v>57</v>
      </c>
      <c r="I553" s="34" t="s">
        <v>4463</v>
      </c>
      <c r="J553" s="34" t="s">
        <v>4464</v>
      </c>
      <c r="K553" s="39" t="s">
        <v>42</v>
      </c>
      <c r="L553" s="120">
        <v>31057</v>
      </c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7" t="s">
        <v>4465</v>
      </c>
      <c r="Y553" s="58" t="s">
        <v>4466</v>
      </c>
      <c r="Z553" s="44" t="s">
        <v>4467</v>
      </c>
      <c r="AA553" s="45">
        <v>44041</v>
      </c>
      <c r="AB553" s="101" t="s">
        <v>30</v>
      </c>
      <c r="AC553" s="36" t="s">
        <v>26</v>
      </c>
      <c r="AD553" s="47" t="s">
        <v>49</v>
      </c>
      <c r="AE553" s="48" t="s">
        <v>49</v>
      </c>
      <c r="AF553" s="48" t="s">
        <v>49</v>
      </c>
      <c r="AG553" s="48" t="s">
        <v>49</v>
      </c>
      <c r="AH553" s="48" t="s">
        <v>49</v>
      </c>
      <c r="AI553" s="48" t="s">
        <v>49</v>
      </c>
      <c r="AJ553" s="49" t="s">
        <v>49</v>
      </c>
      <c r="AK553" s="48" t="s">
        <v>49</v>
      </c>
      <c r="AL553" s="62" t="s">
        <v>32</v>
      </c>
      <c r="AM553" s="62"/>
      <c r="AN553" s="59"/>
      <c r="AO553" s="10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1"/>
    </row>
    <row r="554" spans="1:52" x14ac:dyDescent="0.2">
      <c r="A554" s="33">
        <f t="shared" si="9"/>
        <v>549</v>
      </c>
      <c r="B554" s="34" t="s">
        <v>4468</v>
      </c>
      <c r="C554" s="35" t="s">
        <v>4469</v>
      </c>
      <c r="D554" s="109" t="s">
        <v>4470</v>
      </c>
      <c r="E554" s="36" t="s">
        <v>54</v>
      </c>
      <c r="F554" s="34" t="s">
        <v>4471</v>
      </c>
      <c r="G554" s="37" t="s">
        <v>73</v>
      </c>
      <c r="H554" s="37" t="s">
        <v>73</v>
      </c>
      <c r="I554" s="34" t="s">
        <v>4472</v>
      </c>
      <c r="J554" s="34" t="s">
        <v>41</v>
      </c>
      <c r="K554" s="39" t="s">
        <v>42</v>
      </c>
      <c r="L554" s="99" t="s">
        <v>4473</v>
      </c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42" t="s">
        <v>4474</v>
      </c>
      <c r="Y554" s="52" t="s">
        <v>4475</v>
      </c>
      <c r="Z554" s="44" t="s">
        <v>4476</v>
      </c>
      <c r="AA554" s="45">
        <v>41793</v>
      </c>
      <c r="AB554" s="101" t="s">
        <v>30</v>
      </c>
      <c r="AC554" s="109" t="s">
        <v>26</v>
      </c>
      <c r="AD554" s="47" t="s">
        <v>49</v>
      </c>
      <c r="AE554" s="48" t="s">
        <v>49</v>
      </c>
      <c r="AF554" s="48" t="s">
        <v>49</v>
      </c>
      <c r="AG554" s="48" t="s">
        <v>49</v>
      </c>
      <c r="AH554" s="48" t="s">
        <v>49</v>
      </c>
      <c r="AI554" s="48" t="s">
        <v>49</v>
      </c>
      <c r="AJ554" s="49" t="s">
        <v>41</v>
      </c>
      <c r="AK554" s="48" t="s">
        <v>41</v>
      </c>
      <c r="AL554" s="62" t="s">
        <v>276</v>
      </c>
      <c r="AM554" s="62"/>
      <c r="AN554" s="59"/>
      <c r="AO554" s="248"/>
      <c r="AP554" s="32"/>
      <c r="AQ554" s="220"/>
      <c r="AR554" s="32"/>
      <c r="AS554" s="32"/>
      <c r="AT554" s="32"/>
      <c r="AU554" s="32"/>
      <c r="AV554" s="32"/>
      <c r="AW554" s="32"/>
      <c r="AX554" s="32"/>
      <c r="AY554" s="32"/>
      <c r="AZ554" s="31"/>
    </row>
    <row r="555" spans="1:52" x14ac:dyDescent="0.2">
      <c r="A555" s="33">
        <f t="shared" si="9"/>
        <v>550</v>
      </c>
      <c r="B555" s="34" t="s">
        <v>4477</v>
      </c>
      <c r="C555" s="35" t="s">
        <v>4478</v>
      </c>
      <c r="D555" s="36" t="s">
        <v>4479</v>
      </c>
      <c r="E555" s="36" t="s">
        <v>36</v>
      </c>
      <c r="F555" s="34" t="s">
        <v>4480</v>
      </c>
      <c r="G555" s="37" t="s">
        <v>73</v>
      </c>
      <c r="H555" s="37" t="s">
        <v>73</v>
      </c>
      <c r="I555" s="34" t="s">
        <v>4481</v>
      </c>
      <c r="J555" s="34" t="s">
        <v>4482</v>
      </c>
      <c r="K555" s="39" t="s">
        <v>42</v>
      </c>
      <c r="L555" s="161">
        <v>32357</v>
      </c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42" t="s">
        <v>4483</v>
      </c>
      <c r="Y555" s="69" t="s">
        <v>4484</v>
      </c>
      <c r="Z555" s="44" t="s">
        <v>61</v>
      </c>
      <c r="AA555" s="45">
        <v>39286</v>
      </c>
      <c r="AB555" s="160" t="s">
        <v>129</v>
      </c>
      <c r="AC555" s="36" t="s">
        <v>26</v>
      </c>
      <c r="AD555" s="66" t="s">
        <v>130</v>
      </c>
      <c r="AE555" s="48" t="s">
        <v>130</v>
      </c>
      <c r="AF555" s="48" t="s">
        <v>130</v>
      </c>
      <c r="AG555" s="48" t="s">
        <v>130</v>
      </c>
      <c r="AH555" s="48" t="s">
        <v>130</v>
      </c>
      <c r="AI555" s="48" t="s">
        <v>130</v>
      </c>
      <c r="AJ555" s="49" t="s">
        <v>130</v>
      </c>
      <c r="AK555" s="48" t="s">
        <v>130</v>
      </c>
      <c r="AL555" s="62" t="s">
        <v>32</v>
      </c>
      <c r="AM555" s="62"/>
      <c r="AN555" s="51"/>
      <c r="AO555" s="10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1"/>
    </row>
    <row r="556" spans="1:52" x14ac:dyDescent="0.2">
      <c r="A556" s="33">
        <f t="shared" si="9"/>
        <v>551</v>
      </c>
      <c r="B556" s="171" t="s">
        <v>4485</v>
      </c>
      <c r="C556" s="249" t="s">
        <v>4486</v>
      </c>
      <c r="D556" s="170" t="s">
        <v>4487</v>
      </c>
      <c r="E556" s="36" t="s">
        <v>54</v>
      </c>
      <c r="F556" s="171" t="s">
        <v>4488</v>
      </c>
      <c r="G556" s="182" t="s">
        <v>186</v>
      </c>
      <c r="H556" s="182" t="s">
        <v>187</v>
      </c>
      <c r="I556" s="139" t="s">
        <v>4489</v>
      </c>
      <c r="J556" s="171" t="s">
        <v>41</v>
      </c>
      <c r="K556" s="172" t="s">
        <v>42</v>
      </c>
      <c r="L556" s="161">
        <v>36440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42" t="s">
        <v>4490</v>
      </c>
      <c r="Y556" s="52" t="s">
        <v>4491</v>
      </c>
      <c r="Z556" s="44" t="s">
        <v>61</v>
      </c>
      <c r="AA556" s="250">
        <v>40815</v>
      </c>
      <c r="AB556" s="160" t="s">
        <v>30</v>
      </c>
      <c r="AC556" s="36" t="s">
        <v>26</v>
      </c>
      <c r="AD556" s="251" t="s">
        <v>49</v>
      </c>
      <c r="AE556" s="48" t="s">
        <v>49</v>
      </c>
      <c r="AF556" s="48" t="s">
        <v>49</v>
      </c>
      <c r="AG556" s="48" t="s">
        <v>49</v>
      </c>
      <c r="AH556" s="48" t="s">
        <v>49</v>
      </c>
      <c r="AI556" s="48" t="s">
        <v>49</v>
      </c>
      <c r="AJ556" s="49" t="s">
        <v>49</v>
      </c>
      <c r="AK556" s="48" t="s">
        <v>49</v>
      </c>
      <c r="AL556" s="65" t="s">
        <v>32</v>
      </c>
      <c r="AM556" s="323"/>
      <c r="AN556" s="138"/>
      <c r="AO556" s="117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1"/>
    </row>
    <row r="557" spans="1:52" ht="15" customHeight="1" x14ac:dyDescent="0.2">
      <c r="A557" s="33">
        <f t="shared" si="9"/>
        <v>552</v>
      </c>
      <c r="B557" s="171" t="s">
        <v>4492</v>
      </c>
      <c r="C557" s="249" t="s">
        <v>4493</v>
      </c>
      <c r="D557" s="170" t="s">
        <v>4580</v>
      </c>
      <c r="E557" s="36" t="s">
        <v>36</v>
      </c>
      <c r="F557" s="171" t="s">
        <v>4495</v>
      </c>
      <c r="G557" s="182" t="s">
        <v>39</v>
      </c>
      <c r="H557" s="182" t="s">
        <v>39</v>
      </c>
      <c r="I557" s="140" t="s">
        <v>4496</v>
      </c>
      <c r="J557" s="171" t="s">
        <v>41</v>
      </c>
      <c r="K557" s="172" t="s">
        <v>42</v>
      </c>
      <c r="L557" s="161" t="s">
        <v>4497</v>
      </c>
      <c r="M557" s="70"/>
      <c r="N557" s="70"/>
      <c r="O557" s="70"/>
      <c r="P557" s="70"/>
      <c r="Q557" s="70"/>
      <c r="R557" s="70"/>
      <c r="S557" s="70" t="s">
        <v>44</v>
      </c>
      <c r="T557" s="70"/>
      <c r="U557" s="70"/>
      <c r="V557" s="70" t="s">
        <v>732</v>
      </c>
      <c r="W557" s="70"/>
      <c r="X557" s="42" t="s">
        <v>4498</v>
      </c>
      <c r="Y557" s="43" t="s">
        <v>4499</v>
      </c>
      <c r="Z557" s="211" t="s">
        <v>4500</v>
      </c>
      <c r="AA557" s="45">
        <v>44944</v>
      </c>
      <c r="AB557" s="160" t="s">
        <v>30</v>
      </c>
      <c r="AC557" s="36"/>
      <c r="AD557" s="251" t="s">
        <v>49</v>
      </c>
      <c r="AE557" s="48" t="s">
        <v>41</v>
      </c>
      <c r="AF557" s="48" t="s">
        <v>41</v>
      </c>
      <c r="AG557" s="48" t="s">
        <v>41</v>
      </c>
      <c r="AH557" s="48" t="s">
        <v>49</v>
      </c>
      <c r="AI557" s="48" t="s">
        <v>49</v>
      </c>
      <c r="AJ557" s="49" t="s">
        <v>49</v>
      </c>
      <c r="AK557" s="48" t="s">
        <v>49</v>
      </c>
      <c r="AL557" s="213">
        <v>0</v>
      </c>
      <c r="AM557" s="326"/>
      <c r="AN557" s="138"/>
      <c r="AO557" s="118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1"/>
    </row>
    <row r="558" spans="1:52" ht="15" customHeight="1" x14ac:dyDescent="0.2">
      <c r="A558" s="33">
        <f t="shared" si="9"/>
        <v>553</v>
      </c>
      <c r="B558" s="34" t="s">
        <v>4501</v>
      </c>
      <c r="C558" s="35" t="s">
        <v>4502</v>
      </c>
      <c r="D558" s="36" t="s">
        <v>4503</v>
      </c>
      <c r="E558" s="36" t="s">
        <v>54</v>
      </c>
      <c r="F558" s="34" t="s">
        <v>4504</v>
      </c>
      <c r="G558" s="37" t="s">
        <v>528</v>
      </c>
      <c r="H558" s="37" t="s">
        <v>57</v>
      </c>
      <c r="I558" s="34" t="s">
        <v>4505</v>
      </c>
      <c r="J558" s="34" t="s">
        <v>4505</v>
      </c>
      <c r="K558" s="39" t="s">
        <v>42</v>
      </c>
      <c r="L558" s="120">
        <v>31057</v>
      </c>
      <c r="M558" s="41"/>
      <c r="N558" s="112"/>
      <c r="O558" s="112"/>
      <c r="P558" s="177"/>
      <c r="Q558" s="112"/>
      <c r="R558" s="112"/>
      <c r="S558" s="112"/>
      <c r="T558" s="41"/>
      <c r="U558" s="41"/>
      <c r="V558" s="41"/>
      <c r="W558" s="41"/>
      <c r="X558" s="42" t="s">
        <v>4506</v>
      </c>
      <c r="Y558" s="52" t="s">
        <v>4507</v>
      </c>
      <c r="Z558" s="44" t="s">
        <v>61</v>
      </c>
      <c r="AA558" s="45">
        <v>34597</v>
      </c>
      <c r="AB558" s="101" t="s">
        <v>30</v>
      </c>
      <c r="AC558" s="36" t="s">
        <v>26</v>
      </c>
      <c r="AD558" s="47" t="s">
        <v>49</v>
      </c>
      <c r="AE558" s="48" t="s">
        <v>49</v>
      </c>
      <c r="AF558" s="48" t="s">
        <v>49</v>
      </c>
      <c r="AG558" s="48" t="s">
        <v>49</v>
      </c>
      <c r="AH558" s="48" t="s">
        <v>49</v>
      </c>
      <c r="AI558" s="48" t="s">
        <v>49</v>
      </c>
      <c r="AJ558" s="49" t="s">
        <v>49</v>
      </c>
      <c r="AK558" s="48" t="s">
        <v>49</v>
      </c>
      <c r="AL558" s="65" t="s">
        <v>32</v>
      </c>
      <c r="AM558" s="65"/>
      <c r="AN558" s="59"/>
      <c r="AO558" s="32"/>
      <c r="AP558" s="32"/>
      <c r="AQ558" s="32"/>
      <c r="AR558" s="220">
        <f>150*3250</f>
        <v>487500</v>
      </c>
      <c r="AS558" s="32"/>
      <c r="AT558" s="32"/>
      <c r="AU558" s="32"/>
      <c r="AV558" s="32"/>
      <c r="AW558" s="32"/>
      <c r="AX558" s="32"/>
      <c r="AY558" s="32"/>
      <c r="AZ558" s="31"/>
    </row>
    <row r="559" spans="1:52" x14ac:dyDescent="0.2">
      <c r="A559" s="33"/>
      <c r="B559" s="252" t="s">
        <v>4508</v>
      </c>
      <c r="C559" s="253" t="s">
        <v>4509</v>
      </c>
      <c r="D559" s="252" t="s">
        <v>4510</v>
      </c>
      <c r="E559" s="252"/>
      <c r="F559" s="252" t="s">
        <v>4511</v>
      </c>
      <c r="G559" s="252"/>
      <c r="H559" s="252"/>
      <c r="I559" s="252" t="s">
        <v>4512</v>
      </c>
      <c r="J559" s="252" t="s">
        <v>4513</v>
      </c>
      <c r="K559" s="254"/>
      <c r="L559" s="255">
        <v>31057</v>
      </c>
      <c r="M559" s="256"/>
      <c r="N559" s="256"/>
      <c r="O559" s="256"/>
      <c r="P559" s="256"/>
      <c r="Q559" s="256"/>
      <c r="R559" s="256"/>
      <c r="S559" s="256"/>
      <c r="T559" s="256"/>
      <c r="U559" s="256"/>
      <c r="V559" s="256"/>
      <c r="W559" s="256"/>
      <c r="X559" s="257" t="s">
        <v>4514</v>
      </c>
      <c r="Y559" s="258" t="s">
        <v>4515</v>
      </c>
      <c r="Z559" s="259" t="s">
        <v>4516</v>
      </c>
      <c r="AA559" s="260">
        <v>43200</v>
      </c>
      <c r="AB559" s="252"/>
      <c r="AC559" s="252" t="s">
        <v>26</v>
      </c>
      <c r="AD559" s="66"/>
      <c r="AE559" s="48" t="s">
        <v>41</v>
      </c>
      <c r="AF559" s="48" t="s">
        <v>41</v>
      </c>
      <c r="AG559" s="48" t="s">
        <v>41</v>
      </c>
      <c r="AH559" s="48" t="s">
        <v>41</v>
      </c>
      <c r="AI559" s="48" t="s">
        <v>41</v>
      </c>
      <c r="AJ559" s="49" t="s">
        <v>41</v>
      </c>
      <c r="AK559" s="48" t="s">
        <v>41</v>
      </c>
      <c r="AL559" s="213"/>
      <c r="AM559" s="326"/>
      <c r="AN559" s="138" t="s">
        <v>4517</v>
      </c>
      <c r="AO559" s="118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1"/>
    </row>
    <row r="560" spans="1:52" x14ac:dyDescent="0.2">
      <c r="A560" s="33"/>
      <c r="B560" s="252" t="s">
        <v>4518</v>
      </c>
      <c r="C560" s="253" t="s">
        <v>4519</v>
      </c>
      <c r="D560" s="252" t="s">
        <v>4520</v>
      </c>
      <c r="E560" s="252"/>
      <c r="F560" s="252" t="s">
        <v>4521</v>
      </c>
      <c r="G560" s="252"/>
      <c r="H560" s="252"/>
      <c r="I560" s="261" t="s">
        <v>4522</v>
      </c>
      <c r="J560" s="261" t="s">
        <v>41</v>
      </c>
      <c r="K560" s="254"/>
      <c r="L560" s="262" t="s">
        <v>307</v>
      </c>
      <c r="M560" s="263"/>
      <c r="N560" s="264"/>
      <c r="O560" s="264"/>
      <c r="P560" s="264"/>
      <c r="Q560" s="264"/>
      <c r="R560" s="264"/>
      <c r="S560" s="264"/>
      <c r="T560" s="264"/>
      <c r="U560" s="264"/>
      <c r="V560" s="264"/>
      <c r="W560" s="264"/>
      <c r="X560" s="257" t="s">
        <v>4523</v>
      </c>
      <c r="Y560" s="258" t="s">
        <v>4524</v>
      </c>
      <c r="Z560" s="258"/>
      <c r="AA560" s="258"/>
      <c r="AB560" s="252" t="s">
        <v>30</v>
      </c>
      <c r="AC560" s="252"/>
      <c r="AD560" s="47"/>
      <c r="AE560" s="48" t="s">
        <v>41</v>
      </c>
      <c r="AF560" s="48" t="s">
        <v>41</v>
      </c>
      <c r="AG560" s="48" t="s">
        <v>41</v>
      </c>
      <c r="AH560" s="48" t="s">
        <v>41</v>
      </c>
      <c r="AI560" s="48" t="s">
        <v>41</v>
      </c>
      <c r="AJ560" s="49" t="s">
        <v>41</v>
      </c>
      <c r="AK560" s="48" t="s">
        <v>41</v>
      </c>
      <c r="AL560" s="65"/>
      <c r="AM560" s="65"/>
      <c r="AN560" s="59" t="s">
        <v>460</v>
      </c>
      <c r="AO560" s="195"/>
      <c r="AP560" s="196"/>
      <c r="AQ560" s="196"/>
      <c r="AR560" s="196"/>
      <c r="AS560" s="196"/>
      <c r="AT560" s="32"/>
      <c r="AU560" s="32"/>
      <c r="AV560" s="32"/>
      <c r="AW560" s="32"/>
      <c r="AX560" s="32"/>
      <c r="AY560" s="32"/>
      <c r="AZ560" s="31"/>
    </row>
    <row r="561" spans="1:52" x14ac:dyDescent="0.2">
      <c r="A561" s="33"/>
      <c r="B561" s="252" t="s">
        <v>4525</v>
      </c>
      <c r="C561" s="253" t="s">
        <v>4526</v>
      </c>
      <c r="D561" s="252" t="s">
        <v>4527</v>
      </c>
      <c r="E561" s="252"/>
      <c r="F561" s="265" t="s">
        <v>4528</v>
      </c>
      <c r="G561" s="252"/>
      <c r="H561" s="252"/>
      <c r="I561" s="266" t="s">
        <v>4529</v>
      </c>
      <c r="J561" s="252"/>
      <c r="K561" s="254"/>
      <c r="L561" s="267" t="s">
        <v>2375</v>
      </c>
      <c r="M561" s="268"/>
      <c r="N561" s="254"/>
      <c r="O561" s="254"/>
      <c r="P561" s="254"/>
      <c r="Q561" s="254"/>
      <c r="R561" s="254"/>
      <c r="S561" s="254"/>
      <c r="T561" s="254"/>
      <c r="U561" s="254"/>
      <c r="V561" s="254"/>
      <c r="W561" s="256"/>
      <c r="X561" s="257" t="s">
        <v>4530</v>
      </c>
      <c r="Y561" s="258" t="s">
        <v>4531</v>
      </c>
      <c r="Z561" s="258"/>
      <c r="AA561" s="258"/>
      <c r="AB561" s="269"/>
      <c r="AC561" s="270" t="s">
        <v>26</v>
      </c>
      <c r="AD561" s="47"/>
      <c r="AE561" s="48" t="s">
        <v>41</v>
      </c>
      <c r="AF561" s="48" t="s">
        <v>41</v>
      </c>
      <c r="AG561" s="48" t="s">
        <v>41</v>
      </c>
      <c r="AH561" s="48" t="s">
        <v>41</v>
      </c>
      <c r="AI561" s="48" t="s">
        <v>41</v>
      </c>
      <c r="AJ561" s="49" t="s">
        <v>41</v>
      </c>
      <c r="AK561" s="48" t="s">
        <v>41</v>
      </c>
      <c r="AL561" s="232"/>
      <c r="AM561" s="327"/>
      <c r="AN561" s="138" t="s">
        <v>4517</v>
      </c>
      <c r="AO561" s="10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1"/>
    </row>
    <row r="562" spans="1:52" ht="16" thickBot="1" x14ac:dyDescent="0.25">
      <c r="A562" s="31"/>
      <c r="B562" s="197"/>
      <c r="C562" s="197"/>
      <c r="D562" s="197"/>
      <c r="E562" s="197"/>
      <c r="F562" s="31"/>
      <c r="G562" s="197"/>
      <c r="H562" s="197"/>
      <c r="I562" s="31"/>
      <c r="J562" s="31"/>
      <c r="K562" s="197"/>
      <c r="L562" s="31"/>
      <c r="M562" s="271">
        <f>COUNTIF(M6:M559,"BELUM")</f>
        <v>38</v>
      </c>
      <c r="N562" s="271">
        <f>COUNTIF(N6:N559,"SUDAH")</f>
        <v>3</v>
      </c>
      <c r="O562" s="271"/>
      <c r="P562" s="271"/>
      <c r="Q562" s="271">
        <f>COUNTIF(Q6:Q559,"BELUM")</f>
        <v>8</v>
      </c>
      <c r="R562" s="271">
        <f>COUNTIF(R6:R559,"BARU")</f>
        <v>29</v>
      </c>
      <c r="S562" s="271"/>
      <c r="T562" s="271"/>
      <c r="U562" s="271"/>
      <c r="V562" s="271"/>
      <c r="W562" s="271"/>
      <c r="X562" s="272"/>
      <c r="Y562" s="196"/>
      <c r="Z562" s="196"/>
      <c r="AA562" s="196"/>
      <c r="AB562" s="197"/>
      <c r="AC562" s="272"/>
      <c r="AD562" s="272"/>
      <c r="AE562" s="272"/>
      <c r="AF562" s="272"/>
      <c r="AG562" s="272"/>
      <c r="AH562" s="272"/>
      <c r="AI562" s="272"/>
      <c r="AJ562" s="272"/>
      <c r="AK562" s="272"/>
      <c r="AL562" s="273"/>
      <c r="AM562" s="281"/>
      <c r="AN562" s="32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</row>
    <row r="563" spans="1:52" ht="16" thickBot="1" x14ac:dyDescent="0.25">
      <c r="A563" s="274"/>
      <c r="B563" s="31"/>
      <c r="C563" s="31"/>
      <c r="D563" s="275"/>
      <c r="E563" s="271">
        <f>COUNTIF(E6:E558,"TEHNIK")</f>
        <v>428</v>
      </c>
      <c r="F563" s="276"/>
      <c r="G563" s="277">
        <f>COUNTIF(G6:G561,"UNGARAN")</f>
        <v>5</v>
      </c>
      <c r="H563" s="277">
        <f>COUNTIF(H6:H561,"KABUPATEN SEMARANG")</f>
        <v>0</v>
      </c>
      <c r="I563" s="370" t="s">
        <v>4532</v>
      </c>
      <c r="J563" s="278" t="s">
        <v>4533</v>
      </c>
      <c r="K563" s="279">
        <f>COUNTIF(K6:K561,"T")</f>
        <v>2</v>
      </c>
      <c r="L563" s="31"/>
      <c r="M563" s="31"/>
      <c r="N563" s="31"/>
      <c r="O563" s="31"/>
      <c r="P563" s="31"/>
      <c r="Q563" s="31"/>
      <c r="R563" s="31"/>
      <c r="S563" s="271">
        <f>COUNTIF(S6:S558,"BARU")</f>
        <v>33</v>
      </c>
      <c r="T563" s="271">
        <f>COUNTIF(T6:T558,"BARU")</f>
        <v>40</v>
      </c>
      <c r="U563" s="271">
        <f>COUNTIF(U6:U558,"BARU")</f>
        <v>24</v>
      </c>
      <c r="V563" s="271">
        <f>COUNTIF(V6:V558,"BARU")</f>
        <v>15</v>
      </c>
      <c r="W563" s="271">
        <f>COUNTIF(W6:W558,"BARU")</f>
        <v>9</v>
      </c>
      <c r="X563" s="272">
        <f>SUM(S563:W563)</f>
        <v>121</v>
      </c>
      <c r="Y563" s="196"/>
      <c r="Z563" s="280"/>
      <c r="AA563" s="281"/>
      <c r="AB563" s="279">
        <f>COUNTIF(AB6:AB561,"PJBU")</f>
        <v>402</v>
      </c>
      <c r="AC563" s="272"/>
      <c r="AD563" s="272"/>
      <c r="AE563" s="282">
        <f t="shared" ref="AE563:AK563" si="10">COUNTIF(AE4:AE559,"K")</f>
        <v>314</v>
      </c>
      <c r="AF563" s="283">
        <f t="shared" si="10"/>
        <v>322</v>
      </c>
      <c r="AG563" s="283">
        <f t="shared" si="10"/>
        <v>339</v>
      </c>
      <c r="AH563" s="283">
        <f t="shared" si="10"/>
        <v>359</v>
      </c>
      <c r="AI563" s="283">
        <f t="shared" si="10"/>
        <v>353</v>
      </c>
      <c r="AJ563" s="283">
        <f t="shared" si="10"/>
        <v>324</v>
      </c>
      <c r="AK563" s="284">
        <f t="shared" si="10"/>
        <v>295</v>
      </c>
      <c r="AL563" s="285"/>
      <c r="AM563" s="281"/>
      <c r="AN563" s="32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</row>
    <row r="564" spans="1:52" ht="16" thickBot="1" x14ac:dyDescent="0.25">
      <c r="A564" s="274"/>
      <c r="B564" s="31"/>
      <c r="C564" s="31"/>
      <c r="D564" s="197"/>
      <c r="E564" s="271">
        <f>COUNTIF(E6:E558,"NON TEHNIK")</f>
        <v>111</v>
      </c>
      <c r="F564" s="31"/>
      <c r="G564" s="277">
        <f>COUNTIF(G6:G561,"SALATIGA")</f>
        <v>0</v>
      </c>
      <c r="H564" s="277">
        <f>COUNTIF(H6:H561,"SALATIGA")</f>
        <v>0</v>
      </c>
      <c r="I564" s="371"/>
      <c r="J564" s="278" t="s">
        <v>4534</v>
      </c>
      <c r="K564" s="279">
        <f>COUNTIF(K6:K561,"P")</f>
        <v>551</v>
      </c>
      <c r="L564" s="31"/>
      <c r="M564" s="31"/>
      <c r="N564" s="31"/>
      <c r="O564" s="31"/>
      <c r="P564" s="31"/>
      <c r="Q564" s="31"/>
      <c r="R564" s="31"/>
      <c r="S564" s="271">
        <f>COUNTIF(S8:S559,"PRB")</f>
        <v>1</v>
      </c>
      <c r="T564" s="271">
        <f>COUNTIF(T8:T559,"PRB")</f>
        <v>11</v>
      </c>
      <c r="U564" s="271">
        <f>COUNTIF(U8:U559,"PRB")</f>
        <v>12</v>
      </c>
      <c r="V564" s="271">
        <f>COUNTIF(V8:V559,"PRB")</f>
        <v>12</v>
      </c>
      <c r="W564" s="271">
        <f>COUNTIF(W8:W559,"PRB")</f>
        <v>3</v>
      </c>
      <c r="X564" s="272"/>
      <c r="Y564" s="196"/>
      <c r="Z564" s="196"/>
      <c r="AA564" s="196"/>
      <c r="AB564" s="196"/>
      <c r="AC564" s="272"/>
      <c r="AD564" s="272"/>
      <c r="AE564" s="282">
        <f t="shared" ref="AE564:AK564" si="11">COUNTIF(AE5:AE561,"M")</f>
        <v>23</v>
      </c>
      <c r="AF564" s="283">
        <f t="shared" si="11"/>
        <v>25</v>
      </c>
      <c r="AG564" s="283">
        <f t="shared" si="11"/>
        <v>25</v>
      </c>
      <c r="AH564" s="283">
        <f t="shared" si="11"/>
        <v>25</v>
      </c>
      <c r="AI564" s="283">
        <f t="shared" si="11"/>
        <v>25</v>
      </c>
      <c r="AJ564" s="283">
        <f t="shared" si="11"/>
        <v>21</v>
      </c>
      <c r="AK564" s="284">
        <f t="shared" si="11"/>
        <v>21</v>
      </c>
      <c r="AL564" s="272"/>
      <c r="AM564" s="272"/>
      <c r="AN564" s="32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</row>
    <row r="565" spans="1:52" ht="16" thickBot="1" x14ac:dyDescent="0.25">
      <c r="A565" s="274"/>
      <c r="B565" s="31"/>
      <c r="C565" s="31"/>
      <c r="D565" s="197"/>
      <c r="E565" s="271">
        <f>COUNTIF(E6:E558,"NON S-1")</f>
        <v>9</v>
      </c>
      <c r="F565" s="31"/>
      <c r="G565" s="277">
        <f>COUNTIF(G6:G561,"KENDAL")</f>
        <v>9</v>
      </c>
      <c r="H565" s="277">
        <f>COUNTIF(H6:H561,"KABUPATEN SEMARANG")</f>
        <v>0</v>
      </c>
      <c r="I565" s="371"/>
      <c r="J565" s="278" t="s">
        <v>4535</v>
      </c>
      <c r="K565" s="279"/>
      <c r="L565" s="31"/>
      <c r="M565" s="286" t="s">
        <v>4536</v>
      </c>
      <c r="N565" s="286"/>
      <c r="O565" s="286"/>
      <c r="P565" s="286"/>
      <c r="Q565" s="286"/>
      <c r="R565" s="286"/>
      <c r="S565" s="286"/>
      <c r="T565" s="286"/>
      <c r="U565" s="286"/>
      <c r="V565" s="286"/>
      <c r="W565" s="286"/>
      <c r="X565" s="272"/>
      <c r="Y565" s="286"/>
      <c r="Z565" s="286"/>
      <c r="AA565" s="286"/>
      <c r="AB565" s="286"/>
      <c r="AC565" s="287"/>
      <c r="AD565" s="282"/>
      <c r="AE565" s="284">
        <f t="shared" ref="AE565:AK565" si="12">COUNTIF(AE6:AE561,"B")</f>
        <v>5</v>
      </c>
      <c r="AF565" s="288">
        <f t="shared" si="12"/>
        <v>5</v>
      </c>
      <c r="AG565" s="288">
        <f t="shared" si="12"/>
        <v>4</v>
      </c>
      <c r="AH565" s="288">
        <f t="shared" si="12"/>
        <v>5</v>
      </c>
      <c r="AI565" s="288">
        <f t="shared" si="12"/>
        <v>5</v>
      </c>
      <c r="AJ565" s="288">
        <f t="shared" si="12"/>
        <v>5</v>
      </c>
      <c r="AK565" s="284">
        <f t="shared" si="12"/>
        <v>5</v>
      </c>
      <c r="AL565" s="289"/>
      <c r="AM565" s="289"/>
      <c r="AN565" s="290">
        <f>COUNTIF(AL6:AL561,"0")</f>
        <v>321</v>
      </c>
      <c r="AO565" s="284">
        <f>COUNTIF(AL6:AL561,"1")</f>
        <v>38</v>
      </c>
      <c r="AP565" s="284">
        <f>COUNTIF(AL6:AL561,"2")</f>
        <v>49</v>
      </c>
      <c r="AQ565" s="284">
        <f>COUNTIF(AL6:AL561,"3")</f>
        <v>29</v>
      </c>
      <c r="AR565" s="284">
        <f>COUNTIF(AL6:AL561,"4")</f>
        <v>19</v>
      </c>
      <c r="AS565" s="284">
        <f>COUNTIF(AL6:AL561,"5")</f>
        <v>20</v>
      </c>
      <c r="AT565" s="284">
        <f>COUNTIF(AL6:AL561,"6")</f>
        <v>25</v>
      </c>
      <c r="AU565" s="284">
        <f>COUNTIF(AL6:AL561,"7")</f>
        <v>9</v>
      </c>
      <c r="AV565" s="284">
        <f>COUNTIF(AL6:AL561,"8")</f>
        <v>19</v>
      </c>
      <c r="AW565" s="284">
        <f>COUNTIF(AL6:AL561,"9")</f>
        <v>12</v>
      </c>
      <c r="AX565" s="284">
        <f>COUNTIF(AL6:AL561,"10")</f>
        <v>12</v>
      </c>
      <c r="AY565" s="291">
        <f>SUM(AN565:AX565)</f>
        <v>553</v>
      </c>
      <c r="AZ565" s="31" t="s">
        <v>4537</v>
      </c>
    </row>
    <row r="566" spans="1:52" ht="16" thickBot="1" x14ac:dyDescent="0.25">
      <c r="A566" s="274"/>
      <c r="B566" s="31"/>
      <c r="C566" s="31"/>
      <c r="D566" s="197"/>
      <c r="E566" s="197">
        <f>SUM(E563:E565)</f>
        <v>548</v>
      </c>
      <c r="F566" s="31"/>
      <c r="G566" s="277">
        <f>COUNTIF(G6:G561,"PURWODADI")</f>
        <v>2</v>
      </c>
      <c r="H566" s="277">
        <f>COUNTIF(H6:H561,"KABUPATEN SEMARANG")</f>
        <v>0</v>
      </c>
      <c r="I566" s="371"/>
      <c r="J566" s="278" t="s">
        <v>4538</v>
      </c>
      <c r="K566" s="292">
        <f>SUM(K563:K564)</f>
        <v>553</v>
      </c>
      <c r="L566" s="31"/>
      <c r="M566" s="286" t="s">
        <v>4539</v>
      </c>
      <c r="N566" s="286"/>
      <c r="O566" s="286"/>
      <c r="P566" s="286"/>
      <c r="Q566" s="286"/>
      <c r="R566" s="286"/>
      <c r="S566" s="286"/>
      <c r="T566" s="286"/>
      <c r="U566" s="286"/>
      <c r="V566" s="286"/>
      <c r="W566" s="286"/>
      <c r="X566" s="272"/>
      <c r="Y566" s="286"/>
      <c r="Z566" s="286"/>
      <c r="AA566" s="286"/>
      <c r="AB566" s="286"/>
      <c r="AC566" s="293"/>
      <c r="AD566" s="284">
        <f>COUNTIF(AD6:AD561,"K")</f>
        <v>517</v>
      </c>
      <c r="AE566" s="294">
        <f t="shared" ref="AE566:AH566" si="13">SUM(AE563:AE565)</f>
        <v>342</v>
      </c>
      <c r="AF566" s="294">
        <f t="shared" si="13"/>
        <v>352</v>
      </c>
      <c r="AG566" s="294">
        <f t="shared" si="13"/>
        <v>368</v>
      </c>
      <c r="AH566" s="294">
        <f t="shared" si="13"/>
        <v>389</v>
      </c>
      <c r="AI566" s="294">
        <f>SUM(AI563:AI565)</f>
        <v>383</v>
      </c>
      <c r="AJ566" s="294">
        <f>SUM(AJ563:AJ565)</f>
        <v>350</v>
      </c>
      <c r="AK566" s="295">
        <f>SUM(AK563:AK565)</f>
        <v>321</v>
      </c>
      <c r="AL566" s="289"/>
      <c r="AM566" s="289"/>
      <c r="AN566" s="374" t="s">
        <v>28</v>
      </c>
      <c r="AO566" s="374"/>
      <c r="AP566" s="374"/>
      <c r="AQ566" s="374"/>
      <c r="AR566" s="374"/>
      <c r="AS566" s="374"/>
      <c r="AT566" s="374"/>
      <c r="AU566" s="374"/>
      <c r="AV566" s="374"/>
      <c r="AW566" s="374"/>
      <c r="AX566" s="374"/>
      <c r="AY566" s="31"/>
      <c r="AZ566" s="31"/>
    </row>
    <row r="567" spans="1:52" ht="16" thickBot="1" x14ac:dyDescent="0.25">
      <c r="A567" s="274"/>
      <c r="B567" s="31"/>
      <c r="C567" s="31"/>
      <c r="D567" s="197"/>
      <c r="E567" s="197"/>
      <c r="F567" s="31"/>
      <c r="G567" s="277">
        <f>COUNTIF(G6:G561,"DEMAK")</f>
        <v>4</v>
      </c>
      <c r="H567" s="277">
        <f>COUNTIF(H6:H561,"KABUPATEN SEMARANG")</f>
        <v>0</v>
      </c>
      <c r="I567" s="369"/>
      <c r="J567" s="278" t="s">
        <v>4540</v>
      </c>
      <c r="K567" s="197"/>
      <c r="L567" s="31"/>
      <c r="M567" s="286"/>
      <c r="N567" s="286"/>
      <c r="O567" s="286"/>
      <c r="P567" s="286"/>
      <c r="Q567" s="286"/>
      <c r="R567" s="286"/>
      <c r="S567" s="286"/>
      <c r="T567" s="286"/>
      <c r="U567" s="286"/>
      <c r="V567" s="286"/>
      <c r="W567" s="286"/>
      <c r="X567" s="272"/>
      <c r="Y567" s="286"/>
      <c r="Z567" s="286"/>
      <c r="AA567" s="286"/>
      <c r="AB567" s="286"/>
      <c r="AC567" s="293"/>
      <c r="AD567" s="284">
        <f>COUNTIF(AD6:AD561,"M")</f>
        <v>29</v>
      </c>
      <c r="AE567" s="272">
        <v>2020</v>
      </c>
      <c r="AF567" s="272">
        <v>2021</v>
      </c>
      <c r="AG567" s="294">
        <v>2022</v>
      </c>
      <c r="AH567" s="294">
        <v>2023</v>
      </c>
      <c r="AI567" s="294">
        <v>2024</v>
      </c>
      <c r="AJ567" s="294">
        <v>2025</v>
      </c>
      <c r="AK567" s="296">
        <v>2026</v>
      </c>
      <c r="AL567" s="289"/>
      <c r="AM567" s="289"/>
      <c r="AN567" s="32"/>
      <c r="AO567" s="297"/>
      <c r="AP567" s="297"/>
      <c r="AQ567" s="297"/>
      <c r="AR567" s="297"/>
      <c r="AS567" s="31"/>
      <c r="AT567" s="31"/>
      <c r="AU567" s="31"/>
      <c r="AV567" s="31"/>
      <c r="AW567" s="31"/>
      <c r="AX567" s="31"/>
      <c r="AY567" s="31"/>
      <c r="AZ567" s="31"/>
    </row>
    <row r="568" spans="1:52" ht="16" thickBot="1" x14ac:dyDescent="0.25">
      <c r="A568" s="274"/>
      <c r="B568" s="31"/>
      <c r="C568" s="31"/>
      <c r="D568" s="197"/>
      <c r="E568" s="197"/>
      <c r="F568" s="31"/>
      <c r="G568" s="298">
        <f>SUM(G563:G567)</f>
        <v>20</v>
      </c>
      <c r="H568" s="298">
        <f>SUM(H563:H567)</f>
        <v>0</v>
      </c>
      <c r="I568" s="299" t="s">
        <v>4541</v>
      </c>
      <c r="J568" s="278"/>
      <c r="K568" s="197"/>
      <c r="L568" s="31"/>
      <c r="M568" s="32" t="s">
        <v>4542</v>
      </c>
      <c r="N568" s="32"/>
      <c r="O568" s="32"/>
      <c r="P568" s="32"/>
      <c r="Q568" s="32"/>
      <c r="R568" s="32"/>
      <c r="S568" s="32">
        <f>+R562+S562</f>
        <v>29</v>
      </c>
      <c r="T568" s="32"/>
      <c r="U568" s="32"/>
      <c r="V568" s="32"/>
      <c r="W568" s="32"/>
      <c r="X568" s="272"/>
      <c r="Y568" s="196"/>
      <c r="Z568" s="196"/>
      <c r="AA568" s="196"/>
      <c r="AB568" s="196"/>
      <c r="AC568" s="293"/>
      <c r="AD568" s="300">
        <f>COUNTIF(AD6:AD561,"B")</f>
        <v>7</v>
      </c>
      <c r="AE568" s="272"/>
      <c r="AF568" s="272"/>
      <c r="AG568" s="272"/>
      <c r="AH568" s="272"/>
      <c r="AI568" s="272"/>
      <c r="AJ568" s="272"/>
      <c r="AK568" s="272"/>
      <c r="AL568" s="289"/>
      <c r="AM568" s="289"/>
      <c r="AN568" s="32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</row>
    <row r="569" spans="1:52" ht="16" thickBot="1" x14ac:dyDescent="0.25">
      <c r="A569" s="274"/>
      <c r="B569" s="31"/>
      <c r="C569" s="31"/>
      <c r="D569" s="197"/>
      <c r="E569" s="197"/>
      <c r="F569" s="31"/>
      <c r="G569" s="277"/>
      <c r="H569" s="277"/>
      <c r="I569" s="301"/>
      <c r="J569" s="278"/>
      <c r="K569" s="197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272"/>
      <c r="Y569" s="196"/>
      <c r="Z569" s="196"/>
      <c r="AA569" s="196"/>
      <c r="AB569" s="196"/>
      <c r="AC569" s="293"/>
      <c r="AD569" s="302">
        <f>SUM(AD566:AD568)</f>
        <v>553</v>
      </c>
      <c r="AE569" s="272"/>
      <c r="AF569" s="272"/>
      <c r="AG569" s="272"/>
      <c r="AH569" s="272"/>
      <c r="AI569" s="272"/>
      <c r="AJ569" s="272"/>
      <c r="AK569" s="272"/>
      <c r="AL569" s="272"/>
      <c r="AM569" s="272"/>
      <c r="AN569" s="32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</row>
    <row r="570" spans="1:52" ht="16" thickBot="1" x14ac:dyDescent="0.25">
      <c r="A570" s="274"/>
      <c r="B570" s="31"/>
      <c r="C570" s="31"/>
      <c r="D570" s="197"/>
      <c r="E570" s="197"/>
      <c r="F570" s="31"/>
      <c r="G570" s="277">
        <f>COUNTIF(G6:G561,"PATI")</f>
        <v>8</v>
      </c>
      <c r="H570" s="277">
        <f>COUNTIF(H6:H561,"PATI")</f>
        <v>49</v>
      </c>
      <c r="I570" s="370" t="s">
        <v>4543</v>
      </c>
      <c r="J570" s="278" t="s">
        <v>4544</v>
      </c>
      <c r="K570" s="197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272"/>
      <c r="Y570" s="196"/>
      <c r="Z570" s="196"/>
      <c r="AA570" s="196"/>
      <c r="AB570" s="196"/>
      <c r="AC570" s="272"/>
      <c r="AD570" s="272"/>
      <c r="AE570" s="272"/>
      <c r="AF570" s="272"/>
      <c r="AG570" s="272"/>
      <c r="AH570" s="272"/>
      <c r="AI570" s="272"/>
      <c r="AJ570" s="272"/>
      <c r="AK570" s="272"/>
      <c r="AL570" s="272"/>
      <c r="AM570" s="272"/>
      <c r="AN570" s="32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</row>
    <row r="571" spans="1:52" ht="16" thickBot="1" x14ac:dyDescent="0.25">
      <c r="A571" s="274"/>
      <c r="B571" s="31"/>
      <c r="C571" s="31"/>
      <c r="D571" s="197"/>
      <c r="E571" s="197"/>
      <c r="F571" s="31"/>
      <c r="G571" s="277">
        <f>COUNTIF(G6:G561,"KUDUS")</f>
        <v>12</v>
      </c>
      <c r="H571" s="277">
        <f>COUNTIF(H6:H561,"PATI")</f>
        <v>49</v>
      </c>
      <c r="I571" s="371"/>
      <c r="J571" s="278" t="s">
        <v>4545</v>
      </c>
      <c r="K571" s="197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272"/>
      <c r="Y571" s="196">
        <f>550-307</f>
        <v>243</v>
      </c>
      <c r="Z571" s="196"/>
      <c r="AA571" s="196"/>
      <c r="AB571" s="196"/>
      <c r="AC571" s="272"/>
      <c r="AD571" s="272">
        <v>2022</v>
      </c>
      <c r="AE571" s="272">
        <v>266</v>
      </c>
      <c r="AF571" s="272">
        <v>23</v>
      </c>
      <c r="AG571" s="272">
        <v>8</v>
      </c>
      <c r="AH571" s="272">
        <f>SUM(AE571:AG571)</f>
        <v>297</v>
      </c>
      <c r="AI571" s="272">
        <v>336</v>
      </c>
      <c r="AJ571" s="272">
        <f>+AI571-AH571</f>
        <v>39</v>
      </c>
      <c r="AK571" s="272"/>
      <c r="AL571" s="272"/>
      <c r="AM571" s="272"/>
      <c r="AN571" s="32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</row>
    <row r="572" spans="1:52" ht="16" thickBot="1" x14ac:dyDescent="0.25">
      <c r="A572" s="274"/>
      <c r="B572" s="31"/>
      <c r="C572" s="31"/>
      <c r="D572" s="197"/>
      <c r="E572" s="197"/>
      <c r="F572" s="31"/>
      <c r="G572" s="277">
        <f>COUNTIF(G7:G562,"JEPARA")</f>
        <v>4</v>
      </c>
      <c r="H572" s="277">
        <f>COUNTIF(H7:H562,"PATI")</f>
        <v>49</v>
      </c>
      <c r="I572" s="371"/>
      <c r="J572" s="278" t="s">
        <v>4692</v>
      </c>
      <c r="K572" s="197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272"/>
      <c r="Y572" s="196"/>
      <c r="Z572" s="196"/>
      <c r="AA572" s="196"/>
      <c r="AB572" s="196"/>
      <c r="AC572" s="272"/>
      <c r="AD572" s="272"/>
      <c r="AE572" s="272"/>
      <c r="AF572" s="272"/>
      <c r="AG572" s="272"/>
      <c r="AH572" s="272"/>
      <c r="AI572" s="272"/>
      <c r="AJ572" s="272"/>
      <c r="AK572" s="272"/>
      <c r="AL572" s="272"/>
      <c r="AM572" s="272"/>
      <c r="AN572" s="32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</row>
    <row r="573" spans="1:52" ht="16" thickBot="1" x14ac:dyDescent="0.25">
      <c r="A573" s="274"/>
      <c r="B573" s="31"/>
      <c r="C573" s="31"/>
      <c r="D573" s="197">
        <f>52-5</f>
        <v>47</v>
      </c>
      <c r="E573" s="197"/>
      <c r="F573" s="31"/>
      <c r="G573" s="277">
        <f>COUNTIF(G6:G561,"PATI")</f>
        <v>8</v>
      </c>
      <c r="H573" s="277">
        <f>COUNTIF(H6:H561,"PATI")</f>
        <v>49</v>
      </c>
      <c r="I573" s="371"/>
      <c r="J573" s="278" t="s">
        <v>4546</v>
      </c>
      <c r="K573" s="197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272"/>
      <c r="Y573" s="196"/>
      <c r="Z573" s="196"/>
      <c r="AA573" s="196"/>
      <c r="AB573" s="196"/>
      <c r="AC573" s="272"/>
      <c r="AD573" s="272">
        <v>2023</v>
      </c>
      <c r="AE573" s="272">
        <v>309</v>
      </c>
      <c r="AF573" s="272">
        <v>20</v>
      </c>
      <c r="AG573" s="272">
        <v>6</v>
      </c>
      <c r="AH573" s="272">
        <f t="shared" ref="AH573:AH575" si="14">SUM(AE573:AG573)</f>
        <v>335</v>
      </c>
      <c r="AI573" s="272">
        <v>383</v>
      </c>
      <c r="AJ573" s="272">
        <f t="shared" ref="AJ573:AJ575" si="15">+AI573-AH573</f>
        <v>48</v>
      </c>
      <c r="AK573" s="272"/>
      <c r="AL573" s="272"/>
      <c r="AM573" s="272"/>
      <c r="AN573" s="32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</row>
    <row r="574" spans="1:52" ht="16" thickBot="1" x14ac:dyDescent="0.25">
      <c r="A574" s="274"/>
      <c r="B574" s="31">
        <f>1200000*3</f>
        <v>3600000</v>
      </c>
      <c r="C574" s="31"/>
      <c r="D574" s="197"/>
      <c r="E574" s="197"/>
      <c r="F574" s="31"/>
      <c r="G574" s="277">
        <f>COUNTIF(G6:G561,"REMBANG")</f>
        <v>9</v>
      </c>
      <c r="H574" s="277">
        <f>COUNTIF(H6:H561,"PATI")</f>
        <v>49</v>
      </c>
      <c r="I574" s="371"/>
      <c r="J574" s="278" t="s">
        <v>4547</v>
      </c>
      <c r="K574" s="197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272"/>
      <c r="Y574" s="196"/>
      <c r="Z574" s="196"/>
      <c r="AA574" s="196"/>
      <c r="AB574" s="196"/>
      <c r="AC574" s="272"/>
      <c r="AD574" s="272">
        <v>2024</v>
      </c>
      <c r="AE574" s="272">
        <v>302</v>
      </c>
      <c r="AF574" s="272">
        <v>24</v>
      </c>
      <c r="AG574" s="272">
        <v>7</v>
      </c>
      <c r="AH574" s="272">
        <f t="shared" si="14"/>
        <v>333</v>
      </c>
      <c r="AI574" s="272">
        <v>368</v>
      </c>
      <c r="AJ574" s="272">
        <f t="shared" si="15"/>
        <v>35</v>
      </c>
      <c r="AK574" s="272"/>
      <c r="AL574" s="272"/>
      <c r="AM574" s="272"/>
      <c r="AN574" s="32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</row>
    <row r="575" spans="1:52" ht="16" thickBot="1" x14ac:dyDescent="0.25">
      <c r="A575" s="274"/>
      <c r="B575" s="31"/>
      <c r="C575" s="31"/>
      <c r="D575" s="197"/>
      <c r="E575" s="197"/>
      <c r="F575" s="31"/>
      <c r="G575" s="277">
        <f>COUNTIF(G6:G561,"BLORA")</f>
        <v>16</v>
      </c>
      <c r="H575" s="277">
        <f>COUNTIF(H6:H561,"PATI")</f>
        <v>49</v>
      </c>
      <c r="I575" s="369"/>
      <c r="J575" s="278" t="s">
        <v>4548</v>
      </c>
      <c r="K575" s="197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272"/>
      <c r="Y575" s="196"/>
      <c r="Z575" s="196"/>
      <c r="AA575" s="196"/>
      <c r="AB575" s="196"/>
      <c r="AC575" s="272"/>
      <c r="AD575" s="272">
        <v>2025</v>
      </c>
      <c r="AE575" s="272">
        <v>265</v>
      </c>
      <c r="AF575" s="272">
        <v>16</v>
      </c>
      <c r="AG575" s="272">
        <v>5</v>
      </c>
      <c r="AH575" s="272">
        <f t="shared" si="14"/>
        <v>286</v>
      </c>
      <c r="AI575" s="272">
        <v>292</v>
      </c>
      <c r="AJ575" s="272">
        <f t="shared" si="15"/>
        <v>6</v>
      </c>
      <c r="AK575" s="272"/>
      <c r="AL575" s="272"/>
      <c r="AM575" s="272"/>
      <c r="AN575" s="32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</row>
    <row r="576" spans="1:52" x14ac:dyDescent="0.2">
      <c r="A576" s="274"/>
      <c r="B576" s="31"/>
      <c r="C576" s="31"/>
      <c r="D576" s="197"/>
      <c r="E576" s="197"/>
      <c r="F576" s="31"/>
      <c r="G576" s="303">
        <f>SUM(G570:G575)</f>
        <v>57</v>
      </c>
      <c r="H576" s="303">
        <f>SUM(H570:H575)</f>
        <v>294</v>
      </c>
      <c r="I576" s="299" t="s">
        <v>4541</v>
      </c>
      <c r="J576" s="278"/>
      <c r="K576" s="197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272"/>
      <c r="Y576" s="196"/>
      <c r="Z576" s="196"/>
      <c r="AA576" s="196"/>
      <c r="AB576" s="196"/>
      <c r="AC576" s="272"/>
      <c r="AD576" s="272"/>
      <c r="AE576" s="272"/>
      <c r="AF576" s="272"/>
      <c r="AG576" s="272"/>
      <c r="AH576" s="272"/>
      <c r="AI576" s="272"/>
      <c r="AJ576" s="272"/>
      <c r="AK576" s="272"/>
      <c r="AL576" s="272"/>
      <c r="AM576" s="272"/>
      <c r="AN576" s="32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</row>
    <row r="577" spans="5:10" ht="16" thickBot="1" x14ac:dyDescent="0.25"/>
    <row r="578" spans="5:10" ht="16" thickBot="1" x14ac:dyDescent="0.25">
      <c r="G578" s="277">
        <f>COUNTIF(G6:G561,"SURAKARTA")</f>
        <v>20</v>
      </c>
      <c r="H578" s="277">
        <f>COUNTIF(H6:H561,"SURAKARTA")</f>
        <v>59</v>
      </c>
      <c r="I578" s="370" t="s">
        <v>4549</v>
      </c>
      <c r="J578" s="278" t="s">
        <v>4550</v>
      </c>
    </row>
    <row r="579" spans="5:10" ht="16" thickBot="1" x14ac:dyDescent="0.25">
      <c r="G579" s="277">
        <f>COUNTIF(G6:G561,"BOYOLALI")</f>
        <v>6</v>
      </c>
      <c r="H579" s="277">
        <f>COUNTIF(H6:H561,"BOYOLALI")</f>
        <v>0</v>
      </c>
      <c r="I579" s="371"/>
      <c r="J579" s="278" t="s">
        <v>4551</v>
      </c>
    </row>
    <row r="580" spans="5:10" ht="16" thickBot="1" x14ac:dyDescent="0.25">
      <c r="E580">
        <f>10+24</f>
        <v>34</v>
      </c>
      <c r="G580" s="277">
        <f>COUNTIF(G6:G561,"KLATEN")</f>
        <v>13</v>
      </c>
      <c r="H580" s="277">
        <f>COUNTIF(H6:H561,"SURAKARTA")</f>
        <v>59</v>
      </c>
      <c r="I580" s="371"/>
      <c r="J580" s="278" t="s">
        <v>4552</v>
      </c>
    </row>
    <row r="581" spans="5:10" ht="16" thickBot="1" x14ac:dyDescent="0.25">
      <c r="G581" s="277">
        <f>COUNTIF(G6:G561,"SUKOHARJO")</f>
        <v>10</v>
      </c>
      <c r="H581" s="277">
        <f>COUNTIF(H6:H561,"SURAKARTA")</f>
        <v>59</v>
      </c>
      <c r="I581" s="371"/>
      <c r="J581" s="278" t="s">
        <v>4553</v>
      </c>
    </row>
    <row r="582" spans="5:10" ht="16" thickBot="1" x14ac:dyDescent="0.25">
      <c r="G582" s="277">
        <f>COUNTIF(G6:G561,"KARANGANYAR")</f>
        <v>7</v>
      </c>
      <c r="H582" s="277">
        <f>COUNTIF(H6:H561,"SURAKARTA")</f>
        <v>59</v>
      </c>
      <c r="I582" s="371"/>
      <c r="J582" s="278" t="s">
        <v>4693</v>
      </c>
    </row>
    <row r="583" spans="5:10" ht="16" thickBot="1" x14ac:dyDescent="0.25">
      <c r="G583" s="277">
        <f>COUNTIF(G6:G561,"SRAGEN")</f>
        <v>2</v>
      </c>
      <c r="H583" s="277">
        <f>COUNTIF(H6:H561,"SURAKARTA")</f>
        <v>59</v>
      </c>
      <c r="I583" s="371"/>
      <c r="J583" s="278" t="s">
        <v>4694</v>
      </c>
    </row>
    <row r="584" spans="5:10" ht="16" thickBot="1" x14ac:dyDescent="0.25">
      <c r="G584" s="277">
        <f>COUNTIF(G6:G561,"WONOGIRI")</f>
        <v>1</v>
      </c>
      <c r="H584" s="277">
        <f>COUNTIF(H6:H561,"SURAKARTA")</f>
        <v>59</v>
      </c>
      <c r="I584" s="369"/>
      <c r="J584" s="278" t="s">
        <v>4555</v>
      </c>
    </row>
    <row r="585" spans="5:10" ht="16" thickBot="1" x14ac:dyDescent="0.25">
      <c r="G585" s="303">
        <f>SUM(G578:G584)</f>
        <v>59</v>
      </c>
      <c r="H585" s="303">
        <f>SUM(H578:H584)</f>
        <v>354</v>
      </c>
      <c r="I585" s="299" t="s">
        <v>4541</v>
      </c>
      <c r="J585" s="278"/>
    </row>
    <row r="586" spans="5:10" ht="16" thickBot="1" x14ac:dyDescent="0.25">
      <c r="G586" s="277"/>
      <c r="H586" s="277"/>
      <c r="I586" s="301"/>
      <c r="J586" s="278"/>
    </row>
    <row r="587" spans="5:10" ht="16" thickBot="1" x14ac:dyDescent="0.25">
      <c r="G587" s="277">
        <f>COUNTIF(G6:G561,"MAGELANG")</f>
        <v>29</v>
      </c>
      <c r="H587" s="277">
        <f>COUNTIF(H6:H561,"KEDU")</f>
        <v>64</v>
      </c>
      <c r="I587" s="370" t="s">
        <v>4556</v>
      </c>
      <c r="J587" s="304" t="s">
        <v>4557</v>
      </c>
    </row>
    <row r="588" spans="5:10" ht="16" thickBot="1" x14ac:dyDescent="0.25">
      <c r="G588" s="277">
        <f>COUNTIF(G6:G561,"PURWOREJO")</f>
        <v>8</v>
      </c>
      <c r="H588" s="277">
        <f>COUNTIF(H6:H561,"KEDU")</f>
        <v>64</v>
      </c>
      <c r="I588" s="371"/>
      <c r="J588" s="278" t="s">
        <v>4558</v>
      </c>
    </row>
    <row r="589" spans="5:10" ht="16" thickBot="1" x14ac:dyDescent="0.25">
      <c r="G589" s="277">
        <f>COUNTIF(G6:G561,"TEMANGGUNG")</f>
        <v>10</v>
      </c>
      <c r="H589" s="277">
        <f>COUNTIF(H6:H561,"KEDU")</f>
        <v>64</v>
      </c>
      <c r="I589" s="371"/>
      <c r="J589" s="278" t="s">
        <v>4559</v>
      </c>
    </row>
    <row r="590" spans="5:10" ht="16" thickBot="1" x14ac:dyDescent="0.25">
      <c r="G590" s="277">
        <f>COUNTIF(G6:G561,"KEBUMEN")</f>
        <v>11</v>
      </c>
      <c r="H590" s="277">
        <f>COUNTIF(H6:H561,"KEDU")</f>
        <v>64</v>
      </c>
      <c r="I590" s="371"/>
      <c r="J590" s="278" t="s">
        <v>4560</v>
      </c>
    </row>
    <row r="591" spans="5:10" ht="16" thickBot="1" x14ac:dyDescent="0.25">
      <c r="G591" s="277">
        <f>COUNTIF(G6:G561,"WONOSOBO")</f>
        <v>6</v>
      </c>
      <c r="H591" s="277">
        <f>COUNTIF(H6:H561,"KEDU")</f>
        <v>64</v>
      </c>
      <c r="I591" s="369"/>
      <c r="J591" s="278" t="s">
        <v>4561</v>
      </c>
    </row>
    <row r="592" spans="5:10" ht="16" thickBot="1" x14ac:dyDescent="0.25">
      <c r="G592" s="303">
        <f>SUM(G587:G591)</f>
        <v>64</v>
      </c>
      <c r="H592" s="303">
        <f>SUM(H587:H591)</f>
        <v>320</v>
      </c>
      <c r="I592" s="299" t="s">
        <v>4541</v>
      </c>
      <c r="J592" s="304"/>
    </row>
    <row r="593" spans="7:27" ht="16" thickBot="1" x14ac:dyDescent="0.25">
      <c r="G593" s="277"/>
      <c r="H593" s="277"/>
      <c r="I593" s="301"/>
      <c r="J593" s="304"/>
    </row>
    <row r="594" spans="7:27" ht="16" thickBot="1" x14ac:dyDescent="0.25">
      <c r="G594" s="277">
        <f>COUNTIF(G6:G561,"PURWOKERTO")</f>
        <v>9</v>
      </c>
      <c r="H594" s="277">
        <f>COUNTIF(H6:H561,"BANYUMAS")</f>
        <v>22</v>
      </c>
      <c r="I594" s="367" t="s">
        <v>4562</v>
      </c>
      <c r="J594" s="278" t="s">
        <v>4563</v>
      </c>
    </row>
    <row r="595" spans="7:27" ht="16" thickBot="1" x14ac:dyDescent="0.25">
      <c r="G595" s="277">
        <f>COUNTIF(G6:G561,"BANJARNEGARA")</f>
        <v>5</v>
      </c>
      <c r="H595" s="277">
        <f>COUNTIF(H6:H561,"BANYUMAS")</f>
        <v>22</v>
      </c>
      <c r="I595" s="368"/>
      <c r="J595" s="278" t="s">
        <v>4564</v>
      </c>
    </row>
    <row r="596" spans="7:27" ht="16" thickBot="1" x14ac:dyDescent="0.25">
      <c r="G596" s="277">
        <f>COUNTIF(G6:G561,"CILACAP")</f>
        <v>6</v>
      </c>
      <c r="H596" s="277">
        <f>COUNTIF(H6:H561,"BANYUMAS")</f>
        <v>22</v>
      </c>
      <c r="I596" s="368"/>
      <c r="J596" s="278" t="s">
        <v>4565</v>
      </c>
    </row>
    <row r="597" spans="7:27" ht="16" thickBot="1" x14ac:dyDescent="0.25">
      <c r="G597" s="277">
        <f>COUNTIF(G6:G561,"PURBALINGGA")</f>
        <v>2</v>
      </c>
      <c r="H597" s="277">
        <f>COUNTIF(H6:H561,"PURBALINGGA")</f>
        <v>0</v>
      </c>
      <c r="I597" s="369"/>
      <c r="J597" s="278" t="s">
        <v>4566</v>
      </c>
    </row>
    <row r="598" spans="7:27" ht="16" thickBot="1" x14ac:dyDescent="0.25">
      <c r="G598" s="305">
        <f>SUM(G594:G597)</f>
        <v>22</v>
      </c>
      <c r="H598" s="305">
        <f>SUM(H594:H597)</f>
        <v>66</v>
      </c>
      <c r="I598" s="299" t="s">
        <v>4541</v>
      </c>
      <c r="J598" s="278"/>
    </row>
    <row r="599" spans="7:27" ht="16" thickBot="1" x14ac:dyDescent="0.25">
      <c r="G599" s="277"/>
      <c r="H599" s="277"/>
      <c r="I599" s="10"/>
      <c r="J599" s="278"/>
    </row>
    <row r="600" spans="7:27" ht="16" thickBot="1" x14ac:dyDescent="0.25">
      <c r="G600" s="277">
        <f>COUNTIF(G6:G561,"BREBES")</f>
        <v>17</v>
      </c>
      <c r="H600" s="277">
        <f>COUNTIF(H6:H561,"PEKALONGAN")</f>
        <v>99</v>
      </c>
      <c r="I600" s="370" t="s">
        <v>4567</v>
      </c>
      <c r="J600" s="278" t="s">
        <v>4568</v>
      </c>
    </row>
    <row r="601" spans="7:27" ht="16" thickBot="1" x14ac:dyDescent="0.25">
      <c r="G601" s="277">
        <f>COUNTIF(G6:G561,"TEGAL")</f>
        <v>34</v>
      </c>
      <c r="H601" s="277">
        <f>COUNTIF(H6:H561,"PEKALONGAN")</f>
        <v>99</v>
      </c>
      <c r="I601" s="371"/>
      <c r="J601" s="278" t="s">
        <v>4569</v>
      </c>
    </row>
    <row r="602" spans="7:27" ht="16" thickBot="1" x14ac:dyDescent="0.25">
      <c r="G602" s="277">
        <f>COUNTIF(G7:G562,"PEMALANG")</f>
        <v>6</v>
      </c>
      <c r="H602" s="277">
        <f>COUNTIF(H7:H562,"PEKALONGAN")</f>
        <v>98</v>
      </c>
      <c r="I602" s="330"/>
      <c r="J602" s="278" t="s">
        <v>4690</v>
      </c>
    </row>
    <row r="603" spans="7:27" ht="16" thickBot="1" x14ac:dyDescent="0.25">
      <c r="G603" s="277">
        <f>COUNTIF(G8:G563,"PEKALONGAN")</f>
        <v>23</v>
      </c>
      <c r="H603" s="277">
        <f>COUNTIF(H8:H563,"PEKALONGAN")</f>
        <v>98</v>
      </c>
      <c r="I603" s="330"/>
      <c r="J603" s="278" t="s">
        <v>4691</v>
      </c>
    </row>
    <row r="604" spans="7:27" ht="16" thickBot="1" x14ac:dyDescent="0.25">
      <c r="G604" s="277">
        <f>COUNTIF(G9:G564,"BATANG")</f>
        <v>19</v>
      </c>
      <c r="H604" s="277">
        <f>COUNTIF(H9:H564,"PEKALONGAN")</f>
        <v>98</v>
      </c>
      <c r="I604" s="331"/>
      <c r="J604" s="278" t="s">
        <v>4689</v>
      </c>
    </row>
    <row r="605" spans="7:27" x14ac:dyDescent="0.2">
      <c r="G605" s="305">
        <f>SUM(G600:G604)</f>
        <v>99</v>
      </c>
      <c r="H605" s="305">
        <f>SUM(H601:H604)</f>
        <v>393</v>
      </c>
      <c r="I605" s="299" t="s">
        <v>4541</v>
      </c>
      <c r="Z605" t="s">
        <v>4595</v>
      </c>
      <c r="AA605">
        <v>3</v>
      </c>
    </row>
    <row r="606" spans="7:27" x14ac:dyDescent="0.2">
      <c r="Z606" t="s">
        <v>4596</v>
      </c>
      <c r="AA606">
        <v>1</v>
      </c>
    </row>
    <row r="607" spans="7:27" x14ac:dyDescent="0.2">
      <c r="Y607" t="s">
        <v>4570</v>
      </c>
      <c r="Z607" s="306" t="s">
        <v>4597</v>
      </c>
      <c r="AA607">
        <v>1</v>
      </c>
    </row>
    <row r="608" spans="7:27" x14ac:dyDescent="0.2">
      <c r="G608" s="277">
        <f>COUNTIF(G6:G561,"SEMARANG")</f>
        <v>240</v>
      </c>
      <c r="H608" s="277">
        <f>COUNTIF(H13:H568,"SEMARANG")</f>
        <v>238</v>
      </c>
      <c r="Y608" t="s">
        <v>4571</v>
      </c>
      <c r="Z608" s="306" t="s">
        <v>4598</v>
      </c>
      <c r="AA608">
        <v>1</v>
      </c>
    </row>
    <row r="609" spans="7:27" x14ac:dyDescent="0.2">
      <c r="Z609" s="306" t="s">
        <v>4602</v>
      </c>
      <c r="AA609">
        <v>1</v>
      </c>
    </row>
    <row r="610" spans="7:27" x14ac:dyDescent="0.2">
      <c r="G610">
        <f>+G568+G576+G585+G592+G598+G605+G608</f>
        <v>561</v>
      </c>
      <c r="Y610" t="s">
        <v>4572</v>
      </c>
      <c r="Z610" s="306" t="s">
        <v>4599</v>
      </c>
      <c r="AA610">
        <v>1</v>
      </c>
    </row>
    <row r="611" spans="7:27" x14ac:dyDescent="0.2">
      <c r="Y611" t="s">
        <v>4573</v>
      </c>
      <c r="Z611" s="306" t="s">
        <v>4600</v>
      </c>
      <c r="AA611">
        <v>2</v>
      </c>
    </row>
    <row r="612" spans="7:27" x14ac:dyDescent="0.2">
      <c r="Z612" s="306" t="s">
        <v>4601</v>
      </c>
      <c r="AA612">
        <v>1</v>
      </c>
    </row>
    <row r="613" spans="7:27" x14ac:dyDescent="0.2">
      <c r="Z613" s="306" t="s">
        <v>4603</v>
      </c>
      <c r="AA613">
        <v>2</v>
      </c>
    </row>
    <row r="614" spans="7:27" x14ac:dyDescent="0.2">
      <c r="Z614" s="308" t="s">
        <v>4541</v>
      </c>
      <c r="AA614" s="309">
        <f>SUM(AA605:AA613)</f>
        <v>13</v>
      </c>
    </row>
    <row r="615" spans="7:27" x14ac:dyDescent="0.2">
      <c r="Z615" s="306"/>
    </row>
    <row r="616" spans="7:27" x14ac:dyDescent="0.2">
      <c r="Z616" s="306"/>
    </row>
  </sheetData>
  <mergeCells count="31">
    <mergeCell ref="I594:I597"/>
    <mergeCell ref="I600:I601"/>
    <mergeCell ref="AK3:AK4"/>
    <mergeCell ref="I563:I567"/>
    <mergeCell ref="AN566:AX566"/>
    <mergeCell ref="I570:I575"/>
    <mergeCell ref="I578:I584"/>
    <mergeCell ref="I587:I591"/>
    <mergeCell ref="AE3:AE4"/>
    <mergeCell ref="AF3:AF4"/>
    <mergeCell ref="AG3:AG4"/>
    <mergeCell ref="AH3:AH4"/>
    <mergeCell ref="AI3:AI4"/>
    <mergeCell ref="AJ3:AJ4"/>
    <mergeCell ref="J3:J4"/>
    <mergeCell ref="K3:K4"/>
    <mergeCell ref="L3:L4"/>
    <mergeCell ref="M3:N3"/>
    <mergeCell ref="O3:O4"/>
    <mergeCell ref="P3:P4"/>
    <mergeCell ref="A1:AN1"/>
    <mergeCell ref="A2:AN2"/>
    <mergeCell ref="A3:A4"/>
    <mergeCell ref="B3:B4"/>
    <mergeCell ref="C3:C4"/>
    <mergeCell ref="D3:D4"/>
    <mergeCell ref="F3:F4"/>
    <mergeCell ref="G3:G4"/>
    <mergeCell ref="H3:H4"/>
    <mergeCell ref="I3:I4"/>
    <mergeCell ref="AD3:AD4"/>
  </mergeCells>
  <hyperlinks>
    <hyperlink ref="Y560" r:id="rId1" xr:uid="{79C6710E-37B5-4E27-A1C1-FE099623016B}"/>
    <hyperlink ref="Y266" r:id="rId2" xr:uid="{AF907866-F395-452A-880B-E633BB34C1A1}"/>
    <hyperlink ref="Y284" r:id="rId3" xr:uid="{2F75EC3B-7668-484F-BE59-91A4CD1FC789}"/>
    <hyperlink ref="Y61" r:id="rId4" xr:uid="{414F8EFF-6699-4BEF-8414-81EC8033F066}"/>
    <hyperlink ref="Y9" r:id="rId5" xr:uid="{F18281C5-0978-402C-9F41-6441B67C4DA8}"/>
    <hyperlink ref="Y521" r:id="rId6" xr:uid="{26C3CACB-B526-4D3A-BB10-A9CC5283534B}"/>
    <hyperlink ref="Y328" r:id="rId7" xr:uid="{77E94BF7-AA65-4D7B-9B06-49CBD737B58C}"/>
    <hyperlink ref="Y257" r:id="rId8" xr:uid="{B1C81CBE-B006-495F-8FE0-1B0AEABFA0CC}"/>
    <hyperlink ref="Y357" r:id="rId9" xr:uid="{6745A2F3-6DC3-4A3D-A6B9-B8D67183AA42}"/>
    <hyperlink ref="Y409" r:id="rId10" xr:uid="{0E7A6EA8-8950-42F3-B388-05049C8EFBE4}"/>
    <hyperlink ref="Y439" r:id="rId11" xr:uid="{26D64F61-91D4-4FCB-8CF1-F846C8BBB9F5}"/>
    <hyperlink ref="Y434" r:id="rId12" xr:uid="{D1DD61F8-26FD-4C50-831E-C8BF1DFE5C17}"/>
    <hyperlink ref="Y511" r:id="rId13" xr:uid="{7DEDCEF8-7D1F-4D3A-84CD-04BF92694C01}"/>
    <hyperlink ref="Y184" r:id="rId14" xr:uid="{D88B8D14-0DAA-4A2D-A8CB-27253BF8E3D2}"/>
    <hyperlink ref="Y249" r:id="rId15" xr:uid="{CB798CA0-150F-4BBE-86D5-8968FFE88EA1}"/>
    <hyperlink ref="Y230" r:id="rId16" xr:uid="{5CC8342A-5E8F-48EE-B080-3EF4CEB29D87}"/>
    <hyperlink ref="Y519" r:id="rId17" xr:uid="{BEC7DAE7-FBBC-41AA-ACE2-B28B6DE291BB}"/>
    <hyperlink ref="Y502" r:id="rId18" xr:uid="{23013962-243D-4F44-8813-581C1FAF89BA}"/>
    <hyperlink ref="Y14" r:id="rId19" xr:uid="{F7B1FDDD-18BE-4B71-8F5F-68840AE7C02C}"/>
    <hyperlink ref="Y305" r:id="rId20" xr:uid="{A5985FA6-11F2-478D-92EC-535D0AF55445}"/>
    <hyperlink ref="Y304" r:id="rId21" xr:uid="{28ECE85E-D1B1-44A5-BD50-128C187AE47E}"/>
    <hyperlink ref="Y229" r:id="rId22" xr:uid="{E3548FF8-9C49-4702-B678-264E18EE70A6}"/>
    <hyperlink ref="Y96" r:id="rId23" xr:uid="{C312DC96-76B7-4176-AF85-5711E3F05102}"/>
    <hyperlink ref="Y141" r:id="rId24" xr:uid="{F6C83FF2-6A4A-4DC6-93EF-4DB43DC2C3EA}"/>
    <hyperlink ref="Y158" r:id="rId25" xr:uid="{00C2F158-BFF5-41F3-B77C-39910F8057D7}"/>
    <hyperlink ref="Y240" r:id="rId26" xr:uid="{3CC4C22D-6FFA-4886-B972-631325048535}"/>
    <hyperlink ref="Y77" r:id="rId27" xr:uid="{536707B7-002C-4F09-85C0-77ED0AD8262C}"/>
    <hyperlink ref="Y17" r:id="rId28" xr:uid="{FD548103-8C80-4730-AEFD-BE9112627AF8}"/>
    <hyperlink ref="Y94" r:id="rId29" xr:uid="{3B006354-D409-491F-B6BB-13C37789AA54}"/>
    <hyperlink ref="Y455" r:id="rId30" xr:uid="{1DF2FDC2-DD38-41C6-9744-F1E3096238B3}"/>
    <hyperlink ref="Y457" r:id="rId31" xr:uid="{818E5938-0614-4945-9A03-68CC6090254D}"/>
    <hyperlink ref="Y427" r:id="rId32" xr:uid="{FA55B39D-CD71-4879-A921-2747A7A99878}"/>
    <hyperlink ref="Y426" r:id="rId33" xr:uid="{2B3FA9D0-0B0E-4882-AEAC-D7D6CD1A0DF1}"/>
    <hyperlink ref="Y366" r:id="rId34" xr:uid="{4AC22444-2053-43A5-B3FD-77BBB9C3248A}"/>
    <hyperlink ref="Y140" r:id="rId35" xr:uid="{A9C97D98-46B3-4972-BC2F-8DAE28A7AB9A}"/>
    <hyperlink ref="Y204" r:id="rId36" xr:uid="{ACD29BF0-5706-4D20-AE0E-82074C022BC5}"/>
    <hyperlink ref="Y450" r:id="rId37" xr:uid="{0C4B806A-A952-44DF-BCF4-613A9191F3CC}"/>
    <hyperlink ref="Y267" r:id="rId38" xr:uid="{DAC22DDE-C62D-4F6A-AB7C-7AECAB13C5AE}"/>
    <hyperlink ref="Y356" r:id="rId39" xr:uid="{F021A022-86FD-42F9-ACB4-03A0F828C185}"/>
    <hyperlink ref="Y507" r:id="rId40" xr:uid="{896B1EBA-9447-4D63-AEB7-AF038D991506}"/>
    <hyperlink ref="Y120" r:id="rId41" xr:uid="{0F0FDFA4-F74C-4D97-9E82-66601EC74124}"/>
    <hyperlink ref="Y6" r:id="rId42" xr:uid="{5239D04F-B67F-4B66-9E14-72D453BADE1F}"/>
    <hyperlink ref="Y526" r:id="rId43" xr:uid="{D8B81F45-1EE2-4037-A0C0-E2AA1BAE122F}"/>
    <hyperlink ref="Y65" r:id="rId44" xr:uid="{4BB9DFF0-2057-45D5-9590-FCD6BE4DDB78}"/>
    <hyperlink ref="Y146" r:id="rId45" xr:uid="{4BB64767-1936-4509-B979-BFB367D1300A}"/>
    <hyperlink ref="Y361" r:id="rId46" xr:uid="{B9D2136E-B6D5-4658-9349-0520D8D28624}"/>
    <hyperlink ref="Y461" r:id="rId47" xr:uid="{A01AD484-DF34-458C-B12A-A686EBAE1CF4}"/>
    <hyperlink ref="Y268" r:id="rId48" xr:uid="{3BB525A8-1862-4FF9-A8C9-2D6B427150DE}"/>
    <hyperlink ref="Y415" r:id="rId49" xr:uid="{BB06E5E1-1082-4E88-90E4-1AC2A682A41C}"/>
    <hyperlink ref="Y504" r:id="rId50" xr:uid="{B874A9B4-A6EF-4456-8767-598F80EC2528}"/>
    <hyperlink ref="Y83" r:id="rId51" xr:uid="{00B5E667-A59E-4EA8-959E-1174E5F411EE}"/>
    <hyperlink ref="Y138" r:id="rId52" xr:uid="{D8DAFBC8-2DF7-46EA-B41C-DA55964028D6}"/>
    <hyperlink ref="Y40" r:id="rId53" xr:uid="{26E43414-278C-43D3-8BCB-95182781D157}"/>
    <hyperlink ref="Y27" r:id="rId54" xr:uid="{6A318BDD-B572-4F7B-8099-42627081F6C7}"/>
    <hyperlink ref="Y52" r:id="rId55" xr:uid="{E807CD2F-CAD9-42C8-9C2D-F1693488C9A9}"/>
    <hyperlink ref="Y44" r:id="rId56" xr:uid="{E537FEFF-1424-4510-B7F8-AFB87662CE78}"/>
    <hyperlink ref="Y36" r:id="rId57" xr:uid="{6656FBD8-8555-463D-B709-5485C4E5A032}"/>
    <hyperlink ref="Y86" r:id="rId58" xr:uid="{F28E5117-8947-4258-BA1C-849FEF5BA3D6}"/>
    <hyperlink ref="Y106" r:id="rId59" xr:uid="{F997554A-8C51-4EAB-9DDA-33993A583A8E}"/>
    <hyperlink ref="Y85" r:id="rId60" xr:uid="{387F1B99-6D02-4959-804C-A0D827A9846A}"/>
    <hyperlink ref="Y144" r:id="rId61" xr:uid="{B68C044A-D1BB-4632-AE2C-686E89EABD1B}"/>
    <hyperlink ref="Y452" r:id="rId62" xr:uid="{BC390C5E-C638-4E67-8FB7-58F9308E684D}"/>
    <hyperlink ref="Y118" r:id="rId63" xr:uid="{B89A44E8-E195-43A4-84B8-D2E25270C0B6}"/>
    <hyperlink ref="Y169" r:id="rId64" xr:uid="{EB9F9D61-62AB-40CD-8DC3-1FC285E0F896}"/>
    <hyperlink ref="Y174" r:id="rId65" xr:uid="{7B6A8F66-F6CE-4FE8-B7E5-5C30AAD4FB20}"/>
    <hyperlink ref="Y179" r:id="rId66" xr:uid="{C0BCAE95-802D-412C-A01C-40BC562E93DC}"/>
    <hyperlink ref="Y181" r:id="rId67" xr:uid="{80919E62-96F9-48C1-93C2-F00F80E78347}"/>
    <hyperlink ref="Y226" r:id="rId68" xr:uid="{82084632-FB21-45A4-8DAC-D6EA5A09C0F4}"/>
    <hyperlink ref="Y203" r:id="rId69" xr:uid="{2B57DE3E-45E0-4A53-B7CA-04A0DD44A5D3}"/>
    <hyperlink ref="Y206" r:id="rId70" xr:uid="{39EBCA36-4EEA-4AE4-8FA7-92EC36AE371E}"/>
    <hyperlink ref="Y214" r:id="rId71" xr:uid="{ECFF5636-4972-4734-B05C-F779AAFD2AC0}"/>
    <hyperlink ref="Y216" r:id="rId72" xr:uid="{B8714047-C0A7-4AFE-A3EA-CFBC9A1791D7}"/>
    <hyperlink ref="Y561" r:id="rId73" xr:uid="{27515CC0-8559-455D-B11B-04B3DD6CE396}"/>
    <hyperlink ref="Y247" r:id="rId74" xr:uid="{7C9B221B-457C-4F1B-B4D2-FDE24AD64F96}"/>
    <hyperlink ref="Y250" r:id="rId75" xr:uid="{4161AE8F-8CE6-4311-B87E-912FE1611EC8}"/>
    <hyperlink ref="Y261" r:id="rId76" xr:uid="{39A07AF7-98C2-4BB8-ABBE-A3905E48D256}"/>
    <hyperlink ref="Y271" r:id="rId77" xr:uid="{4798FD7A-2DF2-42D7-98F6-0AA5D32A6FB5}"/>
    <hyperlink ref="Y350" r:id="rId78" xr:uid="{A0246B8E-2FC5-4817-B6BF-1E8AC9CF5D7F}"/>
    <hyperlink ref="Y353" r:id="rId79" xr:uid="{BFA1A3DE-83E2-43A7-83FB-3AA5A0E80D39}"/>
    <hyperlink ref="Y332" r:id="rId80" xr:uid="{3A2F957E-25E9-4A3E-BEAC-D04BC40D5FA6}"/>
    <hyperlink ref="Y384" r:id="rId81" xr:uid="{B528F826-13EC-4386-9496-48AD9927625F}"/>
    <hyperlink ref="Y412" r:id="rId82" xr:uid="{2A08282C-CB62-4175-8929-0056E7F6B36B}"/>
    <hyperlink ref="Y451" r:id="rId83" xr:uid="{B515BF3F-5B76-431E-BFAE-9E455D4D99C9}"/>
    <hyperlink ref="Y494" r:id="rId84" xr:uid="{9679217A-B7ED-4309-AB7A-40B0C563AC80}"/>
    <hyperlink ref="Y492" r:id="rId85" xr:uid="{8F8B5F59-A724-4063-BE1D-F27D2104B194}"/>
    <hyperlink ref="Y523" r:id="rId86" xr:uid="{6A912C17-3B20-4BE3-AB17-07724353CECE}"/>
    <hyperlink ref="Y508" r:id="rId87" xr:uid="{4D610EE5-297B-4584-ABB7-C0C9EBF918CE}"/>
    <hyperlink ref="Y522" r:id="rId88" xr:uid="{0411999F-D346-4005-B5F0-9AA934E72F83}"/>
    <hyperlink ref="Y536" r:id="rId89" xr:uid="{FC239EA4-392F-4E7D-A685-6E53B0320062}"/>
    <hyperlink ref="Y545" r:id="rId90" xr:uid="{B5E8BF9D-8079-45E0-96CE-97924A69B4A6}"/>
    <hyperlink ref="Y559" r:id="rId91" xr:uid="{D8FC49A9-98F0-41E2-97CA-F38CA23AEA9F}"/>
    <hyperlink ref="Y437" r:id="rId92" xr:uid="{C5425200-B7D8-4492-8B7A-97C0BCA23471}"/>
    <hyperlink ref="Y232" r:id="rId93" xr:uid="{0F96F68C-7386-4596-AF56-0323601F4F25}"/>
    <hyperlink ref="Y344" r:id="rId94" xr:uid="{998C0AEF-855B-4BCF-B87B-DEB0F71EAB2A}"/>
    <hyperlink ref="Y26" r:id="rId95" xr:uid="{0EC75AFE-56EC-43F6-BA93-EAB414882648}"/>
    <hyperlink ref="Y503" r:id="rId96" xr:uid="{4935464F-1CE9-4FB7-B815-121BF1A9E244}"/>
    <hyperlink ref="Y117" r:id="rId97" xr:uid="{13B1258A-147E-419D-82DD-E2710C8903F5}"/>
    <hyperlink ref="Y535" r:id="rId98" xr:uid="{C04EBE56-8081-4A29-9AFD-80113464F03E}"/>
    <hyperlink ref="Y319" r:id="rId99" xr:uid="{CA286B7E-14B6-40C1-80A7-38FCF7C003E4}"/>
    <hyperlink ref="Y490" r:id="rId100" xr:uid="{8A7BE242-456A-4EC4-8338-F63CB49F30D2}"/>
    <hyperlink ref="Y340" r:id="rId101" xr:uid="{962A4E75-30A6-4D07-BE29-DC69C9F1089C}"/>
    <hyperlink ref="Y188" r:id="rId102" xr:uid="{735668AC-3EAB-411C-8F1D-24F8CB5157B6}"/>
    <hyperlink ref="Y195" r:id="rId103" xr:uid="{71A203C3-2521-4C41-8CB5-B782AF383888}"/>
    <hyperlink ref="Y175" r:id="rId104" xr:uid="{A64C1613-E633-452F-A587-F07E3AF0039D}"/>
    <hyperlink ref="Y274" r:id="rId105" xr:uid="{5E46E553-631F-4C7F-A03B-34CC220EBFF9}"/>
    <hyperlink ref="Y87" r:id="rId106" xr:uid="{EFC4EAAB-5BC7-489D-8DF6-A8CCD71CEAB0}"/>
    <hyperlink ref="Y63" r:id="rId107" xr:uid="{DDC4C85F-D7A4-4478-88E0-EAE89BF65F22}"/>
    <hyperlink ref="Y22" r:id="rId108" xr:uid="{69CC53E6-5798-44BF-866B-AAF0D43681D6}"/>
    <hyperlink ref="Y300" r:id="rId109" xr:uid="{1E92C8BA-BCCB-494D-B889-D57F79B92D63}"/>
    <hyperlink ref="Y168" r:id="rId110" xr:uid="{0DD745C7-F178-4ADA-B972-9184398F483A}"/>
    <hyperlink ref="Y312" r:id="rId111" xr:uid="{BB17FB14-3057-45F9-A06A-12C68B50DE11}"/>
    <hyperlink ref="Y234" r:id="rId112" xr:uid="{4F3AE8C5-20C7-4820-999B-82F154A24FD3}"/>
    <hyperlink ref="Y112" r:id="rId113" xr:uid="{CDE8510A-C56F-45BE-AB12-29AAFF3A0BB0}"/>
    <hyperlink ref="Y473" r:id="rId114" xr:uid="{03ABE5DE-7C71-4394-B884-42EB80486E27}"/>
    <hyperlink ref="Y440" r:id="rId115" xr:uid="{1785787C-C515-44C3-AB7D-188C44255FF1}"/>
    <hyperlink ref="Y275" r:id="rId116" xr:uid="{F1BEC1AE-DFDE-4C86-B8E5-16306E2747CE}"/>
    <hyperlink ref="Y470" r:id="rId117" xr:uid="{9A31CB8A-E7D2-49E8-A0A2-A90E71688807}"/>
    <hyperlink ref="Y265" r:id="rId118" xr:uid="{FA02CCB7-C04F-4550-9F39-E3C38B2D8911}"/>
    <hyperlink ref="Y431" r:id="rId119" xr:uid="{9A9BE003-DF1F-4FD8-81C2-E24051E309EA}"/>
    <hyperlink ref="Y377" r:id="rId120" xr:uid="{5CED8513-DC44-48E3-9A50-0A1851E2784E}"/>
    <hyperlink ref="Y278" r:id="rId121" xr:uid="{16EEE6D8-507A-4D16-8690-D51055E23BA3}"/>
    <hyperlink ref="Y148" r:id="rId122" xr:uid="{469EC177-CC3E-4976-B744-4A502D9EC054}"/>
    <hyperlink ref="Y496" r:id="rId123" xr:uid="{861B3B35-A25D-4799-B620-AA981AE27A48}"/>
    <hyperlink ref="Y103" r:id="rId124" xr:uid="{0C7207DB-CDED-4D7C-B447-51D89D567D62}"/>
    <hyperlink ref="Y239" r:id="rId125" xr:uid="{547A25D0-1C10-45CD-9739-458D97D569A5}"/>
    <hyperlink ref="Y513" r:id="rId126" xr:uid="{602523F4-2A88-4B2A-A8F6-8B34B0D5346B}"/>
    <hyperlink ref="Y355" r:id="rId127" xr:uid="{2CC04320-D0C5-46BE-AB98-E479964A6BDC}"/>
    <hyperlink ref="Y387" r:id="rId128" xr:uid="{50ACADBA-F170-40C8-9A27-76CA22C0EDBB}"/>
    <hyperlink ref="Y333" r:id="rId129" xr:uid="{E1B07C84-6CD4-42F2-A649-E102CD32A9A9}"/>
    <hyperlink ref="Y159" r:id="rId130" xr:uid="{3C51D072-4075-4360-B43D-75C4EE74BD27}"/>
    <hyperlink ref="Y349" r:id="rId131" xr:uid="{F2BF53C4-6140-46FF-9689-8D21801E8726}"/>
    <hyperlink ref="Y90" r:id="rId132" xr:uid="{E7BC1925-250C-4A69-9A06-3BF8CBC82479}"/>
    <hyperlink ref="Y530" r:id="rId133" xr:uid="{3855AFAB-9C9B-4302-AD4F-65CB1E48B1E2}"/>
    <hyperlink ref="Y255" r:id="rId134" xr:uid="{3987092B-747D-4B03-A5F0-EF8FC387F947}"/>
    <hyperlink ref="Y442" r:id="rId135" xr:uid="{B532828E-F4D1-467B-8410-4119A55A6DBE}"/>
    <hyperlink ref="Y256" r:id="rId136" xr:uid="{E86A89E0-1194-4183-81E8-3354D36359E5}"/>
    <hyperlink ref="Y263" r:id="rId137" xr:uid="{DC143C13-1F39-4D10-8775-7E8DFCC52451}"/>
    <hyperlink ref="Y243" r:id="rId138" xr:uid="{7359B8BB-3B3D-4119-B94C-54A3E2535DA1}"/>
    <hyperlink ref="Y55" r:id="rId139" xr:uid="{BA3F8036-8F2F-40D4-B133-AD8C3F9D4544}"/>
    <hyperlink ref="Y132" r:id="rId140" xr:uid="{66603C45-9530-4ECE-A95E-1ADF84D99320}"/>
    <hyperlink ref="Y428" r:id="rId141" xr:uid="{FF927B25-5345-4763-9DD9-BDD974F3B256}"/>
    <hyperlink ref="Y142" r:id="rId142" xr:uid="{36462BB7-F255-481F-8E09-8E6B78E48A5A}"/>
    <hyperlink ref="Y254" r:id="rId143" xr:uid="{EBF5912A-C475-4737-A79C-17C62DDA3D1A}"/>
    <hyperlink ref="Y252" r:id="rId144" xr:uid="{B2414DF1-B6BD-4B2A-ABAE-49C20CEBB780}"/>
    <hyperlink ref="Y225" r:id="rId145" xr:uid="{C5B7576F-E1C9-4BEA-A391-B20FF51A91E7}"/>
    <hyperlink ref="Y471" r:id="rId146" xr:uid="{F3FD1C5E-E354-4614-BA4E-6FCAD5C765A8}"/>
    <hyperlink ref="Y233" r:id="rId147" xr:uid="{8E062385-44DD-48C5-8137-D15F718FCDF4}"/>
    <hyperlink ref="Y414" r:id="rId148" xr:uid="{7BE127EA-41AF-4171-ADDA-9DA9690DEF3A}"/>
    <hyperlink ref="Y200" r:id="rId149" xr:uid="{6DE726F6-1624-410B-9DBB-412D82EF49DC}"/>
    <hyperlink ref="Y209" r:id="rId150" xr:uid="{9C84441F-27ED-484A-B229-C3D1F2EA41AB}"/>
    <hyperlink ref="Y446" r:id="rId151" xr:uid="{B07FEBC5-2F5E-4D0A-B097-CD696D287094}"/>
    <hyperlink ref="Y367" r:id="rId152" xr:uid="{21F6D696-520B-444C-802C-3A8B77781A38}"/>
    <hyperlink ref="Y480" r:id="rId153" xr:uid="{69D7A771-0755-49A5-ADAD-81071CDED21E}"/>
    <hyperlink ref="Y351" r:id="rId154" xr:uid="{9D460D5E-DCF7-4B91-87CB-B65C203B706C}"/>
    <hyperlink ref="Y64" r:id="rId155" xr:uid="{5B84CBE0-E9A3-490A-AD02-81BC644321C9}"/>
    <hyperlink ref="Y98" r:id="rId156" xr:uid="{B7C8930E-CDF4-4C1B-AEA8-E90B3CB2A266}"/>
    <hyperlink ref="Y107" r:id="rId157" xr:uid="{20997411-A557-4B61-87A9-CBCD33B69CD5}"/>
    <hyperlink ref="Y126" r:id="rId158" xr:uid="{BE4D54EF-9D3A-4826-8045-171F3805711C}"/>
    <hyperlink ref="Y324" r:id="rId159" xr:uid="{47D83D38-39DC-4941-B9BB-EBA5D5F7D6FB}"/>
    <hyperlink ref="Y123" r:id="rId160" xr:uid="{40B720DA-5906-436B-84FF-5D355FB2ABF3}"/>
    <hyperlink ref="Y345" r:id="rId161" xr:uid="{12F36F44-119C-4F8E-97F4-FD9C47B5393F}"/>
    <hyperlink ref="Y343" r:id="rId162" xr:uid="{BBC278CB-67B2-4C14-B2F8-756A637F20DC}"/>
    <hyperlink ref="Y301" r:id="rId163" xr:uid="{A3185E0B-420B-4E73-A517-7E255351F41B}"/>
    <hyperlink ref="Y18" r:id="rId164" xr:uid="{EE600493-D499-4E82-A134-3CB6B5E01BCA}"/>
    <hyperlink ref="Y197" r:id="rId165" xr:uid="{948AFA04-9439-45C3-961D-F392F88C61F6}"/>
    <hyperlink ref="Y456" r:id="rId166" xr:uid="{A43507C8-A656-4B05-933E-16AF125351A8}"/>
    <hyperlink ref="Y262" r:id="rId167" xr:uid="{5D9A56BA-93FA-4EC1-8E11-C9B6290EB824}"/>
    <hyperlink ref="Y529" r:id="rId168" xr:uid="{B93A0210-FB1E-4930-B3A0-E6DDD237B6A5}"/>
    <hyperlink ref="Y38" r:id="rId169" xr:uid="{F2C6FF7A-007D-4F21-A445-2A588D351CAE}"/>
    <hyperlink ref="Y342" r:id="rId170" xr:uid="{0728FCE3-D47A-4DE1-9A22-20BDFF756D76}"/>
    <hyperlink ref="Y374" r:id="rId171" xr:uid="{7F99C1D6-5A86-40BC-A99B-49E5BB31C80B}"/>
    <hyperlink ref="Y557" r:id="rId172" xr:uid="{83408993-69E5-4831-A298-33493E6A0E8B}"/>
    <hyperlink ref="Y95" r:id="rId173" xr:uid="{90FA33DC-03D1-4653-9B97-02B57734CE28}"/>
    <hyperlink ref="Y482" r:id="rId174" xr:uid="{FB2AD473-8F16-4C8F-BEA9-9BC0FAEB634D}"/>
    <hyperlink ref="Y393" r:id="rId175" xr:uid="{50395DF2-8B3C-44EF-A532-C4FE55C593DA}"/>
    <hyperlink ref="Y25" r:id="rId176" xr:uid="{9A42ACFB-81F8-43E2-B029-261C621EF91D}"/>
    <hyperlink ref="Y105" r:id="rId177" xr:uid="{9AC5C511-B3BE-4CC8-9CED-FB96BB49FD10}"/>
    <hyperlink ref="Y104" r:id="rId178" xr:uid="{E80A6060-9107-4FA7-AB4F-AAEBAD8211CF}"/>
    <hyperlink ref="Y476" r:id="rId179" xr:uid="{87E32FDD-4F6C-426F-A26E-FF69C91AE161}"/>
    <hyperlink ref="Y186" r:id="rId180" xr:uid="{DF7270A8-6398-4C7C-AF40-33A8A9BBF8C9}"/>
    <hyperlink ref="Y292" r:id="rId181" xr:uid="{3EE7A43A-AB0A-4FE9-B9C4-D7A3AB825CED}"/>
    <hyperlink ref="Y533" r:id="rId182" xr:uid="{CDD19266-EE52-434C-A316-6D9914AE750D}"/>
    <hyperlink ref="Y329" r:id="rId183" xr:uid="{81E1BC53-A635-4AC5-B02E-9B539248A6E2}"/>
    <hyperlink ref="Y215" r:id="rId184" xr:uid="{303C2680-0A2D-4E45-ABD6-E3076EDA7096}"/>
    <hyperlink ref="Y259" r:id="rId185" xr:uid="{D2EE8C12-86A2-4A61-B136-19B8E6E97066}"/>
    <hyperlink ref="Y210" r:id="rId186" xr:uid="{F6B92B75-1C12-4902-AE0F-799B220B977F}"/>
    <hyperlink ref="Y397" r:id="rId187" xr:uid="{081C3C97-2FB1-4EBC-802D-19127242716D}"/>
    <hyperlink ref="Y183" r:id="rId188" xr:uid="{FCE299A5-6FEC-41CB-9A99-EA50EAADC0D2}"/>
    <hyperlink ref="Y84" r:id="rId189" xr:uid="{FA35F37B-61B1-4958-AAF3-69DD44A55C80}"/>
    <hyperlink ref="Y241" r:id="rId190" xr:uid="{4E0AA93A-D9FD-414C-8AF8-95CA313D408A}"/>
    <hyperlink ref="Y93" r:id="rId191" xr:uid="{8CCD8F4D-A7A6-4A0C-8413-F512B1039A2B}"/>
    <hyperlink ref="Y493" r:id="rId192" xr:uid="{5DBD0399-24DA-481A-9228-68EF5D2FA720}"/>
    <hyperlink ref="Y202" r:id="rId193" xr:uid="{ED84DDCB-B23C-4D47-A2F5-B74F2670CE0D}"/>
    <hyperlink ref="Y297" r:id="rId194" xr:uid="{33446425-802E-4A53-8EAF-9CDABDD56A08}"/>
    <hyperlink ref="Y193" r:id="rId195" xr:uid="{D302F33D-E53F-4F70-A253-AA064F70CEB4}"/>
    <hyperlink ref="Y322" r:id="rId196" xr:uid="{90F53213-8C80-43A8-A2A7-4FB0006D5F85}"/>
    <hyperlink ref="Y253" r:id="rId197" xr:uid="{B907DDF6-BEA2-4315-9C56-E75420D7E74A}"/>
    <hyperlink ref="Y122" r:id="rId198" xr:uid="{F6A03824-4EFB-4D1A-85DA-21681D4B9D92}"/>
    <hyperlink ref="Y421" r:id="rId199" xr:uid="{5D999E54-3095-4FD9-ABDF-A9695F238A6C}"/>
    <hyperlink ref="Y416" r:id="rId200" xr:uid="{282C13C0-79FB-4DFF-AD5B-49E13496FB2B}"/>
    <hyperlink ref="Y406" r:id="rId201" xr:uid="{5350B37F-360E-4F59-9CA4-B760CDA84F23}"/>
    <hyperlink ref="Y389" r:id="rId202" xr:uid="{830F7005-7EDB-45D9-A864-18F9D6EC10CF}"/>
    <hyperlink ref="Y532" r:id="rId203" xr:uid="{ED83AD2E-E220-4ACF-AD7E-CABB3511D7D9}"/>
    <hyperlink ref="Y238" r:id="rId204" xr:uid="{BF80514B-8EC9-4827-9257-AD72455EBD68}"/>
    <hyperlink ref="Y279" r:id="rId205" xr:uid="{A148D297-C380-48A3-8D07-49271FB909E7}"/>
    <hyperlink ref="Y307" r:id="rId206" xr:uid="{A7F46100-C080-42D0-9264-809562A562E4}"/>
    <hyperlink ref="Y43" r:id="rId207" xr:uid="{D70CD4E9-DB09-41EC-AEF2-11111137B864}"/>
    <hyperlink ref="Y78" r:id="rId208" xr:uid="{A6942EC0-B2A8-42D0-A5F2-8EECFBE72BF7}"/>
    <hyperlink ref="Y54" r:id="rId209" xr:uid="{8E86195B-CB27-466B-B7CE-7C4CE9EB6AF3}"/>
    <hyperlink ref="Y10" r:id="rId210" xr:uid="{D8ABCE39-145C-475F-84B1-1EEDB339A035}"/>
    <hyperlink ref="Y8" r:id="rId211" xr:uid="{0A36157D-B914-492D-90F1-4844AE7D0F2A}"/>
    <hyperlink ref="Y371" r:id="rId212" xr:uid="{5115BC0B-E173-44CC-8C0C-0B46C633625C}"/>
    <hyperlink ref="Y62" r:id="rId213" xr:uid="{70DAE0B6-8F11-43E7-A548-34652A95CB94}"/>
    <hyperlink ref="Y320" r:id="rId214" xr:uid="{CF20815D-9CAF-4F77-9BBD-015A226B8BBC}"/>
    <hyperlink ref="Y164" r:id="rId215" xr:uid="{37097FBF-D236-4AA6-B991-F89129469270}"/>
    <hyperlink ref="Y60" r:id="rId216" xr:uid="{B0080DC8-46F3-47D6-B51A-4112934EDE64}"/>
    <hyperlink ref="Y91" r:id="rId217" xr:uid="{E5FD64CC-C321-45E5-BBFB-6C01200CF491}"/>
    <hyperlink ref="Y546" r:id="rId218" xr:uid="{FA828D95-A884-46AF-B809-66C891B85EB3}"/>
    <hyperlink ref="Y196" r:id="rId219" xr:uid="{54BA8228-1C66-480D-842E-BF3C5D23A47A}"/>
    <hyperlink ref="Y177" r:id="rId220" xr:uid="{CE7697D0-78AB-4955-A2E7-39280375A341}"/>
    <hyperlink ref="Y481" r:id="rId221" xr:uid="{88705E58-2B6D-4408-AA95-A55A292E3D03}"/>
    <hyperlink ref="Y477" r:id="rId222" xr:uid="{96FFB7D0-E656-42A2-BE8B-EC38A28FA5C5}"/>
    <hyperlink ref="Y425" r:id="rId223" xr:uid="{170F2B7C-47AA-47F9-A710-E48AE86265AF}"/>
    <hyperlink ref="Y552" r:id="rId224" xr:uid="{6A3218A0-E0B6-4C6E-BDD4-E635ECC1DBFF}"/>
    <hyperlink ref="Y467" r:id="rId225" xr:uid="{034D7082-E75C-4CE0-9B40-E63FABB7854D}"/>
    <hyperlink ref="Y242" r:id="rId226" xr:uid="{9DD88AC8-B70B-4313-92B8-4EE537EE56E1}"/>
    <hyperlink ref="Y551" r:id="rId227" xr:uid="{10439A23-A98A-47F3-9F50-0B64AF08F235}"/>
    <hyperlink ref="Y151" r:id="rId228" xr:uid="{4B21B133-FC0D-404F-908B-B38318FE2CC4}"/>
    <hyperlink ref="Y81" r:id="rId229" xr:uid="{0D4223AB-16DD-446F-B049-564412113290}"/>
    <hyperlink ref="Y422" r:id="rId230" xr:uid="{921DE657-6763-48B7-AA0F-4423DB5E3799}"/>
    <hyperlink ref="Y311" r:id="rId231" xr:uid="{4801AE7E-2969-426B-A8B7-6A276471C518}"/>
    <hyperlink ref="Y438" r:id="rId232" xr:uid="{BBEC270F-D288-4D7B-9A72-6107F76132AE}"/>
    <hyperlink ref="Y31" r:id="rId233" xr:uid="{27CE0BDE-E27B-40AB-B7E3-A6FEC8E3CB50}"/>
    <hyperlink ref="Y318" r:id="rId234" xr:uid="{EF071A84-0873-47B7-A392-3D4278AD211E}"/>
    <hyperlink ref="Y392" r:id="rId235" xr:uid="{273BD989-22DE-4620-9B7F-DE1DDE31E141}"/>
    <hyperlink ref="Y152" r:id="rId236" xr:uid="{91671C0D-9EE6-4B85-BDCA-A6ECC99DE9E1}"/>
    <hyperlink ref="Y212" r:id="rId237" xr:uid="{062CAB4C-16F2-41C5-9C5E-E8FCADB7818F}"/>
    <hyperlink ref="Y334" r:id="rId238" xr:uid="{64B180BC-0921-41CF-B83B-F31DAF8C6931}"/>
    <hyperlink ref="Y316" r:id="rId239" xr:uid="{35003577-8B0D-42FF-96F9-0223F44E612F}"/>
    <hyperlink ref="Y156" r:id="rId240" xr:uid="{616F1736-897F-48BA-A528-EEAFCAE41DB8}"/>
    <hyperlink ref="Y444" r:id="rId241" xr:uid="{A260C705-276F-4666-BD4F-40990C4D2D23}"/>
    <hyperlink ref="Y352" r:id="rId242" xr:uid="{7B9470BA-1C8C-4924-B52C-A215D763FE67}"/>
    <hyperlink ref="Y549" r:id="rId243" xr:uid="{E35FF95B-8FD2-498B-8491-6F6C2B0CE23C}"/>
    <hyperlink ref="Y205" r:id="rId244" xr:uid="{C9118DA1-9970-4FAD-A56D-47B2A17CA300}"/>
    <hyperlink ref="Y222" r:id="rId245" xr:uid="{687E2EE9-9D11-48CE-9C12-150AE1DBD29A}"/>
    <hyperlink ref="Y245" r:id="rId246" xr:uid="{6894D32E-0460-4C6A-B613-90EEC596937B}"/>
    <hyperlink ref="Y15" r:id="rId247" xr:uid="{CF56FAD3-621E-4068-8FF5-3E271077DA4A}"/>
    <hyperlink ref="Y376" r:id="rId248" xr:uid="{EF925C43-5E89-4F34-84E2-635847D3F1FB}"/>
    <hyperlink ref="Y235" r:id="rId249" xr:uid="{AAE2CD48-0B20-4CA8-849E-AE0174100ABF}"/>
    <hyperlink ref="Y453" r:id="rId250" xr:uid="{35518753-A658-49F9-B300-0C8E73871BEF}"/>
    <hyperlink ref="Y390" r:id="rId251" xr:uid="{DCD5387C-AFB0-4AD4-99D4-705DA731A478}"/>
    <hyperlink ref="Y293" r:id="rId252" xr:uid="{D7E41CA3-BC87-44D0-A20C-A2456C7A214E}"/>
    <hyperlink ref="Y287" r:id="rId253" xr:uid="{8B317675-BE66-47F0-89DC-7CBDCD450598}"/>
    <hyperlink ref="Y516" r:id="rId254" xr:uid="{E89DB782-3613-46F7-8353-BCA29FBFE16C}"/>
    <hyperlink ref="Y418" r:id="rId255" xr:uid="{D1ADA0FB-A9ED-4685-A02B-9485193866E1}"/>
    <hyperlink ref="Y11" r:id="rId256" xr:uid="{D5737EC6-A2C7-4EE1-B52D-737693BEE08E}"/>
    <hyperlink ref="Y39" r:id="rId257" xr:uid="{BA066FB6-985C-42E6-AF4D-E2875B693147}"/>
    <hyperlink ref="Y32" r:id="rId258" xr:uid="{043B8B17-C6DD-4A07-8733-5EA860098370}"/>
    <hyperlink ref="Y165" r:id="rId259" xr:uid="{5E407139-21C3-4D45-B576-25F827C10048}"/>
    <hyperlink ref="Y291" r:id="rId260" xr:uid="{9C8A1C0E-BE6E-4AB2-90A7-20555BB763AA}"/>
    <hyperlink ref="Y364" r:id="rId261" xr:uid="{162C9A00-92DF-4CCB-A274-1F29027613E4}"/>
    <hyperlink ref="Y201" r:id="rId262" xr:uid="{AE0CF7D9-332F-4A1E-A6AF-C538669EB26B}"/>
    <hyperlink ref="Y34" r:id="rId263" xr:uid="{1DAEC698-9297-42E4-BF94-C7EDB5434064}"/>
    <hyperlink ref="Y289" r:id="rId264" xr:uid="{8666625C-BC53-42F0-B877-62ED060867C7}"/>
  </hyperlinks>
  <pageMargins left="0.7" right="0.7" top="0.75" bottom="0.75" header="0.3" footer="0.3"/>
  <drawing r:id="rId26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F528-574F-4F2F-812B-0B796BB551EA}">
  <dimension ref="A1:BI617"/>
  <sheetViews>
    <sheetView topLeftCell="C3" workbookViewId="0">
      <pane xSplit="5760" ySplit="2540"/>
      <selection activeCell="C3" sqref="A1:XFD1048576"/>
      <selection pane="topRight" activeCell="A2" sqref="A2"/>
      <selection pane="bottomLeft" activeCell="C110" sqref="C110"/>
      <selection pane="bottomRight" sqref="A1:AO1"/>
    </sheetView>
  </sheetViews>
  <sheetFormatPr baseColWidth="10" defaultColWidth="8.83203125" defaultRowHeight="15" outlineLevelCol="1" x14ac:dyDescent="0.2"/>
  <cols>
    <col min="1" max="1" width="5.83203125" customWidth="1"/>
    <col min="2" max="2" width="16.83203125" customWidth="1"/>
    <col min="3" max="3" width="51.1640625" customWidth="1"/>
    <col min="4" max="4" width="46.5" bestFit="1" customWidth="1"/>
    <col min="5" max="5" width="21.83203125" customWidth="1"/>
    <col min="6" max="6" width="13.5" bestFit="1" customWidth="1"/>
    <col min="7" max="7" width="66.1640625" bestFit="1" customWidth="1"/>
    <col min="8" max="8" width="17.6640625" bestFit="1" customWidth="1"/>
    <col min="9" max="9" width="18.33203125" bestFit="1" customWidth="1"/>
    <col min="10" max="10" width="18" bestFit="1" customWidth="1" outlineLevel="1"/>
    <col min="11" max="11" width="19.5" customWidth="1" outlineLevel="1"/>
    <col min="12" max="12" width="4.6640625" bestFit="1" customWidth="1" outlineLevel="1"/>
    <col min="13" max="13" width="13.5" bestFit="1" customWidth="1" outlineLevel="1"/>
    <col min="14" max="14" width="23.6640625" bestFit="1" customWidth="1" outlineLevel="1"/>
    <col min="15" max="15" width="13.83203125" bestFit="1" customWidth="1" outlineLevel="1"/>
    <col min="16" max="16" width="10.5" bestFit="1" customWidth="1" outlineLevel="1"/>
    <col min="17" max="17" width="11.33203125" bestFit="1" customWidth="1" outlineLevel="1"/>
    <col min="18" max="18" width="12.5" bestFit="1" customWidth="1" outlineLevel="1"/>
    <col min="19" max="19" width="11.83203125" bestFit="1" customWidth="1" outlineLevel="1"/>
    <col min="20" max="20" width="7.33203125" bestFit="1" customWidth="1" outlineLevel="1"/>
    <col min="21" max="21" width="12.5" bestFit="1" customWidth="1" outlineLevel="1"/>
    <col min="22" max="24" width="7.33203125" bestFit="1" customWidth="1" outlineLevel="1"/>
    <col min="25" max="25" width="19" bestFit="1" customWidth="1"/>
    <col min="26" max="26" width="37" bestFit="1" customWidth="1"/>
    <col min="27" max="27" width="31.33203125" bestFit="1" customWidth="1"/>
    <col min="28" max="28" width="13.33203125" bestFit="1" customWidth="1"/>
    <col min="29" max="29" width="11.83203125" bestFit="1" customWidth="1"/>
    <col min="30" max="30" width="10.5" bestFit="1" customWidth="1"/>
    <col min="31" max="38" width="5.83203125" bestFit="1" customWidth="1"/>
    <col min="39" max="39" width="8.6640625" bestFit="1" customWidth="1"/>
    <col min="40" max="40" width="8.6640625" customWidth="1"/>
    <col min="41" max="41" width="26.6640625" bestFit="1" customWidth="1"/>
    <col min="44" max="44" width="10.5" bestFit="1" customWidth="1"/>
    <col min="45" max="45" width="15.6640625" customWidth="1"/>
    <col min="53" max="53" width="11.5" bestFit="1" customWidth="1"/>
  </cols>
  <sheetData>
    <row r="1" spans="1:53" ht="23" x14ac:dyDescent="0.25">
      <c r="A1" s="354" t="s">
        <v>4574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4"/>
      <c r="AO1" s="354"/>
    </row>
    <row r="2" spans="1:53" ht="16" thickBot="1" x14ac:dyDescent="0.25">
      <c r="A2" s="355" t="s">
        <v>4703</v>
      </c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AJ2" s="355"/>
      <c r="AK2" s="355"/>
      <c r="AL2" s="355"/>
      <c r="AM2" s="355"/>
      <c r="AN2" s="355"/>
      <c r="AO2" s="355"/>
    </row>
    <row r="3" spans="1:53" ht="48" customHeight="1" thickTop="1" thickBot="1" x14ac:dyDescent="0.25">
      <c r="A3" s="356" t="s">
        <v>0</v>
      </c>
      <c r="B3" s="356" t="s">
        <v>1</v>
      </c>
      <c r="C3" s="358" t="s">
        <v>2</v>
      </c>
      <c r="D3" s="360" t="s">
        <v>3</v>
      </c>
      <c r="E3" s="360" t="s">
        <v>4711</v>
      </c>
      <c r="F3" s="1" t="s">
        <v>4</v>
      </c>
      <c r="G3" s="362" t="s">
        <v>5</v>
      </c>
      <c r="H3" s="363" t="s">
        <v>6</v>
      </c>
      <c r="I3" s="363" t="s">
        <v>7</v>
      </c>
      <c r="J3" s="365" t="s">
        <v>8</v>
      </c>
      <c r="K3" s="377" t="s">
        <v>9</v>
      </c>
      <c r="L3" s="379" t="s">
        <v>10</v>
      </c>
      <c r="M3" s="348" t="s">
        <v>11</v>
      </c>
      <c r="N3" s="350" t="s">
        <v>12</v>
      </c>
      <c r="O3" s="351"/>
      <c r="P3" s="352" t="s">
        <v>13</v>
      </c>
      <c r="Q3" s="348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4624</v>
      </c>
      <c r="Y3" s="3" t="s">
        <v>21</v>
      </c>
      <c r="Z3" s="4" t="s">
        <v>22</v>
      </c>
      <c r="AA3" s="4" t="s">
        <v>23</v>
      </c>
      <c r="AB3" s="5" t="s">
        <v>24</v>
      </c>
      <c r="AC3" s="6" t="s">
        <v>25</v>
      </c>
      <c r="AD3" s="7" t="s">
        <v>26</v>
      </c>
      <c r="AE3" s="381" t="s">
        <v>27</v>
      </c>
      <c r="AF3" s="375">
        <v>2020</v>
      </c>
      <c r="AG3" s="375">
        <v>2021</v>
      </c>
      <c r="AH3" s="375">
        <v>2022</v>
      </c>
      <c r="AI3" s="375">
        <v>2023</v>
      </c>
      <c r="AJ3" s="375">
        <v>2024</v>
      </c>
      <c r="AK3" s="372">
        <v>2025</v>
      </c>
      <c r="AL3" s="372">
        <v>2026</v>
      </c>
      <c r="AM3" s="9" t="s">
        <v>28</v>
      </c>
      <c r="AN3" s="9"/>
      <c r="AO3" s="3" t="s">
        <v>29</v>
      </c>
      <c r="AQ3" s="10"/>
      <c r="AR3" s="11"/>
      <c r="AS3" s="11"/>
      <c r="AT3" s="11"/>
      <c r="AU3" s="11"/>
      <c r="AV3" s="11"/>
      <c r="AW3" s="11"/>
      <c r="AX3" s="11"/>
      <c r="AY3" s="11"/>
      <c r="AZ3" s="11"/>
    </row>
    <row r="4" spans="1:53" ht="16" thickTop="1" x14ac:dyDescent="0.2">
      <c r="A4" s="357"/>
      <c r="B4" s="357"/>
      <c r="C4" s="359"/>
      <c r="D4" s="361"/>
      <c r="E4" s="383"/>
      <c r="F4" s="12"/>
      <c r="G4" s="361"/>
      <c r="H4" s="364"/>
      <c r="I4" s="364"/>
      <c r="J4" s="366"/>
      <c r="K4" s="378"/>
      <c r="L4" s="380"/>
      <c r="M4" s="349"/>
      <c r="N4" s="13" t="s">
        <v>30</v>
      </c>
      <c r="O4" s="14" t="s">
        <v>31</v>
      </c>
      <c r="P4" s="353"/>
      <c r="Q4" s="349"/>
      <c r="R4" s="15"/>
      <c r="S4" s="15"/>
      <c r="T4" s="15"/>
      <c r="U4" s="15"/>
      <c r="V4" s="15"/>
      <c r="W4" s="15"/>
      <c r="X4" s="15"/>
      <c r="Y4" s="16"/>
      <c r="Z4" s="17"/>
      <c r="AA4" s="17"/>
      <c r="AB4" s="18"/>
      <c r="AC4" s="19"/>
      <c r="AD4" s="20"/>
      <c r="AE4" s="382"/>
      <c r="AF4" s="376"/>
      <c r="AG4" s="376"/>
      <c r="AH4" s="376"/>
      <c r="AI4" s="376"/>
      <c r="AJ4" s="376"/>
      <c r="AK4" s="373"/>
      <c r="AL4" s="373"/>
      <c r="AM4" s="22"/>
      <c r="AN4" s="22"/>
      <c r="AO4" s="22"/>
      <c r="AQ4" s="10"/>
      <c r="AR4" s="11"/>
      <c r="AS4" s="11"/>
      <c r="AT4" s="11"/>
      <c r="AU4" s="11"/>
      <c r="AV4" s="11"/>
      <c r="AW4" s="11"/>
      <c r="AX4" s="11"/>
      <c r="AY4" s="11"/>
      <c r="AZ4" s="11"/>
    </row>
    <row r="5" spans="1:53" x14ac:dyDescent="0.2">
      <c r="A5" s="23" t="s">
        <v>32</v>
      </c>
      <c r="B5" s="23">
        <v>1</v>
      </c>
      <c r="C5" s="24">
        <v>2</v>
      </c>
      <c r="D5" s="25">
        <v>3</v>
      </c>
      <c r="E5" s="25"/>
      <c r="F5" s="25">
        <v>4</v>
      </c>
      <c r="G5" s="25">
        <v>5</v>
      </c>
      <c r="H5" s="26">
        <v>6</v>
      </c>
      <c r="I5" s="26">
        <v>7</v>
      </c>
      <c r="J5" s="27">
        <v>8</v>
      </c>
      <c r="K5" s="28">
        <v>9</v>
      </c>
      <c r="L5" s="29">
        <v>10</v>
      </c>
      <c r="M5" s="30">
        <f>+L5+1</f>
        <v>11</v>
      </c>
      <c r="N5" s="30">
        <f t="shared" ref="N5:AM5" si="0">+M5+1</f>
        <v>12</v>
      </c>
      <c r="O5" s="30">
        <f t="shared" si="0"/>
        <v>13</v>
      </c>
      <c r="P5" s="30"/>
      <c r="Q5" s="30"/>
      <c r="R5" s="30">
        <f>+O5+1</f>
        <v>14</v>
      </c>
      <c r="S5" s="30">
        <f t="shared" si="0"/>
        <v>15</v>
      </c>
      <c r="T5" s="30">
        <f t="shared" si="0"/>
        <v>16</v>
      </c>
      <c r="U5" s="30">
        <f t="shared" si="0"/>
        <v>17</v>
      </c>
      <c r="V5" s="30">
        <f t="shared" si="0"/>
        <v>18</v>
      </c>
      <c r="W5" s="30">
        <f t="shared" si="0"/>
        <v>19</v>
      </c>
      <c r="X5" s="30"/>
      <c r="Y5" s="30">
        <f>+W5+1</f>
        <v>20</v>
      </c>
      <c r="Z5" s="30">
        <f t="shared" si="0"/>
        <v>21</v>
      </c>
      <c r="AA5" s="30">
        <f t="shared" si="0"/>
        <v>22</v>
      </c>
      <c r="AB5" s="30">
        <f t="shared" si="0"/>
        <v>23</v>
      </c>
      <c r="AC5" s="30">
        <f t="shared" si="0"/>
        <v>24</v>
      </c>
      <c r="AD5" s="30">
        <f t="shared" si="0"/>
        <v>25</v>
      </c>
      <c r="AE5" s="30">
        <f t="shared" si="0"/>
        <v>26</v>
      </c>
      <c r="AF5" s="30">
        <f t="shared" si="0"/>
        <v>27</v>
      </c>
      <c r="AG5" s="30">
        <f t="shared" si="0"/>
        <v>28</v>
      </c>
      <c r="AH5" s="30">
        <f t="shared" si="0"/>
        <v>29</v>
      </c>
      <c r="AI5" s="30">
        <f t="shared" si="0"/>
        <v>30</v>
      </c>
      <c r="AJ5" s="30">
        <f t="shared" si="0"/>
        <v>31</v>
      </c>
      <c r="AK5" s="30">
        <f t="shared" si="0"/>
        <v>32</v>
      </c>
      <c r="AL5" s="30">
        <f t="shared" si="0"/>
        <v>33</v>
      </c>
      <c r="AM5" s="30">
        <f t="shared" si="0"/>
        <v>34</v>
      </c>
      <c r="AN5" s="30"/>
      <c r="AO5" s="30">
        <f>+AM5+1</f>
        <v>35</v>
      </c>
      <c r="AP5" s="31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1"/>
    </row>
    <row r="6" spans="1:53" x14ac:dyDescent="0.2">
      <c r="A6" s="33">
        <v>1</v>
      </c>
      <c r="B6" s="34" t="s">
        <v>33</v>
      </c>
      <c r="C6" s="35" t="s">
        <v>34</v>
      </c>
      <c r="D6" s="36" t="s">
        <v>35</v>
      </c>
      <c r="E6" s="36"/>
      <c r="F6" s="36" t="s">
        <v>36</v>
      </c>
      <c r="G6" s="34" t="s">
        <v>37</v>
      </c>
      <c r="H6" s="37" t="s">
        <v>38</v>
      </c>
      <c r="I6" s="37" t="s">
        <v>39</v>
      </c>
      <c r="J6" s="38" t="s">
        <v>40</v>
      </c>
      <c r="K6" s="34" t="s">
        <v>41</v>
      </c>
      <c r="L6" s="39" t="s">
        <v>42</v>
      </c>
      <c r="M6" s="40" t="s">
        <v>43</v>
      </c>
      <c r="N6" s="41"/>
      <c r="O6" s="41"/>
      <c r="P6" s="41"/>
      <c r="Q6" s="41"/>
      <c r="R6" s="41"/>
      <c r="S6" s="41" t="s">
        <v>44</v>
      </c>
      <c r="T6" s="41"/>
      <c r="U6" s="41"/>
      <c r="V6" s="41"/>
      <c r="W6" s="41"/>
      <c r="X6" s="41"/>
      <c r="Y6" s="42" t="s">
        <v>45</v>
      </c>
      <c r="Z6" s="43" t="s">
        <v>46</v>
      </c>
      <c r="AA6" s="44"/>
      <c r="AB6" s="45" t="s">
        <v>47</v>
      </c>
      <c r="AC6" s="46" t="s">
        <v>48</v>
      </c>
      <c r="AD6" s="36" t="s">
        <v>26</v>
      </c>
      <c r="AE6" s="47" t="s">
        <v>49</v>
      </c>
      <c r="AF6" s="48" t="s">
        <v>49</v>
      </c>
      <c r="AG6" s="48" t="s">
        <v>49</v>
      </c>
      <c r="AH6" s="48" t="s">
        <v>41</v>
      </c>
      <c r="AI6" s="48" t="s">
        <v>41</v>
      </c>
      <c r="AJ6" s="48" t="s">
        <v>41</v>
      </c>
      <c r="AK6" s="49" t="s">
        <v>41</v>
      </c>
      <c r="AL6" s="48" t="s">
        <v>41</v>
      </c>
      <c r="AM6" s="50">
        <v>5</v>
      </c>
      <c r="AN6" s="50"/>
      <c r="AO6" s="51" t="s">
        <v>50</v>
      </c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1"/>
    </row>
    <row r="7" spans="1:53" x14ac:dyDescent="0.2">
      <c r="A7" s="33">
        <f>+A6+1</f>
        <v>2</v>
      </c>
      <c r="B7" s="34" t="s">
        <v>51</v>
      </c>
      <c r="C7" s="35" t="s">
        <v>52</v>
      </c>
      <c r="D7" s="36" t="s">
        <v>53</v>
      </c>
      <c r="E7" s="334">
        <v>23174</v>
      </c>
      <c r="F7" s="36" t="s">
        <v>54</v>
      </c>
      <c r="G7" s="34" t="s">
        <v>55</v>
      </c>
      <c r="H7" s="37" t="s">
        <v>56</v>
      </c>
      <c r="I7" s="37" t="s">
        <v>57</v>
      </c>
      <c r="J7" s="38" t="s">
        <v>58</v>
      </c>
      <c r="K7" s="34" t="s">
        <v>41</v>
      </c>
      <c r="L7" s="39" t="s">
        <v>42</v>
      </c>
      <c r="M7" s="40" t="s">
        <v>59</v>
      </c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2" t="s">
        <v>45</v>
      </c>
      <c r="Z7" s="52" t="s">
        <v>60</v>
      </c>
      <c r="AA7" s="44" t="s">
        <v>61</v>
      </c>
      <c r="AB7" s="45">
        <v>39286</v>
      </c>
      <c r="AC7" s="46" t="s">
        <v>30</v>
      </c>
      <c r="AD7" s="36" t="s">
        <v>26</v>
      </c>
      <c r="AE7" s="47" t="s">
        <v>49</v>
      </c>
      <c r="AF7" s="48" t="s">
        <v>49</v>
      </c>
      <c r="AG7" s="48" t="s">
        <v>49</v>
      </c>
      <c r="AH7" s="48" t="s">
        <v>49</v>
      </c>
      <c r="AI7" s="48" t="s">
        <v>49</v>
      </c>
      <c r="AJ7" s="48" t="s">
        <v>49</v>
      </c>
      <c r="AK7" s="49" t="s">
        <v>41</v>
      </c>
      <c r="AL7" s="48" t="s">
        <v>41</v>
      </c>
      <c r="AM7" s="50">
        <v>2</v>
      </c>
      <c r="AN7" s="50"/>
      <c r="AO7" s="51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1"/>
    </row>
    <row r="8" spans="1:53" x14ac:dyDescent="0.2">
      <c r="A8" s="33">
        <f t="shared" ref="A8:A71" si="1">+A7+1</f>
        <v>3</v>
      </c>
      <c r="B8" s="34" t="s">
        <v>62</v>
      </c>
      <c r="C8" s="35" t="s">
        <v>63</v>
      </c>
      <c r="D8" s="36" t="s">
        <v>64</v>
      </c>
      <c r="E8" s="334">
        <v>30616</v>
      </c>
      <c r="F8" s="36" t="s">
        <v>54</v>
      </c>
      <c r="G8" s="34" t="s">
        <v>65</v>
      </c>
      <c r="H8" s="37" t="s">
        <v>56</v>
      </c>
      <c r="I8" s="37" t="s">
        <v>57</v>
      </c>
      <c r="J8" s="38" t="s">
        <v>66</v>
      </c>
      <c r="K8" s="34" t="s">
        <v>41</v>
      </c>
      <c r="L8" s="39" t="s">
        <v>42</v>
      </c>
      <c r="M8" s="53">
        <v>45250</v>
      </c>
      <c r="N8" s="41"/>
      <c r="O8" s="41"/>
      <c r="P8" s="41"/>
      <c r="Q8" s="41"/>
      <c r="R8" s="41"/>
      <c r="S8" s="41"/>
      <c r="T8" s="41"/>
      <c r="U8" s="41" t="s">
        <v>44</v>
      </c>
      <c r="V8" s="41"/>
      <c r="W8" s="41"/>
      <c r="X8" s="41"/>
      <c r="Y8" s="54" t="s">
        <v>67</v>
      </c>
      <c r="Z8" s="55" t="s">
        <v>68</v>
      </c>
      <c r="AA8" s="44"/>
      <c r="AB8" s="45">
        <v>45642</v>
      </c>
      <c r="AC8" s="46"/>
      <c r="AD8" s="36"/>
      <c r="AE8" s="47" t="s">
        <v>49</v>
      </c>
      <c r="AF8" s="48" t="s">
        <v>41</v>
      </c>
      <c r="AG8" s="48" t="s">
        <v>41</v>
      </c>
      <c r="AH8" s="48" t="s">
        <v>41</v>
      </c>
      <c r="AI8" s="48" t="s">
        <v>49</v>
      </c>
      <c r="AJ8" s="48" t="s">
        <v>49</v>
      </c>
      <c r="AK8" s="49" t="s">
        <v>49</v>
      </c>
      <c r="AL8" s="48" t="s">
        <v>49</v>
      </c>
      <c r="AM8" s="50">
        <v>0</v>
      </c>
      <c r="AN8" s="50"/>
      <c r="AO8" s="51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1"/>
    </row>
    <row r="9" spans="1:53" x14ac:dyDescent="0.2">
      <c r="A9" s="33">
        <f t="shared" si="1"/>
        <v>4</v>
      </c>
      <c r="B9" s="34" t="s">
        <v>69</v>
      </c>
      <c r="C9" s="35" t="s">
        <v>70</v>
      </c>
      <c r="D9" s="36" t="s">
        <v>71</v>
      </c>
      <c r="E9" s="334">
        <v>24620</v>
      </c>
      <c r="F9" s="36" t="s">
        <v>54</v>
      </c>
      <c r="G9" s="34" t="s">
        <v>72</v>
      </c>
      <c r="H9" s="37" t="s">
        <v>73</v>
      </c>
      <c r="I9" s="37" t="s">
        <v>73</v>
      </c>
      <c r="J9" s="34" t="s">
        <v>74</v>
      </c>
      <c r="K9" s="38" t="s">
        <v>75</v>
      </c>
      <c r="L9" s="39" t="s">
        <v>42</v>
      </c>
      <c r="M9" s="40" t="s">
        <v>59</v>
      </c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7" t="s">
        <v>76</v>
      </c>
      <c r="Z9" s="58" t="s">
        <v>77</v>
      </c>
      <c r="AA9" s="44" t="s">
        <v>78</v>
      </c>
      <c r="AB9" s="45">
        <v>42325</v>
      </c>
      <c r="AC9" s="46" t="s">
        <v>30</v>
      </c>
      <c r="AD9" s="36" t="s">
        <v>26</v>
      </c>
      <c r="AE9" s="47" t="s">
        <v>49</v>
      </c>
      <c r="AF9" s="48" t="s">
        <v>49</v>
      </c>
      <c r="AG9" s="48" t="s">
        <v>49</v>
      </c>
      <c r="AH9" s="48" t="s">
        <v>49</v>
      </c>
      <c r="AI9" s="48" t="s">
        <v>49</v>
      </c>
      <c r="AJ9" s="48" t="s">
        <v>49</v>
      </c>
      <c r="AK9" s="49" t="s">
        <v>41</v>
      </c>
      <c r="AL9" s="48" t="s">
        <v>41</v>
      </c>
      <c r="AM9" s="50">
        <v>2</v>
      </c>
      <c r="AN9" s="50"/>
      <c r="AO9" s="51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1"/>
    </row>
    <row r="10" spans="1:53" x14ac:dyDescent="0.2">
      <c r="A10" s="33">
        <f t="shared" si="1"/>
        <v>5</v>
      </c>
      <c r="B10" s="34" t="s">
        <v>79</v>
      </c>
      <c r="C10" s="35" t="s">
        <v>80</v>
      </c>
      <c r="D10" s="36" t="s">
        <v>81</v>
      </c>
      <c r="E10" s="334">
        <v>36828</v>
      </c>
      <c r="F10" s="36" t="s">
        <v>54</v>
      </c>
      <c r="G10" s="34" t="s">
        <v>82</v>
      </c>
      <c r="H10" s="37" t="s">
        <v>73</v>
      </c>
      <c r="I10" s="37" t="s">
        <v>73</v>
      </c>
      <c r="J10" s="38" t="s">
        <v>83</v>
      </c>
      <c r="K10" s="34" t="s">
        <v>41</v>
      </c>
      <c r="L10" s="39" t="s">
        <v>42</v>
      </c>
      <c r="M10" s="53">
        <v>45244</v>
      </c>
      <c r="N10" s="41"/>
      <c r="O10" s="41"/>
      <c r="P10" s="41"/>
      <c r="Q10" s="41"/>
      <c r="R10" s="41"/>
      <c r="S10" s="41"/>
      <c r="T10" s="41"/>
      <c r="U10" s="41" t="s">
        <v>44</v>
      </c>
      <c r="V10" s="41"/>
      <c r="W10" s="41"/>
      <c r="X10" s="41"/>
      <c r="Y10" s="42" t="s">
        <v>84</v>
      </c>
      <c r="Z10" s="55" t="s">
        <v>85</v>
      </c>
      <c r="AA10" s="44"/>
      <c r="AB10" s="45">
        <v>45642</v>
      </c>
      <c r="AC10" s="46"/>
      <c r="AD10" s="36"/>
      <c r="AE10" s="47" t="s">
        <v>49</v>
      </c>
      <c r="AF10" s="48" t="s">
        <v>41</v>
      </c>
      <c r="AG10" s="48" t="s">
        <v>41</v>
      </c>
      <c r="AH10" s="48" t="s">
        <v>41</v>
      </c>
      <c r="AI10" s="48" t="s">
        <v>49</v>
      </c>
      <c r="AJ10" s="48" t="s">
        <v>49</v>
      </c>
      <c r="AK10" s="49" t="s">
        <v>49</v>
      </c>
      <c r="AL10" s="48" t="s">
        <v>49</v>
      </c>
      <c r="AM10" s="50">
        <v>0</v>
      </c>
      <c r="AN10" s="50"/>
      <c r="AO10" s="51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1"/>
    </row>
    <row r="11" spans="1:53" x14ac:dyDescent="0.2">
      <c r="A11" s="33">
        <f t="shared" si="1"/>
        <v>6</v>
      </c>
      <c r="B11" s="34" t="s">
        <v>4579</v>
      </c>
      <c r="C11" s="35" t="s">
        <v>4578</v>
      </c>
      <c r="D11" s="36" t="s">
        <v>4494</v>
      </c>
      <c r="E11" s="334">
        <v>71976</v>
      </c>
      <c r="F11" s="36" t="s">
        <v>4581</v>
      </c>
      <c r="G11" s="34" t="s">
        <v>4582</v>
      </c>
      <c r="H11" s="37" t="s">
        <v>39</v>
      </c>
      <c r="I11" s="37" t="s">
        <v>39</v>
      </c>
      <c r="J11" s="38" t="s">
        <v>4688</v>
      </c>
      <c r="K11" s="34" t="s">
        <v>41</v>
      </c>
      <c r="L11" s="39" t="s">
        <v>4584</v>
      </c>
      <c r="M11" s="53">
        <v>46031</v>
      </c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 t="s">
        <v>44</v>
      </c>
      <c r="Y11" s="38" t="s">
        <v>4688</v>
      </c>
      <c r="Z11" s="329" t="s">
        <v>4586</v>
      </c>
      <c r="AA11" s="44"/>
      <c r="AB11" s="45"/>
      <c r="AC11" s="46"/>
      <c r="AD11" s="36"/>
      <c r="AE11" s="47" t="s">
        <v>49</v>
      </c>
      <c r="AF11" s="48" t="s">
        <v>41</v>
      </c>
      <c r="AG11" s="48" t="s">
        <v>41</v>
      </c>
      <c r="AH11" s="48" t="s">
        <v>41</v>
      </c>
      <c r="AI11" s="48" t="s">
        <v>41</v>
      </c>
      <c r="AJ11" s="48" t="s">
        <v>41</v>
      </c>
      <c r="AK11" s="48" t="s">
        <v>41</v>
      </c>
      <c r="AL11" s="48" t="s">
        <v>49</v>
      </c>
      <c r="AM11" s="50">
        <v>0</v>
      </c>
      <c r="AN11" s="50"/>
      <c r="AO11" s="51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1"/>
    </row>
    <row r="12" spans="1:53" x14ac:dyDescent="0.2">
      <c r="A12" s="33">
        <f t="shared" si="1"/>
        <v>7</v>
      </c>
      <c r="B12" s="34" t="s">
        <v>86</v>
      </c>
      <c r="C12" s="35" t="s">
        <v>87</v>
      </c>
      <c r="D12" s="36" t="s">
        <v>88</v>
      </c>
      <c r="E12" s="334">
        <v>32127</v>
      </c>
      <c r="F12" s="36" t="s">
        <v>54</v>
      </c>
      <c r="G12" s="34" t="s">
        <v>89</v>
      </c>
      <c r="H12" s="37" t="s">
        <v>56</v>
      </c>
      <c r="I12" s="37" t="s">
        <v>57</v>
      </c>
      <c r="J12" s="38" t="s">
        <v>90</v>
      </c>
      <c r="K12" s="34" t="s">
        <v>41</v>
      </c>
      <c r="L12" s="39" t="s">
        <v>42</v>
      </c>
      <c r="M12" s="53" t="s">
        <v>91</v>
      </c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42" t="s">
        <v>92</v>
      </c>
      <c r="Z12" s="58" t="s">
        <v>93</v>
      </c>
      <c r="AA12" s="44" t="s">
        <v>61</v>
      </c>
      <c r="AB12" s="45">
        <v>43200</v>
      </c>
      <c r="AC12" s="46" t="s">
        <v>94</v>
      </c>
      <c r="AD12" s="36" t="s">
        <v>26</v>
      </c>
      <c r="AE12" s="47" t="s">
        <v>49</v>
      </c>
      <c r="AF12" s="48" t="s">
        <v>49</v>
      </c>
      <c r="AG12" s="48" t="s">
        <v>49</v>
      </c>
      <c r="AH12" s="48" t="s">
        <v>49</v>
      </c>
      <c r="AI12" s="48" t="s">
        <v>49</v>
      </c>
      <c r="AJ12" s="48" t="s">
        <v>49</v>
      </c>
      <c r="AK12" s="49" t="s">
        <v>49</v>
      </c>
      <c r="AL12" s="48" t="s">
        <v>49</v>
      </c>
      <c r="AM12" s="50">
        <v>0</v>
      </c>
      <c r="AN12" s="50"/>
      <c r="AO12" s="59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1"/>
    </row>
    <row r="13" spans="1:53" x14ac:dyDescent="0.2">
      <c r="A13" s="33">
        <f t="shared" si="1"/>
        <v>8</v>
      </c>
      <c r="B13" s="34" t="s">
        <v>95</v>
      </c>
      <c r="C13" s="35" t="s">
        <v>96</v>
      </c>
      <c r="D13" s="36" t="s">
        <v>97</v>
      </c>
      <c r="E13" s="334">
        <v>24515</v>
      </c>
      <c r="F13" s="36" t="s">
        <v>54</v>
      </c>
      <c r="G13" s="34" t="s">
        <v>98</v>
      </c>
      <c r="H13" s="37" t="s">
        <v>56</v>
      </c>
      <c r="I13" s="37" t="s">
        <v>57</v>
      </c>
      <c r="J13" s="34">
        <v>81328792103</v>
      </c>
      <c r="K13" s="34" t="s">
        <v>41</v>
      </c>
      <c r="L13" s="39" t="s">
        <v>42</v>
      </c>
      <c r="M13" s="53">
        <v>39256</v>
      </c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2" t="s">
        <v>99</v>
      </c>
      <c r="Z13" s="60" t="s">
        <v>100</v>
      </c>
      <c r="AA13" s="44" t="s">
        <v>61</v>
      </c>
      <c r="AB13" s="45" t="s">
        <v>101</v>
      </c>
      <c r="AC13" s="46" t="s">
        <v>30</v>
      </c>
      <c r="AD13" s="36" t="s">
        <v>26</v>
      </c>
      <c r="AE13" s="47" t="s">
        <v>49</v>
      </c>
      <c r="AF13" s="48" t="s">
        <v>49</v>
      </c>
      <c r="AG13" s="48" t="s">
        <v>49</v>
      </c>
      <c r="AH13" s="48" t="s">
        <v>49</v>
      </c>
      <c r="AI13" s="48" t="s">
        <v>49</v>
      </c>
      <c r="AJ13" s="48" t="s">
        <v>49</v>
      </c>
      <c r="AK13" s="49" t="s">
        <v>49</v>
      </c>
      <c r="AL13" s="48" t="s">
        <v>49</v>
      </c>
      <c r="AM13" s="50">
        <v>0</v>
      </c>
      <c r="AN13" s="50"/>
      <c r="AO13" s="59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1"/>
    </row>
    <row r="14" spans="1:53" x14ac:dyDescent="0.2">
      <c r="A14" s="33">
        <f t="shared" si="1"/>
        <v>9</v>
      </c>
      <c r="B14" s="34" t="s">
        <v>102</v>
      </c>
      <c r="C14" s="35" t="s">
        <v>103</v>
      </c>
      <c r="D14" s="36" t="s">
        <v>104</v>
      </c>
      <c r="E14" s="36"/>
      <c r="F14" s="36" t="s">
        <v>54</v>
      </c>
      <c r="G14" s="34" t="s">
        <v>105</v>
      </c>
      <c r="H14" s="37" t="s">
        <v>73</v>
      </c>
      <c r="I14" s="37" t="s">
        <v>73</v>
      </c>
      <c r="J14" s="38" t="s">
        <v>106</v>
      </c>
      <c r="K14" s="34" t="s">
        <v>41</v>
      </c>
      <c r="L14" s="39" t="s">
        <v>42</v>
      </c>
      <c r="M14" s="40" t="s">
        <v>107</v>
      </c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2" t="s">
        <v>108</v>
      </c>
      <c r="Z14" s="58" t="s">
        <v>109</v>
      </c>
      <c r="AA14" s="58"/>
      <c r="AB14" s="45" t="s">
        <v>47</v>
      </c>
      <c r="AC14" s="46"/>
      <c r="AD14" s="36" t="s">
        <v>26</v>
      </c>
      <c r="AE14" s="61" t="s">
        <v>49</v>
      </c>
      <c r="AF14" s="48" t="s">
        <v>49</v>
      </c>
      <c r="AG14" s="48" t="s">
        <v>41</v>
      </c>
      <c r="AH14" s="48" t="s">
        <v>41</v>
      </c>
      <c r="AI14" s="48" t="s">
        <v>41</v>
      </c>
      <c r="AJ14" s="48" t="s">
        <v>41</v>
      </c>
      <c r="AK14" s="49" t="s">
        <v>41</v>
      </c>
      <c r="AL14" s="48" t="s">
        <v>41</v>
      </c>
      <c r="AM14" s="62" t="s">
        <v>4587</v>
      </c>
      <c r="AN14" s="62"/>
      <c r="AO14" s="63" t="s">
        <v>50</v>
      </c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1"/>
    </row>
    <row r="15" spans="1:53" x14ac:dyDescent="0.2">
      <c r="A15" s="33">
        <f t="shared" si="1"/>
        <v>10</v>
      </c>
      <c r="B15" s="34" t="s">
        <v>111</v>
      </c>
      <c r="C15" s="35" t="s">
        <v>112</v>
      </c>
      <c r="D15" s="36" t="s">
        <v>113</v>
      </c>
      <c r="E15" s="334">
        <v>21529</v>
      </c>
      <c r="F15" s="36" t="s">
        <v>54</v>
      </c>
      <c r="G15" s="34" t="s">
        <v>114</v>
      </c>
      <c r="H15" s="37" t="s">
        <v>73</v>
      </c>
      <c r="I15" s="37" t="s">
        <v>73</v>
      </c>
      <c r="J15" s="34" t="s">
        <v>115</v>
      </c>
      <c r="K15" s="34" t="s">
        <v>116</v>
      </c>
      <c r="L15" s="39" t="s">
        <v>42</v>
      </c>
      <c r="M15" s="40" t="s">
        <v>117</v>
      </c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2" t="s">
        <v>118</v>
      </c>
      <c r="Z15" s="58" t="s">
        <v>119</v>
      </c>
      <c r="AA15" s="44" t="s">
        <v>78</v>
      </c>
      <c r="AB15" s="45">
        <v>40815</v>
      </c>
      <c r="AC15" s="46" t="s">
        <v>30</v>
      </c>
      <c r="AD15" s="36" t="s">
        <v>26</v>
      </c>
      <c r="AE15" s="64" t="s">
        <v>120</v>
      </c>
      <c r="AF15" s="48" t="s">
        <v>120</v>
      </c>
      <c r="AG15" s="48" t="s">
        <v>120</v>
      </c>
      <c r="AH15" s="48" t="s">
        <v>120</v>
      </c>
      <c r="AI15" s="48" t="s">
        <v>120</v>
      </c>
      <c r="AJ15" s="48" t="s">
        <v>120</v>
      </c>
      <c r="AK15" s="49" t="s">
        <v>120</v>
      </c>
      <c r="AL15" s="48" t="s">
        <v>120</v>
      </c>
      <c r="AM15" s="65" t="s">
        <v>32</v>
      </c>
      <c r="AN15" s="65"/>
      <c r="AO15" s="59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1"/>
    </row>
    <row r="16" spans="1:53" x14ac:dyDescent="0.2">
      <c r="A16" s="33">
        <f t="shared" si="1"/>
        <v>11</v>
      </c>
      <c r="B16" s="34" t="s">
        <v>121</v>
      </c>
      <c r="C16" s="35" t="s">
        <v>122</v>
      </c>
      <c r="D16" s="36" t="s">
        <v>123</v>
      </c>
      <c r="E16" s="334">
        <v>23057</v>
      </c>
      <c r="F16" s="36" t="s">
        <v>54</v>
      </c>
      <c r="G16" s="34" t="s">
        <v>124</v>
      </c>
      <c r="H16" s="37" t="s">
        <v>73</v>
      </c>
      <c r="I16" s="37" t="s">
        <v>73</v>
      </c>
      <c r="J16" s="34" t="s">
        <v>125</v>
      </c>
      <c r="K16" s="34" t="s">
        <v>126</v>
      </c>
      <c r="L16" s="39" t="s">
        <v>42</v>
      </c>
      <c r="M16" s="53">
        <v>30353</v>
      </c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42" t="s">
        <v>127</v>
      </c>
      <c r="Z16" s="58" t="s">
        <v>128</v>
      </c>
      <c r="AA16" s="44" t="s">
        <v>61</v>
      </c>
      <c r="AB16" s="45">
        <v>34597</v>
      </c>
      <c r="AC16" s="46" t="s">
        <v>129</v>
      </c>
      <c r="AD16" s="36" t="s">
        <v>26</v>
      </c>
      <c r="AE16" s="66" t="s">
        <v>130</v>
      </c>
      <c r="AF16" s="48" t="s">
        <v>130</v>
      </c>
      <c r="AG16" s="48" t="s">
        <v>130</v>
      </c>
      <c r="AH16" s="48" t="s">
        <v>130</v>
      </c>
      <c r="AI16" s="48" t="s">
        <v>130</v>
      </c>
      <c r="AJ16" s="48" t="s">
        <v>130</v>
      </c>
      <c r="AK16" s="49" t="s">
        <v>130</v>
      </c>
      <c r="AL16" s="48" t="s">
        <v>130</v>
      </c>
      <c r="AM16" s="65" t="s">
        <v>32</v>
      </c>
      <c r="AN16" s="65"/>
      <c r="AO16" s="67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1"/>
    </row>
    <row r="17" spans="1:53" x14ac:dyDescent="0.2">
      <c r="A17" s="33">
        <f t="shared" si="1"/>
        <v>12</v>
      </c>
      <c r="B17" s="34" t="s">
        <v>131</v>
      </c>
      <c r="C17" s="35" t="s">
        <v>132</v>
      </c>
      <c r="D17" s="36" t="s">
        <v>133</v>
      </c>
      <c r="E17" s="36"/>
      <c r="F17" s="36" t="s">
        <v>54</v>
      </c>
      <c r="G17" s="34" t="s">
        <v>134</v>
      </c>
      <c r="H17" s="37" t="s">
        <v>73</v>
      </c>
      <c r="I17" s="37" t="s">
        <v>73</v>
      </c>
      <c r="J17" s="38" t="s">
        <v>135</v>
      </c>
      <c r="K17" s="34" t="s">
        <v>41</v>
      </c>
      <c r="L17" s="39" t="s">
        <v>42</v>
      </c>
      <c r="M17" s="53">
        <v>43746</v>
      </c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2" t="s">
        <v>136</v>
      </c>
      <c r="Z17" s="58" t="s">
        <v>137</v>
      </c>
      <c r="AA17" s="44" t="s">
        <v>138</v>
      </c>
      <c r="AB17" s="45">
        <v>44944</v>
      </c>
      <c r="AC17" s="46" t="s">
        <v>30</v>
      </c>
      <c r="AD17" s="36" t="s">
        <v>26</v>
      </c>
      <c r="AE17" s="61" t="s">
        <v>49</v>
      </c>
      <c r="AF17" s="48" t="s">
        <v>49</v>
      </c>
      <c r="AG17" s="48" t="s">
        <v>49</v>
      </c>
      <c r="AH17" s="48" t="s">
        <v>41</v>
      </c>
      <c r="AI17" s="48" t="s">
        <v>41</v>
      </c>
      <c r="AJ17" s="48" t="s">
        <v>41</v>
      </c>
      <c r="AK17" s="49" t="s">
        <v>41</v>
      </c>
      <c r="AL17" s="48" t="s">
        <v>41</v>
      </c>
      <c r="AM17" s="62" t="s">
        <v>110</v>
      </c>
      <c r="AN17" s="62"/>
      <c r="AO17" s="51" t="s">
        <v>50</v>
      </c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1"/>
    </row>
    <row r="18" spans="1:53" x14ac:dyDescent="0.2">
      <c r="A18" s="33">
        <f t="shared" si="1"/>
        <v>13</v>
      </c>
      <c r="B18" s="34" t="s">
        <v>140</v>
      </c>
      <c r="C18" s="35" t="s">
        <v>141</v>
      </c>
      <c r="D18" s="36" t="s">
        <v>142</v>
      </c>
      <c r="E18" s="334">
        <v>28482</v>
      </c>
      <c r="F18" s="36" t="s">
        <v>54</v>
      </c>
      <c r="G18" s="34" t="s">
        <v>143</v>
      </c>
      <c r="H18" s="37" t="s">
        <v>73</v>
      </c>
      <c r="I18" s="37" t="s">
        <v>73</v>
      </c>
      <c r="J18" s="38" t="s">
        <v>144</v>
      </c>
      <c r="K18" s="34" t="s">
        <v>41</v>
      </c>
      <c r="L18" s="39" t="s">
        <v>42</v>
      </c>
      <c r="M18" s="53">
        <v>44690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2" t="s">
        <v>145</v>
      </c>
      <c r="Z18" s="58" t="s">
        <v>146</v>
      </c>
      <c r="AA18" s="44" t="s">
        <v>147</v>
      </c>
      <c r="AB18" s="45">
        <v>44944</v>
      </c>
      <c r="AC18" s="46" t="s">
        <v>30</v>
      </c>
      <c r="AD18" s="36"/>
      <c r="AE18" s="61" t="s">
        <v>49</v>
      </c>
      <c r="AF18" s="48" t="s">
        <v>41</v>
      </c>
      <c r="AG18" s="48" t="s">
        <v>41</v>
      </c>
      <c r="AH18" s="48" t="s">
        <v>49</v>
      </c>
      <c r="AI18" s="48" t="s">
        <v>49</v>
      </c>
      <c r="AJ18" s="48" t="s">
        <v>49</v>
      </c>
      <c r="AK18" s="49" t="s">
        <v>49</v>
      </c>
      <c r="AL18" s="48" t="s">
        <v>49</v>
      </c>
      <c r="AM18" s="62" t="s">
        <v>32</v>
      </c>
      <c r="AN18" s="62"/>
      <c r="AO18" s="59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1"/>
    </row>
    <row r="19" spans="1:53" x14ac:dyDescent="0.2">
      <c r="A19" s="33">
        <f t="shared" si="1"/>
        <v>14</v>
      </c>
      <c r="B19" s="34" t="s">
        <v>149</v>
      </c>
      <c r="C19" s="35" t="s">
        <v>150</v>
      </c>
      <c r="D19" s="36" t="s">
        <v>151</v>
      </c>
      <c r="E19" s="36"/>
      <c r="F19" s="36" t="s">
        <v>54</v>
      </c>
      <c r="G19" s="34" t="s">
        <v>152</v>
      </c>
      <c r="H19" s="37" t="s">
        <v>73</v>
      </c>
      <c r="I19" s="37" t="s">
        <v>73</v>
      </c>
      <c r="J19" s="34" t="s">
        <v>153</v>
      </c>
      <c r="K19" s="34" t="s">
        <v>154</v>
      </c>
      <c r="L19" s="39" t="s">
        <v>42</v>
      </c>
      <c r="M19" s="40" t="s">
        <v>155</v>
      </c>
      <c r="N19" s="56"/>
      <c r="O19" s="56"/>
      <c r="P19" s="56"/>
      <c r="Q19" s="56"/>
      <c r="R19" s="56"/>
      <c r="S19" s="68"/>
      <c r="T19" s="68"/>
      <c r="U19" s="68"/>
      <c r="V19" s="68"/>
      <c r="W19" s="68"/>
      <c r="X19" s="68"/>
      <c r="Y19" s="57" t="s">
        <v>156</v>
      </c>
      <c r="Z19" s="69" t="s">
        <v>157</v>
      </c>
      <c r="AA19" s="44" t="s">
        <v>61</v>
      </c>
      <c r="AB19" s="45">
        <v>40280</v>
      </c>
      <c r="AC19" s="46" t="s">
        <v>30</v>
      </c>
      <c r="AD19" s="36" t="s">
        <v>26</v>
      </c>
      <c r="AE19" s="47" t="s">
        <v>49</v>
      </c>
      <c r="AF19" s="48" t="s">
        <v>49</v>
      </c>
      <c r="AG19" s="48" t="s">
        <v>49</v>
      </c>
      <c r="AH19" s="48" t="s">
        <v>41</v>
      </c>
      <c r="AI19" s="48" t="s">
        <v>41</v>
      </c>
      <c r="AJ19" s="48" t="s">
        <v>41</v>
      </c>
      <c r="AK19" s="49" t="s">
        <v>41</v>
      </c>
      <c r="AL19" s="48" t="s">
        <v>41</v>
      </c>
      <c r="AM19" s="62" t="s">
        <v>110</v>
      </c>
      <c r="AN19" s="62"/>
      <c r="AO19" s="59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1"/>
    </row>
    <row r="20" spans="1:53" x14ac:dyDescent="0.2">
      <c r="A20" s="33">
        <f t="shared" si="1"/>
        <v>15</v>
      </c>
      <c r="B20" s="34" t="s">
        <v>158</v>
      </c>
      <c r="C20" s="35" t="s">
        <v>159</v>
      </c>
      <c r="D20" s="36" t="s">
        <v>160</v>
      </c>
      <c r="E20" s="334">
        <v>20823</v>
      </c>
      <c r="F20" s="36" t="s">
        <v>36</v>
      </c>
      <c r="G20" s="34" t="s">
        <v>161</v>
      </c>
      <c r="H20" s="37" t="s">
        <v>73</v>
      </c>
      <c r="I20" s="37" t="s">
        <v>73</v>
      </c>
      <c r="J20" s="34" t="s">
        <v>153</v>
      </c>
      <c r="K20" s="34" t="s">
        <v>154</v>
      </c>
      <c r="L20" s="39" t="s">
        <v>42</v>
      </c>
      <c r="M20" s="53">
        <v>32576</v>
      </c>
      <c r="N20" s="41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42" t="s">
        <v>162</v>
      </c>
      <c r="Z20" s="52" t="s">
        <v>163</v>
      </c>
      <c r="AA20" s="44" t="s">
        <v>61</v>
      </c>
      <c r="AB20" s="45">
        <v>34597</v>
      </c>
      <c r="AC20" s="46" t="s">
        <v>30</v>
      </c>
      <c r="AD20" s="36" t="s">
        <v>26</v>
      </c>
      <c r="AE20" s="64" t="s">
        <v>120</v>
      </c>
      <c r="AF20" s="48" t="s">
        <v>120</v>
      </c>
      <c r="AG20" s="48" t="s">
        <v>120</v>
      </c>
      <c r="AH20" s="48" t="s">
        <v>120</v>
      </c>
      <c r="AI20" s="48" t="s">
        <v>120</v>
      </c>
      <c r="AJ20" s="48" t="s">
        <v>120</v>
      </c>
      <c r="AK20" s="49" t="s">
        <v>41</v>
      </c>
      <c r="AL20" s="48" t="s">
        <v>41</v>
      </c>
      <c r="AM20" s="62" t="s">
        <v>276</v>
      </c>
      <c r="AN20" s="62"/>
      <c r="AO20" s="59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1"/>
    </row>
    <row r="21" spans="1:53" x14ac:dyDescent="0.2">
      <c r="A21" s="33">
        <f t="shared" si="1"/>
        <v>16</v>
      </c>
      <c r="B21" s="34" t="s">
        <v>164</v>
      </c>
      <c r="C21" s="35" t="s">
        <v>165</v>
      </c>
      <c r="D21" s="36" t="s">
        <v>166</v>
      </c>
      <c r="E21" s="36"/>
      <c r="F21" s="36" t="s">
        <v>54</v>
      </c>
      <c r="G21" s="34" t="s">
        <v>167</v>
      </c>
      <c r="H21" s="37" t="s">
        <v>73</v>
      </c>
      <c r="I21" s="37" t="s">
        <v>73</v>
      </c>
      <c r="J21" s="34" t="s">
        <v>168</v>
      </c>
      <c r="K21" s="34" t="s">
        <v>41</v>
      </c>
      <c r="L21" s="39" t="s">
        <v>42</v>
      </c>
      <c r="M21" s="40" t="s">
        <v>169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2" t="s">
        <v>170</v>
      </c>
      <c r="Z21" s="71" t="s">
        <v>171</v>
      </c>
      <c r="AA21" s="44" t="s">
        <v>61</v>
      </c>
      <c r="AB21" s="45">
        <v>37208</v>
      </c>
      <c r="AC21" s="46" t="s">
        <v>30</v>
      </c>
      <c r="AD21" s="36" t="s">
        <v>26</v>
      </c>
      <c r="AE21" s="47" t="s">
        <v>49</v>
      </c>
      <c r="AF21" s="48" t="s">
        <v>49</v>
      </c>
      <c r="AG21" s="48" t="s">
        <v>49</v>
      </c>
      <c r="AH21" s="48" t="s">
        <v>41</v>
      </c>
      <c r="AI21" s="48" t="s">
        <v>41</v>
      </c>
      <c r="AJ21" s="48" t="s">
        <v>41</v>
      </c>
      <c r="AK21" s="49" t="s">
        <v>41</v>
      </c>
      <c r="AL21" s="48" t="s">
        <v>41</v>
      </c>
      <c r="AM21" s="62" t="s">
        <v>110</v>
      </c>
      <c r="AN21" s="62"/>
      <c r="AO21" s="59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1"/>
    </row>
    <row r="22" spans="1:53" x14ac:dyDescent="0.2">
      <c r="A22" s="33">
        <f t="shared" si="1"/>
        <v>17</v>
      </c>
      <c r="B22" s="72" t="s">
        <v>172</v>
      </c>
      <c r="C22" s="35" t="s">
        <v>173</v>
      </c>
      <c r="D22" s="73" t="s">
        <v>174</v>
      </c>
      <c r="E22" s="335">
        <v>32936</v>
      </c>
      <c r="F22" s="36" t="s">
        <v>54</v>
      </c>
      <c r="G22" s="74" t="s">
        <v>175</v>
      </c>
      <c r="H22" s="75" t="s">
        <v>176</v>
      </c>
      <c r="I22" s="75" t="s">
        <v>39</v>
      </c>
      <c r="J22" s="76" t="s">
        <v>177</v>
      </c>
      <c r="K22" s="72" t="s">
        <v>41</v>
      </c>
      <c r="L22" s="77" t="s">
        <v>42</v>
      </c>
      <c r="M22" s="78" t="s">
        <v>178</v>
      </c>
      <c r="N22" s="79"/>
      <c r="O22" s="79"/>
      <c r="P22" s="79"/>
      <c r="Q22" s="79"/>
      <c r="R22" s="79"/>
      <c r="S22" s="79" t="s">
        <v>44</v>
      </c>
      <c r="T22" s="79"/>
      <c r="U22" s="79"/>
      <c r="V22" s="79"/>
      <c r="W22" s="79"/>
      <c r="X22" s="79"/>
      <c r="Y22" s="42" t="s">
        <v>180</v>
      </c>
      <c r="Z22" s="58" t="s">
        <v>181</v>
      </c>
      <c r="AA22" s="44"/>
      <c r="AB22" s="45" t="s">
        <v>47</v>
      </c>
      <c r="AC22" s="80"/>
      <c r="AD22" s="73"/>
      <c r="AE22" s="81" t="s">
        <v>49</v>
      </c>
      <c r="AF22" s="48" t="s">
        <v>41</v>
      </c>
      <c r="AG22" s="48" t="s">
        <v>49</v>
      </c>
      <c r="AH22" s="48" t="s">
        <v>49</v>
      </c>
      <c r="AI22" s="48" t="s">
        <v>49</v>
      </c>
      <c r="AJ22" s="48" t="s">
        <v>49</v>
      </c>
      <c r="AK22" s="49" t="s">
        <v>49</v>
      </c>
      <c r="AL22" s="48" t="s">
        <v>49</v>
      </c>
      <c r="AM22" s="62" t="s">
        <v>32</v>
      </c>
      <c r="AN22" s="62"/>
      <c r="AO22" s="59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1"/>
    </row>
    <row r="23" spans="1:53" x14ac:dyDescent="0.2">
      <c r="A23" s="33">
        <f t="shared" si="1"/>
        <v>18</v>
      </c>
      <c r="B23" s="72" t="s">
        <v>182</v>
      </c>
      <c r="C23" s="35" t="s">
        <v>183</v>
      </c>
      <c r="D23" s="73" t="s">
        <v>184</v>
      </c>
      <c r="E23" s="73"/>
      <c r="F23" s="36" t="s">
        <v>54</v>
      </c>
      <c r="G23" s="74" t="s">
        <v>185</v>
      </c>
      <c r="H23" s="75" t="s">
        <v>186</v>
      </c>
      <c r="I23" s="75" t="s">
        <v>187</v>
      </c>
      <c r="J23" s="72" t="s">
        <v>188</v>
      </c>
      <c r="K23" s="72" t="s">
        <v>41</v>
      </c>
      <c r="L23" s="77" t="s">
        <v>42</v>
      </c>
      <c r="M23" s="78" t="s">
        <v>189</v>
      </c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42" t="s">
        <v>190</v>
      </c>
      <c r="Z23" s="58" t="s">
        <v>191</v>
      </c>
      <c r="AA23" s="44" t="s">
        <v>61</v>
      </c>
      <c r="AB23" s="45">
        <v>34597</v>
      </c>
      <c r="AC23" s="80" t="s">
        <v>30</v>
      </c>
      <c r="AD23" s="73">
        <v>1</v>
      </c>
      <c r="AE23" s="81" t="s">
        <v>49</v>
      </c>
      <c r="AF23" s="48" t="s">
        <v>41</v>
      </c>
      <c r="AG23" s="48" t="s">
        <v>41</v>
      </c>
      <c r="AH23" s="48" t="s">
        <v>41</v>
      </c>
      <c r="AI23" s="48" t="s">
        <v>41</v>
      </c>
      <c r="AJ23" s="48" t="s">
        <v>41</v>
      </c>
      <c r="AK23" s="49" t="s">
        <v>41</v>
      </c>
      <c r="AL23" s="48" t="s">
        <v>41</v>
      </c>
      <c r="AM23" s="82" t="s">
        <v>4588</v>
      </c>
      <c r="AN23" s="82"/>
      <c r="AO23" s="59" t="s">
        <v>192</v>
      </c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1"/>
    </row>
    <row r="24" spans="1:53" x14ac:dyDescent="0.2">
      <c r="A24" s="33">
        <f t="shared" si="1"/>
        <v>19</v>
      </c>
      <c r="B24" s="34" t="s">
        <v>193</v>
      </c>
      <c r="C24" s="35" t="s">
        <v>194</v>
      </c>
      <c r="D24" s="36" t="s">
        <v>195</v>
      </c>
      <c r="E24" s="334">
        <v>20475</v>
      </c>
      <c r="F24" s="36" t="s">
        <v>54</v>
      </c>
      <c r="G24" s="34" t="s">
        <v>196</v>
      </c>
      <c r="H24" s="37" t="s">
        <v>73</v>
      </c>
      <c r="I24" s="37" t="s">
        <v>73</v>
      </c>
      <c r="J24" s="38" t="s">
        <v>197</v>
      </c>
      <c r="K24" s="34" t="s">
        <v>41</v>
      </c>
      <c r="L24" s="39" t="s">
        <v>42</v>
      </c>
      <c r="M24" s="40" t="s">
        <v>198</v>
      </c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42" t="s">
        <v>199</v>
      </c>
      <c r="Z24" s="58" t="s">
        <v>200</v>
      </c>
      <c r="AA24" s="44" t="s">
        <v>61</v>
      </c>
      <c r="AB24" s="45">
        <v>34597</v>
      </c>
      <c r="AC24" s="46" t="s">
        <v>30</v>
      </c>
      <c r="AD24" s="36" t="s">
        <v>26</v>
      </c>
      <c r="AE24" s="47" t="s">
        <v>49</v>
      </c>
      <c r="AF24" s="48" t="s">
        <v>49</v>
      </c>
      <c r="AG24" s="48" t="s">
        <v>49</v>
      </c>
      <c r="AH24" s="48" t="s">
        <v>49</v>
      </c>
      <c r="AI24" s="48" t="s">
        <v>49</v>
      </c>
      <c r="AJ24" s="48" t="s">
        <v>49</v>
      </c>
      <c r="AK24" s="49" t="s">
        <v>49</v>
      </c>
      <c r="AL24" s="48" t="s">
        <v>49</v>
      </c>
      <c r="AM24" s="62" t="s">
        <v>32</v>
      </c>
      <c r="AN24" s="62"/>
      <c r="AO24" s="59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1"/>
    </row>
    <row r="25" spans="1:53" x14ac:dyDescent="0.2">
      <c r="A25" s="33">
        <f t="shared" si="1"/>
        <v>20</v>
      </c>
      <c r="B25" s="34" t="s">
        <v>201</v>
      </c>
      <c r="C25" s="35" t="s">
        <v>202</v>
      </c>
      <c r="D25" s="36" t="s">
        <v>203</v>
      </c>
      <c r="E25" s="334">
        <v>31273</v>
      </c>
      <c r="F25" s="36" t="s">
        <v>36</v>
      </c>
      <c r="G25" s="34" t="s">
        <v>204</v>
      </c>
      <c r="H25" s="37" t="s">
        <v>205</v>
      </c>
      <c r="I25" s="37" t="s">
        <v>205</v>
      </c>
      <c r="J25" s="38" t="s">
        <v>206</v>
      </c>
      <c r="K25" s="34" t="s">
        <v>41</v>
      </c>
      <c r="L25" s="39" t="s">
        <v>42</v>
      </c>
      <c r="M25" s="53" t="s">
        <v>207</v>
      </c>
      <c r="N25" s="41"/>
      <c r="O25" s="41"/>
      <c r="P25" s="41"/>
      <c r="Q25" s="41"/>
      <c r="R25" s="41"/>
      <c r="S25" s="41"/>
      <c r="T25" s="41"/>
      <c r="U25" s="41" t="s">
        <v>44</v>
      </c>
      <c r="V25" s="41"/>
      <c r="W25" s="41"/>
      <c r="X25" s="41"/>
      <c r="Y25" s="54" t="s">
        <v>208</v>
      </c>
      <c r="Z25" s="83" t="s">
        <v>209</v>
      </c>
      <c r="AA25" s="83"/>
      <c r="AB25" s="45">
        <v>45642</v>
      </c>
      <c r="AC25" s="46"/>
      <c r="AD25" s="36"/>
      <c r="AE25" s="61" t="s">
        <v>49</v>
      </c>
      <c r="AF25" s="48" t="s">
        <v>41</v>
      </c>
      <c r="AG25" s="48" t="s">
        <v>41</v>
      </c>
      <c r="AH25" s="48" t="s">
        <v>41</v>
      </c>
      <c r="AI25" s="48" t="s">
        <v>49</v>
      </c>
      <c r="AJ25" s="48" t="s">
        <v>49</v>
      </c>
      <c r="AK25" s="49" t="s">
        <v>49</v>
      </c>
      <c r="AL25" s="48" t="s">
        <v>49</v>
      </c>
      <c r="AM25" s="65" t="s">
        <v>32</v>
      </c>
      <c r="AN25" s="65"/>
      <c r="AO25" s="59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1"/>
    </row>
    <row r="26" spans="1:53" x14ac:dyDescent="0.2">
      <c r="A26" s="33">
        <f t="shared" si="1"/>
        <v>21</v>
      </c>
      <c r="B26" s="34" t="s">
        <v>210</v>
      </c>
      <c r="C26" s="35" t="s">
        <v>211</v>
      </c>
      <c r="D26" s="36" t="s">
        <v>212</v>
      </c>
      <c r="E26" s="334">
        <v>34431</v>
      </c>
      <c r="F26" s="36" t="s">
        <v>54</v>
      </c>
      <c r="G26" s="34" t="s">
        <v>213</v>
      </c>
      <c r="H26" s="37" t="s">
        <v>214</v>
      </c>
      <c r="I26" s="37" t="s">
        <v>205</v>
      </c>
      <c r="J26" s="38" t="s">
        <v>215</v>
      </c>
      <c r="K26" s="34" t="s">
        <v>41</v>
      </c>
      <c r="L26" s="39" t="s">
        <v>42</v>
      </c>
      <c r="M26" s="40" t="s">
        <v>216</v>
      </c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42" t="s">
        <v>217</v>
      </c>
      <c r="Z26" s="58" t="s">
        <v>218</v>
      </c>
      <c r="AA26" s="84" t="s">
        <v>219</v>
      </c>
      <c r="AB26" s="45">
        <v>44650</v>
      </c>
      <c r="AC26" s="46" t="s">
        <v>30</v>
      </c>
      <c r="AD26" s="36" t="s">
        <v>220</v>
      </c>
      <c r="AE26" s="47" t="s">
        <v>49</v>
      </c>
      <c r="AF26" s="48" t="s">
        <v>49</v>
      </c>
      <c r="AG26" s="48" t="s">
        <v>49</v>
      </c>
      <c r="AH26" s="48" t="s">
        <v>49</v>
      </c>
      <c r="AI26" s="48" t="s">
        <v>49</v>
      </c>
      <c r="AJ26" s="48" t="s">
        <v>49</v>
      </c>
      <c r="AK26" s="49" t="s">
        <v>41</v>
      </c>
      <c r="AL26" s="48" t="s">
        <v>41</v>
      </c>
      <c r="AM26" s="62" t="s">
        <v>276</v>
      </c>
      <c r="AN26" s="62"/>
      <c r="AO26" s="59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1"/>
    </row>
    <row r="27" spans="1:53" x14ac:dyDescent="0.2">
      <c r="A27" s="33">
        <f t="shared" si="1"/>
        <v>22</v>
      </c>
      <c r="B27" s="34" t="s">
        <v>221</v>
      </c>
      <c r="C27" s="35" t="s">
        <v>222</v>
      </c>
      <c r="D27" s="36" t="s">
        <v>223</v>
      </c>
      <c r="E27" s="334">
        <v>25699</v>
      </c>
      <c r="F27" s="36" t="s">
        <v>54</v>
      </c>
      <c r="G27" s="34" t="s">
        <v>224</v>
      </c>
      <c r="H27" s="37" t="s">
        <v>73</v>
      </c>
      <c r="I27" s="37" t="s">
        <v>73</v>
      </c>
      <c r="J27" s="34" t="s">
        <v>225</v>
      </c>
      <c r="K27" s="34" t="s">
        <v>226</v>
      </c>
      <c r="L27" s="39" t="s">
        <v>42</v>
      </c>
      <c r="M27" s="53">
        <v>35886</v>
      </c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42" t="s">
        <v>227</v>
      </c>
      <c r="Z27" s="85" t="s">
        <v>228</v>
      </c>
      <c r="AA27" s="44" t="s">
        <v>229</v>
      </c>
      <c r="AB27" s="45">
        <v>42325</v>
      </c>
      <c r="AC27" s="46" t="s">
        <v>30</v>
      </c>
      <c r="AD27" s="36" t="s">
        <v>26</v>
      </c>
      <c r="AE27" s="64" t="s">
        <v>120</v>
      </c>
      <c r="AF27" s="48" t="s">
        <v>120</v>
      </c>
      <c r="AG27" s="48" t="s">
        <v>120</v>
      </c>
      <c r="AH27" s="48" t="s">
        <v>120</v>
      </c>
      <c r="AI27" s="48" t="s">
        <v>120</v>
      </c>
      <c r="AJ27" s="48" t="s">
        <v>120</v>
      </c>
      <c r="AK27" s="49" t="s">
        <v>41</v>
      </c>
      <c r="AL27" s="48" t="s">
        <v>41</v>
      </c>
      <c r="AM27" s="62" t="s">
        <v>276</v>
      </c>
      <c r="AN27" s="62"/>
      <c r="AO27" s="59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1"/>
    </row>
    <row r="28" spans="1:53" x14ac:dyDescent="0.2">
      <c r="A28" s="33">
        <f t="shared" si="1"/>
        <v>23</v>
      </c>
      <c r="B28" s="34" t="s">
        <v>230</v>
      </c>
      <c r="C28" s="35" t="s">
        <v>231</v>
      </c>
      <c r="D28" s="36" t="s">
        <v>232</v>
      </c>
      <c r="E28" s="334">
        <v>18787</v>
      </c>
      <c r="F28" s="36" t="s">
        <v>54</v>
      </c>
      <c r="G28" s="34" t="s">
        <v>233</v>
      </c>
      <c r="H28" s="37" t="s">
        <v>73</v>
      </c>
      <c r="I28" s="37" t="s">
        <v>73</v>
      </c>
      <c r="J28" s="34" t="s">
        <v>234</v>
      </c>
      <c r="K28" s="34" t="s">
        <v>41</v>
      </c>
      <c r="L28" s="39" t="s">
        <v>42</v>
      </c>
      <c r="M28" s="40" t="s">
        <v>235</v>
      </c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2" t="s">
        <v>236</v>
      </c>
      <c r="Z28" s="52" t="s">
        <v>237</v>
      </c>
      <c r="AA28" s="44" t="s">
        <v>61</v>
      </c>
      <c r="AB28" s="86">
        <v>40815</v>
      </c>
      <c r="AC28" s="46" t="s">
        <v>30</v>
      </c>
      <c r="AD28" s="36" t="s">
        <v>26</v>
      </c>
      <c r="AE28" s="47" t="s">
        <v>49</v>
      </c>
      <c r="AF28" s="48" t="s">
        <v>49</v>
      </c>
      <c r="AG28" s="48" t="s">
        <v>49</v>
      </c>
      <c r="AH28" s="48" t="s">
        <v>49</v>
      </c>
      <c r="AI28" s="48" t="s">
        <v>49</v>
      </c>
      <c r="AJ28" s="48" t="s">
        <v>49</v>
      </c>
      <c r="AK28" s="49" t="s">
        <v>41</v>
      </c>
      <c r="AL28" s="48" t="s">
        <v>41</v>
      </c>
      <c r="AM28" s="62" t="s">
        <v>276</v>
      </c>
      <c r="AN28" s="62"/>
      <c r="AO28" s="59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1"/>
    </row>
    <row r="29" spans="1:53" x14ac:dyDescent="0.2">
      <c r="A29" s="33">
        <f t="shared" si="1"/>
        <v>24</v>
      </c>
      <c r="B29" s="87" t="s">
        <v>238</v>
      </c>
      <c r="C29" s="88" t="s">
        <v>239</v>
      </c>
      <c r="D29" s="89" t="s">
        <v>240</v>
      </c>
      <c r="E29" s="89"/>
      <c r="F29" s="89" t="s">
        <v>241</v>
      </c>
      <c r="G29" s="87" t="s">
        <v>242</v>
      </c>
      <c r="H29" s="90" t="s">
        <v>243</v>
      </c>
      <c r="I29" s="90" t="s">
        <v>205</v>
      </c>
      <c r="J29" s="91" t="s">
        <v>244</v>
      </c>
      <c r="K29" s="91" t="s">
        <v>245</v>
      </c>
      <c r="L29" s="92" t="s">
        <v>42</v>
      </c>
      <c r="M29" s="93">
        <v>36413</v>
      </c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190" t="s">
        <v>246</v>
      </c>
      <c r="Z29" s="95" t="s">
        <v>247</v>
      </c>
      <c r="AA29" s="314" t="s">
        <v>61</v>
      </c>
      <c r="AB29" s="250">
        <v>39286</v>
      </c>
      <c r="AC29" s="96" t="s">
        <v>30</v>
      </c>
      <c r="AD29" s="170" t="s">
        <v>26</v>
      </c>
      <c r="AE29" s="97" t="s">
        <v>49</v>
      </c>
      <c r="AF29" s="315" t="s">
        <v>49</v>
      </c>
      <c r="AG29" s="315" t="s">
        <v>49</v>
      </c>
      <c r="AH29" s="315" t="s">
        <v>41</v>
      </c>
      <c r="AI29" s="315" t="s">
        <v>41</v>
      </c>
      <c r="AJ29" s="315" t="s">
        <v>41</v>
      </c>
      <c r="AK29" s="316" t="s">
        <v>41</v>
      </c>
      <c r="AL29" s="48" t="s">
        <v>41</v>
      </c>
      <c r="AM29" s="62">
        <v>5</v>
      </c>
      <c r="AN29" s="62"/>
      <c r="AO29" s="59" t="s">
        <v>192</v>
      </c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1"/>
    </row>
    <row r="30" spans="1:53" x14ac:dyDescent="0.2">
      <c r="A30" s="33">
        <f t="shared" si="1"/>
        <v>25</v>
      </c>
      <c r="B30" s="34" t="s">
        <v>4656</v>
      </c>
      <c r="C30" s="35" t="s">
        <v>4650</v>
      </c>
      <c r="D30" s="109" t="s">
        <v>4651</v>
      </c>
      <c r="E30" s="336">
        <v>29171</v>
      </c>
      <c r="F30" s="36" t="s">
        <v>36</v>
      </c>
      <c r="G30" s="34" t="s">
        <v>4652</v>
      </c>
      <c r="H30" s="37" t="s">
        <v>73</v>
      </c>
      <c r="I30" s="37" t="s">
        <v>73</v>
      </c>
      <c r="J30" s="318" t="s">
        <v>4653</v>
      </c>
      <c r="K30" s="38"/>
      <c r="L30" s="39" t="s">
        <v>42</v>
      </c>
      <c r="M30" s="120">
        <v>46073</v>
      </c>
      <c r="N30" s="112" t="s">
        <v>179</v>
      </c>
      <c r="O30" s="112"/>
      <c r="P30" s="112"/>
      <c r="Q30" s="112"/>
      <c r="R30" s="112"/>
      <c r="S30" s="112"/>
      <c r="T30" s="112"/>
      <c r="U30" s="112"/>
      <c r="V30" s="112"/>
      <c r="W30" s="112"/>
      <c r="X30" s="112" t="s">
        <v>44</v>
      </c>
      <c r="Y30" s="318" t="s">
        <v>4654</v>
      </c>
      <c r="Z30" s="319" t="s">
        <v>4655</v>
      </c>
      <c r="AA30" s="44"/>
      <c r="AB30" s="45"/>
      <c r="AC30" s="101"/>
      <c r="AD30" s="36"/>
      <c r="AE30" s="317" t="s">
        <v>49</v>
      </c>
      <c r="AF30" s="315" t="s">
        <v>41</v>
      </c>
      <c r="AG30" s="315" t="s">
        <v>41</v>
      </c>
      <c r="AH30" s="315" t="s">
        <v>41</v>
      </c>
      <c r="AI30" s="315" t="s">
        <v>41</v>
      </c>
      <c r="AJ30" s="315" t="s">
        <v>41</v>
      </c>
      <c r="AK30" s="316" t="s">
        <v>41</v>
      </c>
      <c r="AL30" s="48" t="s">
        <v>49</v>
      </c>
      <c r="AM30" s="62" t="s">
        <v>32</v>
      </c>
      <c r="AN30" s="62"/>
      <c r="AO30" s="59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1"/>
    </row>
    <row r="31" spans="1:53" x14ac:dyDescent="0.2">
      <c r="A31" s="33">
        <f t="shared" si="1"/>
        <v>26</v>
      </c>
      <c r="B31" s="34" t="s">
        <v>248</v>
      </c>
      <c r="C31" s="35" t="s">
        <v>249</v>
      </c>
      <c r="D31" s="73" t="s">
        <v>250</v>
      </c>
      <c r="E31" s="335">
        <v>29021</v>
      </c>
      <c r="F31" s="36" t="s">
        <v>54</v>
      </c>
      <c r="G31" s="98" t="s">
        <v>251</v>
      </c>
      <c r="H31" s="37" t="s">
        <v>252</v>
      </c>
      <c r="I31" s="37" t="s">
        <v>57</v>
      </c>
      <c r="J31" s="34" t="s">
        <v>253</v>
      </c>
      <c r="K31" s="34" t="s">
        <v>254</v>
      </c>
      <c r="L31" s="39" t="s">
        <v>42</v>
      </c>
      <c r="M31" s="99" t="s">
        <v>255</v>
      </c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42" t="s">
        <v>4685</v>
      </c>
      <c r="Z31" s="100" t="s">
        <v>257</v>
      </c>
      <c r="AA31" s="44" t="s">
        <v>258</v>
      </c>
      <c r="AB31" s="45">
        <v>42935</v>
      </c>
      <c r="AC31" s="101" t="s">
        <v>30</v>
      </c>
      <c r="AD31" s="73" t="s">
        <v>26</v>
      </c>
      <c r="AE31" s="47" t="s">
        <v>49</v>
      </c>
      <c r="AF31" s="48" t="s">
        <v>49</v>
      </c>
      <c r="AG31" s="48" t="s">
        <v>49</v>
      </c>
      <c r="AH31" s="48" t="s">
        <v>49</v>
      </c>
      <c r="AI31" s="48" t="s">
        <v>49</v>
      </c>
      <c r="AJ31" s="48" t="s">
        <v>49</v>
      </c>
      <c r="AK31" s="49" t="s">
        <v>49</v>
      </c>
      <c r="AL31" s="48" t="s">
        <v>49</v>
      </c>
      <c r="AM31" s="62" t="s">
        <v>32</v>
      </c>
      <c r="AN31" s="62"/>
      <c r="AO31" s="59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1"/>
    </row>
    <row r="32" spans="1:53" x14ac:dyDescent="0.2">
      <c r="A32" s="33">
        <f t="shared" si="1"/>
        <v>27</v>
      </c>
      <c r="B32" s="34" t="s">
        <v>4626</v>
      </c>
      <c r="C32" s="35" t="s">
        <v>4641</v>
      </c>
      <c r="D32" s="73" t="s">
        <v>4628</v>
      </c>
      <c r="E32" s="335">
        <v>32738</v>
      </c>
      <c r="F32" s="36" t="s">
        <v>54</v>
      </c>
      <c r="G32" s="98" t="s">
        <v>4629</v>
      </c>
      <c r="H32" s="37" t="s">
        <v>176</v>
      </c>
      <c r="I32" s="37" t="s">
        <v>39</v>
      </c>
      <c r="J32" s="38" t="s">
        <v>4630</v>
      </c>
      <c r="K32" s="34" t="s">
        <v>41</v>
      </c>
      <c r="L32" s="39" t="s">
        <v>42</v>
      </c>
      <c r="M32" s="53">
        <v>46083</v>
      </c>
      <c r="N32" s="56"/>
      <c r="O32" s="56"/>
      <c r="P32" s="56"/>
      <c r="Q32" s="56"/>
      <c r="R32" s="56" t="s">
        <v>179</v>
      </c>
      <c r="S32" s="56"/>
      <c r="T32" s="56"/>
      <c r="U32" s="56"/>
      <c r="V32" s="56"/>
      <c r="W32" s="56"/>
      <c r="X32" s="56" t="s">
        <v>44</v>
      </c>
      <c r="Y32" s="42" t="s">
        <v>4631</v>
      </c>
      <c r="Z32" s="311" t="s">
        <v>4632</v>
      </c>
      <c r="AA32" s="44"/>
      <c r="AB32" s="45"/>
      <c r="AC32" s="46"/>
      <c r="AD32" s="73"/>
      <c r="AE32" s="47" t="s">
        <v>49</v>
      </c>
      <c r="AF32" s="48"/>
      <c r="AG32" s="48"/>
      <c r="AH32" s="48"/>
      <c r="AI32" s="48"/>
      <c r="AJ32" s="48"/>
      <c r="AK32" s="49"/>
      <c r="AL32" s="48" t="s">
        <v>49</v>
      </c>
      <c r="AM32" s="62" t="s">
        <v>32</v>
      </c>
      <c r="AN32" s="62"/>
      <c r="AO32" s="59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1"/>
    </row>
    <row r="33" spans="1:53" x14ac:dyDescent="0.2">
      <c r="A33" s="33">
        <f t="shared" si="1"/>
        <v>28</v>
      </c>
      <c r="B33" s="34" t="s">
        <v>259</v>
      </c>
      <c r="C33" s="35" t="s">
        <v>260</v>
      </c>
      <c r="D33" s="36" t="s">
        <v>261</v>
      </c>
      <c r="E33" s="36"/>
      <c r="F33" s="36" t="s">
        <v>54</v>
      </c>
      <c r="G33" s="34" t="s">
        <v>262</v>
      </c>
      <c r="H33" s="37" t="s">
        <v>176</v>
      </c>
      <c r="I33" s="37" t="s">
        <v>39</v>
      </c>
      <c r="J33" s="34" t="s">
        <v>263</v>
      </c>
      <c r="K33" s="34" t="s">
        <v>264</v>
      </c>
      <c r="L33" s="39" t="s">
        <v>42</v>
      </c>
      <c r="M33" s="40" t="s">
        <v>265</v>
      </c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42" t="s">
        <v>266</v>
      </c>
      <c r="Z33" s="60" t="s">
        <v>267</v>
      </c>
      <c r="AA33" s="44" t="s">
        <v>61</v>
      </c>
      <c r="AB33" s="45">
        <v>40815</v>
      </c>
      <c r="AC33" s="46" t="s">
        <v>30</v>
      </c>
      <c r="AD33" s="36" t="s">
        <v>26</v>
      </c>
      <c r="AE33" s="47" t="s">
        <v>49</v>
      </c>
      <c r="AF33" s="48" t="s">
        <v>49</v>
      </c>
      <c r="AG33" s="48" t="s">
        <v>41</v>
      </c>
      <c r="AH33" s="48" t="s">
        <v>41</v>
      </c>
      <c r="AI33" s="48" t="s">
        <v>41</v>
      </c>
      <c r="AJ33" s="48" t="s">
        <v>41</v>
      </c>
      <c r="AK33" s="49" t="s">
        <v>41</v>
      </c>
      <c r="AL33" s="48" t="s">
        <v>41</v>
      </c>
      <c r="AM33" s="62" t="s">
        <v>4587</v>
      </c>
      <c r="AN33" s="62"/>
      <c r="AO33" s="59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1"/>
    </row>
    <row r="34" spans="1:53" x14ac:dyDescent="0.2">
      <c r="A34" s="33">
        <f t="shared" si="1"/>
        <v>29</v>
      </c>
      <c r="B34" s="34" t="s">
        <v>4675</v>
      </c>
      <c r="C34" s="35" t="s">
        <v>4676</v>
      </c>
      <c r="D34" s="36" t="s">
        <v>4677</v>
      </c>
      <c r="E34" s="36"/>
      <c r="F34" s="36" t="s">
        <v>4169</v>
      </c>
      <c r="G34" s="34" t="s">
        <v>4678</v>
      </c>
      <c r="H34" s="37" t="s">
        <v>176</v>
      </c>
      <c r="I34" s="37" t="s">
        <v>39</v>
      </c>
      <c r="J34" s="34" t="s">
        <v>41</v>
      </c>
      <c r="K34" s="34" t="s">
        <v>41</v>
      </c>
      <c r="L34" s="39" t="s">
        <v>42</v>
      </c>
      <c r="M34" s="53">
        <v>46132</v>
      </c>
      <c r="N34" s="56" t="s">
        <v>179</v>
      </c>
      <c r="O34" s="56" t="s">
        <v>179</v>
      </c>
      <c r="P34" s="56"/>
      <c r="Q34" s="56"/>
      <c r="R34" s="56"/>
      <c r="S34" s="56"/>
      <c r="T34" s="56"/>
      <c r="U34" s="56"/>
      <c r="V34" s="56"/>
      <c r="W34" s="56"/>
      <c r="X34" s="56" t="s">
        <v>44</v>
      </c>
      <c r="Y34" s="42" t="s">
        <v>4679</v>
      </c>
      <c r="Z34" s="328" t="s">
        <v>4680</v>
      </c>
      <c r="AA34" s="44"/>
      <c r="AB34" s="45"/>
      <c r="AC34" s="46"/>
      <c r="AD34" s="36"/>
      <c r="AE34" s="47" t="s">
        <v>49</v>
      </c>
      <c r="AF34" s="48"/>
      <c r="AG34" s="48" t="s">
        <v>41</v>
      </c>
      <c r="AH34" s="48" t="s">
        <v>41</v>
      </c>
      <c r="AI34" s="48" t="s">
        <v>41</v>
      </c>
      <c r="AJ34" s="48" t="s">
        <v>41</v>
      </c>
      <c r="AK34" s="49" t="s">
        <v>41</v>
      </c>
      <c r="AL34" s="48" t="s">
        <v>49</v>
      </c>
      <c r="AM34" s="62" t="s">
        <v>32</v>
      </c>
      <c r="AN34" s="62" t="s">
        <v>4681</v>
      </c>
      <c r="AO34" s="59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1"/>
    </row>
    <row r="35" spans="1:53" x14ac:dyDescent="0.2">
      <c r="A35" s="33">
        <f t="shared" si="1"/>
        <v>30</v>
      </c>
      <c r="B35" s="34" t="s">
        <v>268</v>
      </c>
      <c r="C35" s="35" t="s">
        <v>269</v>
      </c>
      <c r="D35" s="36" t="s">
        <v>270</v>
      </c>
      <c r="E35" s="334">
        <v>23081</v>
      </c>
      <c r="F35" s="36" t="s">
        <v>54</v>
      </c>
      <c r="G35" s="34" t="s">
        <v>271</v>
      </c>
      <c r="H35" s="37" t="s">
        <v>56</v>
      </c>
      <c r="I35" s="37" t="s">
        <v>57</v>
      </c>
      <c r="J35" s="38" t="s">
        <v>272</v>
      </c>
      <c r="K35" s="34" t="s">
        <v>41</v>
      </c>
      <c r="L35" s="39" t="s">
        <v>42</v>
      </c>
      <c r="M35" s="40" t="s">
        <v>273</v>
      </c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2" t="s">
        <v>274</v>
      </c>
      <c r="Z35" s="52" t="s">
        <v>275</v>
      </c>
      <c r="AA35" s="44" t="s">
        <v>61</v>
      </c>
      <c r="AB35" s="45">
        <v>40280</v>
      </c>
      <c r="AC35" s="46" t="s">
        <v>30</v>
      </c>
      <c r="AD35" s="36" t="s">
        <v>26</v>
      </c>
      <c r="AE35" s="47" t="s">
        <v>49</v>
      </c>
      <c r="AF35" s="48" t="s">
        <v>49</v>
      </c>
      <c r="AG35" s="48" t="s">
        <v>49</v>
      </c>
      <c r="AH35" s="48" t="s">
        <v>49</v>
      </c>
      <c r="AI35" s="48" t="s">
        <v>49</v>
      </c>
      <c r="AJ35" s="48" t="s">
        <v>41</v>
      </c>
      <c r="AK35" s="49" t="s">
        <v>41</v>
      </c>
      <c r="AL35" s="48" t="s">
        <v>41</v>
      </c>
      <c r="AM35" s="62" t="s">
        <v>4589</v>
      </c>
      <c r="AN35" s="62"/>
      <c r="AO35" s="59"/>
      <c r="AP35" s="10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1"/>
    </row>
    <row r="36" spans="1:53" x14ac:dyDescent="0.2">
      <c r="A36" s="33">
        <f t="shared" si="1"/>
        <v>31</v>
      </c>
      <c r="B36" s="34" t="s">
        <v>277</v>
      </c>
      <c r="C36" s="35" t="s">
        <v>278</v>
      </c>
      <c r="D36" s="36" t="s">
        <v>279</v>
      </c>
      <c r="E36" s="36" t="s">
        <v>4712</v>
      </c>
      <c r="F36" s="36" t="s">
        <v>36</v>
      </c>
      <c r="G36" s="34" t="s">
        <v>280</v>
      </c>
      <c r="H36" s="37" t="s">
        <v>73</v>
      </c>
      <c r="I36" s="37" t="s">
        <v>73</v>
      </c>
      <c r="J36" s="38" t="s">
        <v>281</v>
      </c>
      <c r="K36" s="34" t="s">
        <v>41</v>
      </c>
      <c r="L36" s="39" t="s">
        <v>42</v>
      </c>
      <c r="M36" s="53" t="s">
        <v>282</v>
      </c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2" t="s">
        <v>283</v>
      </c>
      <c r="Z36" s="58" t="s">
        <v>284</v>
      </c>
      <c r="AA36" s="44" t="s">
        <v>285</v>
      </c>
      <c r="AB36" s="45">
        <v>41793</v>
      </c>
      <c r="AC36" s="46" t="s">
        <v>30</v>
      </c>
      <c r="AD36" s="36" t="s">
        <v>26</v>
      </c>
      <c r="AE36" s="47" t="s">
        <v>49</v>
      </c>
      <c r="AF36" s="48" t="s">
        <v>49</v>
      </c>
      <c r="AG36" s="48" t="s">
        <v>49</v>
      </c>
      <c r="AH36" s="48" t="s">
        <v>49</v>
      </c>
      <c r="AI36" s="48" t="s">
        <v>49</v>
      </c>
      <c r="AJ36" s="48" t="s">
        <v>49</v>
      </c>
      <c r="AK36" s="49" t="s">
        <v>49</v>
      </c>
      <c r="AL36" s="48" t="s">
        <v>49</v>
      </c>
      <c r="AM36" s="62" t="s">
        <v>32</v>
      </c>
      <c r="AN36" s="62"/>
      <c r="AO36" s="103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1"/>
    </row>
    <row r="37" spans="1:53" x14ac:dyDescent="0.2">
      <c r="A37" s="33">
        <f t="shared" si="1"/>
        <v>32</v>
      </c>
      <c r="B37" s="34" t="s">
        <v>286</v>
      </c>
      <c r="C37" s="35" t="s">
        <v>287</v>
      </c>
      <c r="D37" s="36" t="s">
        <v>288</v>
      </c>
      <c r="E37" s="334">
        <v>24907</v>
      </c>
      <c r="F37" s="36" t="s">
        <v>54</v>
      </c>
      <c r="G37" s="34" t="s">
        <v>289</v>
      </c>
      <c r="H37" s="37" t="s">
        <v>73</v>
      </c>
      <c r="I37" s="37" t="s">
        <v>73</v>
      </c>
      <c r="J37" s="38" t="s">
        <v>290</v>
      </c>
      <c r="K37" s="34" t="s">
        <v>41</v>
      </c>
      <c r="L37" s="39" t="s">
        <v>42</v>
      </c>
      <c r="M37" s="53">
        <v>40672</v>
      </c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2" t="s">
        <v>291</v>
      </c>
      <c r="Z37" s="69" t="s">
        <v>292</v>
      </c>
      <c r="AA37" s="44" t="s">
        <v>293</v>
      </c>
      <c r="AB37" s="45">
        <v>43200</v>
      </c>
      <c r="AC37" s="46" t="s">
        <v>30</v>
      </c>
      <c r="AD37" s="36" t="s">
        <v>26</v>
      </c>
      <c r="AE37" s="47" t="s">
        <v>49</v>
      </c>
      <c r="AF37" s="48" t="s">
        <v>49</v>
      </c>
      <c r="AG37" s="48" t="s">
        <v>49</v>
      </c>
      <c r="AH37" s="48" t="s">
        <v>49</v>
      </c>
      <c r="AI37" s="48" t="s">
        <v>41</v>
      </c>
      <c r="AJ37" s="48" t="s">
        <v>41</v>
      </c>
      <c r="AK37" s="49" t="s">
        <v>41</v>
      </c>
      <c r="AL37" s="48" t="s">
        <v>41</v>
      </c>
      <c r="AM37" s="62" t="s">
        <v>139</v>
      </c>
      <c r="AN37" s="62"/>
      <c r="AO37" s="59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1"/>
    </row>
    <row r="38" spans="1:53" x14ac:dyDescent="0.2">
      <c r="A38" s="33">
        <f t="shared" si="1"/>
        <v>33</v>
      </c>
      <c r="B38" s="34" t="s">
        <v>294</v>
      </c>
      <c r="C38" s="35" t="s">
        <v>295</v>
      </c>
      <c r="D38" s="36" t="s">
        <v>296</v>
      </c>
      <c r="E38" s="334">
        <v>30047</v>
      </c>
      <c r="F38" s="36" t="s">
        <v>54</v>
      </c>
      <c r="G38" s="34" t="s">
        <v>297</v>
      </c>
      <c r="H38" s="37" t="s">
        <v>252</v>
      </c>
      <c r="I38" s="37" t="s">
        <v>57</v>
      </c>
      <c r="J38" s="38" t="s">
        <v>298</v>
      </c>
      <c r="K38" s="34" t="s">
        <v>41</v>
      </c>
      <c r="L38" s="39" t="s">
        <v>42</v>
      </c>
      <c r="M38" s="53">
        <v>44845</v>
      </c>
      <c r="N38" s="41"/>
      <c r="O38" s="41"/>
      <c r="P38" s="41"/>
      <c r="Q38" s="41"/>
      <c r="R38" s="41"/>
      <c r="S38" s="41"/>
      <c r="T38" s="41" t="s">
        <v>44</v>
      </c>
      <c r="U38" s="41"/>
      <c r="V38" s="41"/>
      <c r="W38" s="41"/>
      <c r="X38" s="41"/>
      <c r="Y38" s="42" t="s">
        <v>299</v>
      </c>
      <c r="Z38" s="58" t="s">
        <v>300</v>
      </c>
      <c r="AA38" s="44"/>
      <c r="AB38" s="45">
        <v>45642</v>
      </c>
      <c r="AC38" s="46"/>
      <c r="AD38" s="36"/>
      <c r="AE38" s="47" t="s">
        <v>49</v>
      </c>
      <c r="AF38" s="48" t="s">
        <v>41</v>
      </c>
      <c r="AG38" s="48" t="s">
        <v>41</v>
      </c>
      <c r="AH38" s="48" t="s">
        <v>49</v>
      </c>
      <c r="AI38" s="48" t="s">
        <v>49</v>
      </c>
      <c r="AJ38" s="48" t="s">
        <v>49</v>
      </c>
      <c r="AK38" s="49" t="s">
        <v>49</v>
      </c>
      <c r="AL38" s="48" t="s">
        <v>49</v>
      </c>
      <c r="AM38" s="62" t="s">
        <v>32</v>
      </c>
      <c r="AN38" s="62"/>
      <c r="AO38" s="59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1"/>
    </row>
    <row r="39" spans="1:53" x14ac:dyDescent="0.2">
      <c r="A39" s="33">
        <f t="shared" si="1"/>
        <v>34</v>
      </c>
      <c r="B39" s="34" t="s">
        <v>301</v>
      </c>
      <c r="C39" s="35" t="s">
        <v>302</v>
      </c>
      <c r="D39" s="36" t="s">
        <v>303</v>
      </c>
      <c r="E39" s="334">
        <v>27096</v>
      </c>
      <c r="F39" s="36" t="s">
        <v>54</v>
      </c>
      <c r="G39" s="34" t="s">
        <v>4619</v>
      </c>
      <c r="H39" s="37" t="s">
        <v>73</v>
      </c>
      <c r="I39" s="37" t="s">
        <v>73</v>
      </c>
      <c r="J39" s="38" t="s">
        <v>305</v>
      </c>
      <c r="K39" s="38" t="s">
        <v>306</v>
      </c>
      <c r="L39" s="39" t="s">
        <v>42</v>
      </c>
      <c r="M39" s="40" t="s">
        <v>307</v>
      </c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2" t="s">
        <v>308</v>
      </c>
      <c r="Z39" s="310" t="s">
        <v>4620</v>
      </c>
      <c r="AA39" s="44" t="s">
        <v>61</v>
      </c>
      <c r="AB39" s="45">
        <v>40280</v>
      </c>
      <c r="AC39" s="46" t="s">
        <v>30</v>
      </c>
      <c r="AD39" s="36" t="s">
        <v>26</v>
      </c>
      <c r="AE39" s="64" t="s">
        <v>120</v>
      </c>
      <c r="AF39" s="48" t="s">
        <v>120</v>
      </c>
      <c r="AG39" s="48" t="s">
        <v>120</v>
      </c>
      <c r="AH39" s="48" t="s">
        <v>120</v>
      </c>
      <c r="AI39" s="48" t="s">
        <v>120</v>
      </c>
      <c r="AJ39" s="48" t="s">
        <v>120</v>
      </c>
      <c r="AK39" s="49" t="s">
        <v>120</v>
      </c>
      <c r="AL39" s="48" t="s">
        <v>120</v>
      </c>
      <c r="AM39" s="62" t="s">
        <v>32</v>
      </c>
      <c r="AN39" s="62"/>
      <c r="AO39" s="59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1"/>
    </row>
    <row r="40" spans="1:53" x14ac:dyDescent="0.2">
      <c r="A40" s="33">
        <f t="shared" si="1"/>
        <v>35</v>
      </c>
      <c r="B40" s="34" t="s">
        <v>310</v>
      </c>
      <c r="C40" s="35" t="s">
        <v>311</v>
      </c>
      <c r="D40" s="104" t="s">
        <v>312</v>
      </c>
      <c r="E40" s="337">
        <v>30019</v>
      </c>
      <c r="F40" s="36" t="s">
        <v>54</v>
      </c>
      <c r="G40" s="34" t="s">
        <v>313</v>
      </c>
      <c r="H40" s="37" t="s">
        <v>214</v>
      </c>
      <c r="I40" s="37" t="s">
        <v>205</v>
      </c>
      <c r="J40" s="57" t="s">
        <v>314</v>
      </c>
      <c r="K40" s="34" t="s">
        <v>315</v>
      </c>
      <c r="L40" s="39" t="s">
        <v>42</v>
      </c>
      <c r="M40" s="40" t="s">
        <v>316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2" t="s">
        <v>317</v>
      </c>
      <c r="Z40" s="321" t="s">
        <v>318</v>
      </c>
      <c r="AA40" s="44" t="s">
        <v>61</v>
      </c>
      <c r="AB40" s="45">
        <v>40815</v>
      </c>
      <c r="AC40" s="46" t="s">
        <v>30</v>
      </c>
      <c r="AD40" s="36" t="s">
        <v>26</v>
      </c>
      <c r="AE40" s="47" t="s">
        <v>49</v>
      </c>
      <c r="AF40" s="48" t="s">
        <v>49</v>
      </c>
      <c r="AG40" s="48" t="s">
        <v>49</v>
      </c>
      <c r="AH40" s="48" t="s">
        <v>49</v>
      </c>
      <c r="AI40" s="48" t="s">
        <v>49</v>
      </c>
      <c r="AJ40" s="48" t="s">
        <v>49</v>
      </c>
      <c r="AK40" s="49" t="s">
        <v>49</v>
      </c>
      <c r="AL40" s="48" t="s">
        <v>49</v>
      </c>
      <c r="AM40" s="62" t="s">
        <v>32</v>
      </c>
      <c r="AN40" s="62"/>
      <c r="AO40" s="59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1"/>
    </row>
    <row r="41" spans="1:53" x14ac:dyDescent="0.2">
      <c r="A41" s="33">
        <f t="shared" si="1"/>
        <v>36</v>
      </c>
      <c r="B41" s="34" t="s">
        <v>319</v>
      </c>
      <c r="C41" s="35" t="s">
        <v>320</v>
      </c>
      <c r="D41" s="36" t="s">
        <v>321</v>
      </c>
      <c r="E41" s="334">
        <v>28397</v>
      </c>
      <c r="F41" s="36" t="s">
        <v>54</v>
      </c>
      <c r="G41" s="34" t="s">
        <v>322</v>
      </c>
      <c r="H41" s="37" t="s">
        <v>323</v>
      </c>
      <c r="I41" s="37" t="s">
        <v>39</v>
      </c>
      <c r="J41" s="54" t="s">
        <v>324</v>
      </c>
      <c r="K41" s="34" t="s">
        <v>41</v>
      </c>
      <c r="L41" s="39" t="s">
        <v>42</v>
      </c>
      <c r="M41" s="53" t="s">
        <v>325</v>
      </c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42" t="s">
        <v>326</v>
      </c>
      <c r="Z41" s="58" t="s">
        <v>327</v>
      </c>
      <c r="AA41" s="44" t="s">
        <v>328</v>
      </c>
      <c r="AB41" s="45">
        <v>43200</v>
      </c>
      <c r="AC41" s="46" t="s">
        <v>30</v>
      </c>
      <c r="AD41" s="36" t="s">
        <v>26</v>
      </c>
      <c r="AE41" s="47" t="s">
        <v>49</v>
      </c>
      <c r="AF41" s="48" t="s">
        <v>49</v>
      </c>
      <c r="AG41" s="48" t="s">
        <v>49</v>
      </c>
      <c r="AH41" s="48" t="s">
        <v>49</v>
      </c>
      <c r="AI41" s="48" t="s">
        <v>49</v>
      </c>
      <c r="AJ41" s="48" t="s">
        <v>49</v>
      </c>
      <c r="AK41" s="49" t="s">
        <v>49</v>
      </c>
      <c r="AL41" s="48" t="s">
        <v>49</v>
      </c>
      <c r="AM41" s="65" t="s">
        <v>32</v>
      </c>
      <c r="AN41" s="65"/>
      <c r="AO41" s="59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1"/>
    </row>
    <row r="42" spans="1:53" x14ac:dyDescent="0.2">
      <c r="A42" s="33">
        <f t="shared" si="1"/>
        <v>37</v>
      </c>
      <c r="B42" s="34" t="s">
        <v>329</v>
      </c>
      <c r="C42" s="35" t="s">
        <v>330</v>
      </c>
      <c r="D42" s="105" t="s">
        <v>331</v>
      </c>
      <c r="E42" s="344">
        <v>23193</v>
      </c>
      <c r="F42" s="36" t="s">
        <v>54</v>
      </c>
      <c r="G42" s="34" t="s">
        <v>332</v>
      </c>
      <c r="H42" s="37" t="s">
        <v>38</v>
      </c>
      <c r="I42" s="37" t="s">
        <v>39</v>
      </c>
      <c r="J42" s="34" t="s">
        <v>333</v>
      </c>
      <c r="K42" s="34" t="s">
        <v>41</v>
      </c>
      <c r="L42" s="39" t="s">
        <v>42</v>
      </c>
      <c r="M42" s="53">
        <v>37202</v>
      </c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57" t="s">
        <v>334</v>
      </c>
      <c r="Z42" s="58" t="s">
        <v>335</v>
      </c>
      <c r="AA42" s="44"/>
      <c r="AB42" s="45"/>
      <c r="AC42" s="46"/>
      <c r="AD42" s="36" t="s">
        <v>26</v>
      </c>
      <c r="AE42" s="47" t="s">
        <v>49</v>
      </c>
      <c r="AF42" s="48" t="s">
        <v>49</v>
      </c>
      <c r="AG42" s="48" t="s">
        <v>49</v>
      </c>
      <c r="AH42" s="48" t="s">
        <v>49</v>
      </c>
      <c r="AI42" s="48" t="s">
        <v>49</v>
      </c>
      <c r="AJ42" s="48" t="s">
        <v>49</v>
      </c>
      <c r="AK42" s="49" t="s">
        <v>49</v>
      </c>
      <c r="AL42" s="48" t="s">
        <v>41</v>
      </c>
      <c r="AM42" s="62" t="s">
        <v>148</v>
      </c>
      <c r="AN42" s="62"/>
      <c r="AO42" s="59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1"/>
    </row>
    <row r="43" spans="1:53" x14ac:dyDescent="0.2">
      <c r="A43" s="33">
        <f t="shared" si="1"/>
        <v>38</v>
      </c>
      <c r="B43" s="34" t="s">
        <v>336</v>
      </c>
      <c r="C43" s="35" t="s">
        <v>337</v>
      </c>
      <c r="D43" s="36" t="s">
        <v>338</v>
      </c>
      <c r="E43" s="334">
        <v>31957</v>
      </c>
      <c r="F43" s="36" t="s">
        <v>54</v>
      </c>
      <c r="G43" s="34" t="s">
        <v>339</v>
      </c>
      <c r="H43" s="37" t="s">
        <v>73</v>
      </c>
      <c r="I43" s="37" t="s">
        <v>73</v>
      </c>
      <c r="J43" s="38" t="s">
        <v>340</v>
      </c>
      <c r="K43" s="34" t="s">
        <v>41</v>
      </c>
      <c r="L43" s="39" t="s">
        <v>42</v>
      </c>
      <c r="M43" s="53">
        <v>45237</v>
      </c>
      <c r="N43" s="41"/>
      <c r="O43" s="70"/>
      <c r="P43" s="70"/>
      <c r="Q43" s="70"/>
      <c r="R43" s="70"/>
      <c r="S43" s="70"/>
      <c r="T43" s="70"/>
      <c r="U43" s="70" t="s">
        <v>44</v>
      </c>
      <c r="V43" s="70"/>
      <c r="W43" s="70"/>
      <c r="X43" s="70"/>
      <c r="Y43" s="54" t="s">
        <v>343</v>
      </c>
      <c r="Z43" s="58" t="s">
        <v>344</v>
      </c>
      <c r="AA43" s="58"/>
      <c r="AB43" s="45">
        <v>45642</v>
      </c>
      <c r="AC43" s="46"/>
      <c r="AD43" s="36"/>
      <c r="AE43" s="47" t="s">
        <v>49</v>
      </c>
      <c r="AF43" s="48" t="s">
        <v>41</v>
      </c>
      <c r="AG43" s="48" t="s">
        <v>41</v>
      </c>
      <c r="AH43" s="48" t="s">
        <v>41</v>
      </c>
      <c r="AI43" s="48" t="s">
        <v>49</v>
      </c>
      <c r="AJ43" s="48" t="s">
        <v>49</v>
      </c>
      <c r="AK43" s="49" t="s">
        <v>49</v>
      </c>
      <c r="AL43" s="48" t="s">
        <v>49</v>
      </c>
      <c r="AM43" s="62" t="s">
        <v>32</v>
      </c>
      <c r="AN43" s="62"/>
      <c r="AO43" s="59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1"/>
    </row>
    <row r="44" spans="1:53" x14ac:dyDescent="0.2">
      <c r="A44" s="33">
        <f t="shared" si="1"/>
        <v>39</v>
      </c>
      <c r="B44" s="34" t="s">
        <v>345</v>
      </c>
      <c r="C44" s="35" t="s">
        <v>346</v>
      </c>
      <c r="D44" s="36" t="s">
        <v>347</v>
      </c>
      <c r="E44" s="334">
        <v>34778</v>
      </c>
      <c r="F44" s="36" t="s">
        <v>54</v>
      </c>
      <c r="G44" s="106" t="s">
        <v>348</v>
      </c>
      <c r="H44" s="37" t="s">
        <v>349</v>
      </c>
      <c r="I44" s="37" t="s">
        <v>350</v>
      </c>
      <c r="J44" s="38" t="s">
        <v>351</v>
      </c>
      <c r="K44" s="34" t="s">
        <v>41</v>
      </c>
      <c r="L44" s="39" t="s">
        <v>42</v>
      </c>
      <c r="M44" s="53" t="s">
        <v>352</v>
      </c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42" t="s">
        <v>353</v>
      </c>
      <c r="Z44" s="85" t="s">
        <v>354</v>
      </c>
      <c r="AA44" s="44" t="s">
        <v>355</v>
      </c>
      <c r="AB44" s="45">
        <v>42935</v>
      </c>
      <c r="AC44" s="46" t="s">
        <v>129</v>
      </c>
      <c r="AD44" s="36" t="s">
        <v>26</v>
      </c>
      <c r="AE44" s="47" t="s">
        <v>49</v>
      </c>
      <c r="AF44" s="48" t="s">
        <v>49</v>
      </c>
      <c r="AG44" s="48" t="s">
        <v>49</v>
      </c>
      <c r="AH44" s="48" t="s">
        <v>49</v>
      </c>
      <c r="AI44" s="48" t="s">
        <v>49</v>
      </c>
      <c r="AJ44" s="48" t="s">
        <v>49</v>
      </c>
      <c r="AK44" s="49" t="s">
        <v>49</v>
      </c>
      <c r="AL44" s="48" t="s">
        <v>49</v>
      </c>
      <c r="AM44" s="62" t="s">
        <v>32</v>
      </c>
      <c r="AN44" s="62"/>
      <c r="AO44" s="59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1"/>
    </row>
    <row r="45" spans="1:53" x14ac:dyDescent="0.2">
      <c r="A45" s="33">
        <f t="shared" si="1"/>
        <v>40</v>
      </c>
      <c r="B45" s="34" t="s">
        <v>356</v>
      </c>
      <c r="C45" s="35" t="s">
        <v>357</v>
      </c>
      <c r="D45" s="36" t="s">
        <v>358</v>
      </c>
      <c r="E45" s="334">
        <v>28972</v>
      </c>
      <c r="F45" s="36" t="s">
        <v>54</v>
      </c>
      <c r="G45" s="87" t="s">
        <v>359</v>
      </c>
      <c r="H45" s="37" t="s">
        <v>360</v>
      </c>
      <c r="I45" s="37" t="s">
        <v>350</v>
      </c>
      <c r="J45" s="34" t="s">
        <v>361</v>
      </c>
      <c r="K45" s="34" t="s">
        <v>41</v>
      </c>
      <c r="L45" s="39" t="s">
        <v>42</v>
      </c>
      <c r="M45" s="53">
        <v>37718</v>
      </c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42" t="s">
        <v>362</v>
      </c>
      <c r="Z45" s="52" t="s">
        <v>363</v>
      </c>
      <c r="AA45" s="44" t="s">
        <v>61</v>
      </c>
      <c r="AB45" s="45">
        <v>37877</v>
      </c>
      <c r="AC45" s="46" t="s">
        <v>30</v>
      </c>
      <c r="AD45" s="36" t="s">
        <v>26</v>
      </c>
      <c r="AE45" s="47" t="s">
        <v>49</v>
      </c>
      <c r="AF45" s="48" t="s">
        <v>49</v>
      </c>
      <c r="AG45" s="48" t="s">
        <v>49</v>
      </c>
      <c r="AH45" s="48" t="s">
        <v>49</v>
      </c>
      <c r="AI45" s="48" t="s">
        <v>49</v>
      </c>
      <c r="AJ45" s="48" t="s">
        <v>49</v>
      </c>
      <c r="AK45" s="49" t="s">
        <v>49</v>
      </c>
      <c r="AL45" s="48" t="s">
        <v>49</v>
      </c>
      <c r="AM45" s="62" t="s">
        <v>32</v>
      </c>
      <c r="AN45" s="62"/>
      <c r="AO45" s="59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1"/>
    </row>
    <row r="46" spans="1:53" x14ac:dyDescent="0.2">
      <c r="A46" s="33">
        <f t="shared" si="1"/>
        <v>41</v>
      </c>
      <c r="B46" s="107" t="s">
        <v>364</v>
      </c>
      <c r="C46" s="35" t="s">
        <v>365</v>
      </c>
      <c r="D46" s="36" t="s">
        <v>366</v>
      </c>
      <c r="E46" s="36"/>
      <c r="F46" s="36" t="s">
        <v>54</v>
      </c>
      <c r="G46" s="34" t="s">
        <v>367</v>
      </c>
      <c r="H46" s="37" t="s">
        <v>243</v>
      </c>
      <c r="I46" s="37" t="s">
        <v>205</v>
      </c>
      <c r="J46" s="34" t="s">
        <v>368</v>
      </c>
      <c r="K46" s="34" t="s">
        <v>41</v>
      </c>
      <c r="L46" s="39" t="s">
        <v>42</v>
      </c>
      <c r="M46" s="40" t="s">
        <v>369</v>
      </c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2" t="s">
        <v>370</v>
      </c>
      <c r="Z46" s="100" t="s">
        <v>371</v>
      </c>
      <c r="AA46" s="44" t="s">
        <v>372</v>
      </c>
      <c r="AB46" s="45">
        <v>42966</v>
      </c>
      <c r="AC46" s="46" t="s">
        <v>30</v>
      </c>
      <c r="AD46" s="36" t="s">
        <v>26</v>
      </c>
      <c r="AE46" s="47" t="s">
        <v>49</v>
      </c>
      <c r="AF46" s="48" t="s">
        <v>49</v>
      </c>
      <c r="AG46" s="48" t="s">
        <v>49</v>
      </c>
      <c r="AH46" s="48" t="s">
        <v>41</v>
      </c>
      <c r="AI46" s="48" t="s">
        <v>41</v>
      </c>
      <c r="AJ46" s="48" t="s">
        <v>41</v>
      </c>
      <c r="AK46" s="49" t="s">
        <v>41</v>
      </c>
      <c r="AL46" s="48" t="s">
        <v>41</v>
      </c>
      <c r="AM46" s="62" t="s">
        <v>110</v>
      </c>
      <c r="AN46" s="62"/>
      <c r="AO46" s="59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1"/>
    </row>
    <row r="47" spans="1:53" x14ac:dyDescent="0.2">
      <c r="A47" s="33">
        <f t="shared" si="1"/>
        <v>42</v>
      </c>
      <c r="B47" s="34" t="s">
        <v>373</v>
      </c>
      <c r="C47" s="35" t="s">
        <v>374</v>
      </c>
      <c r="D47" s="36" t="s">
        <v>375</v>
      </c>
      <c r="E47" s="334">
        <v>28867</v>
      </c>
      <c r="F47" s="36" t="s">
        <v>54</v>
      </c>
      <c r="G47" s="34" t="s">
        <v>376</v>
      </c>
      <c r="H47" s="37" t="s">
        <v>377</v>
      </c>
      <c r="I47" s="37" t="s">
        <v>378</v>
      </c>
      <c r="J47" s="38" t="s">
        <v>379</v>
      </c>
      <c r="K47" s="34" t="s">
        <v>380</v>
      </c>
      <c r="L47" s="39" t="s">
        <v>42</v>
      </c>
      <c r="M47" s="53" t="s">
        <v>381</v>
      </c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42" t="s">
        <v>4642</v>
      </c>
      <c r="Z47" s="43" t="s">
        <v>383</v>
      </c>
      <c r="AA47" s="44" t="s">
        <v>384</v>
      </c>
      <c r="AB47" s="45">
        <v>42935</v>
      </c>
      <c r="AC47" s="46" t="s">
        <v>30</v>
      </c>
      <c r="AD47" s="36" t="s">
        <v>26</v>
      </c>
      <c r="AE47" s="47" t="s">
        <v>49</v>
      </c>
      <c r="AF47" s="48" t="s">
        <v>49</v>
      </c>
      <c r="AG47" s="48" t="s">
        <v>49</v>
      </c>
      <c r="AH47" s="48" t="s">
        <v>49</v>
      </c>
      <c r="AI47" s="48" t="s">
        <v>49</v>
      </c>
      <c r="AJ47" s="48" t="s">
        <v>49</v>
      </c>
      <c r="AK47" s="49" t="s">
        <v>49</v>
      </c>
      <c r="AL47" s="48" t="s">
        <v>49</v>
      </c>
      <c r="AM47" s="62" t="s">
        <v>32</v>
      </c>
      <c r="AN47" s="62"/>
      <c r="AO47" s="59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1"/>
    </row>
    <row r="48" spans="1:53" x14ac:dyDescent="0.2">
      <c r="A48" s="33">
        <f t="shared" si="1"/>
        <v>43</v>
      </c>
      <c r="B48" s="34" t="s">
        <v>385</v>
      </c>
      <c r="C48" s="35" t="s">
        <v>386</v>
      </c>
      <c r="D48" s="36" t="s">
        <v>387</v>
      </c>
      <c r="E48" s="334">
        <v>31758</v>
      </c>
      <c r="F48" s="36" t="s">
        <v>54</v>
      </c>
      <c r="G48" s="34" t="s">
        <v>388</v>
      </c>
      <c r="H48" s="37" t="s">
        <v>73</v>
      </c>
      <c r="I48" s="37" t="s">
        <v>73</v>
      </c>
      <c r="J48" s="34" t="s">
        <v>389</v>
      </c>
      <c r="K48" s="34" t="s">
        <v>380</v>
      </c>
      <c r="L48" s="39" t="s">
        <v>42</v>
      </c>
      <c r="M48" s="40" t="s">
        <v>390</v>
      </c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42" t="s">
        <v>391</v>
      </c>
      <c r="Z48" s="52" t="s">
        <v>392</v>
      </c>
      <c r="AA48" s="44" t="s">
        <v>393</v>
      </c>
      <c r="AB48" s="45">
        <v>43200</v>
      </c>
      <c r="AC48" s="46" t="s">
        <v>30</v>
      </c>
      <c r="AD48" s="36" t="s">
        <v>26</v>
      </c>
      <c r="AE48" s="47" t="s">
        <v>49</v>
      </c>
      <c r="AF48" s="48" t="s">
        <v>49</v>
      </c>
      <c r="AG48" s="48" t="s">
        <v>49</v>
      </c>
      <c r="AH48" s="48" t="s">
        <v>49</v>
      </c>
      <c r="AI48" s="48" t="s">
        <v>49</v>
      </c>
      <c r="AJ48" s="48" t="s">
        <v>49</v>
      </c>
      <c r="AK48" s="49" t="s">
        <v>49</v>
      </c>
      <c r="AL48" s="48" t="s">
        <v>49</v>
      </c>
      <c r="AM48" s="62" t="s">
        <v>32</v>
      </c>
      <c r="AN48" s="62"/>
      <c r="AO48" s="59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1"/>
    </row>
    <row r="49" spans="1:53" x14ac:dyDescent="0.2">
      <c r="A49" s="33">
        <f t="shared" si="1"/>
        <v>44</v>
      </c>
      <c r="B49" s="108" t="s">
        <v>394</v>
      </c>
      <c r="C49" s="35" t="s">
        <v>395</v>
      </c>
      <c r="D49" s="109" t="s">
        <v>396</v>
      </c>
      <c r="E49" s="336">
        <v>29971</v>
      </c>
      <c r="F49" s="36" t="s">
        <v>36</v>
      </c>
      <c r="G49" s="108" t="s">
        <v>397</v>
      </c>
      <c r="H49" s="37" t="s">
        <v>398</v>
      </c>
      <c r="I49" s="37" t="s">
        <v>205</v>
      </c>
      <c r="J49" s="108" t="s">
        <v>399</v>
      </c>
      <c r="K49" s="34" t="s">
        <v>41</v>
      </c>
      <c r="L49" s="39" t="s">
        <v>42</v>
      </c>
      <c r="M49" s="53">
        <v>40399</v>
      </c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2" t="s">
        <v>400</v>
      </c>
      <c r="Z49" s="69" t="s">
        <v>401</v>
      </c>
      <c r="AA49" s="44" t="s">
        <v>61</v>
      </c>
      <c r="AB49" s="45">
        <v>40815</v>
      </c>
      <c r="AC49" s="46" t="s">
        <v>30</v>
      </c>
      <c r="AD49" s="109" t="s">
        <v>26</v>
      </c>
      <c r="AE49" s="47" t="s">
        <v>49</v>
      </c>
      <c r="AF49" s="48" t="s">
        <v>49</v>
      </c>
      <c r="AG49" s="48" t="s">
        <v>49</v>
      </c>
      <c r="AH49" s="48" t="s">
        <v>49</v>
      </c>
      <c r="AI49" s="48" t="s">
        <v>49</v>
      </c>
      <c r="AJ49" s="48" t="s">
        <v>49</v>
      </c>
      <c r="AK49" s="49" t="s">
        <v>49</v>
      </c>
      <c r="AL49" s="48" t="s">
        <v>49</v>
      </c>
      <c r="AM49" s="62" t="s">
        <v>32</v>
      </c>
      <c r="AN49" s="62"/>
      <c r="AO49" s="59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1"/>
    </row>
    <row r="50" spans="1:53" x14ac:dyDescent="0.2">
      <c r="A50" s="33">
        <f t="shared" si="1"/>
        <v>45</v>
      </c>
      <c r="B50" s="107" t="s">
        <v>402</v>
      </c>
      <c r="C50" s="35" t="s">
        <v>403</v>
      </c>
      <c r="D50" s="36" t="s">
        <v>404</v>
      </c>
      <c r="E50" s="36"/>
      <c r="F50" s="36" t="s">
        <v>54</v>
      </c>
      <c r="G50" s="87" t="s">
        <v>405</v>
      </c>
      <c r="H50" s="37" t="s">
        <v>73</v>
      </c>
      <c r="I50" s="37" t="s">
        <v>73</v>
      </c>
      <c r="J50" s="38" t="s">
        <v>406</v>
      </c>
      <c r="K50" s="34" t="s">
        <v>41</v>
      </c>
      <c r="L50" s="39" t="s">
        <v>42</v>
      </c>
      <c r="M50" s="53">
        <v>36895</v>
      </c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2" t="s">
        <v>407</v>
      </c>
      <c r="Z50" s="58" t="s">
        <v>408</v>
      </c>
      <c r="AA50" s="44" t="s">
        <v>61</v>
      </c>
      <c r="AB50" s="45">
        <v>40280</v>
      </c>
      <c r="AC50" s="46" t="s">
        <v>30</v>
      </c>
      <c r="AD50" s="36"/>
      <c r="AE50" s="47" t="s">
        <v>49</v>
      </c>
      <c r="AF50" s="48" t="s">
        <v>41</v>
      </c>
      <c r="AG50" s="48" t="s">
        <v>41</v>
      </c>
      <c r="AH50" s="48" t="s">
        <v>41</v>
      </c>
      <c r="AI50" s="48" t="s">
        <v>41</v>
      </c>
      <c r="AJ50" s="48" t="s">
        <v>41</v>
      </c>
      <c r="AK50" s="49" t="s">
        <v>41</v>
      </c>
      <c r="AL50" s="48" t="s">
        <v>41</v>
      </c>
      <c r="AM50" s="65" t="s">
        <v>4590</v>
      </c>
      <c r="AN50" s="65"/>
      <c r="AO50" s="59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1"/>
    </row>
    <row r="51" spans="1:53" x14ac:dyDescent="0.2">
      <c r="A51" s="33">
        <f t="shared" si="1"/>
        <v>46</v>
      </c>
      <c r="B51" s="108" t="s">
        <v>409</v>
      </c>
      <c r="C51" s="35" t="s">
        <v>410</v>
      </c>
      <c r="D51" s="36" t="s">
        <v>411</v>
      </c>
      <c r="E51" s="36"/>
      <c r="F51" s="36" t="s">
        <v>36</v>
      </c>
      <c r="G51" s="34" t="s">
        <v>412</v>
      </c>
      <c r="H51" s="37" t="s">
        <v>413</v>
      </c>
      <c r="I51" s="37" t="s">
        <v>378</v>
      </c>
      <c r="J51" s="38" t="s">
        <v>414</v>
      </c>
      <c r="K51" s="38" t="s">
        <v>415</v>
      </c>
      <c r="L51" s="39" t="s">
        <v>42</v>
      </c>
      <c r="M51" s="53" t="s">
        <v>416</v>
      </c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42" t="s">
        <v>417</v>
      </c>
      <c r="Z51" s="58" t="s">
        <v>418</v>
      </c>
      <c r="AA51" s="44" t="s">
        <v>419</v>
      </c>
      <c r="AB51" s="45">
        <v>42935</v>
      </c>
      <c r="AC51" s="46" t="s">
        <v>129</v>
      </c>
      <c r="AD51" s="36">
        <v>1</v>
      </c>
      <c r="AE51" s="47" t="s">
        <v>49</v>
      </c>
      <c r="AF51" s="48" t="s">
        <v>41</v>
      </c>
      <c r="AG51" s="48" t="s">
        <v>41</v>
      </c>
      <c r="AH51" s="48" t="s">
        <v>41</v>
      </c>
      <c r="AI51" s="48" t="s">
        <v>41</v>
      </c>
      <c r="AJ51" s="48" t="s">
        <v>41</v>
      </c>
      <c r="AK51" s="49" t="s">
        <v>41</v>
      </c>
      <c r="AL51" s="48" t="s">
        <v>41</v>
      </c>
      <c r="AM51" s="110" t="s">
        <v>4591</v>
      </c>
      <c r="AN51" s="110"/>
      <c r="AO51" s="59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1"/>
    </row>
    <row r="52" spans="1:53" x14ac:dyDescent="0.2">
      <c r="A52" s="33">
        <f t="shared" si="1"/>
        <v>47</v>
      </c>
      <c r="B52" s="34" t="s">
        <v>420</v>
      </c>
      <c r="C52" s="35" t="s">
        <v>421</v>
      </c>
      <c r="D52" s="36" t="s">
        <v>422</v>
      </c>
      <c r="E52" s="334">
        <v>22001</v>
      </c>
      <c r="F52" s="36" t="s">
        <v>54</v>
      </c>
      <c r="G52" s="34" t="s">
        <v>423</v>
      </c>
      <c r="H52" s="37" t="s">
        <v>73</v>
      </c>
      <c r="I52" s="37" t="s">
        <v>73</v>
      </c>
      <c r="J52" s="107" t="s">
        <v>424</v>
      </c>
      <c r="K52" s="34" t="s">
        <v>425</v>
      </c>
      <c r="L52" s="39" t="s">
        <v>42</v>
      </c>
      <c r="M52" s="53">
        <v>40360</v>
      </c>
      <c r="N52" s="41"/>
      <c r="O52" s="111"/>
      <c r="P52" s="112"/>
      <c r="Q52" s="111"/>
      <c r="R52" s="112"/>
      <c r="S52" s="112"/>
      <c r="T52" s="112"/>
      <c r="U52" s="41"/>
      <c r="V52" s="41"/>
      <c r="W52" s="41"/>
      <c r="X52" s="41"/>
      <c r="Y52" s="42" t="s">
        <v>426</v>
      </c>
      <c r="Z52" s="43" t="s">
        <v>427</v>
      </c>
      <c r="AA52" s="44" t="s">
        <v>61</v>
      </c>
      <c r="AB52" s="45">
        <v>40815</v>
      </c>
      <c r="AC52" s="46" t="s">
        <v>30</v>
      </c>
      <c r="AD52" s="36" t="s">
        <v>26</v>
      </c>
      <c r="AE52" s="64" t="s">
        <v>120</v>
      </c>
      <c r="AF52" s="48" t="s">
        <v>120</v>
      </c>
      <c r="AG52" s="48" t="s">
        <v>120</v>
      </c>
      <c r="AH52" s="48" t="s">
        <v>120</v>
      </c>
      <c r="AI52" s="48" t="s">
        <v>120</v>
      </c>
      <c r="AJ52" s="48" t="s">
        <v>120</v>
      </c>
      <c r="AK52" s="49" t="s">
        <v>120</v>
      </c>
      <c r="AL52" s="48" t="s">
        <v>120</v>
      </c>
      <c r="AM52" s="65" t="s">
        <v>32</v>
      </c>
      <c r="AN52" s="65"/>
      <c r="AO52" s="59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1"/>
    </row>
    <row r="53" spans="1:53" x14ac:dyDescent="0.2">
      <c r="A53" s="33">
        <f t="shared" si="1"/>
        <v>48</v>
      </c>
      <c r="B53" s="34" t="s">
        <v>428</v>
      </c>
      <c r="C53" s="35" t="s">
        <v>429</v>
      </c>
      <c r="D53" s="36" t="s">
        <v>430</v>
      </c>
      <c r="E53" s="334">
        <v>25487</v>
      </c>
      <c r="F53" s="36" t="s">
        <v>54</v>
      </c>
      <c r="G53" s="34" t="s">
        <v>431</v>
      </c>
      <c r="H53" s="37" t="s">
        <v>38</v>
      </c>
      <c r="I53" s="37" t="s">
        <v>39</v>
      </c>
      <c r="J53" s="113" t="s">
        <v>432</v>
      </c>
      <c r="K53" s="34" t="s">
        <v>41</v>
      </c>
      <c r="L53" s="39" t="s">
        <v>42</v>
      </c>
      <c r="M53" s="40" t="s">
        <v>433</v>
      </c>
      <c r="N53" s="56"/>
      <c r="O53" s="114"/>
      <c r="P53" s="115"/>
      <c r="Q53" s="56"/>
      <c r="R53" s="115"/>
      <c r="S53" s="115"/>
      <c r="T53" s="115"/>
      <c r="U53" s="56"/>
      <c r="V53" s="56"/>
      <c r="W53" s="56"/>
      <c r="X53" s="56"/>
      <c r="Y53" s="42" t="s">
        <v>434</v>
      </c>
      <c r="Z53" s="69" t="s">
        <v>435</v>
      </c>
      <c r="AA53" s="44" t="s">
        <v>61</v>
      </c>
      <c r="AB53" s="45">
        <v>39286</v>
      </c>
      <c r="AC53" s="46" t="s">
        <v>30</v>
      </c>
      <c r="AD53" s="36" t="s">
        <v>26</v>
      </c>
      <c r="AE53" s="47" t="s">
        <v>49</v>
      </c>
      <c r="AF53" s="48" t="s">
        <v>49</v>
      </c>
      <c r="AG53" s="48" t="s">
        <v>49</v>
      </c>
      <c r="AH53" s="48" t="s">
        <v>49</v>
      </c>
      <c r="AI53" s="48" t="s">
        <v>49</v>
      </c>
      <c r="AJ53" s="48" t="s">
        <v>49</v>
      </c>
      <c r="AK53" s="49" t="s">
        <v>49</v>
      </c>
      <c r="AL53" s="48" t="s">
        <v>49</v>
      </c>
      <c r="AM53" s="62" t="s">
        <v>32</v>
      </c>
      <c r="AN53" s="62"/>
      <c r="AO53" s="59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1"/>
    </row>
    <row r="54" spans="1:53" x14ac:dyDescent="0.2">
      <c r="A54" s="33">
        <f t="shared" si="1"/>
        <v>49</v>
      </c>
      <c r="B54" s="34" t="s">
        <v>436</v>
      </c>
      <c r="C54" s="35" t="s">
        <v>437</v>
      </c>
      <c r="D54" s="36" t="s">
        <v>438</v>
      </c>
      <c r="E54" s="334">
        <v>33883</v>
      </c>
      <c r="F54" s="36" t="s">
        <v>54</v>
      </c>
      <c r="G54" s="34" t="s">
        <v>439</v>
      </c>
      <c r="H54" s="37" t="s">
        <v>377</v>
      </c>
      <c r="I54" s="37" t="s">
        <v>378</v>
      </c>
      <c r="J54" s="113" t="s">
        <v>440</v>
      </c>
      <c r="K54" s="34" t="s">
        <v>41</v>
      </c>
      <c r="L54" s="39" t="s">
        <v>42</v>
      </c>
      <c r="M54" s="53">
        <v>45244</v>
      </c>
      <c r="N54" s="56"/>
      <c r="O54" s="114"/>
      <c r="P54" s="115"/>
      <c r="Q54" s="114"/>
      <c r="R54" s="115"/>
      <c r="S54" s="115"/>
      <c r="T54" s="115"/>
      <c r="U54" s="56" t="s">
        <v>44</v>
      </c>
      <c r="V54" s="56"/>
      <c r="W54" s="56"/>
      <c r="X54" s="56"/>
      <c r="Y54" s="42" t="s">
        <v>441</v>
      </c>
      <c r="Z54" s="83" t="s">
        <v>442</v>
      </c>
      <c r="AA54" s="44"/>
      <c r="AB54" s="45">
        <v>45642</v>
      </c>
      <c r="AC54" s="46"/>
      <c r="AD54" s="36"/>
      <c r="AE54" s="47" t="s">
        <v>49</v>
      </c>
      <c r="AF54" s="48" t="s">
        <v>41</v>
      </c>
      <c r="AG54" s="48" t="s">
        <v>41</v>
      </c>
      <c r="AH54" s="48" t="s">
        <v>41</v>
      </c>
      <c r="AI54" s="48" t="s">
        <v>49</v>
      </c>
      <c r="AJ54" s="48" t="s">
        <v>49</v>
      </c>
      <c r="AK54" s="49" t="s">
        <v>49</v>
      </c>
      <c r="AL54" s="48" t="s">
        <v>49</v>
      </c>
      <c r="AM54" s="62" t="s">
        <v>32</v>
      </c>
      <c r="AN54" s="62"/>
      <c r="AO54" s="59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1"/>
    </row>
    <row r="55" spans="1:53" x14ac:dyDescent="0.2">
      <c r="A55" s="33">
        <f t="shared" si="1"/>
        <v>50</v>
      </c>
      <c r="B55" s="34" t="s">
        <v>443</v>
      </c>
      <c r="C55" s="35" t="s">
        <v>444</v>
      </c>
      <c r="D55" s="36" t="s">
        <v>445</v>
      </c>
      <c r="E55" s="36"/>
      <c r="F55" s="36" t="s">
        <v>36</v>
      </c>
      <c r="G55" s="34" t="s">
        <v>446</v>
      </c>
      <c r="H55" s="37" t="s">
        <v>360</v>
      </c>
      <c r="I55" s="37" t="s">
        <v>350</v>
      </c>
      <c r="J55" s="38" t="s">
        <v>447</v>
      </c>
      <c r="K55" s="34" t="s">
        <v>41</v>
      </c>
      <c r="L55" s="39" t="s">
        <v>42</v>
      </c>
      <c r="M55" s="53">
        <v>40670</v>
      </c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42" t="s">
        <v>448</v>
      </c>
      <c r="Z55" s="58" t="s">
        <v>449</v>
      </c>
      <c r="AA55" s="44" t="s">
        <v>450</v>
      </c>
      <c r="AB55" s="45">
        <v>42325</v>
      </c>
      <c r="AC55" s="46" t="s">
        <v>30</v>
      </c>
      <c r="AD55" s="36">
        <v>1</v>
      </c>
      <c r="AE55" s="47" t="s">
        <v>49</v>
      </c>
      <c r="AF55" s="48" t="s">
        <v>41</v>
      </c>
      <c r="AG55" s="48" t="s">
        <v>41</v>
      </c>
      <c r="AH55" s="48" t="s">
        <v>41</v>
      </c>
      <c r="AI55" s="48" t="s">
        <v>41</v>
      </c>
      <c r="AJ55" s="48" t="s">
        <v>41</v>
      </c>
      <c r="AK55" s="49" t="s">
        <v>41</v>
      </c>
      <c r="AL55" s="48" t="s">
        <v>41</v>
      </c>
      <c r="AM55" s="65">
        <v>9</v>
      </c>
      <c r="AN55" s="65"/>
      <c r="AO55" s="59" t="s">
        <v>451</v>
      </c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1"/>
    </row>
    <row r="56" spans="1:53" x14ac:dyDescent="0.2">
      <c r="A56" s="33">
        <f t="shared" si="1"/>
        <v>51</v>
      </c>
      <c r="B56" s="34" t="s">
        <v>452</v>
      </c>
      <c r="C56" s="35" t="s">
        <v>453</v>
      </c>
      <c r="D56" s="36" t="s">
        <v>454</v>
      </c>
      <c r="E56" s="36"/>
      <c r="F56" s="36" t="s">
        <v>54</v>
      </c>
      <c r="G56" s="34" t="s">
        <v>455</v>
      </c>
      <c r="H56" s="37" t="s">
        <v>456</v>
      </c>
      <c r="I56" s="37" t="s">
        <v>187</v>
      </c>
      <c r="J56" s="34"/>
      <c r="K56" s="34" t="s">
        <v>41</v>
      </c>
      <c r="L56" s="39" t="s">
        <v>42</v>
      </c>
      <c r="M56" s="53">
        <v>36745</v>
      </c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42" t="s">
        <v>457</v>
      </c>
      <c r="Z56" s="69" t="s">
        <v>458</v>
      </c>
      <c r="AA56" s="44" t="s">
        <v>459</v>
      </c>
      <c r="AB56" s="45">
        <v>42325</v>
      </c>
      <c r="AC56" s="46" t="s">
        <v>30</v>
      </c>
      <c r="AD56" s="36">
        <v>1</v>
      </c>
      <c r="AE56" s="47" t="s">
        <v>49</v>
      </c>
      <c r="AF56" s="48" t="s">
        <v>41</v>
      </c>
      <c r="AG56" s="48" t="s">
        <v>41</v>
      </c>
      <c r="AH56" s="48" t="s">
        <v>41</v>
      </c>
      <c r="AI56" s="48" t="s">
        <v>41</v>
      </c>
      <c r="AJ56" s="48" t="s">
        <v>41</v>
      </c>
      <c r="AK56" s="49" t="s">
        <v>41</v>
      </c>
      <c r="AL56" s="48" t="s">
        <v>41</v>
      </c>
      <c r="AM56" s="65">
        <v>6</v>
      </c>
      <c r="AN56" s="65"/>
      <c r="AO56" s="59" t="s">
        <v>460</v>
      </c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1"/>
    </row>
    <row r="57" spans="1:53" x14ac:dyDescent="0.2">
      <c r="A57" s="33">
        <f t="shared" si="1"/>
        <v>52</v>
      </c>
      <c r="B57" s="34" t="s">
        <v>461</v>
      </c>
      <c r="C57" s="35" t="s">
        <v>462</v>
      </c>
      <c r="D57" s="36" t="s">
        <v>463</v>
      </c>
      <c r="E57" s="334">
        <v>24750</v>
      </c>
      <c r="F57" s="36" t="s">
        <v>36</v>
      </c>
      <c r="G57" s="34" t="s">
        <v>464</v>
      </c>
      <c r="H57" s="37" t="s">
        <v>73</v>
      </c>
      <c r="I57" s="37" t="s">
        <v>73</v>
      </c>
      <c r="J57" s="34" t="s">
        <v>465</v>
      </c>
      <c r="K57" s="34" t="s">
        <v>466</v>
      </c>
      <c r="L57" s="39" t="s">
        <v>42</v>
      </c>
      <c r="M57" s="40" t="s">
        <v>467</v>
      </c>
      <c r="N57" s="41"/>
      <c r="O57" s="41"/>
      <c r="P57" s="41"/>
      <c r="Q57" s="41"/>
      <c r="R57" s="41"/>
      <c r="S57" s="41"/>
      <c r="T57" s="41"/>
      <c r="U57" s="41" t="s">
        <v>468</v>
      </c>
      <c r="V57" s="41"/>
      <c r="W57" s="41"/>
      <c r="X57" s="41"/>
      <c r="Y57" s="42" t="s">
        <v>469</v>
      </c>
      <c r="Z57" s="52" t="s">
        <v>470</v>
      </c>
      <c r="AA57" s="52"/>
      <c r="AB57" s="45">
        <v>45642</v>
      </c>
      <c r="AC57" s="46"/>
      <c r="AD57" s="36" t="s">
        <v>26</v>
      </c>
      <c r="AE57" s="47" t="s">
        <v>49</v>
      </c>
      <c r="AF57" s="48" t="s">
        <v>49</v>
      </c>
      <c r="AG57" s="48" t="s">
        <v>49</v>
      </c>
      <c r="AH57" s="48" t="s">
        <v>49</v>
      </c>
      <c r="AI57" s="48" t="s">
        <v>49</v>
      </c>
      <c r="AJ57" s="48" t="s">
        <v>49</v>
      </c>
      <c r="AK57" s="49" t="s">
        <v>49</v>
      </c>
      <c r="AL57" s="48" t="s">
        <v>49</v>
      </c>
      <c r="AM57" s="62" t="s">
        <v>32</v>
      </c>
      <c r="AN57" s="62"/>
      <c r="AO57" s="59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1"/>
    </row>
    <row r="58" spans="1:53" x14ac:dyDescent="0.2">
      <c r="A58" s="33">
        <f t="shared" si="1"/>
        <v>53</v>
      </c>
      <c r="B58" s="34" t="s">
        <v>471</v>
      </c>
      <c r="C58" s="35" t="s">
        <v>472</v>
      </c>
      <c r="D58" s="36" t="s">
        <v>473</v>
      </c>
      <c r="E58" s="334">
        <v>28020</v>
      </c>
      <c r="F58" s="36" t="s">
        <v>54</v>
      </c>
      <c r="G58" s="34" t="s">
        <v>4593</v>
      </c>
      <c r="H58" s="37" t="s">
        <v>73</v>
      </c>
      <c r="I58" s="37" t="s">
        <v>73</v>
      </c>
      <c r="J58" s="34" t="s">
        <v>474</v>
      </c>
      <c r="K58" s="34" t="s">
        <v>475</v>
      </c>
      <c r="L58" s="39" t="s">
        <v>42</v>
      </c>
      <c r="M58" s="53">
        <v>31057</v>
      </c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7" t="s">
        <v>476</v>
      </c>
      <c r="Z58" s="52" t="s">
        <v>477</v>
      </c>
      <c r="AA58" s="44" t="s">
        <v>478</v>
      </c>
      <c r="AB58" s="45">
        <v>44041</v>
      </c>
      <c r="AC58" s="46" t="s">
        <v>30</v>
      </c>
      <c r="AD58" s="36" t="s">
        <v>26</v>
      </c>
      <c r="AE58" s="61" t="s">
        <v>49</v>
      </c>
      <c r="AF58" s="48" t="s">
        <v>49</v>
      </c>
      <c r="AG58" s="48" t="s">
        <v>49</v>
      </c>
      <c r="AH58" s="48" t="s">
        <v>49</v>
      </c>
      <c r="AI58" s="48" t="s">
        <v>49</v>
      </c>
      <c r="AJ58" s="48" t="s">
        <v>49</v>
      </c>
      <c r="AK58" s="49" t="s">
        <v>49</v>
      </c>
      <c r="AL58" s="48" t="s">
        <v>41</v>
      </c>
      <c r="AM58" s="65" t="s">
        <v>148</v>
      </c>
      <c r="AN58" s="65"/>
      <c r="AO58" s="59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1"/>
    </row>
    <row r="59" spans="1:53" x14ac:dyDescent="0.2">
      <c r="A59" s="33">
        <f t="shared" si="1"/>
        <v>54</v>
      </c>
      <c r="B59" s="34" t="s">
        <v>479</v>
      </c>
      <c r="C59" s="35" t="s">
        <v>480</v>
      </c>
      <c r="D59" s="36" t="s">
        <v>481</v>
      </c>
      <c r="E59" s="36"/>
      <c r="F59" s="36" t="s">
        <v>54</v>
      </c>
      <c r="G59" s="34" t="s">
        <v>482</v>
      </c>
      <c r="H59" s="37" t="s">
        <v>73</v>
      </c>
      <c r="I59" s="37" t="s">
        <v>73</v>
      </c>
      <c r="J59" s="34" t="s">
        <v>483</v>
      </c>
      <c r="K59" s="34" t="s">
        <v>41</v>
      </c>
      <c r="L59" s="39" t="s">
        <v>42</v>
      </c>
      <c r="M59" s="53">
        <v>34345</v>
      </c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42" t="s">
        <v>484</v>
      </c>
      <c r="Z59" s="52" t="s">
        <v>485</v>
      </c>
      <c r="AA59" s="44" t="s">
        <v>486</v>
      </c>
      <c r="AB59" s="45">
        <v>43200</v>
      </c>
      <c r="AC59" s="46" t="s">
        <v>30</v>
      </c>
      <c r="AD59" s="36" t="s">
        <v>26</v>
      </c>
      <c r="AE59" s="61" t="s">
        <v>49</v>
      </c>
      <c r="AF59" s="48" t="s">
        <v>49</v>
      </c>
      <c r="AG59" s="48" t="s">
        <v>49</v>
      </c>
      <c r="AH59" s="48" t="s">
        <v>49</v>
      </c>
      <c r="AI59" s="48" t="s">
        <v>49</v>
      </c>
      <c r="AJ59" s="48" t="s">
        <v>49</v>
      </c>
      <c r="AK59" s="49" t="s">
        <v>49</v>
      </c>
      <c r="AL59" s="48" t="s">
        <v>49</v>
      </c>
      <c r="AM59" s="62" t="s">
        <v>32</v>
      </c>
      <c r="AN59" s="62" t="s">
        <v>4681</v>
      </c>
      <c r="AO59" s="59" t="s">
        <v>4667</v>
      </c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1"/>
    </row>
    <row r="60" spans="1:53" x14ac:dyDescent="0.2">
      <c r="A60" s="33">
        <f t="shared" si="1"/>
        <v>55</v>
      </c>
      <c r="B60" s="34" t="s">
        <v>487</v>
      </c>
      <c r="C60" s="35" t="s">
        <v>488</v>
      </c>
      <c r="D60" s="36" t="s">
        <v>489</v>
      </c>
      <c r="E60" s="334">
        <v>35130</v>
      </c>
      <c r="F60" s="36" t="s">
        <v>54</v>
      </c>
      <c r="G60" s="34" t="s">
        <v>490</v>
      </c>
      <c r="H60" s="37" t="s">
        <v>73</v>
      </c>
      <c r="I60" s="37" t="s">
        <v>73</v>
      </c>
      <c r="J60" s="38" t="s">
        <v>491</v>
      </c>
      <c r="K60" s="34" t="s">
        <v>41</v>
      </c>
      <c r="L60" s="39" t="s">
        <v>42</v>
      </c>
      <c r="M60" s="53">
        <v>45310</v>
      </c>
      <c r="N60" s="56"/>
      <c r="O60" s="56"/>
      <c r="P60" s="56"/>
      <c r="Q60" s="56"/>
      <c r="R60" s="56"/>
      <c r="S60" s="56"/>
      <c r="T60" s="56"/>
      <c r="U60" s="56"/>
      <c r="V60" s="56" t="s">
        <v>44</v>
      </c>
      <c r="W60" s="56"/>
      <c r="X60" s="56"/>
      <c r="Y60" s="42" t="s">
        <v>492</v>
      </c>
      <c r="Z60" s="43" t="s">
        <v>493</v>
      </c>
      <c r="AA60" s="44"/>
      <c r="AB60" s="45"/>
      <c r="AC60" s="46"/>
      <c r="AD60" s="36"/>
      <c r="AE60" s="61" t="s">
        <v>49</v>
      </c>
      <c r="AF60" s="48" t="s">
        <v>41</v>
      </c>
      <c r="AG60" s="48" t="s">
        <v>41</v>
      </c>
      <c r="AH60" s="48" t="s">
        <v>41</v>
      </c>
      <c r="AI60" s="48" t="s">
        <v>41</v>
      </c>
      <c r="AJ60" s="48" t="s">
        <v>49</v>
      </c>
      <c r="AK60" s="49" t="s">
        <v>41</v>
      </c>
      <c r="AL60" s="48" t="s">
        <v>41</v>
      </c>
      <c r="AM60" s="62" t="s">
        <v>276</v>
      </c>
      <c r="AN60" s="62"/>
      <c r="AO60" s="59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1"/>
    </row>
    <row r="61" spans="1:53" x14ac:dyDescent="0.2">
      <c r="A61" s="33">
        <f t="shared" si="1"/>
        <v>56</v>
      </c>
      <c r="B61" s="34" t="s">
        <v>494</v>
      </c>
      <c r="C61" s="35" t="s">
        <v>495</v>
      </c>
      <c r="D61" s="36" t="s">
        <v>496</v>
      </c>
      <c r="E61" s="334">
        <v>29435</v>
      </c>
      <c r="F61" s="36" t="s">
        <v>54</v>
      </c>
      <c r="G61" s="34" t="s">
        <v>497</v>
      </c>
      <c r="H61" s="37" t="s">
        <v>398</v>
      </c>
      <c r="I61" s="37" t="s">
        <v>205</v>
      </c>
      <c r="J61" s="34" t="s">
        <v>498</v>
      </c>
      <c r="K61" s="34" t="s">
        <v>41</v>
      </c>
      <c r="L61" s="39" t="s">
        <v>42</v>
      </c>
      <c r="M61" s="53">
        <v>36745</v>
      </c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2" t="s">
        <v>499</v>
      </c>
      <c r="Z61" s="116" t="s">
        <v>500</v>
      </c>
      <c r="AA61" s="44" t="s">
        <v>61</v>
      </c>
      <c r="AB61" s="45">
        <v>36803</v>
      </c>
      <c r="AC61" s="46" t="s">
        <v>129</v>
      </c>
      <c r="AD61" s="36" t="s">
        <v>26</v>
      </c>
      <c r="AE61" s="47" t="s">
        <v>49</v>
      </c>
      <c r="AF61" s="48" t="s">
        <v>49</v>
      </c>
      <c r="AG61" s="48" t="s">
        <v>49</v>
      </c>
      <c r="AH61" s="48" t="s">
        <v>49</v>
      </c>
      <c r="AI61" s="48" t="s">
        <v>49</v>
      </c>
      <c r="AJ61" s="48" t="s">
        <v>41</v>
      </c>
      <c r="AK61" s="49" t="s">
        <v>41</v>
      </c>
      <c r="AL61" s="48" t="s">
        <v>41</v>
      </c>
      <c r="AM61" s="62" t="s">
        <v>4589</v>
      </c>
      <c r="AN61" s="62"/>
      <c r="AO61" s="59"/>
      <c r="AP61" s="10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1"/>
    </row>
    <row r="62" spans="1:53" x14ac:dyDescent="0.2">
      <c r="A62" s="33">
        <f t="shared" si="1"/>
        <v>57</v>
      </c>
      <c r="B62" s="34" t="s">
        <v>501</v>
      </c>
      <c r="C62" s="35" t="s">
        <v>502</v>
      </c>
      <c r="D62" s="36" t="s">
        <v>503</v>
      </c>
      <c r="E62" s="334">
        <v>29485</v>
      </c>
      <c r="F62" s="36" t="s">
        <v>54</v>
      </c>
      <c r="G62" s="34" t="s">
        <v>504</v>
      </c>
      <c r="H62" s="37" t="s">
        <v>73</v>
      </c>
      <c r="I62" s="37" t="s">
        <v>73</v>
      </c>
      <c r="J62" s="38" t="s">
        <v>505</v>
      </c>
      <c r="K62" s="34" t="s">
        <v>41</v>
      </c>
      <c r="L62" s="39" t="s">
        <v>42</v>
      </c>
      <c r="M62" s="53">
        <v>45299</v>
      </c>
      <c r="N62" s="41"/>
      <c r="O62" s="41"/>
      <c r="P62" s="41"/>
      <c r="Q62" s="41"/>
      <c r="R62" s="41"/>
      <c r="S62" s="41"/>
      <c r="T62" s="41"/>
      <c r="U62" s="41"/>
      <c r="V62" s="41" t="s">
        <v>44</v>
      </c>
      <c r="W62" s="41"/>
      <c r="X62" s="41"/>
      <c r="Y62" s="54" t="s">
        <v>506</v>
      </c>
      <c r="Z62" s="43" t="s">
        <v>507</v>
      </c>
      <c r="AA62" s="52"/>
      <c r="AB62" s="52"/>
      <c r="AC62" s="46"/>
      <c r="AD62" s="36"/>
      <c r="AE62" s="47" t="s">
        <v>49</v>
      </c>
      <c r="AF62" s="48" t="s">
        <v>41</v>
      </c>
      <c r="AG62" s="48" t="s">
        <v>41</v>
      </c>
      <c r="AH62" s="48" t="s">
        <v>41</v>
      </c>
      <c r="AI62" s="48" t="s">
        <v>41</v>
      </c>
      <c r="AJ62" s="48" t="s">
        <v>49</v>
      </c>
      <c r="AK62" s="49" t="s">
        <v>49</v>
      </c>
      <c r="AL62" s="48" t="s">
        <v>41</v>
      </c>
      <c r="AM62" s="65" t="s">
        <v>148</v>
      </c>
      <c r="AN62" s="65"/>
      <c r="AO62" s="59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1"/>
    </row>
    <row r="63" spans="1:53" x14ac:dyDescent="0.2">
      <c r="A63" s="33">
        <f t="shared" si="1"/>
        <v>58</v>
      </c>
      <c r="B63" s="34" t="s">
        <v>508</v>
      </c>
      <c r="C63" s="35" t="s">
        <v>509</v>
      </c>
      <c r="D63" s="36" t="s">
        <v>510</v>
      </c>
      <c r="E63" s="334">
        <v>30557</v>
      </c>
      <c r="F63" s="36" t="s">
        <v>54</v>
      </c>
      <c r="G63" s="34" t="s">
        <v>511</v>
      </c>
      <c r="H63" s="37" t="s">
        <v>176</v>
      </c>
      <c r="I63" s="37" t="s">
        <v>39</v>
      </c>
      <c r="J63" s="38" t="s">
        <v>512</v>
      </c>
      <c r="K63" s="34"/>
      <c r="L63" s="39" t="s">
        <v>42</v>
      </c>
      <c r="M63" s="40" t="s">
        <v>513</v>
      </c>
      <c r="N63" s="41" t="s">
        <v>179</v>
      </c>
      <c r="O63" s="41" t="s">
        <v>341</v>
      </c>
      <c r="P63" s="41" t="s">
        <v>514</v>
      </c>
      <c r="Q63" s="41">
        <v>3</v>
      </c>
      <c r="R63" s="41"/>
      <c r="S63" s="41" t="s">
        <v>44</v>
      </c>
      <c r="T63" s="41"/>
      <c r="U63" s="41"/>
      <c r="V63" s="41"/>
      <c r="W63" s="41"/>
      <c r="X63" s="41"/>
      <c r="Y63" s="42" t="s">
        <v>515</v>
      </c>
      <c r="Z63" s="43" t="s">
        <v>516</v>
      </c>
      <c r="AA63" s="43"/>
      <c r="AB63" s="45">
        <v>45642</v>
      </c>
      <c r="AC63" s="46"/>
      <c r="AD63" s="36"/>
      <c r="AE63" s="47" t="s">
        <v>49</v>
      </c>
      <c r="AF63" s="48" t="s">
        <v>41</v>
      </c>
      <c r="AG63" s="48" t="s">
        <v>49</v>
      </c>
      <c r="AH63" s="48" t="s">
        <v>49</v>
      </c>
      <c r="AI63" s="48" t="s">
        <v>49</v>
      </c>
      <c r="AJ63" s="48" t="s">
        <v>49</v>
      </c>
      <c r="AK63" s="49" t="s">
        <v>49</v>
      </c>
      <c r="AL63" s="48" t="s">
        <v>49</v>
      </c>
      <c r="AM63" s="65" t="s">
        <v>32</v>
      </c>
      <c r="AN63" s="65"/>
      <c r="AO63" s="59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1"/>
    </row>
    <row r="64" spans="1:53" x14ac:dyDescent="0.2">
      <c r="A64" s="33">
        <f t="shared" si="1"/>
        <v>59</v>
      </c>
      <c r="B64" s="34" t="s">
        <v>517</v>
      </c>
      <c r="C64" s="35" t="s">
        <v>518</v>
      </c>
      <c r="D64" s="36" t="s">
        <v>519</v>
      </c>
      <c r="E64" s="334">
        <v>28641</v>
      </c>
      <c r="F64" s="36" t="s">
        <v>54</v>
      </c>
      <c r="G64" s="34" t="s">
        <v>520</v>
      </c>
      <c r="H64" s="37" t="s">
        <v>73</v>
      </c>
      <c r="I64" s="37" t="s">
        <v>73</v>
      </c>
      <c r="J64" s="34" t="s">
        <v>521</v>
      </c>
      <c r="K64" s="34"/>
      <c r="L64" s="39" t="s">
        <v>42</v>
      </c>
      <c r="M64" s="53">
        <v>37176</v>
      </c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2" t="s">
        <v>522</v>
      </c>
      <c r="Z64" s="55" t="s">
        <v>523</v>
      </c>
      <c r="AA64" s="44" t="s">
        <v>61</v>
      </c>
      <c r="AB64" s="45">
        <v>40280</v>
      </c>
      <c r="AC64" s="46" t="s">
        <v>30</v>
      </c>
      <c r="AD64" s="36" t="s">
        <v>26</v>
      </c>
      <c r="AE64" s="47" t="s">
        <v>49</v>
      </c>
      <c r="AF64" s="48" t="s">
        <v>49</v>
      </c>
      <c r="AG64" s="48" t="s">
        <v>49</v>
      </c>
      <c r="AH64" s="48" t="s">
        <v>49</v>
      </c>
      <c r="AI64" s="48" t="s">
        <v>49</v>
      </c>
      <c r="AJ64" s="48" t="s">
        <v>49</v>
      </c>
      <c r="AK64" s="49" t="s">
        <v>49</v>
      </c>
      <c r="AL64" s="48" t="s">
        <v>49</v>
      </c>
      <c r="AM64" s="65" t="s">
        <v>32</v>
      </c>
      <c r="AN64" s="65"/>
      <c r="AO64" s="59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1"/>
    </row>
    <row r="65" spans="1:53" x14ac:dyDescent="0.2">
      <c r="A65" s="33">
        <f t="shared" si="1"/>
        <v>60</v>
      </c>
      <c r="B65" s="34" t="s">
        <v>524</v>
      </c>
      <c r="C65" s="35" t="s">
        <v>525</v>
      </c>
      <c r="D65" s="36" t="s">
        <v>526</v>
      </c>
      <c r="E65" s="334">
        <v>30928</v>
      </c>
      <c r="F65" s="36" t="s">
        <v>54</v>
      </c>
      <c r="G65" s="34" t="s">
        <v>527</v>
      </c>
      <c r="H65" s="37" t="s">
        <v>528</v>
      </c>
      <c r="I65" s="37" t="s">
        <v>57</v>
      </c>
      <c r="J65" s="38" t="s">
        <v>529</v>
      </c>
      <c r="K65" s="34"/>
      <c r="L65" s="39" t="s">
        <v>42</v>
      </c>
      <c r="M65" s="53" t="s">
        <v>530</v>
      </c>
      <c r="N65" s="41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42" t="s">
        <v>531</v>
      </c>
      <c r="Z65" s="43" t="s">
        <v>532</v>
      </c>
      <c r="AA65" s="44" t="s">
        <v>533</v>
      </c>
      <c r="AB65" s="45">
        <v>44944</v>
      </c>
      <c r="AC65" s="46" t="s">
        <v>30</v>
      </c>
      <c r="AD65" s="36"/>
      <c r="AE65" s="47" t="s">
        <v>49</v>
      </c>
      <c r="AF65" s="48" t="s">
        <v>41</v>
      </c>
      <c r="AG65" s="48" t="s">
        <v>49</v>
      </c>
      <c r="AH65" s="48" t="s">
        <v>49</v>
      </c>
      <c r="AI65" s="48" t="s">
        <v>41</v>
      </c>
      <c r="AJ65" s="48" t="s">
        <v>41</v>
      </c>
      <c r="AK65" s="49" t="s">
        <v>41</v>
      </c>
      <c r="AL65" s="48" t="s">
        <v>41</v>
      </c>
      <c r="AM65" s="62" t="s">
        <v>139</v>
      </c>
      <c r="AN65" s="62"/>
      <c r="AO65" s="59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1"/>
    </row>
    <row r="66" spans="1:53" x14ac:dyDescent="0.2">
      <c r="A66" s="33">
        <f t="shared" si="1"/>
        <v>61</v>
      </c>
      <c r="B66" s="34" t="s">
        <v>534</v>
      </c>
      <c r="C66" s="35" t="s">
        <v>535</v>
      </c>
      <c r="D66" s="36" t="s">
        <v>536</v>
      </c>
      <c r="E66" s="334">
        <v>22227</v>
      </c>
      <c r="F66" s="36" t="s">
        <v>54</v>
      </c>
      <c r="G66" s="34" t="s">
        <v>537</v>
      </c>
      <c r="H66" s="37" t="s">
        <v>360</v>
      </c>
      <c r="I66" s="37" t="s">
        <v>350</v>
      </c>
      <c r="J66" s="34" t="s">
        <v>538</v>
      </c>
      <c r="K66" s="34" t="s">
        <v>41</v>
      </c>
      <c r="L66" s="39" t="s">
        <v>42</v>
      </c>
      <c r="M66" s="53">
        <v>37718</v>
      </c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2" t="s">
        <v>539</v>
      </c>
      <c r="Z66" s="58" t="s">
        <v>540</v>
      </c>
      <c r="AA66" s="44" t="s">
        <v>541</v>
      </c>
      <c r="AB66" s="45">
        <v>42935</v>
      </c>
      <c r="AC66" s="46" t="s">
        <v>30</v>
      </c>
      <c r="AD66" s="36" t="s">
        <v>26</v>
      </c>
      <c r="AE66" s="47" t="s">
        <v>49</v>
      </c>
      <c r="AF66" s="48" t="s">
        <v>49</v>
      </c>
      <c r="AG66" s="48" t="s">
        <v>49</v>
      </c>
      <c r="AH66" s="48" t="s">
        <v>49</v>
      </c>
      <c r="AI66" s="48" t="s">
        <v>49</v>
      </c>
      <c r="AJ66" s="48" t="s">
        <v>49</v>
      </c>
      <c r="AK66" s="49" t="s">
        <v>49</v>
      </c>
      <c r="AL66" s="48" t="s">
        <v>41</v>
      </c>
      <c r="AM66" s="65" t="s">
        <v>148</v>
      </c>
      <c r="AN66" s="65"/>
      <c r="AO66" s="59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1"/>
    </row>
    <row r="67" spans="1:53" x14ac:dyDescent="0.2">
      <c r="A67" s="33">
        <f t="shared" si="1"/>
        <v>62</v>
      </c>
      <c r="B67" s="34" t="s">
        <v>542</v>
      </c>
      <c r="C67" s="35" t="s">
        <v>543</v>
      </c>
      <c r="D67" s="36" t="s">
        <v>544</v>
      </c>
      <c r="E67" s="334">
        <v>23836</v>
      </c>
      <c r="F67" s="36" t="s">
        <v>54</v>
      </c>
      <c r="G67" s="34" t="s">
        <v>545</v>
      </c>
      <c r="H67" s="37" t="s">
        <v>350</v>
      </c>
      <c r="I67" s="37" t="s">
        <v>350</v>
      </c>
      <c r="J67" s="34">
        <v>85100503765</v>
      </c>
      <c r="K67" s="34" t="s">
        <v>546</v>
      </c>
      <c r="L67" s="39" t="s">
        <v>42</v>
      </c>
      <c r="M67" s="40" t="s">
        <v>547</v>
      </c>
      <c r="N67" s="41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42" t="s">
        <v>548</v>
      </c>
      <c r="Z67" s="100" t="s">
        <v>549</v>
      </c>
      <c r="AA67" s="44" t="s">
        <v>61</v>
      </c>
      <c r="AB67" s="45">
        <v>40815</v>
      </c>
      <c r="AC67" s="46" t="s">
        <v>30</v>
      </c>
      <c r="AD67" s="36" t="s">
        <v>26</v>
      </c>
      <c r="AE67" s="47" t="s">
        <v>49</v>
      </c>
      <c r="AF67" s="48" t="s">
        <v>49</v>
      </c>
      <c r="AG67" s="48" t="s">
        <v>49</v>
      </c>
      <c r="AH67" s="48" t="s">
        <v>49</v>
      </c>
      <c r="AI67" s="48" t="s">
        <v>49</v>
      </c>
      <c r="AJ67" s="48" t="s">
        <v>49</v>
      </c>
      <c r="AK67" s="49" t="s">
        <v>49</v>
      </c>
      <c r="AL67" s="48" t="s">
        <v>49</v>
      </c>
      <c r="AM67" s="62" t="s">
        <v>32</v>
      </c>
      <c r="AN67" s="62"/>
      <c r="AO67" s="59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1"/>
    </row>
    <row r="68" spans="1:53" x14ac:dyDescent="0.2">
      <c r="A68" s="33">
        <f t="shared" si="1"/>
        <v>63</v>
      </c>
      <c r="B68" s="34" t="s">
        <v>550</v>
      </c>
      <c r="C68" s="35" t="s">
        <v>551</v>
      </c>
      <c r="D68" s="36" t="s">
        <v>552</v>
      </c>
      <c r="E68" s="36"/>
      <c r="F68" s="36" t="s">
        <v>54</v>
      </c>
      <c r="G68" s="34" t="s">
        <v>553</v>
      </c>
      <c r="H68" s="37" t="s">
        <v>73</v>
      </c>
      <c r="I68" s="37" t="s">
        <v>73</v>
      </c>
      <c r="J68" s="34" t="s">
        <v>554</v>
      </c>
      <c r="K68" s="34" t="s">
        <v>555</v>
      </c>
      <c r="L68" s="39" t="s">
        <v>42</v>
      </c>
      <c r="M68" s="40" t="s">
        <v>556</v>
      </c>
      <c r="N68" s="41"/>
      <c r="O68" s="41"/>
      <c r="P68" s="41"/>
      <c r="Q68" s="41"/>
      <c r="R68" s="112"/>
      <c r="S68" s="112"/>
      <c r="T68" s="112"/>
      <c r="U68" s="112"/>
      <c r="V68" s="41"/>
      <c r="W68" s="41"/>
      <c r="X68" s="41"/>
      <c r="Y68" s="42" t="s">
        <v>557</v>
      </c>
      <c r="Z68" s="69" t="s">
        <v>558</v>
      </c>
      <c r="AA68" s="44" t="s">
        <v>61</v>
      </c>
      <c r="AB68" s="45">
        <v>36803</v>
      </c>
      <c r="AC68" s="46" t="s">
        <v>30</v>
      </c>
      <c r="AD68" s="36" t="s">
        <v>26</v>
      </c>
      <c r="AE68" s="47" t="s">
        <v>49</v>
      </c>
      <c r="AF68" s="48" t="s">
        <v>49</v>
      </c>
      <c r="AG68" s="48" t="s">
        <v>41</v>
      </c>
      <c r="AH68" s="48" t="s">
        <v>41</v>
      </c>
      <c r="AI68" s="48" t="s">
        <v>41</v>
      </c>
      <c r="AJ68" s="48" t="s">
        <v>41</v>
      </c>
      <c r="AK68" s="49" t="s">
        <v>41</v>
      </c>
      <c r="AL68" s="48" t="s">
        <v>41</v>
      </c>
      <c r="AM68" s="62" t="s">
        <v>4587</v>
      </c>
      <c r="AN68" s="62"/>
      <c r="AO68" s="59"/>
      <c r="AP68" s="10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1"/>
    </row>
    <row r="69" spans="1:53" x14ac:dyDescent="0.2">
      <c r="A69" s="33">
        <f t="shared" si="1"/>
        <v>64</v>
      </c>
      <c r="B69" s="34" t="s">
        <v>559</v>
      </c>
      <c r="C69" s="35" t="s">
        <v>560</v>
      </c>
      <c r="D69" s="36" t="s">
        <v>561</v>
      </c>
      <c r="E69" s="334">
        <v>30717</v>
      </c>
      <c r="F69" s="36" t="s">
        <v>54</v>
      </c>
      <c r="G69" s="34" t="s">
        <v>562</v>
      </c>
      <c r="H69" s="37" t="s">
        <v>39</v>
      </c>
      <c r="I69" s="37" t="s">
        <v>39</v>
      </c>
      <c r="J69" s="38" t="s">
        <v>563</v>
      </c>
      <c r="K69" s="72" t="s">
        <v>41</v>
      </c>
      <c r="L69" s="39" t="s">
        <v>42</v>
      </c>
      <c r="M69" s="53">
        <v>42071</v>
      </c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42" t="s">
        <v>564</v>
      </c>
      <c r="Z69" s="58" t="s">
        <v>565</v>
      </c>
      <c r="AA69" s="44" t="s">
        <v>566</v>
      </c>
      <c r="AB69" s="45">
        <v>42325</v>
      </c>
      <c r="AC69" s="46" t="s">
        <v>30</v>
      </c>
      <c r="AD69" s="36" t="s">
        <v>26</v>
      </c>
      <c r="AE69" s="47" t="s">
        <v>49</v>
      </c>
      <c r="AF69" s="48" t="s">
        <v>49</v>
      </c>
      <c r="AG69" s="48" t="s">
        <v>49</v>
      </c>
      <c r="AH69" s="48" t="s">
        <v>49</v>
      </c>
      <c r="AI69" s="48" t="s">
        <v>49</v>
      </c>
      <c r="AJ69" s="48" t="s">
        <v>49</v>
      </c>
      <c r="AK69" s="49" t="s">
        <v>49</v>
      </c>
      <c r="AL69" s="48" t="s">
        <v>41</v>
      </c>
      <c r="AM69" s="65" t="s">
        <v>148</v>
      </c>
      <c r="AN69" s="65"/>
      <c r="AO69" s="59"/>
      <c r="AP69" s="10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1"/>
    </row>
    <row r="70" spans="1:53" x14ac:dyDescent="0.2">
      <c r="A70" s="33">
        <f t="shared" si="1"/>
        <v>65</v>
      </c>
      <c r="B70" s="34" t="s">
        <v>567</v>
      </c>
      <c r="C70" s="35" t="s">
        <v>568</v>
      </c>
      <c r="D70" s="36" t="s">
        <v>569</v>
      </c>
      <c r="E70" s="334">
        <v>29344</v>
      </c>
      <c r="F70" s="36" t="s">
        <v>54</v>
      </c>
      <c r="G70" s="34" t="s">
        <v>570</v>
      </c>
      <c r="H70" s="37" t="s">
        <v>73</v>
      </c>
      <c r="I70" s="37" t="s">
        <v>73</v>
      </c>
      <c r="J70" s="38" t="s">
        <v>571</v>
      </c>
      <c r="K70" s="34" t="s">
        <v>41</v>
      </c>
      <c r="L70" s="39" t="s">
        <v>42</v>
      </c>
      <c r="M70" s="40" t="s">
        <v>572</v>
      </c>
      <c r="N70" s="41"/>
      <c r="O70" s="94"/>
      <c r="P70" s="94"/>
      <c r="Q70" s="94"/>
      <c r="R70" s="94"/>
      <c r="S70" s="94"/>
      <c r="T70" s="94"/>
      <c r="U70" s="94" t="s">
        <v>44</v>
      </c>
      <c r="V70" s="94"/>
      <c r="W70" s="94"/>
      <c r="X70" s="94"/>
      <c r="Y70" s="42" t="s">
        <v>573</v>
      </c>
      <c r="Z70" s="58" t="s">
        <v>574</v>
      </c>
      <c r="AA70" s="58"/>
      <c r="AB70" s="45">
        <v>45642</v>
      </c>
      <c r="AC70" s="46"/>
      <c r="AD70" s="36"/>
      <c r="AE70" s="47" t="s">
        <v>49</v>
      </c>
      <c r="AF70" s="48" t="s">
        <v>41</v>
      </c>
      <c r="AG70" s="48" t="s">
        <v>41</v>
      </c>
      <c r="AH70" s="48" t="s">
        <v>41</v>
      </c>
      <c r="AI70" s="48" t="s">
        <v>49</v>
      </c>
      <c r="AJ70" s="48" t="s">
        <v>49</v>
      </c>
      <c r="AK70" s="49" t="s">
        <v>41</v>
      </c>
      <c r="AL70" s="48" t="s">
        <v>41</v>
      </c>
      <c r="AM70" s="62" t="s">
        <v>276</v>
      </c>
      <c r="AN70" s="62"/>
      <c r="AO70" s="59"/>
      <c r="AP70" s="117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1"/>
    </row>
    <row r="71" spans="1:53" x14ac:dyDescent="0.2">
      <c r="A71" s="33">
        <f t="shared" si="1"/>
        <v>66</v>
      </c>
      <c r="B71" s="34" t="s">
        <v>575</v>
      </c>
      <c r="C71" s="35" t="s">
        <v>576</v>
      </c>
      <c r="D71" s="36" t="s">
        <v>577</v>
      </c>
      <c r="E71" s="334">
        <v>23279</v>
      </c>
      <c r="F71" s="36" t="s">
        <v>54</v>
      </c>
      <c r="G71" s="34" t="s">
        <v>578</v>
      </c>
      <c r="H71" s="37" t="s">
        <v>4659</v>
      </c>
      <c r="I71" s="37" t="s">
        <v>205</v>
      </c>
      <c r="J71" s="34" t="s">
        <v>579</v>
      </c>
      <c r="K71" s="34"/>
      <c r="L71" s="39" t="s">
        <v>42</v>
      </c>
      <c r="M71" s="53">
        <v>40217</v>
      </c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2" t="s">
        <v>580</v>
      </c>
      <c r="Z71" s="52" t="s">
        <v>581</v>
      </c>
      <c r="AA71" s="44" t="s">
        <v>61</v>
      </c>
      <c r="AB71" s="45">
        <v>40815</v>
      </c>
      <c r="AC71" s="46" t="s">
        <v>30</v>
      </c>
      <c r="AD71" s="36" t="s">
        <v>26</v>
      </c>
      <c r="AE71" s="47" t="s">
        <v>49</v>
      </c>
      <c r="AF71" s="48" t="s">
        <v>49</v>
      </c>
      <c r="AG71" s="48" t="s">
        <v>49</v>
      </c>
      <c r="AH71" s="48" t="s">
        <v>49</v>
      </c>
      <c r="AI71" s="48" t="s">
        <v>49</v>
      </c>
      <c r="AJ71" s="48" t="s">
        <v>49</v>
      </c>
      <c r="AK71" s="49" t="s">
        <v>49</v>
      </c>
      <c r="AL71" s="48" t="s">
        <v>49</v>
      </c>
      <c r="AM71" s="62" t="s">
        <v>32</v>
      </c>
      <c r="AN71" s="62"/>
      <c r="AO71" s="59"/>
      <c r="AP71" s="117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1"/>
    </row>
    <row r="72" spans="1:53" x14ac:dyDescent="0.2">
      <c r="A72" s="33">
        <f t="shared" ref="A72:A135" si="2">+A71+1</f>
        <v>67</v>
      </c>
      <c r="B72" s="34" t="s">
        <v>582</v>
      </c>
      <c r="C72" s="35" t="s">
        <v>583</v>
      </c>
      <c r="D72" s="36" t="s">
        <v>584</v>
      </c>
      <c r="E72" s="334">
        <v>27940</v>
      </c>
      <c r="F72" s="36" t="s">
        <v>54</v>
      </c>
      <c r="G72" s="34" t="s">
        <v>585</v>
      </c>
      <c r="H72" s="37" t="s">
        <v>205</v>
      </c>
      <c r="I72" s="37" t="s">
        <v>205</v>
      </c>
      <c r="J72" s="34" t="s">
        <v>586</v>
      </c>
      <c r="K72" s="34" t="s">
        <v>587</v>
      </c>
      <c r="L72" s="39" t="s">
        <v>42</v>
      </c>
      <c r="M72" s="53">
        <v>31054</v>
      </c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2" t="s">
        <v>588</v>
      </c>
      <c r="Z72" s="52" t="s">
        <v>589</v>
      </c>
      <c r="AA72" s="44" t="s">
        <v>61</v>
      </c>
      <c r="AB72" s="45">
        <v>39286</v>
      </c>
      <c r="AC72" s="46" t="s">
        <v>30</v>
      </c>
      <c r="AD72" s="36" t="s">
        <v>26</v>
      </c>
      <c r="AE72" s="47" t="s">
        <v>49</v>
      </c>
      <c r="AF72" s="48" t="s">
        <v>49</v>
      </c>
      <c r="AG72" s="48" t="s">
        <v>49</v>
      </c>
      <c r="AH72" s="48" t="s">
        <v>49</v>
      </c>
      <c r="AI72" s="48" t="s">
        <v>49</v>
      </c>
      <c r="AJ72" s="48" t="s">
        <v>49</v>
      </c>
      <c r="AK72" s="49" t="s">
        <v>41</v>
      </c>
      <c r="AL72" s="48" t="s">
        <v>41</v>
      </c>
      <c r="AM72" s="62" t="s">
        <v>276</v>
      </c>
      <c r="AN72" s="62"/>
      <c r="AO72" s="59"/>
      <c r="AP72" s="117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1"/>
    </row>
    <row r="73" spans="1:53" x14ac:dyDescent="0.2">
      <c r="A73" s="33">
        <f t="shared" si="2"/>
        <v>68</v>
      </c>
      <c r="B73" s="34" t="s">
        <v>590</v>
      </c>
      <c r="C73" s="35" t="s">
        <v>591</v>
      </c>
      <c r="D73" s="36" t="s">
        <v>592</v>
      </c>
      <c r="E73" s="334">
        <v>29742</v>
      </c>
      <c r="F73" s="36" t="s">
        <v>54</v>
      </c>
      <c r="G73" s="34" t="s">
        <v>593</v>
      </c>
      <c r="H73" s="37" t="s">
        <v>323</v>
      </c>
      <c r="I73" s="37" t="s">
        <v>39</v>
      </c>
      <c r="J73" s="34" t="s">
        <v>594</v>
      </c>
      <c r="K73" s="72" t="s">
        <v>41</v>
      </c>
      <c r="L73" s="39" t="s">
        <v>42</v>
      </c>
      <c r="M73" s="53" t="s">
        <v>595</v>
      </c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2" t="s">
        <v>596</v>
      </c>
      <c r="Z73" s="52" t="s">
        <v>597</v>
      </c>
      <c r="AA73" s="52"/>
      <c r="AB73" s="45">
        <v>45642</v>
      </c>
      <c r="AC73" s="46"/>
      <c r="AD73" s="36" t="s">
        <v>26</v>
      </c>
      <c r="AE73" s="47" t="s">
        <v>49</v>
      </c>
      <c r="AF73" s="48" t="s">
        <v>49</v>
      </c>
      <c r="AG73" s="48" t="s">
        <v>49</v>
      </c>
      <c r="AH73" s="48" t="s">
        <v>49</v>
      </c>
      <c r="AI73" s="48" t="s">
        <v>49</v>
      </c>
      <c r="AJ73" s="48" t="s">
        <v>49</v>
      </c>
      <c r="AK73" s="49" t="s">
        <v>49</v>
      </c>
      <c r="AL73" s="48" t="s">
        <v>49</v>
      </c>
      <c r="AM73" s="65" t="s">
        <v>32</v>
      </c>
      <c r="AN73" s="65"/>
      <c r="AO73" s="59"/>
      <c r="AP73" s="117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1"/>
    </row>
    <row r="74" spans="1:53" x14ac:dyDescent="0.2">
      <c r="A74" s="33">
        <f t="shared" si="2"/>
        <v>69</v>
      </c>
      <c r="B74" s="34" t="s">
        <v>598</v>
      </c>
      <c r="C74" s="35" t="s">
        <v>599</v>
      </c>
      <c r="D74" s="36" t="s">
        <v>600</v>
      </c>
      <c r="E74" s="334">
        <v>28313</v>
      </c>
      <c r="F74" s="36" t="s">
        <v>54</v>
      </c>
      <c r="G74" s="34" t="s">
        <v>601</v>
      </c>
      <c r="H74" s="37" t="s">
        <v>38</v>
      </c>
      <c r="I74" s="37" t="s">
        <v>39</v>
      </c>
      <c r="J74" s="38" t="s">
        <v>602</v>
      </c>
      <c r="K74" s="72" t="s">
        <v>41</v>
      </c>
      <c r="L74" s="39" t="s">
        <v>42</v>
      </c>
      <c r="M74" s="53" t="s">
        <v>603</v>
      </c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42" t="s">
        <v>604</v>
      </c>
      <c r="Z74" s="58" t="s">
        <v>605</v>
      </c>
      <c r="AA74" s="44" t="s">
        <v>606</v>
      </c>
      <c r="AB74" s="45">
        <v>42935</v>
      </c>
      <c r="AC74" s="46" t="s">
        <v>30</v>
      </c>
      <c r="AD74" s="36" t="s">
        <v>26</v>
      </c>
      <c r="AE74" s="47" t="s">
        <v>49</v>
      </c>
      <c r="AF74" s="48" t="s">
        <v>49</v>
      </c>
      <c r="AG74" s="48" t="s">
        <v>49</v>
      </c>
      <c r="AH74" s="48" t="s">
        <v>49</v>
      </c>
      <c r="AI74" s="48" t="s">
        <v>49</v>
      </c>
      <c r="AJ74" s="48" t="s">
        <v>49</v>
      </c>
      <c r="AK74" s="49" t="s">
        <v>49</v>
      </c>
      <c r="AL74" s="48" t="s">
        <v>41</v>
      </c>
      <c r="AM74" s="62" t="s">
        <v>148</v>
      </c>
      <c r="AN74" s="62"/>
      <c r="AO74" s="59"/>
      <c r="AP74" s="10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1"/>
    </row>
    <row r="75" spans="1:53" x14ac:dyDescent="0.2">
      <c r="A75" s="33">
        <f t="shared" si="2"/>
        <v>70</v>
      </c>
      <c r="B75" s="34" t="s">
        <v>607</v>
      </c>
      <c r="C75" s="35" t="s">
        <v>608</v>
      </c>
      <c r="D75" s="36" t="s">
        <v>609</v>
      </c>
      <c r="E75" s="334">
        <v>31283</v>
      </c>
      <c r="F75" s="36" t="s">
        <v>54</v>
      </c>
      <c r="G75" s="34" t="s">
        <v>610</v>
      </c>
      <c r="H75" s="37" t="s">
        <v>73</v>
      </c>
      <c r="I75" s="37" t="s">
        <v>73</v>
      </c>
      <c r="J75" s="38" t="s">
        <v>611</v>
      </c>
      <c r="K75" s="72" t="s">
        <v>41</v>
      </c>
      <c r="L75" s="39" t="s">
        <v>42</v>
      </c>
      <c r="M75" s="53" t="s">
        <v>352</v>
      </c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42" t="s">
        <v>612</v>
      </c>
      <c r="Z75" s="58" t="s">
        <v>613</v>
      </c>
      <c r="AA75" s="44" t="s">
        <v>614</v>
      </c>
      <c r="AB75" s="45">
        <v>42325</v>
      </c>
      <c r="AC75" s="46" t="s">
        <v>30</v>
      </c>
      <c r="AD75" s="36" t="s">
        <v>26</v>
      </c>
      <c r="AE75" s="47" t="s">
        <v>49</v>
      </c>
      <c r="AF75" s="48" t="s">
        <v>49</v>
      </c>
      <c r="AG75" s="48" t="s">
        <v>49</v>
      </c>
      <c r="AH75" s="48" t="s">
        <v>49</v>
      </c>
      <c r="AI75" s="48" t="s">
        <v>49</v>
      </c>
      <c r="AJ75" s="48" t="s">
        <v>49</v>
      </c>
      <c r="AK75" s="49" t="s">
        <v>41</v>
      </c>
      <c r="AL75" s="48" t="s">
        <v>41</v>
      </c>
      <c r="AM75" s="62" t="s">
        <v>276</v>
      </c>
      <c r="AN75" s="62"/>
      <c r="AO75" s="59"/>
      <c r="AP75" s="118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1"/>
    </row>
    <row r="76" spans="1:53" x14ac:dyDescent="0.2">
      <c r="A76" s="33">
        <f t="shared" si="2"/>
        <v>71</v>
      </c>
      <c r="B76" s="34" t="s">
        <v>615</v>
      </c>
      <c r="C76" s="35" t="s">
        <v>616</v>
      </c>
      <c r="D76" s="36" t="s">
        <v>617</v>
      </c>
      <c r="E76" s="334">
        <v>24617</v>
      </c>
      <c r="F76" s="36" t="s">
        <v>54</v>
      </c>
      <c r="G76" s="34" t="s">
        <v>618</v>
      </c>
      <c r="H76" s="37" t="s">
        <v>73</v>
      </c>
      <c r="I76" s="37" t="s">
        <v>73</v>
      </c>
      <c r="J76" s="38" t="s">
        <v>619</v>
      </c>
      <c r="K76" s="72" t="s">
        <v>41</v>
      </c>
      <c r="L76" s="39" t="s">
        <v>42</v>
      </c>
      <c r="M76" s="53">
        <v>42134</v>
      </c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42" t="s">
        <v>620</v>
      </c>
      <c r="Z76" s="58" t="s">
        <v>621</v>
      </c>
      <c r="AA76" s="119" t="s">
        <v>622</v>
      </c>
      <c r="AB76" s="45">
        <v>42325</v>
      </c>
      <c r="AC76" s="46" t="s">
        <v>30</v>
      </c>
      <c r="AD76" s="36" t="s">
        <v>26</v>
      </c>
      <c r="AE76" s="47" t="s">
        <v>49</v>
      </c>
      <c r="AF76" s="48" t="s">
        <v>49</v>
      </c>
      <c r="AG76" s="48" t="s">
        <v>49</v>
      </c>
      <c r="AH76" s="48" t="s">
        <v>49</v>
      </c>
      <c r="AI76" s="48" t="s">
        <v>49</v>
      </c>
      <c r="AJ76" s="48" t="s">
        <v>41</v>
      </c>
      <c r="AK76" s="49" t="s">
        <v>41</v>
      </c>
      <c r="AL76" s="48" t="s">
        <v>41</v>
      </c>
      <c r="AM76" s="62" t="s">
        <v>4589</v>
      </c>
      <c r="AN76" s="62"/>
      <c r="AO76" s="59"/>
      <c r="AP76" s="118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1"/>
    </row>
    <row r="77" spans="1:53" x14ac:dyDescent="0.2">
      <c r="A77" s="33">
        <f t="shared" si="2"/>
        <v>72</v>
      </c>
      <c r="B77" s="34" t="s">
        <v>623</v>
      </c>
      <c r="C77" s="35" t="s">
        <v>624</v>
      </c>
      <c r="D77" s="36" t="s">
        <v>625</v>
      </c>
      <c r="E77" s="334">
        <v>31819</v>
      </c>
      <c r="F77" s="36" t="s">
        <v>54</v>
      </c>
      <c r="G77" s="34" t="s">
        <v>626</v>
      </c>
      <c r="H77" s="37" t="s">
        <v>176</v>
      </c>
      <c r="I77" s="37" t="s">
        <v>39</v>
      </c>
      <c r="J77" s="38" t="s">
        <v>627</v>
      </c>
      <c r="K77" s="72" t="s">
        <v>41</v>
      </c>
      <c r="L77" s="39" t="s">
        <v>42</v>
      </c>
      <c r="M77" s="53" t="s">
        <v>628</v>
      </c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42" t="s">
        <v>629</v>
      </c>
      <c r="Z77" s="58" t="s">
        <v>630</v>
      </c>
      <c r="AA77" s="84" t="s">
        <v>631</v>
      </c>
      <c r="AB77" s="45">
        <v>44650</v>
      </c>
      <c r="AC77" s="46" t="s">
        <v>30</v>
      </c>
      <c r="AD77" s="36" t="s">
        <v>26</v>
      </c>
      <c r="AE77" s="47" t="s">
        <v>49</v>
      </c>
      <c r="AF77" s="48" t="s">
        <v>49</v>
      </c>
      <c r="AG77" s="48" t="s">
        <v>49</v>
      </c>
      <c r="AH77" s="48" t="s">
        <v>49</v>
      </c>
      <c r="AI77" s="48" t="s">
        <v>49</v>
      </c>
      <c r="AJ77" s="48" t="s">
        <v>41</v>
      </c>
      <c r="AK77" s="49" t="s">
        <v>41</v>
      </c>
      <c r="AL77" s="48" t="s">
        <v>41</v>
      </c>
      <c r="AM77" s="62" t="s">
        <v>4589</v>
      </c>
      <c r="AN77" s="62"/>
      <c r="AO77" s="59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1"/>
    </row>
    <row r="78" spans="1:53" x14ac:dyDescent="0.2">
      <c r="A78" s="33">
        <f t="shared" si="2"/>
        <v>73</v>
      </c>
      <c r="B78" s="34" t="s">
        <v>632</v>
      </c>
      <c r="C78" s="35" t="s">
        <v>633</v>
      </c>
      <c r="D78" s="36" t="s">
        <v>634</v>
      </c>
      <c r="E78" s="334">
        <v>36730</v>
      </c>
      <c r="F78" s="36" t="s">
        <v>54</v>
      </c>
      <c r="G78" s="34" t="s">
        <v>635</v>
      </c>
      <c r="H78" s="37" t="s">
        <v>73</v>
      </c>
      <c r="I78" s="37" t="s">
        <v>73</v>
      </c>
      <c r="J78" s="38" t="s">
        <v>636</v>
      </c>
      <c r="K78" s="72" t="s">
        <v>41</v>
      </c>
      <c r="L78" s="39" t="s">
        <v>42</v>
      </c>
      <c r="M78" s="120">
        <v>45245</v>
      </c>
      <c r="N78" s="115"/>
      <c r="O78" s="115"/>
      <c r="P78" s="115"/>
      <c r="Q78" s="115"/>
      <c r="R78" s="115"/>
      <c r="S78" s="115"/>
      <c r="T78" s="115"/>
      <c r="U78" s="56" t="s">
        <v>44</v>
      </c>
      <c r="V78" s="56"/>
      <c r="W78" s="56"/>
      <c r="X78" s="56"/>
      <c r="Y78" s="42" t="s">
        <v>637</v>
      </c>
      <c r="Z78" s="83" t="s">
        <v>638</v>
      </c>
      <c r="AA78" s="121"/>
      <c r="AB78" s="45">
        <v>45642</v>
      </c>
      <c r="AC78" s="101"/>
      <c r="AD78" s="36"/>
      <c r="AE78" s="47" t="s">
        <v>49</v>
      </c>
      <c r="AF78" s="48" t="s">
        <v>41</v>
      </c>
      <c r="AG78" s="48" t="s">
        <v>41</v>
      </c>
      <c r="AH78" s="48" t="s">
        <v>41</v>
      </c>
      <c r="AI78" s="48" t="s">
        <v>49</v>
      </c>
      <c r="AJ78" s="48" t="s">
        <v>49</v>
      </c>
      <c r="AK78" s="49" t="s">
        <v>49</v>
      </c>
      <c r="AL78" s="48" t="s">
        <v>49</v>
      </c>
      <c r="AM78" s="62" t="s">
        <v>32</v>
      </c>
      <c r="AN78" s="62"/>
      <c r="AO78" s="59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1"/>
    </row>
    <row r="79" spans="1:53" x14ac:dyDescent="0.2">
      <c r="A79" s="33">
        <f t="shared" si="2"/>
        <v>74</v>
      </c>
      <c r="B79" s="122" t="s">
        <v>639</v>
      </c>
      <c r="C79" s="123" t="s">
        <v>640</v>
      </c>
      <c r="D79" s="124" t="s">
        <v>641</v>
      </c>
      <c r="E79" s="338">
        <v>29480</v>
      </c>
      <c r="F79" s="36" t="s">
        <v>54</v>
      </c>
      <c r="G79" s="125" t="s">
        <v>642</v>
      </c>
      <c r="H79" s="126" t="s">
        <v>456</v>
      </c>
      <c r="I79" s="126" t="s">
        <v>187</v>
      </c>
      <c r="J79" s="127" t="s">
        <v>643</v>
      </c>
      <c r="K79" s="122" t="s">
        <v>41</v>
      </c>
      <c r="L79" s="128" t="s">
        <v>42</v>
      </c>
      <c r="M79" s="129" t="s">
        <v>644</v>
      </c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42" t="s">
        <v>645</v>
      </c>
      <c r="Z79" s="58" t="s">
        <v>646</v>
      </c>
      <c r="AA79" s="44" t="s">
        <v>647</v>
      </c>
      <c r="AB79" s="131">
        <v>43200</v>
      </c>
      <c r="AC79" s="132" t="s">
        <v>30</v>
      </c>
      <c r="AD79" s="73" t="s">
        <v>26</v>
      </c>
      <c r="AE79" s="133" t="s">
        <v>49</v>
      </c>
      <c r="AF79" s="48" t="s">
        <v>49</v>
      </c>
      <c r="AG79" s="48" t="s">
        <v>49</v>
      </c>
      <c r="AH79" s="48" t="s">
        <v>49</v>
      </c>
      <c r="AI79" s="48" t="s">
        <v>49</v>
      </c>
      <c r="AJ79" s="48" t="s">
        <v>49</v>
      </c>
      <c r="AK79" s="49" t="s">
        <v>49</v>
      </c>
      <c r="AL79" s="48" t="s">
        <v>49</v>
      </c>
      <c r="AM79" s="62" t="s">
        <v>32</v>
      </c>
      <c r="AN79" s="232"/>
      <c r="AO79" s="134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1"/>
    </row>
    <row r="80" spans="1:53" x14ac:dyDescent="0.2">
      <c r="A80" s="33">
        <f t="shared" si="2"/>
        <v>75</v>
      </c>
      <c r="B80" s="122" t="s">
        <v>648</v>
      </c>
      <c r="C80" s="123" t="s">
        <v>649</v>
      </c>
      <c r="D80" s="124" t="s">
        <v>650</v>
      </c>
      <c r="E80" s="124"/>
      <c r="F80" s="36" t="s">
        <v>241</v>
      </c>
      <c r="G80" s="125" t="s">
        <v>651</v>
      </c>
      <c r="H80" s="126" t="s">
        <v>205</v>
      </c>
      <c r="I80" s="126" t="s">
        <v>205</v>
      </c>
      <c r="J80" s="122" t="s">
        <v>652</v>
      </c>
      <c r="K80" s="122" t="s">
        <v>41</v>
      </c>
      <c r="L80" s="128" t="s">
        <v>42</v>
      </c>
      <c r="M80" s="129">
        <v>30353</v>
      </c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5" t="s">
        <v>653</v>
      </c>
      <c r="Z80" s="69" t="s">
        <v>654</v>
      </c>
      <c r="AA80" s="44" t="s">
        <v>61</v>
      </c>
      <c r="AB80" s="131">
        <v>37208</v>
      </c>
      <c r="AC80" s="132" t="s">
        <v>30</v>
      </c>
      <c r="AD80" s="73" t="s">
        <v>26</v>
      </c>
      <c r="AE80" s="133" t="s">
        <v>49</v>
      </c>
      <c r="AF80" s="48" t="s">
        <v>49</v>
      </c>
      <c r="AG80" s="48" t="s">
        <v>41</v>
      </c>
      <c r="AH80" s="48" t="s">
        <v>41</v>
      </c>
      <c r="AI80" s="48" t="s">
        <v>41</v>
      </c>
      <c r="AJ80" s="48" t="s">
        <v>41</v>
      </c>
      <c r="AK80" s="49" t="s">
        <v>41</v>
      </c>
      <c r="AL80" s="48" t="s">
        <v>41</v>
      </c>
      <c r="AM80" s="62" t="s">
        <v>4587</v>
      </c>
      <c r="AN80" s="232"/>
      <c r="AO80" s="134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1"/>
    </row>
    <row r="81" spans="1:53" x14ac:dyDescent="0.2">
      <c r="A81" s="33">
        <f t="shared" si="2"/>
        <v>76</v>
      </c>
      <c r="B81" s="34" t="s">
        <v>655</v>
      </c>
      <c r="C81" s="35" t="s">
        <v>656</v>
      </c>
      <c r="D81" s="73" t="s">
        <v>657</v>
      </c>
      <c r="E81" s="335">
        <v>36190</v>
      </c>
      <c r="F81" s="36" t="s">
        <v>54</v>
      </c>
      <c r="G81" s="98" t="s">
        <v>658</v>
      </c>
      <c r="H81" s="37" t="s">
        <v>252</v>
      </c>
      <c r="I81" s="37" t="s">
        <v>57</v>
      </c>
      <c r="J81" s="38" t="s">
        <v>659</v>
      </c>
      <c r="K81" s="34"/>
      <c r="L81" s="39" t="s">
        <v>42</v>
      </c>
      <c r="M81" s="53">
        <v>45398</v>
      </c>
      <c r="N81" s="56"/>
      <c r="O81" s="56"/>
      <c r="P81" s="56"/>
      <c r="Q81" s="56"/>
      <c r="R81" s="56"/>
      <c r="S81" s="56"/>
      <c r="T81" s="56"/>
      <c r="U81" s="56"/>
      <c r="V81" s="56" t="s">
        <v>44</v>
      </c>
      <c r="W81" s="56"/>
      <c r="X81" s="56"/>
      <c r="Y81" s="54" t="s">
        <v>660</v>
      </c>
      <c r="Z81" s="58" t="s">
        <v>661</v>
      </c>
      <c r="AA81" s="44"/>
      <c r="AB81" s="45"/>
      <c r="AC81" s="46"/>
      <c r="AD81" s="73"/>
      <c r="AE81" s="47" t="s">
        <v>49</v>
      </c>
      <c r="AF81" s="48" t="s">
        <v>41</v>
      </c>
      <c r="AG81" s="48" t="s">
        <v>41</v>
      </c>
      <c r="AH81" s="48" t="s">
        <v>41</v>
      </c>
      <c r="AI81" s="48" t="s">
        <v>41</v>
      </c>
      <c r="AJ81" s="48" t="s">
        <v>49</v>
      </c>
      <c r="AK81" s="49" t="s">
        <v>41</v>
      </c>
      <c r="AL81" s="48" t="s">
        <v>41</v>
      </c>
      <c r="AM81" s="62" t="s">
        <v>276</v>
      </c>
      <c r="AN81" s="62"/>
      <c r="AO81" s="59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1"/>
    </row>
    <row r="82" spans="1:53" x14ac:dyDescent="0.2">
      <c r="A82" s="33">
        <f t="shared" si="2"/>
        <v>77</v>
      </c>
      <c r="B82" s="34" t="s">
        <v>662</v>
      </c>
      <c r="C82" s="35" t="s">
        <v>663</v>
      </c>
      <c r="D82" s="73" t="s">
        <v>664</v>
      </c>
      <c r="E82" s="73"/>
      <c r="F82" s="36" t="s">
        <v>36</v>
      </c>
      <c r="G82" s="34" t="s">
        <v>665</v>
      </c>
      <c r="H82" s="37" t="s">
        <v>360</v>
      </c>
      <c r="I82" s="37" t="s">
        <v>350</v>
      </c>
      <c r="J82" s="38" t="s">
        <v>666</v>
      </c>
      <c r="K82" s="34" t="s">
        <v>41</v>
      </c>
      <c r="L82" s="39" t="s">
        <v>42</v>
      </c>
      <c r="M82" s="40" t="s">
        <v>667</v>
      </c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42" t="s">
        <v>668</v>
      </c>
      <c r="Z82" s="58" t="s">
        <v>669</v>
      </c>
      <c r="AA82" s="44" t="s">
        <v>61</v>
      </c>
      <c r="AB82" s="45">
        <v>36803</v>
      </c>
      <c r="AC82" s="46" t="s">
        <v>30</v>
      </c>
      <c r="AD82" s="73"/>
      <c r="AE82" s="47" t="s">
        <v>49</v>
      </c>
      <c r="AF82" s="48" t="s">
        <v>41</v>
      </c>
      <c r="AG82" s="48" t="s">
        <v>41</v>
      </c>
      <c r="AH82" s="48" t="s">
        <v>41</v>
      </c>
      <c r="AI82" s="48" t="s">
        <v>41</v>
      </c>
      <c r="AJ82" s="48" t="s">
        <v>41</v>
      </c>
      <c r="AK82" s="49" t="s">
        <v>41</v>
      </c>
      <c r="AL82" s="48" t="s">
        <v>41</v>
      </c>
      <c r="AM82" s="82" t="s">
        <v>4591</v>
      </c>
      <c r="AN82" s="82"/>
      <c r="AO82" s="59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1"/>
    </row>
    <row r="83" spans="1:53" x14ac:dyDescent="0.2">
      <c r="A83" s="33">
        <f t="shared" si="2"/>
        <v>78</v>
      </c>
      <c r="B83" s="34" t="s">
        <v>670</v>
      </c>
      <c r="C83" s="35" t="s">
        <v>671</v>
      </c>
      <c r="D83" s="73" t="s">
        <v>672</v>
      </c>
      <c r="E83" s="73"/>
      <c r="F83" s="36" t="s">
        <v>54</v>
      </c>
      <c r="G83" s="34" t="s">
        <v>673</v>
      </c>
      <c r="H83" s="37" t="s">
        <v>323</v>
      </c>
      <c r="I83" s="37" t="s">
        <v>39</v>
      </c>
      <c r="J83" s="38" t="s">
        <v>674</v>
      </c>
      <c r="K83" s="34" t="s">
        <v>41</v>
      </c>
      <c r="L83" s="39" t="s">
        <v>42</v>
      </c>
      <c r="M83" s="53">
        <v>44318</v>
      </c>
      <c r="N83" s="56"/>
      <c r="O83" s="56"/>
      <c r="P83" s="56"/>
      <c r="Q83" s="56"/>
      <c r="R83" s="56"/>
      <c r="S83" s="56" t="s">
        <v>44</v>
      </c>
      <c r="T83" s="56"/>
      <c r="U83" s="56"/>
      <c r="V83" s="56"/>
      <c r="W83" s="56"/>
      <c r="X83" s="56"/>
      <c r="Y83" s="57" t="s">
        <v>675</v>
      </c>
      <c r="Z83" s="58" t="s">
        <v>676</v>
      </c>
      <c r="AA83" s="44"/>
      <c r="AB83" s="45" t="s">
        <v>47</v>
      </c>
      <c r="AC83" s="46"/>
      <c r="AD83" s="73"/>
      <c r="AE83" s="47" t="s">
        <v>49</v>
      </c>
      <c r="AF83" s="48" t="s">
        <v>41</v>
      </c>
      <c r="AG83" s="48" t="s">
        <v>49</v>
      </c>
      <c r="AH83" s="48" t="s">
        <v>49</v>
      </c>
      <c r="AI83" s="48" t="s">
        <v>49</v>
      </c>
      <c r="AJ83" s="48" t="s">
        <v>49</v>
      </c>
      <c r="AK83" s="49" t="s">
        <v>41</v>
      </c>
      <c r="AL83" s="48" t="s">
        <v>41</v>
      </c>
      <c r="AM83" s="62" t="s">
        <v>276</v>
      </c>
      <c r="AN83" s="62"/>
      <c r="AO83" s="59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1"/>
    </row>
    <row r="84" spans="1:53" x14ac:dyDescent="0.2">
      <c r="A84" s="33">
        <f t="shared" si="2"/>
        <v>79</v>
      </c>
      <c r="B84" s="34" t="s">
        <v>677</v>
      </c>
      <c r="C84" s="35" t="s">
        <v>678</v>
      </c>
      <c r="D84" s="73" t="s">
        <v>679</v>
      </c>
      <c r="E84" s="335">
        <v>35997</v>
      </c>
      <c r="F84" s="36" t="s">
        <v>54</v>
      </c>
      <c r="G84" s="87" t="s">
        <v>680</v>
      </c>
      <c r="H84" s="37" t="s">
        <v>681</v>
      </c>
      <c r="I84" s="37" t="s">
        <v>378</v>
      </c>
      <c r="J84" s="38" t="s">
        <v>682</v>
      </c>
      <c r="K84" s="34" t="s">
        <v>41</v>
      </c>
      <c r="L84" s="39" t="s">
        <v>42</v>
      </c>
      <c r="M84" s="53">
        <v>45264</v>
      </c>
      <c r="N84" s="56"/>
      <c r="O84" s="56"/>
      <c r="P84" s="56"/>
      <c r="Q84" s="56"/>
      <c r="R84" s="56"/>
      <c r="S84" s="56"/>
      <c r="T84" s="56"/>
      <c r="U84" s="56" t="s">
        <v>44</v>
      </c>
      <c r="V84" s="56"/>
      <c r="W84" s="56"/>
      <c r="X84" s="56"/>
      <c r="Y84" s="54" t="s">
        <v>683</v>
      </c>
      <c r="Z84" s="58" t="s">
        <v>684</v>
      </c>
      <c r="AA84" s="44"/>
      <c r="AB84" s="45">
        <v>45642</v>
      </c>
      <c r="AC84" s="46"/>
      <c r="AD84" s="73"/>
      <c r="AE84" s="47" t="s">
        <v>49</v>
      </c>
      <c r="AF84" s="48" t="s">
        <v>41</v>
      </c>
      <c r="AG84" s="48" t="s">
        <v>41</v>
      </c>
      <c r="AH84" s="48" t="s">
        <v>41</v>
      </c>
      <c r="AI84" s="48" t="s">
        <v>49</v>
      </c>
      <c r="AJ84" s="48" t="s">
        <v>49</v>
      </c>
      <c r="AK84" s="49" t="s">
        <v>49</v>
      </c>
      <c r="AL84" s="48" t="s">
        <v>49</v>
      </c>
      <c r="AM84" s="62" t="s">
        <v>32</v>
      </c>
      <c r="AN84" s="62"/>
      <c r="AO84" s="59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1"/>
    </row>
    <row r="85" spans="1:53" x14ac:dyDescent="0.2">
      <c r="A85" s="33">
        <f t="shared" si="2"/>
        <v>80</v>
      </c>
      <c r="B85" s="34" t="s">
        <v>685</v>
      </c>
      <c r="C85" s="35" t="s">
        <v>686</v>
      </c>
      <c r="D85" s="36" t="s">
        <v>687</v>
      </c>
      <c r="E85" s="334">
        <v>36239</v>
      </c>
      <c r="F85" s="36" t="s">
        <v>54</v>
      </c>
      <c r="G85" s="108" t="s">
        <v>688</v>
      </c>
      <c r="H85" s="37" t="s">
        <v>252</v>
      </c>
      <c r="I85" s="37" t="s">
        <v>57</v>
      </c>
      <c r="J85" s="136" t="s">
        <v>689</v>
      </c>
      <c r="K85" s="34" t="s">
        <v>41</v>
      </c>
      <c r="L85" s="39" t="s">
        <v>42</v>
      </c>
      <c r="M85" s="53">
        <v>36895</v>
      </c>
      <c r="N85" s="56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42" t="s">
        <v>4686</v>
      </c>
      <c r="Z85" s="43" t="s">
        <v>691</v>
      </c>
      <c r="AA85" s="44" t="s">
        <v>692</v>
      </c>
      <c r="AB85" s="45">
        <v>44041</v>
      </c>
      <c r="AC85" s="46" t="s">
        <v>30</v>
      </c>
      <c r="AD85" s="36" t="s">
        <v>26</v>
      </c>
      <c r="AE85" s="47" t="s">
        <v>49</v>
      </c>
      <c r="AF85" s="48" t="s">
        <v>49</v>
      </c>
      <c r="AG85" s="48" t="s">
        <v>49</v>
      </c>
      <c r="AH85" s="48" t="s">
        <v>49</v>
      </c>
      <c r="AI85" s="48" t="s">
        <v>49</v>
      </c>
      <c r="AJ85" s="48" t="s">
        <v>49</v>
      </c>
      <c r="AK85" s="49" t="s">
        <v>49</v>
      </c>
      <c r="AL85" s="48" t="s">
        <v>49</v>
      </c>
      <c r="AM85" s="65" t="s">
        <v>32</v>
      </c>
      <c r="AN85" s="323"/>
      <c r="AO85" s="138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1"/>
    </row>
    <row r="86" spans="1:53" x14ac:dyDescent="0.2">
      <c r="A86" s="33">
        <f t="shared" si="2"/>
        <v>81</v>
      </c>
      <c r="B86" s="139" t="s">
        <v>693</v>
      </c>
      <c r="C86" s="35" t="s">
        <v>694</v>
      </c>
      <c r="D86" s="36" t="s">
        <v>695</v>
      </c>
      <c r="E86" s="334">
        <v>26975</v>
      </c>
      <c r="F86" s="36" t="s">
        <v>36</v>
      </c>
      <c r="G86" s="34" t="s">
        <v>696</v>
      </c>
      <c r="H86" s="37" t="s">
        <v>528</v>
      </c>
      <c r="I86" s="37" t="s">
        <v>57</v>
      </c>
      <c r="J86" s="140" t="s">
        <v>697</v>
      </c>
      <c r="K86" s="34" t="s">
        <v>41</v>
      </c>
      <c r="L86" s="39" t="s">
        <v>42</v>
      </c>
      <c r="M86" s="53">
        <v>40497</v>
      </c>
      <c r="N86" s="41"/>
      <c r="O86" s="41"/>
      <c r="P86" s="41"/>
      <c r="Q86" s="41"/>
      <c r="R86" s="112"/>
      <c r="S86" s="112"/>
      <c r="T86" s="112"/>
      <c r="U86" s="41"/>
      <c r="V86" s="41"/>
      <c r="W86" s="41"/>
      <c r="X86" s="41"/>
      <c r="Y86" s="42" t="s">
        <v>698</v>
      </c>
      <c r="Z86" s="58" t="s">
        <v>699</v>
      </c>
      <c r="AA86" s="44" t="s">
        <v>700</v>
      </c>
      <c r="AB86" s="45">
        <v>42325</v>
      </c>
      <c r="AC86" s="46" t="s">
        <v>30</v>
      </c>
      <c r="AD86" s="36" t="s">
        <v>26</v>
      </c>
      <c r="AE86" s="47" t="s">
        <v>49</v>
      </c>
      <c r="AF86" s="48" t="s">
        <v>49</v>
      </c>
      <c r="AG86" s="48" t="s">
        <v>49</v>
      </c>
      <c r="AH86" s="48" t="s">
        <v>49</v>
      </c>
      <c r="AI86" s="48" t="s">
        <v>49</v>
      </c>
      <c r="AJ86" s="48" t="s">
        <v>49</v>
      </c>
      <c r="AK86" s="49" t="s">
        <v>49</v>
      </c>
      <c r="AL86" s="48" t="s">
        <v>49</v>
      </c>
      <c r="AM86" s="62" t="s">
        <v>32</v>
      </c>
      <c r="AN86" s="62"/>
      <c r="AO86" s="103" t="s">
        <v>41</v>
      </c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1"/>
    </row>
    <row r="87" spans="1:53" x14ac:dyDescent="0.2">
      <c r="A87" s="33">
        <f t="shared" si="2"/>
        <v>82</v>
      </c>
      <c r="B87" s="108" t="s">
        <v>701</v>
      </c>
      <c r="C87" s="35" t="s">
        <v>702</v>
      </c>
      <c r="D87" s="36" t="s">
        <v>703</v>
      </c>
      <c r="E87" s="334">
        <v>34472</v>
      </c>
      <c r="F87" s="36" t="s">
        <v>54</v>
      </c>
      <c r="G87" s="34" t="s">
        <v>704</v>
      </c>
      <c r="H87" s="37" t="s">
        <v>73</v>
      </c>
      <c r="I87" s="37" t="s">
        <v>73</v>
      </c>
      <c r="J87" s="140" t="s">
        <v>705</v>
      </c>
      <c r="K87" s="34" t="s">
        <v>41</v>
      </c>
      <c r="L87" s="39" t="s">
        <v>42</v>
      </c>
      <c r="M87" s="53">
        <v>44323</v>
      </c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2" t="s">
        <v>706</v>
      </c>
      <c r="Z87" s="58" t="s">
        <v>707</v>
      </c>
      <c r="AA87" s="44" t="s">
        <v>708</v>
      </c>
      <c r="AB87" s="45">
        <v>44944</v>
      </c>
      <c r="AC87" s="46" t="s">
        <v>30</v>
      </c>
      <c r="AD87" s="36"/>
      <c r="AE87" s="47" t="s">
        <v>49</v>
      </c>
      <c r="AF87" s="48" t="s">
        <v>41</v>
      </c>
      <c r="AG87" s="48" t="s">
        <v>49</v>
      </c>
      <c r="AH87" s="48" t="s">
        <v>49</v>
      </c>
      <c r="AI87" s="48" t="s">
        <v>49</v>
      </c>
      <c r="AJ87" s="48" t="s">
        <v>49</v>
      </c>
      <c r="AK87" s="49" t="s">
        <v>41</v>
      </c>
      <c r="AL87" s="48" t="s">
        <v>41</v>
      </c>
      <c r="AM87" s="62" t="s">
        <v>276</v>
      </c>
      <c r="AN87" s="324"/>
      <c r="AO87" s="138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1"/>
    </row>
    <row r="88" spans="1:53" x14ac:dyDescent="0.2">
      <c r="A88" s="33">
        <f t="shared" si="2"/>
        <v>83</v>
      </c>
      <c r="B88" s="139" t="s">
        <v>709</v>
      </c>
      <c r="C88" s="35" t="s">
        <v>710</v>
      </c>
      <c r="D88" s="36" t="s">
        <v>711</v>
      </c>
      <c r="E88" s="36"/>
      <c r="F88" s="36" t="s">
        <v>54</v>
      </c>
      <c r="G88" s="34" t="s">
        <v>712</v>
      </c>
      <c r="H88" s="37" t="s">
        <v>360</v>
      </c>
      <c r="I88" s="37" t="s">
        <v>350</v>
      </c>
      <c r="J88" s="141" t="s">
        <v>713</v>
      </c>
      <c r="K88" s="34" t="s">
        <v>41</v>
      </c>
      <c r="L88" s="39" t="s">
        <v>42</v>
      </c>
      <c r="M88" s="142" t="s">
        <v>714</v>
      </c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42" t="s">
        <v>715</v>
      </c>
      <c r="Z88" s="58" t="s">
        <v>716</v>
      </c>
      <c r="AA88" s="44" t="s">
        <v>717</v>
      </c>
      <c r="AB88" s="45">
        <v>42935</v>
      </c>
      <c r="AC88" s="46" t="s">
        <v>30</v>
      </c>
      <c r="AD88" s="36" t="s">
        <v>26</v>
      </c>
      <c r="AE88" s="47" t="s">
        <v>49</v>
      </c>
      <c r="AF88" s="48" t="s">
        <v>49</v>
      </c>
      <c r="AG88" s="48" t="s">
        <v>49</v>
      </c>
      <c r="AH88" s="48" t="s">
        <v>49</v>
      </c>
      <c r="AI88" s="48" t="s">
        <v>49</v>
      </c>
      <c r="AJ88" s="48" t="s">
        <v>49</v>
      </c>
      <c r="AK88" s="49" t="s">
        <v>49</v>
      </c>
      <c r="AL88" s="48" t="s">
        <v>49</v>
      </c>
      <c r="AM88" s="62" t="s">
        <v>32</v>
      </c>
      <c r="AN88" s="324" t="s">
        <v>4681</v>
      </c>
      <c r="AO88" s="138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1"/>
    </row>
    <row r="89" spans="1:53" x14ac:dyDescent="0.2">
      <c r="A89" s="33">
        <f t="shared" si="2"/>
        <v>84</v>
      </c>
      <c r="B89" s="108" t="s">
        <v>718</v>
      </c>
      <c r="C89" s="35" t="s">
        <v>719</v>
      </c>
      <c r="D89" s="36" t="s">
        <v>720</v>
      </c>
      <c r="E89" s="334">
        <v>25218</v>
      </c>
      <c r="F89" s="36" t="s">
        <v>54</v>
      </c>
      <c r="G89" s="34" t="s">
        <v>721</v>
      </c>
      <c r="H89" s="37" t="s">
        <v>360</v>
      </c>
      <c r="I89" s="37" t="s">
        <v>350</v>
      </c>
      <c r="J89" s="143" t="s">
        <v>722</v>
      </c>
      <c r="K89" s="34" t="s">
        <v>41</v>
      </c>
      <c r="L89" s="39" t="s">
        <v>42</v>
      </c>
      <c r="M89" s="142" t="s">
        <v>91</v>
      </c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42" t="s">
        <v>723</v>
      </c>
      <c r="Z89" s="58" t="s">
        <v>724</v>
      </c>
      <c r="AA89" s="119" t="s">
        <v>725</v>
      </c>
      <c r="AB89" s="45">
        <v>43200</v>
      </c>
      <c r="AC89" s="46" t="s">
        <v>30</v>
      </c>
      <c r="AD89" s="36" t="s">
        <v>26</v>
      </c>
      <c r="AE89" s="47" t="s">
        <v>49</v>
      </c>
      <c r="AF89" s="48" t="s">
        <v>49</v>
      </c>
      <c r="AG89" s="48" t="s">
        <v>49</v>
      </c>
      <c r="AH89" s="48" t="s">
        <v>49</v>
      </c>
      <c r="AI89" s="48" t="s">
        <v>49</v>
      </c>
      <c r="AJ89" s="48" t="s">
        <v>49</v>
      </c>
      <c r="AK89" s="49" t="s">
        <v>49</v>
      </c>
      <c r="AL89" s="48" t="s">
        <v>49</v>
      </c>
      <c r="AM89" s="62" t="s">
        <v>32</v>
      </c>
      <c r="AN89" s="62"/>
      <c r="AO89" s="59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1"/>
    </row>
    <row r="90" spans="1:53" x14ac:dyDescent="0.2">
      <c r="A90" s="33">
        <f t="shared" si="2"/>
        <v>85</v>
      </c>
      <c r="B90" s="108" t="s">
        <v>726</v>
      </c>
      <c r="C90" s="35" t="s">
        <v>727</v>
      </c>
      <c r="D90" s="36" t="s">
        <v>728</v>
      </c>
      <c r="E90" s="334">
        <v>28784</v>
      </c>
      <c r="F90" s="36" t="s">
        <v>54</v>
      </c>
      <c r="G90" s="34" t="s">
        <v>729</v>
      </c>
      <c r="H90" s="37" t="s">
        <v>205</v>
      </c>
      <c r="I90" s="37" t="s">
        <v>205</v>
      </c>
      <c r="J90" s="140" t="s">
        <v>730</v>
      </c>
      <c r="K90" s="34" t="s">
        <v>41</v>
      </c>
      <c r="L90" s="39" t="s">
        <v>42</v>
      </c>
      <c r="M90" s="142" t="s">
        <v>731</v>
      </c>
      <c r="N90" s="56"/>
      <c r="O90" s="56" t="s">
        <v>179</v>
      </c>
      <c r="P90" s="56"/>
      <c r="Q90" s="56">
        <v>2</v>
      </c>
      <c r="R90" s="56"/>
      <c r="S90" s="56"/>
      <c r="T90" s="56" t="s">
        <v>44</v>
      </c>
      <c r="U90" s="56"/>
      <c r="V90" s="56"/>
      <c r="W90" s="56" t="s">
        <v>732</v>
      </c>
      <c r="X90" s="56"/>
      <c r="Y90" s="57" t="s">
        <v>733</v>
      </c>
      <c r="Z90" s="58" t="s">
        <v>734</v>
      </c>
      <c r="AA90" s="144" t="s">
        <v>735</v>
      </c>
      <c r="AB90" s="45">
        <v>44650</v>
      </c>
      <c r="AC90" s="46" t="s">
        <v>129</v>
      </c>
      <c r="AD90" s="36"/>
      <c r="AE90" s="47" t="s">
        <v>49</v>
      </c>
      <c r="AF90" s="48" t="s">
        <v>41</v>
      </c>
      <c r="AG90" s="48" t="s">
        <v>41</v>
      </c>
      <c r="AH90" s="48" t="s">
        <v>49</v>
      </c>
      <c r="AI90" s="48" t="s">
        <v>49</v>
      </c>
      <c r="AJ90" s="48" t="s">
        <v>49</v>
      </c>
      <c r="AK90" s="49" t="s">
        <v>49</v>
      </c>
      <c r="AL90" s="48" t="s">
        <v>49</v>
      </c>
      <c r="AM90" s="62" t="s">
        <v>32</v>
      </c>
      <c r="AN90" s="62"/>
      <c r="AO90" s="59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1"/>
    </row>
    <row r="91" spans="1:53" x14ac:dyDescent="0.2">
      <c r="A91" s="33">
        <f t="shared" si="2"/>
        <v>86</v>
      </c>
      <c r="B91" s="108" t="s">
        <v>736</v>
      </c>
      <c r="C91" s="35" t="s">
        <v>737</v>
      </c>
      <c r="D91" s="36" t="s">
        <v>738</v>
      </c>
      <c r="E91" s="334">
        <v>33219</v>
      </c>
      <c r="F91" s="36" t="s">
        <v>36</v>
      </c>
      <c r="G91" s="34" t="s">
        <v>739</v>
      </c>
      <c r="H91" s="37" t="s">
        <v>73</v>
      </c>
      <c r="I91" s="37" t="s">
        <v>73</v>
      </c>
      <c r="J91" s="140" t="s">
        <v>740</v>
      </c>
      <c r="K91" s="34" t="s">
        <v>41</v>
      </c>
      <c r="L91" s="39" t="s">
        <v>42</v>
      </c>
      <c r="M91" s="142">
        <v>45310</v>
      </c>
      <c r="N91" s="56"/>
      <c r="O91" s="56"/>
      <c r="P91" s="56"/>
      <c r="Q91" s="56"/>
      <c r="R91" s="56"/>
      <c r="S91" s="56"/>
      <c r="T91" s="56"/>
      <c r="U91" s="56"/>
      <c r="V91" s="56" t="s">
        <v>44</v>
      </c>
      <c r="W91" s="56"/>
      <c r="X91" s="56"/>
      <c r="Y91" s="145" t="s">
        <v>741</v>
      </c>
      <c r="Z91" s="58" t="s">
        <v>742</v>
      </c>
      <c r="AA91" s="121"/>
      <c r="AB91" s="45"/>
      <c r="AC91" s="46"/>
      <c r="AD91" s="36"/>
      <c r="AE91" s="47" t="s">
        <v>49</v>
      </c>
      <c r="AF91" s="48" t="s">
        <v>41</v>
      </c>
      <c r="AG91" s="48" t="s">
        <v>41</v>
      </c>
      <c r="AH91" s="48" t="s">
        <v>41</v>
      </c>
      <c r="AI91" s="48" t="s">
        <v>41</v>
      </c>
      <c r="AJ91" s="48" t="s">
        <v>49</v>
      </c>
      <c r="AK91" s="49" t="s">
        <v>41</v>
      </c>
      <c r="AL91" s="48" t="s">
        <v>41</v>
      </c>
      <c r="AM91" s="62" t="s">
        <v>276</v>
      </c>
      <c r="AN91" s="62"/>
      <c r="AO91" s="59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1"/>
    </row>
    <row r="92" spans="1:53" x14ac:dyDescent="0.2">
      <c r="A92" s="33">
        <f t="shared" si="2"/>
        <v>87</v>
      </c>
      <c r="B92" s="108" t="s">
        <v>743</v>
      </c>
      <c r="C92" s="35" t="s">
        <v>744</v>
      </c>
      <c r="D92" s="36" t="s">
        <v>745</v>
      </c>
      <c r="E92" s="334">
        <v>27019</v>
      </c>
      <c r="F92" s="36" t="s">
        <v>54</v>
      </c>
      <c r="G92" s="34" t="s">
        <v>746</v>
      </c>
      <c r="H92" s="37" t="s">
        <v>747</v>
      </c>
      <c r="I92" s="37" t="s">
        <v>378</v>
      </c>
      <c r="J92" s="140" t="s">
        <v>748</v>
      </c>
      <c r="K92" s="34" t="s">
        <v>41</v>
      </c>
      <c r="L92" s="39" t="s">
        <v>42</v>
      </c>
      <c r="M92" s="142" t="s">
        <v>749</v>
      </c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42" t="s">
        <v>4687</v>
      </c>
      <c r="Z92" s="58" t="s">
        <v>751</v>
      </c>
      <c r="AA92" s="44" t="s">
        <v>752</v>
      </c>
      <c r="AB92" s="45">
        <v>44041</v>
      </c>
      <c r="AC92" s="46" t="s">
        <v>30</v>
      </c>
      <c r="AD92" s="36" t="s">
        <v>26</v>
      </c>
      <c r="AE92" s="47" t="s">
        <v>49</v>
      </c>
      <c r="AF92" s="48" t="s">
        <v>49</v>
      </c>
      <c r="AG92" s="48" t="s">
        <v>49</v>
      </c>
      <c r="AH92" s="48" t="s">
        <v>49</v>
      </c>
      <c r="AI92" s="48" t="s">
        <v>49</v>
      </c>
      <c r="AJ92" s="48" t="s">
        <v>49</v>
      </c>
      <c r="AK92" s="49" t="s">
        <v>49</v>
      </c>
      <c r="AL92" s="48" t="s">
        <v>49</v>
      </c>
      <c r="AM92" s="65" t="s">
        <v>32</v>
      </c>
      <c r="AN92" s="65"/>
      <c r="AO92" s="59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1"/>
    </row>
    <row r="93" spans="1:53" x14ac:dyDescent="0.2">
      <c r="A93" s="33">
        <f t="shared" si="2"/>
        <v>88</v>
      </c>
      <c r="B93" s="108" t="s">
        <v>753</v>
      </c>
      <c r="C93" s="35" t="s">
        <v>754</v>
      </c>
      <c r="D93" s="36" t="s">
        <v>755</v>
      </c>
      <c r="E93" s="334">
        <v>22975</v>
      </c>
      <c r="F93" s="36" t="s">
        <v>54</v>
      </c>
      <c r="G93" s="34" t="s">
        <v>756</v>
      </c>
      <c r="H93" s="37" t="s">
        <v>398</v>
      </c>
      <c r="I93" s="37" t="s">
        <v>205</v>
      </c>
      <c r="J93" s="140" t="s">
        <v>757</v>
      </c>
      <c r="K93" s="34" t="s">
        <v>41</v>
      </c>
      <c r="L93" s="39" t="s">
        <v>42</v>
      </c>
      <c r="M93" s="142" t="s">
        <v>758</v>
      </c>
      <c r="N93" s="56"/>
      <c r="O93" s="56"/>
      <c r="P93" s="56"/>
      <c r="Q93" s="56"/>
      <c r="R93" s="56"/>
      <c r="S93" s="56"/>
      <c r="T93" s="56"/>
      <c r="U93" s="56" t="s">
        <v>44</v>
      </c>
      <c r="V93" s="56"/>
      <c r="W93" s="56"/>
      <c r="X93" s="56"/>
      <c r="Y93" s="42" t="s">
        <v>759</v>
      </c>
      <c r="Z93" s="58" t="s">
        <v>760</v>
      </c>
      <c r="AA93" s="44"/>
      <c r="AB93" s="45">
        <v>45642</v>
      </c>
      <c r="AC93" s="46"/>
      <c r="AD93" s="36"/>
      <c r="AE93" s="47" t="s">
        <v>49</v>
      </c>
      <c r="AF93" s="48" t="s">
        <v>41</v>
      </c>
      <c r="AG93" s="48" t="s">
        <v>41</v>
      </c>
      <c r="AH93" s="48" t="s">
        <v>41</v>
      </c>
      <c r="AI93" s="48" t="s">
        <v>49</v>
      </c>
      <c r="AJ93" s="48" t="s">
        <v>49</v>
      </c>
      <c r="AK93" s="49" t="s">
        <v>41</v>
      </c>
      <c r="AL93" s="48" t="s">
        <v>41</v>
      </c>
      <c r="AM93" s="65" t="s">
        <v>276</v>
      </c>
      <c r="AN93" s="65"/>
      <c r="AO93" s="59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1"/>
    </row>
    <row r="94" spans="1:53" x14ac:dyDescent="0.2">
      <c r="A94" s="33">
        <f t="shared" si="2"/>
        <v>89</v>
      </c>
      <c r="B94" s="34" t="s">
        <v>761</v>
      </c>
      <c r="C94" s="35" t="s">
        <v>762</v>
      </c>
      <c r="D94" s="36" t="s">
        <v>763</v>
      </c>
      <c r="E94" s="334">
        <v>34905</v>
      </c>
      <c r="F94" s="36" t="s">
        <v>54</v>
      </c>
      <c r="G94" s="34" t="s">
        <v>764</v>
      </c>
      <c r="H94" s="37" t="s">
        <v>176</v>
      </c>
      <c r="I94" s="37" t="s">
        <v>39</v>
      </c>
      <c r="J94" s="38" t="s">
        <v>765</v>
      </c>
      <c r="K94" s="34" t="s">
        <v>41</v>
      </c>
      <c r="L94" s="39" t="s">
        <v>42</v>
      </c>
      <c r="M94" s="40" t="s">
        <v>766</v>
      </c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42" t="s">
        <v>767</v>
      </c>
      <c r="Z94" s="58" t="s">
        <v>768</v>
      </c>
      <c r="AA94" s="44" t="s">
        <v>769</v>
      </c>
      <c r="AB94" s="45">
        <v>44944</v>
      </c>
      <c r="AC94" s="46" t="s">
        <v>30</v>
      </c>
      <c r="AD94" s="36" t="s">
        <v>26</v>
      </c>
      <c r="AE94" s="47" t="s">
        <v>49</v>
      </c>
      <c r="AF94" s="48" t="s">
        <v>49</v>
      </c>
      <c r="AG94" s="48" t="s">
        <v>49</v>
      </c>
      <c r="AH94" s="48" t="s">
        <v>49</v>
      </c>
      <c r="AI94" s="48" t="s">
        <v>49</v>
      </c>
      <c r="AJ94" s="48" t="s">
        <v>49</v>
      </c>
      <c r="AK94" s="49" t="s">
        <v>49</v>
      </c>
      <c r="AL94" s="48" t="s">
        <v>49</v>
      </c>
      <c r="AM94" s="62" t="s">
        <v>32</v>
      </c>
      <c r="AN94" s="62"/>
      <c r="AO94" s="59"/>
      <c r="AP94" s="32"/>
      <c r="AQ94" s="32"/>
      <c r="AR94" s="32"/>
      <c r="AS94" s="32">
        <f>2026-2062</f>
        <v>-36</v>
      </c>
      <c r="AT94" s="32"/>
      <c r="AU94" s="32"/>
      <c r="AV94" s="32"/>
      <c r="AW94" s="32"/>
      <c r="AX94" s="32"/>
      <c r="AY94" s="32"/>
      <c r="AZ94" s="32"/>
      <c r="BA94" s="31"/>
    </row>
    <row r="95" spans="1:53" x14ac:dyDescent="0.2">
      <c r="A95" s="33">
        <f t="shared" si="2"/>
        <v>90</v>
      </c>
      <c r="B95" s="34" t="s">
        <v>770</v>
      </c>
      <c r="C95" s="35" t="s">
        <v>771</v>
      </c>
      <c r="D95" s="36" t="s">
        <v>772</v>
      </c>
      <c r="E95" s="334">
        <v>30291</v>
      </c>
      <c r="F95" s="36" t="s">
        <v>54</v>
      </c>
      <c r="G95" s="34" t="s">
        <v>773</v>
      </c>
      <c r="H95" s="37" t="s">
        <v>252</v>
      </c>
      <c r="I95" s="37" t="s">
        <v>57</v>
      </c>
      <c r="J95" s="38" t="s">
        <v>774</v>
      </c>
      <c r="K95" s="34" t="s">
        <v>41</v>
      </c>
      <c r="L95" s="39" t="s">
        <v>42</v>
      </c>
      <c r="M95" s="53">
        <v>44938</v>
      </c>
      <c r="N95" s="56"/>
      <c r="O95" s="56"/>
      <c r="P95" s="56"/>
      <c r="Q95" s="56"/>
      <c r="R95" s="56"/>
      <c r="S95" s="56"/>
      <c r="T95" s="56"/>
      <c r="U95" s="56" t="s">
        <v>44</v>
      </c>
      <c r="V95" s="56"/>
      <c r="W95" s="56"/>
      <c r="X95" s="56"/>
      <c r="Y95" s="38" t="s">
        <v>775</v>
      </c>
      <c r="Z95" s="58" t="s">
        <v>776</v>
      </c>
      <c r="AA95" s="44" t="s">
        <v>777</v>
      </c>
      <c r="AB95" s="45">
        <v>42325</v>
      </c>
      <c r="AC95" s="46" t="s">
        <v>30</v>
      </c>
      <c r="AD95" s="36"/>
      <c r="AE95" s="47" t="s">
        <v>49</v>
      </c>
      <c r="AF95" s="48" t="s">
        <v>41</v>
      </c>
      <c r="AG95" s="48" t="s">
        <v>41</v>
      </c>
      <c r="AH95" s="48" t="s">
        <v>41</v>
      </c>
      <c r="AI95" s="48" t="s">
        <v>49</v>
      </c>
      <c r="AJ95" s="48" t="s">
        <v>49</v>
      </c>
      <c r="AK95" s="49" t="s">
        <v>49</v>
      </c>
      <c r="AL95" s="48" t="s">
        <v>49</v>
      </c>
      <c r="AM95" s="62" t="s">
        <v>32</v>
      </c>
      <c r="AN95" s="62"/>
      <c r="AO95" s="59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1"/>
    </row>
    <row r="96" spans="1:53" x14ac:dyDescent="0.2">
      <c r="A96" s="33">
        <f t="shared" si="2"/>
        <v>91</v>
      </c>
      <c r="B96" s="34" t="s">
        <v>778</v>
      </c>
      <c r="C96" s="35" t="s">
        <v>779</v>
      </c>
      <c r="D96" s="36" t="s">
        <v>780</v>
      </c>
      <c r="E96" s="334">
        <v>31552</v>
      </c>
      <c r="F96" s="36" t="s">
        <v>54</v>
      </c>
      <c r="G96" s="34" t="s">
        <v>781</v>
      </c>
      <c r="H96" s="37" t="s">
        <v>176</v>
      </c>
      <c r="I96" s="37" t="s">
        <v>39</v>
      </c>
      <c r="J96" s="38" t="s">
        <v>782</v>
      </c>
      <c r="K96" s="34" t="s">
        <v>41</v>
      </c>
      <c r="L96" s="39" t="s">
        <v>42</v>
      </c>
      <c r="M96" s="40" t="s">
        <v>783</v>
      </c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42" t="s">
        <v>784</v>
      </c>
      <c r="Z96" s="58" t="s">
        <v>785</v>
      </c>
      <c r="AA96" s="44" t="s">
        <v>786</v>
      </c>
      <c r="AB96" s="45">
        <v>44944</v>
      </c>
      <c r="AC96" s="46" t="s">
        <v>30</v>
      </c>
      <c r="AD96" s="36" t="s">
        <v>26</v>
      </c>
      <c r="AE96" s="47" t="s">
        <v>49</v>
      </c>
      <c r="AF96" s="48" t="s">
        <v>49</v>
      </c>
      <c r="AG96" s="48" t="s">
        <v>41</v>
      </c>
      <c r="AH96" s="48" t="s">
        <v>41</v>
      </c>
      <c r="AI96" s="48" t="s">
        <v>41</v>
      </c>
      <c r="AJ96" s="48" t="s">
        <v>41</v>
      </c>
      <c r="AK96" s="49" t="s">
        <v>41</v>
      </c>
      <c r="AL96" s="48" t="s">
        <v>41</v>
      </c>
      <c r="AM96" s="62" t="s">
        <v>4587</v>
      </c>
      <c r="AN96" s="62"/>
      <c r="AO96" s="59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1"/>
    </row>
    <row r="97" spans="1:53" x14ac:dyDescent="0.2">
      <c r="A97" s="33">
        <f t="shared" si="2"/>
        <v>92</v>
      </c>
      <c r="B97" s="34" t="s">
        <v>787</v>
      </c>
      <c r="C97" s="35" t="s">
        <v>788</v>
      </c>
      <c r="D97" s="36" t="s">
        <v>789</v>
      </c>
      <c r="E97" s="36"/>
      <c r="F97" s="36" t="s">
        <v>54</v>
      </c>
      <c r="G97" s="34" t="s">
        <v>790</v>
      </c>
      <c r="H97" s="37" t="s">
        <v>38</v>
      </c>
      <c r="I97" s="37" t="s">
        <v>39</v>
      </c>
      <c r="J97" s="34" t="s">
        <v>791</v>
      </c>
      <c r="K97" s="34" t="s">
        <v>41</v>
      </c>
      <c r="L97" s="39" t="s">
        <v>42</v>
      </c>
      <c r="M97" s="40" t="s">
        <v>792</v>
      </c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42" t="s">
        <v>793</v>
      </c>
      <c r="Z97" s="52" t="s">
        <v>794</v>
      </c>
      <c r="AA97" s="44" t="s">
        <v>795</v>
      </c>
      <c r="AB97" s="45">
        <v>44041</v>
      </c>
      <c r="AC97" s="46" t="s">
        <v>30</v>
      </c>
      <c r="AD97" s="36" t="s">
        <v>26</v>
      </c>
      <c r="AE97" s="47" t="s">
        <v>49</v>
      </c>
      <c r="AF97" s="48" t="s">
        <v>49</v>
      </c>
      <c r="AG97" s="48" t="s">
        <v>49</v>
      </c>
      <c r="AH97" s="48" t="s">
        <v>49</v>
      </c>
      <c r="AI97" s="48" t="s">
        <v>49</v>
      </c>
      <c r="AJ97" s="48" t="s">
        <v>49</v>
      </c>
      <c r="AK97" s="49" t="s">
        <v>49</v>
      </c>
      <c r="AL97" s="48" t="s">
        <v>49</v>
      </c>
      <c r="AM97" s="65" t="s">
        <v>32</v>
      </c>
      <c r="AN97" s="65"/>
      <c r="AO97" s="59"/>
      <c r="AP97" s="10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1"/>
    </row>
    <row r="98" spans="1:53" x14ac:dyDescent="0.2">
      <c r="A98" s="33">
        <f t="shared" si="2"/>
        <v>93</v>
      </c>
      <c r="B98" s="34" t="s">
        <v>796</v>
      </c>
      <c r="C98" s="35" t="s">
        <v>797</v>
      </c>
      <c r="D98" s="36" t="s">
        <v>4606</v>
      </c>
      <c r="E98" s="334">
        <v>37394</v>
      </c>
      <c r="F98" s="36" t="s">
        <v>36</v>
      </c>
      <c r="G98" s="34" t="s">
        <v>798</v>
      </c>
      <c r="H98" s="37" t="s">
        <v>39</v>
      </c>
      <c r="I98" s="37" t="s">
        <v>39</v>
      </c>
      <c r="J98" s="38" t="s">
        <v>799</v>
      </c>
      <c r="K98" s="34" t="s">
        <v>41</v>
      </c>
      <c r="L98" s="39" t="s">
        <v>42</v>
      </c>
      <c r="M98" s="40" t="s">
        <v>800</v>
      </c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 t="s">
        <v>732</v>
      </c>
      <c r="Y98" s="42" t="s">
        <v>801</v>
      </c>
      <c r="Z98" s="55" t="s">
        <v>802</v>
      </c>
      <c r="AA98" s="44" t="s">
        <v>61</v>
      </c>
      <c r="AB98" s="45">
        <v>43200</v>
      </c>
      <c r="AC98" s="46" t="s">
        <v>30</v>
      </c>
      <c r="AD98" s="36" t="s">
        <v>26</v>
      </c>
      <c r="AE98" s="47" t="s">
        <v>49</v>
      </c>
      <c r="AF98" s="48" t="s">
        <v>49</v>
      </c>
      <c r="AG98" s="48" t="s">
        <v>49</v>
      </c>
      <c r="AH98" s="48" t="s">
        <v>49</v>
      </c>
      <c r="AI98" s="48" t="s">
        <v>49</v>
      </c>
      <c r="AJ98" s="48" t="s">
        <v>49</v>
      </c>
      <c r="AK98" s="49" t="s">
        <v>49</v>
      </c>
      <c r="AL98" s="48" t="s">
        <v>49</v>
      </c>
      <c r="AM98" s="62" t="s">
        <v>32</v>
      </c>
      <c r="AN98" s="62"/>
      <c r="AO98" s="59"/>
      <c r="AP98" s="10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1"/>
    </row>
    <row r="99" spans="1:53" x14ac:dyDescent="0.2">
      <c r="A99" s="33">
        <f t="shared" si="2"/>
        <v>94</v>
      </c>
      <c r="B99" s="34" t="s">
        <v>803</v>
      </c>
      <c r="C99" s="35" t="s">
        <v>804</v>
      </c>
      <c r="D99" s="36" t="s">
        <v>805</v>
      </c>
      <c r="E99" s="334">
        <v>29047</v>
      </c>
      <c r="F99" s="36" t="s">
        <v>54</v>
      </c>
      <c r="G99" s="34" t="s">
        <v>806</v>
      </c>
      <c r="H99" s="37" t="s">
        <v>73</v>
      </c>
      <c r="I99" s="37" t="s">
        <v>73</v>
      </c>
      <c r="J99" s="34" t="s">
        <v>807</v>
      </c>
      <c r="K99" s="34" t="s">
        <v>41</v>
      </c>
      <c r="L99" s="39" t="s">
        <v>42</v>
      </c>
      <c r="M99" s="40" t="s">
        <v>808</v>
      </c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2" t="s">
        <v>809</v>
      </c>
      <c r="Z99" s="52" t="s">
        <v>810</v>
      </c>
      <c r="AA99" s="44" t="s">
        <v>61</v>
      </c>
      <c r="AB99" s="45">
        <v>40815</v>
      </c>
      <c r="AC99" s="46" t="s">
        <v>30</v>
      </c>
      <c r="AD99" s="36" t="s">
        <v>26</v>
      </c>
      <c r="AE99" s="47" t="s">
        <v>49</v>
      </c>
      <c r="AF99" s="48" t="s">
        <v>49</v>
      </c>
      <c r="AG99" s="48" t="s">
        <v>49</v>
      </c>
      <c r="AH99" s="48" t="s">
        <v>49</v>
      </c>
      <c r="AI99" s="48" t="s">
        <v>49</v>
      </c>
      <c r="AJ99" s="48" t="s">
        <v>49</v>
      </c>
      <c r="AK99" s="49" t="s">
        <v>49</v>
      </c>
      <c r="AL99" s="48" t="s">
        <v>49</v>
      </c>
      <c r="AM99" s="62" t="s">
        <v>32</v>
      </c>
      <c r="AN99" s="62"/>
      <c r="AO99" s="59"/>
      <c r="AP99" s="10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1"/>
    </row>
    <row r="100" spans="1:53" x14ac:dyDescent="0.2">
      <c r="A100" s="33">
        <f t="shared" si="2"/>
        <v>95</v>
      </c>
      <c r="B100" s="34" t="s">
        <v>811</v>
      </c>
      <c r="C100" s="35" t="s">
        <v>812</v>
      </c>
      <c r="D100" s="73" t="s">
        <v>813</v>
      </c>
      <c r="E100" s="335">
        <v>32210</v>
      </c>
      <c r="F100" s="36" t="s">
        <v>54</v>
      </c>
      <c r="G100" s="98" t="s">
        <v>814</v>
      </c>
      <c r="H100" s="37" t="s">
        <v>360</v>
      </c>
      <c r="I100" s="37" t="s">
        <v>350</v>
      </c>
      <c r="J100" s="34" t="s">
        <v>815</v>
      </c>
      <c r="K100" s="34" t="s">
        <v>41</v>
      </c>
      <c r="L100" s="39" t="s">
        <v>42</v>
      </c>
      <c r="M100" s="53" t="s">
        <v>816</v>
      </c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42" t="s">
        <v>817</v>
      </c>
      <c r="Z100" s="69" t="s">
        <v>818</v>
      </c>
      <c r="AA100" s="44" t="s">
        <v>819</v>
      </c>
      <c r="AB100" s="45">
        <v>43200</v>
      </c>
      <c r="AC100" s="46" t="s">
        <v>30</v>
      </c>
      <c r="AD100" s="73" t="s">
        <v>26</v>
      </c>
      <c r="AE100" s="47" t="s">
        <v>49</v>
      </c>
      <c r="AF100" s="48" t="s">
        <v>49</v>
      </c>
      <c r="AG100" s="48" t="s">
        <v>49</v>
      </c>
      <c r="AH100" s="48" t="s">
        <v>49</v>
      </c>
      <c r="AI100" s="48" t="s">
        <v>49</v>
      </c>
      <c r="AJ100" s="49" t="s">
        <v>41</v>
      </c>
      <c r="AK100" s="49" t="s">
        <v>41</v>
      </c>
      <c r="AL100" s="48" t="s">
        <v>41</v>
      </c>
      <c r="AM100" s="62" t="s">
        <v>4589</v>
      </c>
      <c r="AN100" s="62"/>
      <c r="AO100" s="59"/>
      <c r="AP100" s="10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1"/>
    </row>
    <row r="101" spans="1:53" x14ac:dyDescent="0.2">
      <c r="A101" s="33">
        <f t="shared" si="2"/>
        <v>96</v>
      </c>
      <c r="B101" s="34" t="s">
        <v>820</v>
      </c>
      <c r="C101" s="35" t="s">
        <v>821</v>
      </c>
      <c r="D101" s="36" t="s">
        <v>822</v>
      </c>
      <c r="E101" s="334">
        <v>33729</v>
      </c>
      <c r="F101" s="36" t="s">
        <v>54</v>
      </c>
      <c r="G101" s="34" t="s">
        <v>823</v>
      </c>
      <c r="H101" s="37" t="s">
        <v>528</v>
      </c>
      <c r="I101" s="37" t="s">
        <v>57</v>
      </c>
      <c r="J101" s="38" t="s">
        <v>824</v>
      </c>
      <c r="K101" s="34" t="s">
        <v>41</v>
      </c>
      <c r="L101" s="39" t="s">
        <v>42</v>
      </c>
      <c r="M101" s="40" t="s">
        <v>825</v>
      </c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2" t="s">
        <v>826</v>
      </c>
      <c r="Z101" s="52" t="s">
        <v>827</v>
      </c>
      <c r="AA101" s="44" t="s">
        <v>828</v>
      </c>
      <c r="AB101" s="45">
        <v>44041</v>
      </c>
      <c r="AC101" s="46" t="s">
        <v>30</v>
      </c>
      <c r="AD101" s="36" t="s">
        <v>26</v>
      </c>
      <c r="AE101" s="47" t="s">
        <v>49</v>
      </c>
      <c r="AF101" s="48" t="s">
        <v>49</v>
      </c>
      <c r="AG101" s="48" t="s">
        <v>49</v>
      </c>
      <c r="AH101" s="48" t="s">
        <v>49</v>
      </c>
      <c r="AI101" s="48" t="s">
        <v>49</v>
      </c>
      <c r="AJ101" s="48" t="s">
        <v>49</v>
      </c>
      <c r="AK101" s="49" t="s">
        <v>49</v>
      </c>
      <c r="AL101" s="48" t="s">
        <v>49</v>
      </c>
      <c r="AM101" s="62" t="s">
        <v>32</v>
      </c>
      <c r="AN101" s="62"/>
      <c r="AO101" s="59"/>
      <c r="AP101" s="10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1"/>
    </row>
    <row r="102" spans="1:53" x14ac:dyDescent="0.2">
      <c r="A102" s="33">
        <f t="shared" si="2"/>
        <v>97</v>
      </c>
      <c r="B102" s="34" t="s">
        <v>829</v>
      </c>
      <c r="C102" s="35" t="s">
        <v>4618</v>
      </c>
      <c r="D102" s="36" t="s">
        <v>830</v>
      </c>
      <c r="E102" s="334">
        <v>25396</v>
      </c>
      <c r="F102" s="36" t="s">
        <v>54</v>
      </c>
      <c r="G102" s="34" t="s">
        <v>831</v>
      </c>
      <c r="H102" s="37" t="s">
        <v>747</v>
      </c>
      <c r="I102" s="37" t="s">
        <v>378</v>
      </c>
      <c r="J102" s="38" t="s">
        <v>832</v>
      </c>
      <c r="K102" s="34" t="s">
        <v>41</v>
      </c>
      <c r="L102" s="39" t="s">
        <v>42</v>
      </c>
      <c r="M102" s="40" t="s">
        <v>833</v>
      </c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42" t="s">
        <v>834</v>
      </c>
      <c r="Z102" s="58" t="s">
        <v>835</v>
      </c>
      <c r="AA102" s="44" t="s">
        <v>836</v>
      </c>
      <c r="AB102" s="45">
        <v>41793</v>
      </c>
      <c r="AC102" s="46" t="s">
        <v>30</v>
      </c>
      <c r="AD102" s="36" t="s">
        <v>26</v>
      </c>
      <c r="AE102" s="47" t="s">
        <v>49</v>
      </c>
      <c r="AF102" s="48" t="s">
        <v>49</v>
      </c>
      <c r="AG102" s="48" t="s">
        <v>49</v>
      </c>
      <c r="AH102" s="48" t="s">
        <v>49</v>
      </c>
      <c r="AI102" s="48" t="s">
        <v>49</v>
      </c>
      <c r="AJ102" s="48" t="s">
        <v>49</v>
      </c>
      <c r="AK102" s="49" t="s">
        <v>49</v>
      </c>
      <c r="AL102" s="48" t="s">
        <v>49</v>
      </c>
      <c r="AM102" s="62" t="s">
        <v>32</v>
      </c>
      <c r="AN102" s="62"/>
      <c r="AO102" s="59"/>
      <c r="AP102" s="10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1"/>
    </row>
    <row r="103" spans="1:53" x14ac:dyDescent="0.2">
      <c r="A103" s="33">
        <f t="shared" si="2"/>
        <v>98</v>
      </c>
      <c r="B103" s="34" t="s">
        <v>837</v>
      </c>
      <c r="C103" s="35" t="s">
        <v>838</v>
      </c>
      <c r="D103" s="36" t="s">
        <v>839</v>
      </c>
      <c r="E103" s="36"/>
      <c r="F103" s="36" t="s">
        <v>54</v>
      </c>
      <c r="G103" s="34" t="s">
        <v>840</v>
      </c>
      <c r="H103" s="37" t="s">
        <v>38</v>
      </c>
      <c r="I103" s="37" t="s">
        <v>39</v>
      </c>
      <c r="J103" s="34" t="s">
        <v>841</v>
      </c>
      <c r="K103" s="38" t="s">
        <v>842</v>
      </c>
      <c r="L103" s="39" t="s">
        <v>42</v>
      </c>
      <c r="M103" s="40" t="s">
        <v>843</v>
      </c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2" t="s">
        <v>844</v>
      </c>
      <c r="Z103" s="100" t="s">
        <v>845</v>
      </c>
      <c r="AA103" s="44" t="s">
        <v>61</v>
      </c>
      <c r="AB103" s="45">
        <v>40280</v>
      </c>
      <c r="AC103" s="46" t="s">
        <v>30</v>
      </c>
      <c r="AD103" s="36" t="s">
        <v>26</v>
      </c>
      <c r="AE103" s="47" t="s">
        <v>49</v>
      </c>
      <c r="AF103" s="48" t="s">
        <v>49</v>
      </c>
      <c r="AG103" s="48" t="s">
        <v>49</v>
      </c>
      <c r="AH103" s="48" t="s">
        <v>49</v>
      </c>
      <c r="AI103" s="48" t="s">
        <v>49</v>
      </c>
      <c r="AJ103" s="48" t="s">
        <v>49</v>
      </c>
      <c r="AK103" s="49" t="s">
        <v>49</v>
      </c>
      <c r="AL103" s="48" t="s">
        <v>49</v>
      </c>
      <c r="AM103" s="62" t="s">
        <v>32</v>
      </c>
      <c r="AN103" s="62" t="s">
        <v>4681</v>
      </c>
      <c r="AO103" s="59"/>
      <c r="AP103" s="10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1"/>
    </row>
    <row r="104" spans="1:53" x14ac:dyDescent="0.2">
      <c r="A104" s="33">
        <f t="shared" si="2"/>
        <v>99</v>
      </c>
      <c r="B104" s="34" t="s">
        <v>846</v>
      </c>
      <c r="C104" s="35" t="s">
        <v>847</v>
      </c>
      <c r="D104" s="36" t="s">
        <v>848</v>
      </c>
      <c r="E104" s="334">
        <v>29663</v>
      </c>
      <c r="F104" s="36" t="s">
        <v>54</v>
      </c>
      <c r="G104" s="34" t="s">
        <v>849</v>
      </c>
      <c r="H104" s="37" t="s">
        <v>73</v>
      </c>
      <c r="I104" s="37" t="s">
        <v>73</v>
      </c>
      <c r="J104" s="38" t="s">
        <v>850</v>
      </c>
      <c r="K104" s="38" t="s">
        <v>41</v>
      </c>
      <c r="L104" s="39" t="s">
        <v>42</v>
      </c>
      <c r="M104" s="40" t="s">
        <v>851</v>
      </c>
      <c r="N104" s="41"/>
      <c r="O104" s="41"/>
      <c r="P104" s="41"/>
      <c r="Q104" s="41"/>
      <c r="R104" s="41"/>
      <c r="S104" s="41"/>
      <c r="T104" s="41"/>
      <c r="U104" s="41" t="s">
        <v>44</v>
      </c>
      <c r="V104" s="41"/>
      <c r="W104" s="41"/>
      <c r="X104" s="41"/>
      <c r="Y104" s="42" t="s">
        <v>852</v>
      </c>
      <c r="Z104" s="146" t="s">
        <v>853</v>
      </c>
      <c r="AA104" s="44"/>
      <c r="AB104" s="45">
        <v>45642</v>
      </c>
      <c r="AC104" s="46"/>
      <c r="AD104" s="36"/>
      <c r="AE104" s="47" t="s">
        <v>49</v>
      </c>
      <c r="AF104" s="48" t="s">
        <v>41</v>
      </c>
      <c r="AG104" s="48" t="s">
        <v>41</v>
      </c>
      <c r="AH104" s="48" t="s">
        <v>41</v>
      </c>
      <c r="AI104" s="48" t="s">
        <v>49</v>
      </c>
      <c r="AJ104" s="48" t="s">
        <v>49</v>
      </c>
      <c r="AK104" s="49" t="s">
        <v>49</v>
      </c>
      <c r="AL104" s="48" t="s">
        <v>49</v>
      </c>
      <c r="AM104" s="62" t="s">
        <v>32</v>
      </c>
      <c r="AN104" s="62"/>
      <c r="AO104" s="59"/>
      <c r="AP104" s="102" t="s">
        <v>2569</v>
      </c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1"/>
    </row>
    <row r="105" spans="1:53" x14ac:dyDescent="0.2">
      <c r="A105" s="33">
        <f t="shared" si="2"/>
        <v>100</v>
      </c>
      <c r="B105" s="34" t="s">
        <v>854</v>
      </c>
      <c r="C105" s="35" t="s">
        <v>855</v>
      </c>
      <c r="D105" s="104" t="s">
        <v>856</v>
      </c>
      <c r="E105" s="334">
        <v>34341</v>
      </c>
      <c r="F105" s="36" t="s">
        <v>36</v>
      </c>
      <c r="G105" s="34" t="s">
        <v>857</v>
      </c>
      <c r="H105" s="37" t="s">
        <v>858</v>
      </c>
      <c r="I105" s="37" t="s">
        <v>57</v>
      </c>
      <c r="J105" s="38" t="s">
        <v>859</v>
      </c>
      <c r="K105" s="38" t="s">
        <v>41</v>
      </c>
      <c r="L105" s="39" t="s">
        <v>42</v>
      </c>
      <c r="M105" s="53">
        <v>45078</v>
      </c>
      <c r="N105" s="41"/>
      <c r="O105" s="41"/>
      <c r="P105" s="41"/>
      <c r="Q105" s="41"/>
      <c r="R105" s="41"/>
      <c r="S105" s="41"/>
      <c r="T105" s="41"/>
      <c r="U105" s="41" t="s">
        <v>44</v>
      </c>
      <c r="V105" s="41"/>
      <c r="W105" s="41"/>
      <c r="X105" s="41"/>
      <c r="Y105" s="42" t="s">
        <v>860</v>
      </c>
      <c r="Z105" s="100" t="s">
        <v>861</v>
      </c>
      <c r="AA105" s="44" t="s">
        <v>862</v>
      </c>
      <c r="AB105" s="45">
        <v>44944</v>
      </c>
      <c r="AC105" s="101" t="s">
        <v>30</v>
      </c>
      <c r="AD105" s="36"/>
      <c r="AE105" s="47" t="s">
        <v>49</v>
      </c>
      <c r="AF105" s="48" t="s">
        <v>41</v>
      </c>
      <c r="AG105" s="48" t="s">
        <v>41</v>
      </c>
      <c r="AH105" s="48" t="s">
        <v>41</v>
      </c>
      <c r="AI105" s="48" t="s">
        <v>49</v>
      </c>
      <c r="AJ105" s="48" t="s">
        <v>41</v>
      </c>
      <c r="AK105" s="49" t="s">
        <v>41</v>
      </c>
      <c r="AL105" s="48" t="s">
        <v>41</v>
      </c>
      <c r="AM105" s="62" t="s">
        <v>4589</v>
      </c>
      <c r="AN105" s="62"/>
      <c r="AO105" s="59"/>
      <c r="AP105" s="10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1"/>
    </row>
    <row r="106" spans="1:53" x14ac:dyDescent="0.2">
      <c r="A106" s="33">
        <f t="shared" si="2"/>
        <v>101</v>
      </c>
      <c r="B106" s="34" t="s">
        <v>863</v>
      </c>
      <c r="C106" s="35" t="s">
        <v>864</v>
      </c>
      <c r="D106" s="109" t="s">
        <v>865</v>
      </c>
      <c r="E106" s="336">
        <v>31862</v>
      </c>
      <c r="F106" s="36" t="s">
        <v>54</v>
      </c>
      <c r="G106" s="108" t="s">
        <v>866</v>
      </c>
      <c r="H106" s="37" t="s">
        <v>73</v>
      </c>
      <c r="I106" s="37" t="s">
        <v>73</v>
      </c>
      <c r="J106" s="108" t="s">
        <v>867</v>
      </c>
      <c r="K106" s="108" t="s">
        <v>868</v>
      </c>
      <c r="L106" s="39" t="s">
        <v>42</v>
      </c>
      <c r="M106" s="40" t="s">
        <v>869</v>
      </c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42" t="s">
        <v>870</v>
      </c>
      <c r="Z106" s="58" t="s">
        <v>871</v>
      </c>
      <c r="AA106" s="44" t="s">
        <v>872</v>
      </c>
      <c r="AB106" s="45">
        <v>44041</v>
      </c>
      <c r="AC106" s="46" t="s">
        <v>30</v>
      </c>
      <c r="AD106" s="109" t="s">
        <v>26</v>
      </c>
      <c r="AE106" s="47" t="s">
        <v>49</v>
      </c>
      <c r="AF106" s="48" t="s">
        <v>49</v>
      </c>
      <c r="AG106" s="48" t="s">
        <v>49</v>
      </c>
      <c r="AH106" s="48" t="s">
        <v>49</v>
      </c>
      <c r="AI106" s="48" t="s">
        <v>49</v>
      </c>
      <c r="AJ106" s="48" t="s">
        <v>49</v>
      </c>
      <c r="AK106" s="49" t="s">
        <v>41</v>
      </c>
      <c r="AL106" s="48" t="s">
        <v>41</v>
      </c>
      <c r="AM106" s="62" t="s">
        <v>276</v>
      </c>
      <c r="AN106" s="62"/>
      <c r="AO106" s="59"/>
      <c r="AP106" s="10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1"/>
    </row>
    <row r="107" spans="1:53" x14ac:dyDescent="0.2">
      <c r="A107" s="33">
        <f t="shared" si="2"/>
        <v>102</v>
      </c>
      <c r="B107" s="34" t="s">
        <v>873</v>
      </c>
      <c r="C107" s="35" t="s">
        <v>874</v>
      </c>
      <c r="D107" s="73" t="s">
        <v>875</v>
      </c>
      <c r="E107" s="335">
        <v>25980</v>
      </c>
      <c r="F107" s="36" t="s">
        <v>54</v>
      </c>
      <c r="G107" s="98" t="s">
        <v>876</v>
      </c>
      <c r="H107" s="37" t="s">
        <v>398</v>
      </c>
      <c r="I107" s="37" t="s">
        <v>205</v>
      </c>
      <c r="J107" s="34" t="s">
        <v>877</v>
      </c>
      <c r="K107" s="34" t="s">
        <v>41</v>
      </c>
      <c r="L107" s="39" t="s">
        <v>42</v>
      </c>
      <c r="M107" s="40" t="s">
        <v>878</v>
      </c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42" t="s">
        <v>879</v>
      </c>
      <c r="Z107" s="55" t="s">
        <v>880</v>
      </c>
      <c r="AA107" s="44" t="s">
        <v>881</v>
      </c>
      <c r="AB107" s="45">
        <v>42935</v>
      </c>
      <c r="AC107" s="46" t="s">
        <v>30</v>
      </c>
      <c r="AD107" s="73" t="s">
        <v>26</v>
      </c>
      <c r="AE107" s="47" t="s">
        <v>49</v>
      </c>
      <c r="AF107" s="48" t="s">
        <v>49</v>
      </c>
      <c r="AG107" s="48" t="s">
        <v>49</v>
      </c>
      <c r="AH107" s="48" t="s">
        <v>49</v>
      </c>
      <c r="AI107" s="48" t="s">
        <v>49</v>
      </c>
      <c r="AJ107" s="48" t="s">
        <v>49</v>
      </c>
      <c r="AK107" s="49" t="s">
        <v>49</v>
      </c>
      <c r="AL107" s="48" t="s">
        <v>49</v>
      </c>
      <c r="AM107" s="65" t="s">
        <v>32</v>
      </c>
      <c r="AN107" s="65"/>
      <c r="AO107" s="59"/>
      <c r="AP107" s="10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1"/>
    </row>
    <row r="108" spans="1:53" x14ac:dyDescent="0.2">
      <c r="A108" s="33">
        <f t="shared" si="2"/>
        <v>103</v>
      </c>
      <c r="B108" s="34" t="s">
        <v>882</v>
      </c>
      <c r="C108" s="35" t="s">
        <v>883</v>
      </c>
      <c r="D108" s="36" t="s">
        <v>884</v>
      </c>
      <c r="E108" s="36"/>
      <c r="F108" s="36" t="s">
        <v>54</v>
      </c>
      <c r="G108" s="34" t="s">
        <v>885</v>
      </c>
      <c r="H108" s="37" t="s">
        <v>176</v>
      </c>
      <c r="I108" s="37" t="s">
        <v>39</v>
      </c>
      <c r="J108" s="34" t="s">
        <v>886</v>
      </c>
      <c r="K108" s="34" t="s">
        <v>41</v>
      </c>
      <c r="L108" s="39" t="s">
        <v>42</v>
      </c>
      <c r="M108" s="40" t="s">
        <v>887</v>
      </c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2" t="s">
        <v>888</v>
      </c>
      <c r="Z108" s="58" t="s">
        <v>889</v>
      </c>
      <c r="AA108" s="44" t="s">
        <v>61</v>
      </c>
      <c r="AB108" s="45">
        <v>38593</v>
      </c>
      <c r="AC108" s="46" t="s">
        <v>30</v>
      </c>
      <c r="AD108" s="36"/>
      <c r="AE108" s="47" t="s">
        <v>49</v>
      </c>
      <c r="AF108" s="48" t="s">
        <v>41</v>
      </c>
      <c r="AG108" s="48" t="s">
        <v>41</v>
      </c>
      <c r="AH108" s="48" t="s">
        <v>41</v>
      </c>
      <c r="AI108" s="48" t="s">
        <v>41</v>
      </c>
      <c r="AJ108" s="48" t="s">
        <v>41</v>
      </c>
      <c r="AK108" s="49" t="s">
        <v>41</v>
      </c>
      <c r="AL108" s="48" t="s">
        <v>41</v>
      </c>
      <c r="AM108" s="82" t="s">
        <v>4592</v>
      </c>
      <c r="AN108" s="82"/>
      <c r="AO108" s="59" t="s">
        <v>890</v>
      </c>
      <c r="AP108" s="10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1"/>
    </row>
    <row r="109" spans="1:53" x14ac:dyDescent="0.2">
      <c r="A109" s="33">
        <f t="shared" si="2"/>
        <v>104</v>
      </c>
      <c r="B109" s="34" t="s">
        <v>891</v>
      </c>
      <c r="C109" s="35" t="s">
        <v>892</v>
      </c>
      <c r="D109" s="36" t="s">
        <v>893</v>
      </c>
      <c r="E109" s="36"/>
      <c r="F109" s="36" t="s">
        <v>36</v>
      </c>
      <c r="G109" s="87" t="s">
        <v>894</v>
      </c>
      <c r="H109" s="37" t="s">
        <v>176</v>
      </c>
      <c r="I109" s="37" t="s">
        <v>39</v>
      </c>
      <c r="J109" s="34" t="s">
        <v>895</v>
      </c>
      <c r="K109" s="34" t="s">
        <v>41</v>
      </c>
      <c r="L109" s="39" t="s">
        <v>42</v>
      </c>
      <c r="M109" s="40" t="s">
        <v>896</v>
      </c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42" t="s">
        <v>897</v>
      </c>
      <c r="Z109" s="58" t="s">
        <v>898</v>
      </c>
      <c r="AA109" s="44" t="s">
        <v>899</v>
      </c>
      <c r="AB109" s="45">
        <v>42325</v>
      </c>
      <c r="AC109" s="46" t="s">
        <v>30</v>
      </c>
      <c r="AD109" s="36"/>
      <c r="AE109" s="47" t="s">
        <v>49</v>
      </c>
      <c r="AF109" s="48" t="s">
        <v>41</v>
      </c>
      <c r="AG109" s="48" t="s">
        <v>41</v>
      </c>
      <c r="AH109" s="48" t="s">
        <v>41</v>
      </c>
      <c r="AI109" s="48" t="s">
        <v>41</v>
      </c>
      <c r="AJ109" s="48" t="s">
        <v>41</v>
      </c>
      <c r="AK109" s="49" t="s">
        <v>41</v>
      </c>
      <c r="AL109" s="48" t="s">
        <v>41</v>
      </c>
      <c r="AM109" s="65" t="s">
        <v>4588</v>
      </c>
      <c r="AN109" s="65"/>
      <c r="AO109" s="59"/>
      <c r="AP109" s="117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1"/>
    </row>
    <row r="110" spans="1:53" x14ac:dyDescent="0.2">
      <c r="A110" s="33">
        <f t="shared" si="2"/>
        <v>105</v>
      </c>
      <c r="B110" s="34" t="s">
        <v>900</v>
      </c>
      <c r="C110" s="35" t="s">
        <v>901</v>
      </c>
      <c r="D110" s="36" t="s">
        <v>902</v>
      </c>
      <c r="E110" s="334">
        <v>26567</v>
      </c>
      <c r="F110" s="36" t="s">
        <v>54</v>
      </c>
      <c r="G110" s="34" t="s">
        <v>903</v>
      </c>
      <c r="H110" s="37" t="s">
        <v>73</v>
      </c>
      <c r="I110" s="37" t="s">
        <v>73</v>
      </c>
      <c r="J110" s="34" t="s">
        <v>904</v>
      </c>
      <c r="K110" s="34" t="s">
        <v>905</v>
      </c>
      <c r="L110" s="39" t="s">
        <v>42</v>
      </c>
      <c r="M110" s="53">
        <v>37051</v>
      </c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2" t="s">
        <v>906</v>
      </c>
      <c r="Z110" s="52" t="s">
        <v>907</v>
      </c>
      <c r="AA110" s="44" t="s">
        <v>908</v>
      </c>
      <c r="AB110" s="45">
        <v>42325</v>
      </c>
      <c r="AC110" s="46" t="s">
        <v>30</v>
      </c>
      <c r="AD110" s="36" t="s">
        <v>26</v>
      </c>
      <c r="AE110" s="47" t="s">
        <v>49</v>
      </c>
      <c r="AF110" s="48" t="s">
        <v>49</v>
      </c>
      <c r="AG110" s="48" t="s">
        <v>49</v>
      </c>
      <c r="AH110" s="48" t="s">
        <v>49</v>
      </c>
      <c r="AI110" s="48" t="s">
        <v>49</v>
      </c>
      <c r="AJ110" s="48" t="s">
        <v>41</v>
      </c>
      <c r="AK110" s="49" t="s">
        <v>41</v>
      </c>
      <c r="AL110" s="48" t="s">
        <v>41</v>
      </c>
      <c r="AM110" s="62" t="s">
        <v>4589</v>
      </c>
      <c r="AN110" s="62"/>
      <c r="AO110" s="59"/>
      <c r="AP110" s="10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1"/>
    </row>
    <row r="111" spans="1:53" x14ac:dyDescent="0.2">
      <c r="A111" s="33">
        <f t="shared" si="2"/>
        <v>106</v>
      </c>
      <c r="B111" s="34" t="s">
        <v>909</v>
      </c>
      <c r="C111" s="35" t="s">
        <v>910</v>
      </c>
      <c r="D111" s="36" t="s">
        <v>911</v>
      </c>
      <c r="E111" s="36"/>
      <c r="F111" s="36" t="s">
        <v>54</v>
      </c>
      <c r="G111" s="108" t="s">
        <v>912</v>
      </c>
      <c r="H111" s="37" t="s">
        <v>73</v>
      </c>
      <c r="I111" s="37" t="s">
        <v>73</v>
      </c>
      <c r="J111" s="34" t="s">
        <v>913</v>
      </c>
      <c r="K111" s="34" t="s">
        <v>914</v>
      </c>
      <c r="L111" s="39" t="s">
        <v>42</v>
      </c>
      <c r="M111" s="40" t="s">
        <v>915</v>
      </c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42" t="s">
        <v>916</v>
      </c>
      <c r="Z111" s="58" t="s">
        <v>917</v>
      </c>
      <c r="AA111" s="44"/>
      <c r="AB111" s="45" t="s">
        <v>47</v>
      </c>
      <c r="AC111" s="46"/>
      <c r="AD111" s="36">
        <v>1</v>
      </c>
      <c r="AE111" s="47" t="s">
        <v>49</v>
      </c>
      <c r="AF111" s="48" t="s">
        <v>41</v>
      </c>
      <c r="AG111" s="48" t="s">
        <v>41</v>
      </c>
      <c r="AH111" s="48" t="s">
        <v>41</v>
      </c>
      <c r="AI111" s="48" t="s">
        <v>41</v>
      </c>
      <c r="AJ111" s="48" t="s">
        <v>41</v>
      </c>
      <c r="AK111" s="49" t="s">
        <v>41</v>
      </c>
      <c r="AL111" s="48" t="s">
        <v>41</v>
      </c>
      <c r="AM111" s="65" t="s">
        <v>4591</v>
      </c>
      <c r="AN111" s="65"/>
      <c r="AO111" s="59"/>
      <c r="AP111" s="10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1"/>
    </row>
    <row r="112" spans="1:53" x14ac:dyDescent="0.2">
      <c r="A112" s="33">
        <f t="shared" si="2"/>
        <v>107</v>
      </c>
      <c r="B112" s="34" t="s">
        <v>918</v>
      </c>
      <c r="C112" s="35" t="s">
        <v>919</v>
      </c>
      <c r="D112" s="36" t="s">
        <v>920</v>
      </c>
      <c r="E112" s="334">
        <v>27771</v>
      </c>
      <c r="F112" s="36" t="s">
        <v>54</v>
      </c>
      <c r="G112" s="34" t="s">
        <v>921</v>
      </c>
      <c r="H112" s="37" t="s">
        <v>73</v>
      </c>
      <c r="I112" s="37" t="s">
        <v>73</v>
      </c>
      <c r="J112" s="38" t="s">
        <v>922</v>
      </c>
      <c r="K112" s="34" t="s">
        <v>41</v>
      </c>
      <c r="L112" s="39" t="s">
        <v>42</v>
      </c>
      <c r="M112" s="120">
        <v>44478</v>
      </c>
      <c r="N112" s="112"/>
      <c r="O112" s="112"/>
      <c r="P112" s="112"/>
      <c r="Q112" s="112"/>
      <c r="R112" s="112"/>
      <c r="S112" s="112"/>
      <c r="T112" s="112"/>
      <c r="U112" s="41"/>
      <c r="V112" s="41"/>
      <c r="W112" s="41"/>
      <c r="X112" s="41"/>
      <c r="Y112" s="42" t="s">
        <v>923</v>
      </c>
      <c r="Z112" s="43" t="s">
        <v>924</v>
      </c>
      <c r="AA112" s="44" t="s">
        <v>925</v>
      </c>
      <c r="AB112" s="45">
        <v>44944</v>
      </c>
      <c r="AC112" s="101" t="s">
        <v>30</v>
      </c>
      <c r="AD112" s="36"/>
      <c r="AE112" s="47" t="s">
        <v>49</v>
      </c>
      <c r="AF112" s="48" t="s">
        <v>41</v>
      </c>
      <c r="AG112" s="48" t="s">
        <v>49</v>
      </c>
      <c r="AH112" s="48" t="s">
        <v>49</v>
      </c>
      <c r="AI112" s="48" t="s">
        <v>49</v>
      </c>
      <c r="AJ112" s="48" t="s">
        <v>49</v>
      </c>
      <c r="AK112" s="49" t="s">
        <v>49</v>
      </c>
      <c r="AL112" s="48" t="s">
        <v>49</v>
      </c>
      <c r="AM112" s="62" t="s">
        <v>32</v>
      </c>
      <c r="AN112" s="62"/>
      <c r="AO112" s="59"/>
      <c r="AP112" s="10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1"/>
    </row>
    <row r="113" spans="1:53" x14ac:dyDescent="0.2">
      <c r="A113" s="33">
        <f t="shared" si="2"/>
        <v>108</v>
      </c>
      <c r="B113" s="107" t="s">
        <v>926</v>
      </c>
      <c r="C113" s="35" t="s">
        <v>927</v>
      </c>
      <c r="D113" s="36" t="s">
        <v>928</v>
      </c>
      <c r="E113" s="334">
        <v>30545</v>
      </c>
      <c r="F113" s="36" t="s">
        <v>54</v>
      </c>
      <c r="G113" s="34" t="s">
        <v>929</v>
      </c>
      <c r="H113" s="37" t="s">
        <v>73</v>
      </c>
      <c r="I113" s="37" t="s">
        <v>73</v>
      </c>
      <c r="J113" s="107" t="s">
        <v>930</v>
      </c>
      <c r="K113" s="34" t="s">
        <v>931</v>
      </c>
      <c r="L113" s="39" t="s">
        <v>42</v>
      </c>
      <c r="M113" s="99" t="s">
        <v>932</v>
      </c>
      <c r="N113" s="115"/>
      <c r="O113" s="147"/>
      <c r="P113" s="147"/>
      <c r="Q113" s="147"/>
      <c r="R113" s="147"/>
      <c r="S113" s="147"/>
      <c r="T113" s="147"/>
      <c r="U113" s="115"/>
      <c r="V113" s="56"/>
      <c r="W113" s="56"/>
      <c r="X113" s="56"/>
      <c r="Y113" s="42" t="s">
        <v>933</v>
      </c>
      <c r="Z113" s="58" t="s">
        <v>934</v>
      </c>
      <c r="AA113" s="44" t="s">
        <v>61</v>
      </c>
      <c r="AB113" s="45">
        <v>40815</v>
      </c>
      <c r="AC113" s="148" t="s">
        <v>30</v>
      </c>
      <c r="AD113" s="36" t="s">
        <v>26</v>
      </c>
      <c r="AE113" s="47" t="s">
        <v>49</v>
      </c>
      <c r="AF113" s="48" t="s">
        <v>49</v>
      </c>
      <c r="AG113" s="48" t="s">
        <v>49</v>
      </c>
      <c r="AH113" s="48" t="s">
        <v>49</v>
      </c>
      <c r="AI113" s="48" t="s">
        <v>49</v>
      </c>
      <c r="AJ113" s="48" t="s">
        <v>49</v>
      </c>
      <c r="AK113" s="49" t="s">
        <v>49</v>
      </c>
      <c r="AL113" s="48" t="s">
        <v>41</v>
      </c>
      <c r="AM113" s="62" t="s">
        <v>148</v>
      </c>
      <c r="AN113" s="62"/>
      <c r="AO113" s="59"/>
      <c r="AP113" s="10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1"/>
    </row>
    <row r="114" spans="1:53" x14ac:dyDescent="0.2">
      <c r="A114" s="33">
        <f t="shared" si="2"/>
        <v>109</v>
      </c>
      <c r="B114" s="149" t="s">
        <v>935</v>
      </c>
      <c r="C114" s="150" t="s">
        <v>936</v>
      </c>
      <c r="D114" s="73" t="s">
        <v>937</v>
      </c>
      <c r="E114" s="73"/>
      <c r="F114" s="36" t="s">
        <v>54</v>
      </c>
      <c r="G114" s="52" t="s">
        <v>938</v>
      </c>
      <c r="H114" s="151" t="s">
        <v>939</v>
      </c>
      <c r="I114" s="151" t="s">
        <v>205</v>
      </c>
      <c r="J114" s="113" t="s">
        <v>940</v>
      </c>
      <c r="K114" s="34"/>
      <c r="L114" s="39" t="s">
        <v>42</v>
      </c>
      <c r="M114" s="152" t="s">
        <v>941</v>
      </c>
      <c r="N114" s="115" t="s">
        <v>179</v>
      </c>
      <c r="O114" s="147" t="s">
        <v>179</v>
      </c>
      <c r="P114" s="147"/>
      <c r="Q114" s="147">
        <v>6</v>
      </c>
      <c r="R114" s="147" t="s">
        <v>942</v>
      </c>
      <c r="S114" s="147"/>
      <c r="T114" s="147"/>
      <c r="U114" s="115"/>
      <c r="V114" s="56"/>
      <c r="W114" s="56"/>
      <c r="X114" s="56"/>
      <c r="Y114" s="42" t="s">
        <v>943</v>
      </c>
      <c r="Z114" s="58" t="s">
        <v>944</v>
      </c>
      <c r="AA114" s="44" t="s">
        <v>945</v>
      </c>
      <c r="AB114" s="153">
        <v>43200</v>
      </c>
      <c r="AC114" s="101" t="s">
        <v>30</v>
      </c>
      <c r="AD114" s="73">
        <v>1</v>
      </c>
      <c r="AE114" s="47" t="s">
        <v>49</v>
      </c>
      <c r="AF114" s="48" t="s">
        <v>41</v>
      </c>
      <c r="AG114" s="48" t="s">
        <v>41</v>
      </c>
      <c r="AH114" s="48" t="s">
        <v>41</v>
      </c>
      <c r="AI114" s="48" t="s">
        <v>41</v>
      </c>
      <c r="AJ114" s="48" t="s">
        <v>41</v>
      </c>
      <c r="AK114" s="49" t="s">
        <v>41</v>
      </c>
      <c r="AL114" s="48" t="s">
        <v>41</v>
      </c>
      <c r="AM114" s="82" t="s">
        <v>4592</v>
      </c>
      <c r="AN114" s="82"/>
      <c r="AO114" s="59"/>
      <c r="AP114" s="10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1"/>
    </row>
    <row r="115" spans="1:53" x14ac:dyDescent="0.2">
      <c r="A115" s="33">
        <f t="shared" si="2"/>
        <v>110</v>
      </c>
      <c r="B115" s="34" t="s">
        <v>946</v>
      </c>
      <c r="C115" s="35" t="s">
        <v>947</v>
      </c>
      <c r="D115" s="36" t="s">
        <v>948</v>
      </c>
      <c r="E115" s="334">
        <v>34217</v>
      </c>
      <c r="F115" s="36" t="s">
        <v>54</v>
      </c>
      <c r="G115" s="34" t="s">
        <v>949</v>
      </c>
      <c r="H115" s="37" t="s">
        <v>73</v>
      </c>
      <c r="I115" s="37" t="s">
        <v>73</v>
      </c>
      <c r="J115" s="34" t="s">
        <v>950</v>
      </c>
      <c r="K115" s="34" t="s">
        <v>951</v>
      </c>
      <c r="L115" s="39" t="s">
        <v>42</v>
      </c>
      <c r="M115" s="120">
        <v>35919</v>
      </c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42" t="s">
        <v>952</v>
      </c>
      <c r="Z115" s="58" t="s">
        <v>953</v>
      </c>
      <c r="AA115" s="44" t="s">
        <v>61</v>
      </c>
      <c r="AB115" s="45">
        <v>36641</v>
      </c>
      <c r="AC115" s="101" t="s">
        <v>30</v>
      </c>
      <c r="AD115" s="36" t="s">
        <v>26</v>
      </c>
      <c r="AE115" s="47" t="s">
        <v>49</v>
      </c>
      <c r="AF115" s="48" t="s">
        <v>49</v>
      </c>
      <c r="AG115" s="48" t="s">
        <v>49</v>
      </c>
      <c r="AH115" s="48" t="s">
        <v>49</v>
      </c>
      <c r="AI115" s="48" t="s">
        <v>49</v>
      </c>
      <c r="AJ115" s="48" t="s">
        <v>49</v>
      </c>
      <c r="AK115" s="49" t="s">
        <v>41</v>
      </c>
      <c r="AL115" s="48" t="s">
        <v>41</v>
      </c>
      <c r="AM115" s="62" t="s">
        <v>276</v>
      </c>
      <c r="AN115" s="62"/>
      <c r="AO115" s="59"/>
      <c r="AP115" s="117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1"/>
    </row>
    <row r="116" spans="1:53" x14ac:dyDescent="0.2">
      <c r="A116" s="33">
        <f t="shared" si="2"/>
        <v>111</v>
      </c>
      <c r="B116" s="108" t="s">
        <v>954</v>
      </c>
      <c r="C116" s="35" t="s">
        <v>955</v>
      </c>
      <c r="D116" s="36" t="s">
        <v>956</v>
      </c>
      <c r="E116" s="334">
        <v>29044</v>
      </c>
      <c r="F116" s="36" t="s">
        <v>54</v>
      </c>
      <c r="G116" s="34" t="s">
        <v>957</v>
      </c>
      <c r="H116" s="37" t="s">
        <v>958</v>
      </c>
      <c r="I116" s="37" t="s">
        <v>187</v>
      </c>
      <c r="J116" s="38" t="s">
        <v>959</v>
      </c>
      <c r="K116" s="34" t="s">
        <v>41</v>
      </c>
      <c r="L116" s="39" t="s">
        <v>42</v>
      </c>
      <c r="M116" s="120">
        <v>41947</v>
      </c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2" t="s">
        <v>960</v>
      </c>
      <c r="Z116" s="69" t="s">
        <v>961</v>
      </c>
      <c r="AA116" s="119" t="s">
        <v>61</v>
      </c>
      <c r="AB116" s="45">
        <v>36641</v>
      </c>
      <c r="AC116" s="101" t="s">
        <v>30</v>
      </c>
      <c r="AD116" s="36" t="s">
        <v>26</v>
      </c>
      <c r="AE116" s="47" t="s">
        <v>49</v>
      </c>
      <c r="AF116" s="48" t="s">
        <v>49</v>
      </c>
      <c r="AG116" s="48" t="s">
        <v>49</v>
      </c>
      <c r="AH116" s="48" t="s">
        <v>49</v>
      </c>
      <c r="AI116" s="48" t="s">
        <v>49</v>
      </c>
      <c r="AJ116" s="48" t="s">
        <v>49</v>
      </c>
      <c r="AK116" s="49" t="s">
        <v>49</v>
      </c>
      <c r="AL116" s="48" t="s">
        <v>49</v>
      </c>
      <c r="AM116" s="65" t="s">
        <v>32</v>
      </c>
      <c r="AN116" s="65"/>
      <c r="AO116" s="59"/>
      <c r="AP116" s="117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1"/>
    </row>
    <row r="117" spans="1:53" x14ac:dyDescent="0.2">
      <c r="A117" s="33">
        <f t="shared" si="2"/>
        <v>112</v>
      </c>
      <c r="B117" s="52" t="s">
        <v>962</v>
      </c>
      <c r="C117" s="150" t="s">
        <v>963</v>
      </c>
      <c r="D117" s="73" t="s">
        <v>964</v>
      </c>
      <c r="E117" s="335">
        <v>29972</v>
      </c>
      <c r="F117" s="36" t="s">
        <v>36</v>
      </c>
      <c r="G117" s="52" t="s">
        <v>965</v>
      </c>
      <c r="H117" s="151" t="s">
        <v>243</v>
      </c>
      <c r="I117" s="151" t="s">
        <v>205</v>
      </c>
      <c r="J117" s="113" t="s">
        <v>966</v>
      </c>
      <c r="K117" s="34"/>
      <c r="L117" s="39" t="s">
        <v>42</v>
      </c>
      <c r="M117" s="152" t="s">
        <v>216</v>
      </c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42" t="s">
        <v>967</v>
      </c>
      <c r="Z117" s="58" t="s">
        <v>968</v>
      </c>
      <c r="AA117" s="44" t="s">
        <v>969</v>
      </c>
      <c r="AB117" s="45">
        <v>44041</v>
      </c>
      <c r="AC117" s="101" t="s">
        <v>30</v>
      </c>
      <c r="AD117" s="73"/>
      <c r="AE117" s="47" t="s">
        <v>49</v>
      </c>
      <c r="AF117" s="48" t="s">
        <v>41</v>
      </c>
      <c r="AG117" s="48" t="s">
        <v>49</v>
      </c>
      <c r="AH117" s="48" t="s">
        <v>49</v>
      </c>
      <c r="AI117" s="48" t="s">
        <v>49</v>
      </c>
      <c r="AJ117" s="48" t="s">
        <v>49</v>
      </c>
      <c r="AK117" s="49" t="s">
        <v>49</v>
      </c>
      <c r="AL117" s="48" t="s">
        <v>49</v>
      </c>
      <c r="AM117" s="65" t="s">
        <v>32</v>
      </c>
      <c r="AN117" s="65"/>
      <c r="AO117" s="59"/>
      <c r="AP117" s="10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1"/>
    </row>
    <row r="118" spans="1:53" x14ac:dyDescent="0.2">
      <c r="A118" s="33">
        <f t="shared" si="2"/>
        <v>113</v>
      </c>
      <c r="B118" s="107" t="s">
        <v>970</v>
      </c>
      <c r="C118" s="35" t="s">
        <v>971</v>
      </c>
      <c r="D118" s="36" t="s">
        <v>972</v>
      </c>
      <c r="E118" s="334">
        <v>23419</v>
      </c>
      <c r="F118" s="36" t="s">
        <v>241</v>
      </c>
      <c r="G118" s="34" t="s">
        <v>973</v>
      </c>
      <c r="H118" s="37" t="s">
        <v>205</v>
      </c>
      <c r="I118" s="37" t="s">
        <v>205</v>
      </c>
      <c r="J118" s="34" t="s">
        <v>974</v>
      </c>
      <c r="K118" s="34" t="s">
        <v>975</v>
      </c>
      <c r="L118" s="39" t="s">
        <v>42</v>
      </c>
      <c r="M118" s="120" t="s">
        <v>976</v>
      </c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2" t="s">
        <v>977</v>
      </c>
      <c r="Z118" s="58" t="s">
        <v>978</v>
      </c>
      <c r="AA118" s="121" t="s">
        <v>979</v>
      </c>
      <c r="AB118" s="153">
        <v>44650</v>
      </c>
      <c r="AC118" s="101" t="s">
        <v>30</v>
      </c>
      <c r="AD118" s="36" t="s">
        <v>26</v>
      </c>
      <c r="AE118" s="47" t="s">
        <v>49</v>
      </c>
      <c r="AF118" s="48" t="s">
        <v>49</v>
      </c>
      <c r="AG118" s="48" t="s">
        <v>49</v>
      </c>
      <c r="AH118" s="48" t="s">
        <v>49</v>
      </c>
      <c r="AI118" s="48" t="s">
        <v>49</v>
      </c>
      <c r="AJ118" s="48" t="s">
        <v>49</v>
      </c>
      <c r="AK118" s="49" t="s">
        <v>49</v>
      </c>
      <c r="AL118" s="48" t="s">
        <v>49</v>
      </c>
      <c r="AM118" s="62" t="s">
        <v>32</v>
      </c>
      <c r="AN118" s="62"/>
      <c r="AO118" s="59"/>
      <c r="AP118" s="117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1"/>
    </row>
    <row r="119" spans="1:53" x14ac:dyDescent="0.2">
      <c r="A119" s="33">
        <f t="shared" si="2"/>
        <v>114</v>
      </c>
      <c r="B119" s="72" t="s">
        <v>980</v>
      </c>
      <c r="C119" s="35" t="s">
        <v>981</v>
      </c>
      <c r="D119" s="154" t="s">
        <v>982</v>
      </c>
      <c r="E119" s="154"/>
      <c r="F119" s="36" t="s">
        <v>54</v>
      </c>
      <c r="G119" s="69" t="s">
        <v>983</v>
      </c>
      <c r="H119" s="75" t="s">
        <v>205</v>
      </c>
      <c r="I119" s="75" t="s">
        <v>205</v>
      </c>
      <c r="J119" s="72" t="s">
        <v>984</v>
      </c>
      <c r="K119" s="72" t="s">
        <v>985</v>
      </c>
      <c r="L119" s="77" t="s">
        <v>986</v>
      </c>
      <c r="M119" s="155">
        <v>32911</v>
      </c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42" t="s">
        <v>987</v>
      </c>
      <c r="Z119" s="58" t="s">
        <v>988</v>
      </c>
      <c r="AA119" s="119" t="s">
        <v>989</v>
      </c>
      <c r="AB119" s="45">
        <v>41793</v>
      </c>
      <c r="AC119" s="101" t="s">
        <v>30</v>
      </c>
      <c r="AD119" s="154"/>
      <c r="AE119" s="81" t="s">
        <v>49</v>
      </c>
      <c r="AF119" s="48" t="s">
        <v>41</v>
      </c>
      <c r="AG119" s="48" t="s">
        <v>41</v>
      </c>
      <c r="AH119" s="48" t="s">
        <v>41</v>
      </c>
      <c r="AI119" s="48" t="s">
        <v>41</v>
      </c>
      <c r="AJ119" s="48" t="s">
        <v>41</v>
      </c>
      <c r="AK119" s="49" t="s">
        <v>41</v>
      </c>
      <c r="AL119" s="48" t="s">
        <v>41</v>
      </c>
      <c r="AM119" s="65" t="s">
        <v>4592</v>
      </c>
      <c r="AN119" s="65"/>
      <c r="AO119" s="59" t="s">
        <v>990</v>
      </c>
      <c r="AP119" s="10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1"/>
    </row>
    <row r="120" spans="1:53" x14ac:dyDescent="0.2">
      <c r="A120" s="33">
        <f t="shared" si="2"/>
        <v>115</v>
      </c>
      <c r="B120" s="108" t="s">
        <v>991</v>
      </c>
      <c r="C120" s="35" t="s">
        <v>992</v>
      </c>
      <c r="D120" s="36" t="s">
        <v>993</v>
      </c>
      <c r="E120" s="334">
        <v>27493</v>
      </c>
      <c r="F120" s="36" t="s">
        <v>54</v>
      </c>
      <c r="G120" s="34" t="s">
        <v>994</v>
      </c>
      <c r="H120" s="37" t="s">
        <v>73</v>
      </c>
      <c r="I120" s="37" t="s">
        <v>73</v>
      </c>
      <c r="J120" s="38" t="s">
        <v>995</v>
      </c>
      <c r="K120" s="34" t="s">
        <v>41</v>
      </c>
      <c r="L120" s="39" t="s">
        <v>42</v>
      </c>
      <c r="M120" s="120" t="s">
        <v>996</v>
      </c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2" t="s">
        <v>997</v>
      </c>
      <c r="Z120" s="58" t="s">
        <v>998</v>
      </c>
      <c r="AA120" s="121" t="s">
        <v>999</v>
      </c>
      <c r="AB120" s="153">
        <v>44650</v>
      </c>
      <c r="AC120" s="101" t="s">
        <v>30</v>
      </c>
      <c r="AD120" s="36" t="s">
        <v>26</v>
      </c>
      <c r="AE120" s="47" t="s">
        <v>49</v>
      </c>
      <c r="AF120" s="48" t="s">
        <v>49</v>
      </c>
      <c r="AG120" s="48" t="s">
        <v>49</v>
      </c>
      <c r="AH120" s="48" t="s">
        <v>49</v>
      </c>
      <c r="AI120" s="48" t="s">
        <v>49</v>
      </c>
      <c r="AJ120" s="48" t="s">
        <v>49</v>
      </c>
      <c r="AK120" s="49" t="s">
        <v>41</v>
      </c>
      <c r="AL120" s="48" t="s">
        <v>41</v>
      </c>
      <c r="AM120" s="62" t="s">
        <v>276</v>
      </c>
      <c r="AN120" s="62"/>
      <c r="AO120" s="59"/>
      <c r="AP120" s="117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1"/>
    </row>
    <row r="121" spans="1:53" x14ac:dyDescent="0.2">
      <c r="A121" s="33">
        <f t="shared" si="2"/>
        <v>116</v>
      </c>
      <c r="B121" s="34" t="s">
        <v>1000</v>
      </c>
      <c r="C121" s="35" t="s">
        <v>1001</v>
      </c>
      <c r="D121" s="36" t="s">
        <v>1002</v>
      </c>
      <c r="E121" s="334">
        <v>27497</v>
      </c>
      <c r="F121" s="36" t="s">
        <v>54</v>
      </c>
      <c r="G121" s="34" t="s">
        <v>1003</v>
      </c>
      <c r="H121" s="37" t="s">
        <v>73</v>
      </c>
      <c r="I121" s="37" t="s">
        <v>73</v>
      </c>
      <c r="J121" s="38" t="s">
        <v>1004</v>
      </c>
      <c r="K121" s="38" t="s">
        <v>1005</v>
      </c>
      <c r="L121" s="39" t="s">
        <v>42</v>
      </c>
      <c r="M121" s="99" t="s">
        <v>1006</v>
      </c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2" t="s">
        <v>1007</v>
      </c>
      <c r="Z121" s="52" t="s">
        <v>1008</v>
      </c>
      <c r="AA121" s="44" t="s">
        <v>61</v>
      </c>
      <c r="AB121" s="45">
        <v>37877</v>
      </c>
      <c r="AC121" s="101" t="s">
        <v>30</v>
      </c>
      <c r="AD121" s="36" t="s">
        <v>26</v>
      </c>
      <c r="AE121" s="47" t="s">
        <v>49</v>
      </c>
      <c r="AF121" s="48" t="s">
        <v>49</v>
      </c>
      <c r="AG121" s="48" t="s">
        <v>49</v>
      </c>
      <c r="AH121" s="48" t="s">
        <v>49</v>
      </c>
      <c r="AI121" s="48" t="s">
        <v>49</v>
      </c>
      <c r="AJ121" s="48" t="s">
        <v>49</v>
      </c>
      <c r="AK121" s="49" t="s">
        <v>49</v>
      </c>
      <c r="AL121" s="48" t="s">
        <v>49</v>
      </c>
      <c r="AM121" s="62" t="s">
        <v>32</v>
      </c>
      <c r="AN121" s="62"/>
      <c r="AO121" s="59"/>
      <c r="AP121" s="10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1"/>
    </row>
    <row r="122" spans="1:53" x14ac:dyDescent="0.2">
      <c r="A122" s="33">
        <f t="shared" si="2"/>
        <v>117</v>
      </c>
      <c r="B122" s="34" t="s">
        <v>1009</v>
      </c>
      <c r="C122" s="35" t="s">
        <v>1010</v>
      </c>
      <c r="D122" s="36" t="s">
        <v>1011</v>
      </c>
      <c r="E122" s="334">
        <v>32661</v>
      </c>
      <c r="F122" s="36" t="s">
        <v>54</v>
      </c>
      <c r="G122" s="34" t="s">
        <v>1012</v>
      </c>
      <c r="H122" s="37" t="s">
        <v>73</v>
      </c>
      <c r="I122" s="37" t="s">
        <v>73</v>
      </c>
      <c r="J122" s="38" t="s">
        <v>1013</v>
      </c>
      <c r="K122" s="38"/>
      <c r="L122" s="39" t="s">
        <v>42</v>
      </c>
      <c r="M122" s="99" t="s">
        <v>1014</v>
      </c>
      <c r="N122" s="41"/>
      <c r="O122" s="41"/>
      <c r="P122" s="41"/>
      <c r="Q122" s="41"/>
      <c r="R122" s="41"/>
      <c r="S122" s="41"/>
      <c r="T122" s="41"/>
      <c r="U122" s="41" t="s">
        <v>44</v>
      </c>
      <c r="V122" s="41"/>
      <c r="W122" s="41"/>
      <c r="X122" s="41"/>
      <c r="Y122" s="42" t="s">
        <v>1015</v>
      </c>
      <c r="Z122" s="43" t="s">
        <v>1016</v>
      </c>
      <c r="AA122" s="44"/>
      <c r="AB122" s="45">
        <v>45642</v>
      </c>
      <c r="AC122" s="101"/>
      <c r="AD122" s="36"/>
      <c r="AE122" s="47" t="s">
        <v>49</v>
      </c>
      <c r="AF122" s="48" t="s">
        <v>41</v>
      </c>
      <c r="AG122" s="48" t="s">
        <v>41</v>
      </c>
      <c r="AH122" s="48" t="s">
        <v>41</v>
      </c>
      <c r="AI122" s="48" t="s">
        <v>49</v>
      </c>
      <c r="AJ122" s="48" t="s">
        <v>49</v>
      </c>
      <c r="AK122" s="49" t="s">
        <v>49</v>
      </c>
      <c r="AL122" s="48" t="s">
        <v>49</v>
      </c>
      <c r="AM122" s="65" t="s">
        <v>32</v>
      </c>
      <c r="AN122" s="65"/>
      <c r="AO122" s="103" t="s">
        <v>41</v>
      </c>
      <c r="AP122" s="10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1"/>
    </row>
    <row r="123" spans="1:53" x14ac:dyDescent="0.2">
      <c r="A123" s="33">
        <f t="shared" si="2"/>
        <v>118</v>
      </c>
      <c r="B123" s="34" t="s">
        <v>1017</v>
      </c>
      <c r="C123" s="35" t="s">
        <v>1018</v>
      </c>
      <c r="D123" s="36" t="s">
        <v>1019</v>
      </c>
      <c r="E123" s="334">
        <v>27645</v>
      </c>
      <c r="F123" s="36" t="s">
        <v>54</v>
      </c>
      <c r="G123" s="34" t="s">
        <v>1020</v>
      </c>
      <c r="H123" s="37" t="s">
        <v>73</v>
      </c>
      <c r="I123" s="37" t="s">
        <v>73</v>
      </c>
      <c r="J123" s="38" t="s">
        <v>1021</v>
      </c>
      <c r="K123" s="38" t="s">
        <v>41</v>
      </c>
      <c r="L123" s="39" t="s">
        <v>42</v>
      </c>
      <c r="M123" s="99" t="s">
        <v>1022</v>
      </c>
      <c r="N123" s="41"/>
      <c r="O123" s="41"/>
      <c r="P123" s="41"/>
      <c r="Q123" s="41"/>
      <c r="R123" s="41"/>
      <c r="S123" s="41"/>
      <c r="T123" s="41" t="s">
        <v>44</v>
      </c>
      <c r="U123" s="41"/>
      <c r="V123" s="41"/>
      <c r="W123" s="41"/>
      <c r="X123" s="41"/>
      <c r="Y123" s="42" t="s">
        <v>1023</v>
      </c>
      <c r="Z123" s="55" t="s">
        <v>1024</v>
      </c>
      <c r="AA123" s="44" t="s">
        <v>1025</v>
      </c>
      <c r="AB123" s="45">
        <v>44944</v>
      </c>
      <c r="AC123" s="101" t="s">
        <v>30</v>
      </c>
      <c r="AD123" s="36"/>
      <c r="AE123" s="47" t="s">
        <v>49</v>
      </c>
      <c r="AF123" s="48" t="s">
        <v>41</v>
      </c>
      <c r="AG123" s="48" t="s">
        <v>41</v>
      </c>
      <c r="AH123" s="48" t="s">
        <v>49</v>
      </c>
      <c r="AI123" s="48" t="s">
        <v>49</v>
      </c>
      <c r="AJ123" s="48" t="s">
        <v>49</v>
      </c>
      <c r="AK123" s="49" t="s">
        <v>49</v>
      </c>
      <c r="AL123" s="48" t="s">
        <v>49</v>
      </c>
      <c r="AM123" s="62" t="s">
        <v>32</v>
      </c>
      <c r="AN123" s="62"/>
      <c r="AO123" s="59"/>
      <c r="AP123" s="10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1"/>
    </row>
    <row r="124" spans="1:53" x14ac:dyDescent="0.2">
      <c r="A124" s="33">
        <f t="shared" si="2"/>
        <v>119</v>
      </c>
      <c r="B124" s="34" t="s">
        <v>1026</v>
      </c>
      <c r="C124" s="35" t="s">
        <v>1027</v>
      </c>
      <c r="D124" s="36" t="s">
        <v>1028</v>
      </c>
      <c r="E124" s="36"/>
      <c r="F124" s="36" t="s">
        <v>54</v>
      </c>
      <c r="G124" s="34" t="s">
        <v>1029</v>
      </c>
      <c r="H124" s="37" t="s">
        <v>858</v>
      </c>
      <c r="I124" s="37" t="s">
        <v>57</v>
      </c>
      <c r="J124" s="38" t="s">
        <v>1030</v>
      </c>
      <c r="K124" s="34"/>
      <c r="L124" s="39" t="s">
        <v>42</v>
      </c>
      <c r="M124" s="120">
        <v>43416</v>
      </c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42" t="s">
        <v>1031</v>
      </c>
      <c r="Z124" s="58" t="s">
        <v>1032</v>
      </c>
      <c r="AA124" s="44" t="s">
        <v>1033</v>
      </c>
      <c r="AB124" s="45">
        <v>44041</v>
      </c>
      <c r="AC124" s="101" t="s">
        <v>30</v>
      </c>
      <c r="AD124" s="36" t="s">
        <v>26</v>
      </c>
      <c r="AE124" s="47" t="s">
        <v>49</v>
      </c>
      <c r="AF124" s="48" t="s">
        <v>49</v>
      </c>
      <c r="AG124" s="48" t="s">
        <v>49</v>
      </c>
      <c r="AH124" s="48" t="s">
        <v>41</v>
      </c>
      <c r="AI124" s="48" t="s">
        <v>41</v>
      </c>
      <c r="AJ124" s="48" t="s">
        <v>41</v>
      </c>
      <c r="AK124" s="49" t="s">
        <v>41</v>
      </c>
      <c r="AL124" s="48" t="s">
        <v>41</v>
      </c>
      <c r="AM124" s="62" t="s">
        <v>110</v>
      </c>
      <c r="AN124" s="62"/>
      <c r="AO124" s="59"/>
      <c r="AP124" s="10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1"/>
    </row>
    <row r="125" spans="1:53" x14ac:dyDescent="0.2">
      <c r="A125" s="33">
        <f t="shared" si="2"/>
        <v>120</v>
      </c>
      <c r="B125" s="34" t="s">
        <v>1034</v>
      </c>
      <c r="C125" s="35" t="s">
        <v>1035</v>
      </c>
      <c r="D125" s="36" t="s">
        <v>1036</v>
      </c>
      <c r="E125" s="36"/>
      <c r="F125" s="36" t="s">
        <v>54</v>
      </c>
      <c r="G125" s="34" t="s">
        <v>1037</v>
      </c>
      <c r="H125" s="37" t="s">
        <v>73</v>
      </c>
      <c r="I125" s="37" t="s">
        <v>73</v>
      </c>
      <c r="J125" s="107" t="s">
        <v>1038</v>
      </c>
      <c r="K125" s="34" t="s">
        <v>1039</v>
      </c>
      <c r="L125" s="39" t="s">
        <v>42</v>
      </c>
      <c r="M125" s="99" t="s">
        <v>1040</v>
      </c>
      <c r="N125" s="56" t="s">
        <v>179</v>
      </c>
      <c r="O125" s="137" t="s">
        <v>179</v>
      </c>
      <c r="P125" s="137"/>
      <c r="Q125" s="137">
        <v>4</v>
      </c>
      <c r="R125" s="137" t="s">
        <v>1041</v>
      </c>
      <c r="S125" s="137"/>
      <c r="T125" s="137"/>
      <c r="U125" s="137"/>
      <c r="V125" s="137"/>
      <c r="W125" s="137"/>
      <c r="X125" s="137"/>
      <c r="Y125" s="42" t="s">
        <v>1042</v>
      </c>
      <c r="Z125" s="58" t="s">
        <v>1043</v>
      </c>
      <c r="AA125" s="44"/>
      <c r="AB125" s="45" t="s">
        <v>47</v>
      </c>
      <c r="AC125" s="101"/>
      <c r="AD125" s="36" t="s">
        <v>26</v>
      </c>
      <c r="AE125" s="47" t="s">
        <v>49</v>
      </c>
      <c r="AF125" s="48" t="s">
        <v>49</v>
      </c>
      <c r="AG125" s="48" t="s">
        <v>41</v>
      </c>
      <c r="AH125" s="48" t="s">
        <v>41</v>
      </c>
      <c r="AI125" s="48" t="s">
        <v>41</v>
      </c>
      <c r="AJ125" s="48" t="s">
        <v>41</v>
      </c>
      <c r="AK125" s="49" t="s">
        <v>41</v>
      </c>
      <c r="AL125" s="48" t="s">
        <v>41</v>
      </c>
      <c r="AM125" s="62" t="s">
        <v>4587</v>
      </c>
      <c r="AN125" s="62"/>
      <c r="AO125" s="59"/>
      <c r="AP125" s="10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1"/>
    </row>
    <row r="126" spans="1:53" x14ac:dyDescent="0.2">
      <c r="A126" s="33">
        <f t="shared" si="2"/>
        <v>121</v>
      </c>
      <c r="B126" s="34" t="s">
        <v>1044</v>
      </c>
      <c r="C126" s="35" t="s">
        <v>1045</v>
      </c>
      <c r="D126" s="36" t="s">
        <v>1046</v>
      </c>
      <c r="E126" s="334">
        <v>34618</v>
      </c>
      <c r="F126" s="36" t="s">
        <v>54</v>
      </c>
      <c r="G126" s="34" t="s">
        <v>1047</v>
      </c>
      <c r="H126" s="37" t="s">
        <v>73</v>
      </c>
      <c r="I126" s="37" t="s">
        <v>73</v>
      </c>
      <c r="J126" s="57" t="s">
        <v>1048</v>
      </c>
      <c r="K126" s="157" t="s">
        <v>1049</v>
      </c>
      <c r="L126" s="39" t="s">
        <v>42</v>
      </c>
      <c r="M126" s="120">
        <v>40287</v>
      </c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2" t="s">
        <v>1050</v>
      </c>
      <c r="Z126" s="55" t="s">
        <v>1051</v>
      </c>
      <c r="AA126" s="55"/>
      <c r="AB126" s="45" t="s">
        <v>47</v>
      </c>
      <c r="AC126" s="101"/>
      <c r="AD126" s="36" t="s">
        <v>26</v>
      </c>
      <c r="AE126" s="47" t="s">
        <v>49</v>
      </c>
      <c r="AF126" s="48" t="s">
        <v>49</v>
      </c>
      <c r="AG126" s="48" t="s">
        <v>49</v>
      </c>
      <c r="AH126" s="48" t="s">
        <v>49</v>
      </c>
      <c r="AI126" s="48" t="s">
        <v>49</v>
      </c>
      <c r="AJ126" s="48" t="s">
        <v>49</v>
      </c>
      <c r="AK126" s="49" t="s">
        <v>49</v>
      </c>
      <c r="AL126" s="48" t="s">
        <v>49</v>
      </c>
      <c r="AM126" s="62" t="s">
        <v>32</v>
      </c>
      <c r="AN126" s="62"/>
      <c r="AO126" s="59"/>
      <c r="AP126" s="10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1"/>
    </row>
    <row r="127" spans="1:53" x14ac:dyDescent="0.2">
      <c r="A127" s="33">
        <f t="shared" si="2"/>
        <v>122</v>
      </c>
      <c r="B127" s="34" t="s">
        <v>1052</v>
      </c>
      <c r="C127" s="35" t="s">
        <v>1053</v>
      </c>
      <c r="D127" s="36" t="s">
        <v>1054</v>
      </c>
      <c r="E127" s="36"/>
      <c r="F127" s="36" t="s">
        <v>54</v>
      </c>
      <c r="G127" s="34" t="s">
        <v>1055</v>
      </c>
      <c r="H127" s="37" t="s">
        <v>456</v>
      </c>
      <c r="I127" s="37" t="s">
        <v>187</v>
      </c>
      <c r="J127" s="38" t="s">
        <v>1056</v>
      </c>
      <c r="K127" s="38" t="s">
        <v>1057</v>
      </c>
      <c r="L127" s="39" t="s">
        <v>42</v>
      </c>
      <c r="M127" s="99" t="s">
        <v>1058</v>
      </c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2" t="s">
        <v>1059</v>
      </c>
      <c r="Z127" s="58" t="s">
        <v>1060</v>
      </c>
      <c r="AA127" s="44" t="s">
        <v>61</v>
      </c>
      <c r="AB127" s="45">
        <v>40280</v>
      </c>
      <c r="AC127" s="101" t="s">
        <v>30</v>
      </c>
      <c r="AD127" s="36" t="s">
        <v>26</v>
      </c>
      <c r="AE127" s="47" t="s">
        <v>49</v>
      </c>
      <c r="AF127" s="48" t="s">
        <v>49</v>
      </c>
      <c r="AG127" s="48" t="s">
        <v>41</v>
      </c>
      <c r="AH127" s="48" t="s">
        <v>41</v>
      </c>
      <c r="AI127" s="48" t="s">
        <v>41</v>
      </c>
      <c r="AJ127" s="48" t="s">
        <v>41</v>
      </c>
      <c r="AK127" s="49" t="s">
        <v>41</v>
      </c>
      <c r="AL127" s="48" t="s">
        <v>41</v>
      </c>
      <c r="AM127" s="62" t="s">
        <v>4587</v>
      </c>
      <c r="AN127" s="62"/>
      <c r="AO127" s="59"/>
      <c r="AP127" s="10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1"/>
    </row>
    <row r="128" spans="1:53" x14ac:dyDescent="0.2">
      <c r="A128" s="33">
        <f t="shared" si="2"/>
        <v>123</v>
      </c>
      <c r="B128" s="34" t="s">
        <v>1061</v>
      </c>
      <c r="C128" s="35" t="s">
        <v>1062</v>
      </c>
      <c r="D128" s="36" t="s">
        <v>1063</v>
      </c>
      <c r="E128" s="36"/>
      <c r="F128" s="36" t="s">
        <v>36</v>
      </c>
      <c r="G128" s="34" t="s">
        <v>1064</v>
      </c>
      <c r="H128" s="37" t="s">
        <v>73</v>
      </c>
      <c r="I128" s="37" t="s">
        <v>73</v>
      </c>
      <c r="J128" s="34" t="s">
        <v>1065</v>
      </c>
      <c r="K128" s="34" t="s">
        <v>41</v>
      </c>
      <c r="L128" s="39" t="s">
        <v>42</v>
      </c>
      <c r="M128" s="120">
        <v>37718</v>
      </c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2" t="s">
        <v>1066</v>
      </c>
      <c r="Z128" s="52" t="s">
        <v>1067</v>
      </c>
      <c r="AA128" s="44" t="s">
        <v>61</v>
      </c>
      <c r="AB128" s="45">
        <v>37877</v>
      </c>
      <c r="AC128" s="101" t="s">
        <v>30</v>
      </c>
      <c r="AD128" s="36"/>
      <c r="AE128" s="47" t="s">
        <v>49</v>
      </c>
      <c r="AF128" s="48" t="s">
        <v>41</v>
      </c>
      <c r="AG128" s="48" t="s">
        <v>41</v>
      </c>
      <c r="AH128" s="48" t="s">
        <v>41</v>
      </c>
      <c r="AI128" s="48" t="s">
        <v>41</v>
      </c>
      <c r="AJ128" s="48" t="s">
        <v>41</v>
      </c>
      <c r="AK128" s="49" t="s">
        <v>41</v>
      </c>
      <c r="AL128" s="48" t="s">
        <v>41</v>
      </c>
      <c r="AM128" s="65" t="s">
        <v>4590</v>
      </c>
      <c r="AN128" s="65"/>
      <c r="AO128" s="59" t="s">
        <v>1068</v>
      </c>
      <c r="AP128" s="10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1"/>
    </row>
    <row r="129" spans="1:53" x14ac:dyDescent="0.2">
      <c r="A129" s="33">
        <f t="shared" si="2"/>
        <v>124</v>
      </c>
      <c r="B129" s="34" t="s">
        <v>1069</v>
      </c>
      <c r="C129" s="35" t="s">
        <v>1070</v>
      </c>
      <c r="D129" s="36" t="s">
        <v>1071</v>
      </c>
      <c r="E129" s="334">
        <v>27106</v>
      </c>
      <c r="F129" s="36" t="s">
        <v>54</v>
      </c>
      <c r="G129" s="34" t="s">
        <v>1072</v>
      </c>
      <c r="H129" s="37" t="s">
        <v>4660</v>
      </c>
      <c r="I129" s="37" t="s">
        <v>39</v>
      </c>
      <c r="J129" s="34" t="s">
        <v>1073</v>
      </c>
      <c r="K129" s="34" t="s">
        <v>41</v>
      </c>
      <c r="L129" s="39" t="s">
        <v>42</v>
      </c>
      <c r="M129" s="99" t="s">
        <v>1074</v>
      </c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2" t="s">
        <v>1075</v>
      </c>
      <c r="Z129" s="100" t="s">
        <v>1076</v>
      </c>
      <c r="AA129" s="44" t="s">
        <v>61</v>
      </c>
      <c r="AB129" s="45">
        <v>37877</v>
      </c>
      <c r="AC129" s="101" t="s">
        <v>30</v>
      </c>
      <c r="AD129" s="36" t="s">
        <v>26</v>
      </c>
      <c r="AE129" s="47" t="s">
        <v>49</v>
      </c>
      <c r="AF129" s="48" t="s">
        <v>49</v>
      </c>
      <c r="AG129" s="48" t="s">
        <v>49</v>
      </c>
      <c r="AH129" s="48" t="s">
        <v>49</v>
      </c>
      <c r="AI129" s="48" t="s">
        <v>49</v>
      </c>
      <c r="AJ129" s="48" t="s">
        <v>49</v>
      </c>
      <c r="AK129" s="49" t="s">
        <v>49</v>
      </c>
      <c r="AL129" s="48" t="s">
        <v>49</v>
      </c>
      <c r="AM129" s="62" t="s">
        <v>32</v>
      </c>
      <c r="AN129" s="62"/>
      <c r="AO129" s="59"/>
      <c r="AP129" s="10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1"/>
    </row>
    <row r="130" spans="1:53" x14ac:dyDescent="0.2">
      <c r="A130" s="33">
        <f t="shared" si="2"/>
        <v>125</v>
      </c>
      <c r="B130" s="34" t="s">
        <v>1077</v>
      </c>
      <c r="C130" s="35" t="s">
        <v>1078</v>
      </c>
      <c r="D130" s="73" t="s">
        <v>1079</v>
      </c>
      <c r="E130" s="73"/>
      <c r="F130" s="36" t="s">
        <v>54</v>
      </c>
      <c r="G130" s="98" t="s">
        <v>1080</v>
      </c>
      <c r="H130" s="37" t="s">
        <v>252</v>
      </c>
      <c r="I130" s="37" t="s">
        <v>57</v>
      </c>
      <c r="J130" s="38" t="s">
        <v>1081</v>
      </c>
      <c r="K130" s="38" t="s">
        <v>41</v>
      </c>
      <c r="L130" s="39" t="s">
        <v>42</v>
      </c>
      <c r="M130" s="99" t="s">
        <v>1082</v>
      </c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42" t="s">
        <v>1083</v>
      </c>
      <c r="Z130" s="69" t="s">
        <v>1084</v>
      </c>
      <c r="AA130" s="44" t="s">
        <v>1085</v>
      </c>
      <c r="AB130" s="45">
        <v>44041</v>
      </c>
      <c r="AC130" s="101" t="s">
        <v>30</v>
      </c>
      <c r="AD130" s="73" t="s">
        <v>26</v>
      </c>
      <c r="AE130" s="47" t="s">
        <v>49</v>
      </c>
      <c r="AF130" s="48" t="s">
        <v>49</v>
      </c>
      <c r="AG130" s="48" t="s">
        <v>49</v>
      </c>
      <c r="AH130" s="48" t="s">
        <v>49</v>
      </c>
      <c r="AI130" s="48" t="s">
        <v>49</v>
      </c>
      <c r="AJ130" s="48" t="s">
        <v>49</v>
      </c>
      <c r="AK130" s="49" t="s">
        <v>49</v>
      </c>
      <c r="AL130" s="48" t="s">
        <v>41</v>
      </c>
      <c r="AM130" s="65" t="s">
        <v>148</v>
      </c>
      <c r="AN130" s="65"/>
      <c r="AO130" s="59"/>
      <c r="AP130" s="10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1"/>
    </row>
    <row r="131" spans="1:53" x14ac:dyDescent="0.2">
      <c r="A131" s="33">
        <f t="shared" si="2"/>
        <v>126</v>
      </c>
      <c r="B131" s="34" t="s">
        <v>1086</v>
      </c>
      <c r="C131" s="35" t="s">
        <v>1087</v>
      </c>
      <c r="D131" s="36" t="s">
        <v>1088</v>
      </c>
      <c r="E131" s="334">
        <v>25890</v>
      </c>
      <c r="F131" s="36" t="s">
        <v>54</v>
      </c>
      <c r="G131" s="34" t="s">
        <v>1089</v>
      </c>
      <c r="H131" s="37" t="s">
        <v>73</v>
      </c>
      <c r="I131" s="37" t="s">
        <v>73</v>
      </c>
      <c r="J131" s="34" t="s">
        <v>1090</v>
      </c>
      <c r="K131" s="34" t="s">
        <v>41</v>
      </c>
      <c r="L131" s="39" t="s">
        <v>42</v>
      </c>
      <c r="M131" s="99" t="s">
        <v>1091</v>
      </c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2" t="s">
        <v>1092</v>
      </c>
      <c r="Z131" s="69" t="s">
        <v>1093</v>
      </c>
      <c r="AA131" s="44" t="s">
        <v>1094</v>
      </c>
      <c r="AB131" s="45">
        <v>43200</v>
      </c>
      <c r="AC131" s="101" t="s">
        <v>30</v>
      </c>
      <c r="AD131" s="36" t="s">
        <v>26</v>
      </c>
      <c r="AE131" s="47" t="s">
        <v>49</v>
      </c>
      <c r="AF131" s="48" t="s">
        <v>49</v>
      </c>
      <c r="AG131" s="48" t="s">
        <v>49</v>
      </c>
      <c r="AH131" s="48" t="s">
        <v>49</v>
      </c>
      <c r="AI131" s="48" t="s">
        <v>49</v>
      </c>
      <c r="AJ131" s="48" t="s">
        <v>41</v>
      </c>
      <c r="AK131" s="49" t="s">
        <v>41</v>
      </c>
      <c r="AL131" s="48" t="s">
        <v>41</v>
      </c>
      <c r="AM131" s="62" t="s">
        <v>4589</v>
      </c>
      <c r="AN131" s="62"/>
      <c r="AO131" s="59"/>
      <c r="AP131" s="10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1"/>
    </row>
    <row r="132" spans="1:53" x14ac:dyDescent="0.2">
      <c r="A132" s="33">
        <f t="shared" si="2"/>
        <v>127</v>
      </c>
      <c r="B132" s="34" t="s">
        <v>1095</v>
      </c>
      <c r="C132" s="35" t="s">
        <v>1096</v>
      </c>
      <c r="D132" s="73" t="s">
        <v>1097</v>
      </c>
      <c r="E132" s="335">
        <v>32399</v>
      </c>
      <c r="F132" s="36" t="s">
        <v>36</v>
      </c>
      <c r="G132" s="98" t="s">
        <v>1098</v>
      </c>
      <c r="H132" s="37" t="s">
        <v>73</v>
      </c>
      <c r="I132" s="37" t="s">
        <v>73</v>
      </c>
      <c r="J132" s="38" t="s">
        <v>1099</v>
      </c>
      <c r="K132" s="38" t="s">
        <v>41</v>
      </c>
      <c r="L132" s="39" t="s">
        <v>42</v>
      </c>
      <c r="M132" s="99" t="s">
        <v>1100</v>
      </c>
      <c r="N132" s="56"/>
      <c r="O132" s="56"/>
      <c r="P132" s="56"/>
      <c r="Q132" s="56"/>
      <c r="R132" s="56"/>
      <c r="S132" s="56"/>
      <c r="T132" s="56" t="s">
        <v>44</v>
      </c>
      <c r="U132" s="56"/>
      <c r="V132" s="56"/>
      <c r="W132" s="56"/>
      <c r="X132" s="56"/>
      <c r="Y132" s="42" t="s">
        <v>1101</v>
      </c>
      <c r="Z132" s="58" t="s">
        <v>1102</v>
      </c>
      <c r="AA132" s="44" t="s">
        <v>1103</v>
      </c>
      <c r="AB132" s="45">
        <v>44944</v>
      </c>
      <c r="AC132" s="101" t="s">
        <v>30</v>
      </c>
      <c r="AD132" s="73"/>
      <c r="AE132" s="47" t="s">
        <v>49</v>
      </c>
      <c r="AF132" s="48" t="s">
        <v>41</v>
      </c>
      <c r="AG132" s="48" t="s">
        <v>41</v>
      </c>
      <c r="AH132" s="48" t="s">
        <v>49</v>
      </c>
      <c r="AI132" s="48" t="s">
        <v>49</v>
      </c>
      <c r="AJ132" s="48" t="s">
        <v>41</v>
      </c>
      <c r="AK132" s="49" t="s">
        <v>41</v>
      </c>
      <c r="AL132" s="48" t="s">
        <v>41</v>
      </c>
      <c r="AM132" s="62" t="s">
        <v>4589</v>
      </c>
      <c r="AN132" s="62"/>
      <c r="AO132" s="59"/>
      <c r="AP132" s="117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1"/>
    </row>
    <row r="133" spans="1:53" x14ac:dyDescent="0.2">
      <c r="A133" s="33">
        <f t="shared" si="2"/>
        <v>128</v>
      </c>
      <c r="B133" s="34" t="s">
        <v>1104</v>
      </c>
      <c r="C133" s="35" t="s">
        <v>1105</v>
      </c>
      <c r="D133" s="36" t="s">
        <v>1106</v>
      </c>
      <c r="E133" s="334">
        <v>32591</v>
      </c>
      <c r="F133" s="36" t="s">
        <v>54</v>
      </c>
      <c r="G133" s="34" t="s">
        <v>1107</v>
      </c>
      <c r="H133" s="37" t="s">
        <v>252</v>
      </c>
      <c r="I133" s="37" t="s">
        <v>57</v>
      </c>
      <c r="J133" s="38" t="s">
        <v>1108</v>
      </c>
      <c r="K133" s="34" t="s">
        <v>41</v>
      </c>
      <c r="L133" s="39" t="s">
        <v>42</v>
      </c>
      <c r="M133" s="158" t="s">
        <v>1109</v>
      </c>
      <c r="N133" s="41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42" t="s">
        <v>1110</v>
      </c>
      <c r="Z133" s="58" t="s">
        <v>1111</v>
      </c>
      <c r="AA133" s="44" t="s">
        <v>1112</v>
      </c>
      <c r="AB133" s="45">
        <v>44041</v>
      </c>
      <c r="AC133" s="101" t="s">
        <v>30</v>
      </c>
      <c r="AD133" s="36" t="s">
        <v>26</v>
      </c>
      <c r="AE133" s="47" t="s">
        <v>49</v>
      </c>
      <c r="AF133" s="48" t="s">
        <v>49</v>
      </c>
      <c r="AG133" s="48" t="s">
        <v>49</v>
      </c>
      <c r="AH133" s="48" t="s">
        <v>49</v>
      </c>
      <c r="AI133" s="48" t="s">
        <v>49</v>
      </c>
      <c r="AJ133" s="48" t="s">
        <v>49</v>
      </c>
      <c r="AK133" s="49" t="s">
        <v>49</v>
      </c>
      <c r="AL133" s="48" t="s">
        <v>49</v>
      </c>
      <c r="AM133" s="62" t="s">
        <v>32</v>
      </c>
      <c r="AN133" s="62"/>
      <c r="AO133" s="59"/>
      <c r="AP133" s="10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1"/>
    </row>
    <row r="134" spans="1:53" x14ac:dyDescent="0.2">
      <c r="A134" s="33">
        <f t="shared" si="2"/>
        <v>129</v>
      </c>
      <c r="B134" s="34" t="s">
        <v>1113</v>
      </c>
      <c r="C134" s="35" t="s">
        <v>1114</v>
      </c>
      <c r="D134" s="36" t="s">
        <v>1115</v>
      </c>
      <c r="E134" s="36"/>
      <c r="F134" s="36" t="s">
        <v>54</v>
      </c>
      <c r="G134" s="98" t="s">
        <v>1116</v>
      </c>
      <c r="H134" s="37" t="s">
        <v>73</v>
      </c>
      <c r="I134" s="37" t="s">
        <v>73</v>
      </c>
      <c r="J134" s="34" t="s">
        <v>1117</v>
      </c>
      <c r="K134" s="34" t="s">
        <v>1118</v>
      </c>
      <c r="L134" s="39" t="s">
        <v>42</v>
      </c>
      <c r="M134" s="99" t="s">
        <v>1119</v>
      </c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42" t="s">
        <v>1120</v>
      </c>
      <c r="Z134" s="58" t="s">
        <v>1121</v>
      </c>
      <c r="AA134" s="44" t="s">
        <v>61</v>
      </c>
      <c r="AB134" s="45">
        <v>38593</v>
      </c>
      <c r="AC134" s="101" t="s">
        <v>30</v>
      </c>
      <c r="AD134" s="36" t="s">
        <v>26</v>
      </c>
      <c r="AE134" s="47" t="s">
        <v>49</v>
      </c>
      <c r="AF134" s="48" t="s">
        <v>49</v>
      </c>
      <c r="AG134" s="48" t="s">
        <v>49</v>
      </c>
      <c r="AH134" s="48" t="s">
        <v>49</v>
      </c>
      <c r="AI134" s="48" t="s">
        <v>49</v>
      </c>
      <c r="AJ134" s="48" t="s">
        <v>49</v>
      </c>
      <c r="AK134" s="49" t="s">
        <v>49</v>
      </c>
      <c r="AL134" s="48" t="s">
        <v>41</v>
      </c>
      <c r="AM134" s="62" t="s">
        <v>148</v>
      </c>
      <c r="AN134" s="62"/>
      <c r="AO134" s="59"/>
      <c r="AP134" s="10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1"/>
    </row>
    <row r="135" spans="1:53" x14ac:dyDescent="0.2">
      <c r="A135" s="33">
        <f t="shared" si="2"/>
        <v>130</v>
      </c>
      <c r="B135" s="34" t="s">
        <v>1122</v>
      </c>
      <c r="C135" s="35" t="s">
        <v>1123</v>
      </c>
      <c r="D135" s="36" t="s">
        <v>1124</v>
      </c>
      <c r="E135" s="334">
        <v>16966</v>
      </c>
      <c r="F135" s="36" t="s">
        <v>36</v>
      </c>
      <c r="G135" s="34" t="s">
        <v>1125</v>
      </c>
      <c r="H135" s="37" t="s">
        <v>73</v>
      </c>
      <c r="I135" s="37" t="s">
        <v>73</v>
      </c>
      <c r="J135" s="34" t="s">
        <v>1126</v>
      </c>
      <c r="K135" s="34" t="s">
        <v>41</v>
      </c>
      <c r="L135" s="39" t="s">
        <v>42</v>
      </c>
      <c r="M135" s="120">
        <v>34156</v>
      </c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42" t="s">
        <v>1127</v>
      </c>
      <c r="Z135" s="58" t="s">
        <v>1128</v>
      </c>
      <c r="AA135" s="44" t="s">
        <v>1129</v>
      </c>
      <c r="AB135" s="45" t="s">
        <v>1130</v>
      </c>
      <c r="AC135" s="101" t="s">
        <v>30</v>
      </c>
      <c r="AD135" s="36"/>
      <c r="AE135" s="47" t="s">
        <v>49</v>
      </c>
      <c r="AF135" s="48" t="s">
        <v>41</v>
      </c>
      <c r="AG135" s="48" t="s">
        <v>41</v>
      </c>
      <c r="AH135" s="48" t="s">
        <v>41</v>
      </c>
      <c r="AI135" s="48" t="s">
        <v>41</v>
      </c>
      <c r="AJ135" s="48" t="s">
        <v>41</v>
      </c>
      <c r="AK135" s="49" t="s">
        <v>41</v>
      </c>
      <c r="AL135" s="48" t="s">
        <v>41</v>
      </c>
      <c r="AM135" s="65" t="s">
        <v>4592</v>
      </c>
      <c r="AN135" s="65"/>
      <c r="AO135" s="59" t="s">
        <v>1068</v>
      </c>
      <c r="AP135" s="10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1"/>
    </row>
    <row r="136" spans="1:53" x14ac:dyDescent="0.2">
      <c r="A136" s="33">
        <f t="shared" ref="A136:A199" si="3">+A135+1</f>
        <v>131</v>
      </c>
      <c r="B136" s="34" t="s">
        <v>1131</v>
      </c>
      <c r="C136" s="35" t="s">
        <v>1132</v>
      </c>
      <c r="D136" s="36" t="s">
        <v>1133</v>
      </c>
      <c r="E136" s="334">
        <v>22989</v>
      </c>
      <c r="F136" s="36" t="s">
        <v>54</v>
      </c>
      <c r="G136" s="87" t="s">
        <v>1134</v>
      </c>
      <c r="H136" s="37" t="s">
        <v>73</v>
      </c>
      <c r="I136" s="37" t="s">
        <v>73</v>
      </c>
      <c r="J136" s="107" t="s">
        <v>1135</v>
      </c>
      <c r="K136" s="34" t="s">
        <v>1136</v>
      </c>
      <c r="L136" s="39" t="s">
        <v>42</v>
      </c>
      <c r="M136" s="120">
        <v>31057</v>
      </c>
      <c r="N136" s="41" t="s">
        <v>179</v>
      </c>
      <c r="O136" s="41" t="s">
        <v>179</v>
      </c>
      <c r="P136" s="41"/>
      <c r="Q136" s="41">
        <v>1</v>
      </c>
      <c r="R136" s="41" t="s">
        <v>732</v>
      </c>
      <c r="S136" s="41"/>
      <c r="T136" s="41"/>
      <c r="U136" s="41"/>
      <c r="V136" s="41"/>
      <c r="W136" s="41"/>
      <c r="X136" s="41"/>
      <c r="Y136" s="42" t="s">
        <v>1137</v>
      </c>
      <c r="Z136" s="69" t="s">
        <v>1138</v>
      </c>
      <c r="AA136" s="44" t="s">
        <v>61</v>
      </c>
      <c r="AB136" s="45">
        <v>34597</v>
      </c>
      <c r="AC136" s="101" t="s">
        <v>30</v>
      </c>
      <c r="AD136" s="36" t="s">
        <v>26</v>
      </c>
      <c r="AE136" s="64" t="s">
        <v>120</v>
      </c>
      <c r="AF136" s="48" t="s">
        <v>120</v>
      </c>
      <c r="AG136" s="48" t="s">
        <v>120</v>
      </c>
      <c r="AH136" s="48" t="s">
        <v>120</v>
      </c>
      <c r="AI136" s="48" t="s">
        <v>120</v>
      </c>
      <c r="AJ136" s="48" t="s">
        <v>120</v>
      </c>
      <c r="AK136" s="49" t="s">
        <v>41</v>
      </c>
      <c r="AL136" s="48" t="s">
        <v>41</v>
      </c>
      <c r="AM136" s="62" t="s">
        <v>276</v>
      </c>
      <c r="AN136" s="62"/>
      <c r="AO136" s="59"/>
      <c r="AP136" s="10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1"/>
    </row>
    <row r="137" spans="1:53" x14ac:dyDescent="0.2">
      <c r="A137" s="33">
        <f t="shared" si="3"/>
        <v>132</v>
      </c>
      <c r="B137" s="34" t="s">
        <v>1139</v>
      </c>
      <c r="C137" s="35" t="s">
        <v>1140</v>
      </c>
      <c r="D137" s="36" t="s">
        <v>1141</v>
      </c>
      <c r="E137" s="36"/>
      <c r="F137" s="36" t="s">
        <v>54</v>
      </c>
      <c r="G137" s="34" t="s">
        <v>1142</v>
      </c>
      <c r="H137" s="37" t="s">
        <v>252</v>
      </c>
      <c r="I137" s="37" t="s">
        <v>57</v>
      </c>
      <c r="J137" s="34" t="s">
        <v>1143</v>
      </c>
      <c r="K137" s="34" t="s">
        <v>1144</v>
      </c>
      <c r="L137" s="39" t="s">
        <v>42</v>
      </c>
      <c r="M137" s="120">
        <v>30355</v>
      </c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2" t="s">
        <v>1145</v>
      </c>
      <c r="Z137" s="58" t="s">
        <v>1146</v>
      </c>
      <c r="AA137" s="44" t="s">
        <v>61</v>
      </c>
      <c r="AB137" s="45">
        <v>34597</v>
      </c>
      <c r="AC137" s="101" t="s">
        <v>30</v>
      </c>
      <c r="AD137" s="36"/>
      <c r="AE137" s="47" t="s">
        <v>49</v>
      </c>
      <c r="AF137" s="48" t="s">
        <v>41</v>
      </c>
      <c r="AG137" s="48" t="s">
        <v>41</v>
      </c>
      <c r="AH137" s="48" t="s">
        <v>41</v>
      </c>
      <c r="AI137" s="48" t="s">
        <v>41</v>
      </c>
      <c r="AJ137" s="48" t="s">
        <v>41</v>
      </c>
      <c r="AK137" s="49" t="s">
        <v>41</v>
      </c>
      <c r="AL137" s="48" t="s">
        <v>41</v>
      </c>
      <c r="AM137" s="65" t="s">
        <v>4592</v>
      </c>
      <c r="AN137" s="65"/>
      <c r="AO137" s="59" t="s">
        <v>50</v>
      </c>
      <c r="AP137" s="117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1"/>
    </row>
    <row r="138" spans="1:53" x14ac:dyDescent="0.2">
      <c r="A138" s="33">
        <f t="shared" si="3"/>
        <v>133</v>
      </c>
      <c r="B138" s="34" t="s">
        <v>1147</v>
      </c>
      <c r="C138" s="35" t="s">
        <v>1148</v>
      </c>
      <c r="D138" s="36" t="s">
        <v>1149</v>
      </c>
      <c r="E138" s="334">
        <v>29422</v>
      </c>
      <c r="F138" s="36" t="s">
        <v>36</v>
      </c>
      <c r="G138" s="98" t="s">
        <v>1150</v>
      </c>
      <c r="H138" s="37" t="s">
        <v>4605</v>
      </c>
      <c r="I138" s="37" t="s">
        <v>205</v>
      </c>
      <c r="J138" s="38" t="s">
        <v>1151</v>
      </c>
      <c r="K138" s="38" t="s">
        <v>41</v>
      </c>
      <c r="L138" s="39" t="s">
        <v>42</v>
      </c>
      <c r="M138" s="120">
        <v>44290</v>
      </c>
      <c r="N138" s="56"/>
      <c r="O138" s="56"/>
      <c r="P138" s="56"/>
      <c r="Q138" s="56"/>
      <c r="R138" s="56"/>
      <c r="S138" s="56" t="s">
        <v>44</v>
      </c>
      <c r="T138" s="56"/>
      <c r="U138" s="56"/>
      <c r="V138" s="56"/>
      <c r="W138" s="56"/>
      <c r="X138" s="56"/>
      <c r="Y138" s="42" t="s">
        <v>1152</v>
      </c>
      <c r="Z138" s="58" t="s">
        <v>1153</v>
      </c>
      <c r="AA138" s="44" t="s">
        <v>1154</v>
      </c>
      <c r="AB138" s="45">
        <v>44944</v>
      </c>
      <c r="AC138" s="101" t="s">
        <v>30</v>
      </c>
      <c r="AD138" s="36"/>
      <c r="AE138" s="47" t="s">
        <v>49</v>
      </c>
      <c r="AF138" s="48" t="s">
        <v>41</v>
      </c>
      <c r="AG138" s="48" t="s">
        <v>49</v>
      </c>
      <c r="AH138" s="48" t="s">
        <v>49</v>
      </c>
      <c r="AI138" s="48" t="s">
        <v>49</v>
      </c>
      <c r="AJ138" s="48" t="s">
        <v>49</v>
      </c>
      <c r="AK138" s="49" t="s">
        <v>49</v>
      </c>
      <c r="AL138" s="48" t="s">
        <v>49</v>
      </c>
      <c r="AM138" s="62" t="s">
        <v>32</v>
      </c>
      <c r="AN138" s="62"/>
      <c r="AO138" s="59"/>
      <c r="AP138" s="10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1"/>
    </row>
    <row r="139" spans="1:53" x14ac:dyDescent="0.2">
      <c r="A139" s="33">
        <f t="shared" si="3"/>
        <v>134</v>
      </c>
      <c r="B139" s="34" t="s">
        <v>1155</v>
      </c>
      <c r="C139" s="35" t="s">
        <v>1156</v>
      </c>
      <c r="D139" s="36" t="s">
        <v>1157</v>
      </c>
      <c r="E139" s="334">
        <v>30412</v>
      </c>
      <c r="F139" s="36" t="s">
        <v>54</v>
      </c>
      <c r="G139" s="108" t="s">
        <v>1158</v>
      </c>
      <c r="H139" s="37" t="s">
        <v>73</v>
      </c>
      <c r="I139" s="37" t="s">
        <v>73</v>
      </c>
      <c r="J139" s="108" t="s">
        <v>1159</v>
      </c>
      <c r="K139" s="34" t="s">
        <v>41</v>
      </c>
      <c r="L139" s="39" t="s">
        <v>42</v>
      </c>
      <c r="M139" s="99" t="s">
        <v>1160</v>
      </c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7" t="s">
        <v>1161</v>
      </c>
      <c r="Z139" s="58" t="s">
        <v>1162</v>
      </c>
      <c r="AA139" s="44" t="s">
        <v>61</v>
      </c>
      <c r="AB139" s="45">
        <v>42935</v>
      </c>
      <c r="AC139" s="101" t="s">
        <v>30</v>
      </c>
      <c r="AD139" s="36" t="s">
        <v>26</v>
      </c>
      <c r="AE139" s="47" t="s">
        <v>49</v>
      </c>
      <c r="AF139" s="48" t="s">
        <v>49</v>
      </c>
      <c r="AG139" s="48" t="s">
        <v>49</v>
      </c>
      <c r="AH139" s="48" t="s">
        <v>49</v>
      </c>
      <c r="AI139" s="48" t="s">
        <v>49</v>
      </c>
      <c r="AJ139" s="48" t="s">
        <v>49</v>
      </c>
      <c r="AK139" s="49" t="s">
        <v>49</v>
      </c>
      <c r="AL139" s="48" t="s">
        <v>49</v>
      </c>
      <c r="AM139" s="62" t="s">
        <v>32</v>
      </c>
      <c r="AN139" s="62"/>
      <c r="AO139" s="59"/>
      <c r="AP139" s="10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1"/>
    </row>
    <row r="140" spans="1:53" x14ac:dyDescent="0.2">
      <c r="A140" s="33">
        <f t="shared" si="3"/>
        <v>135</v>
      </c>
      <c r="B140" s="34" t="s">
        <v>1163</v>
      </c>
      <c r="C140" s="35" t="s">
        <v>1164</v>
      </c>
      <c r="D140" s="73" t="s">
        <v>1165</v>
      </c>
      <c r="E140" s="335">
        <v>28826</v>
      </c>
      <c r="F140" s="36" t="s">
        <v>54</v>
      </c>
      <c r="G140" s="98" t="s">
        <v>1166</v>
      </c>
      <c r="H140" s="37" t="s">
        <v>56</v>
      </c>
      <c r="I140" s="37" t="s">
        <v>57</v>
      </c>
      <c r="J140" s="140" t="s">
        <v>1167</v>
      </c>
      <c r="K140" s="34" t="s">
        <v>41</v>
      </c>
      <c r="L140" s="39" t="s">
        <v>42</v>
      </c>
      <c r="M140" s="120">
        <v>41951</v>
      </c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42" t="s">
        <v>1168</v>
      </c>
      <c r="Z140" s="58" t="s">
        <v>1169</v>
      </c>
      <c r="AA140" s="44" t="s">
        <v>61</v>
      </c>
      <c r="AB140" s="45">
        <v>41793</v>
      </c>
      <c r="AC140" s="101" t="s">
        <v>30</v>
      </c>
      <c r="AD140" s="73" t="s">
        <v>26</v>
      </c>
      <c r="AE140" s="47" t="s">
        <v>49</v>
      </c>
      <c r="AF140" s="48" t="s">
        <v>49</v>
      </c>
      <c r="AG140" s="48" t="s">
        <v>49</v>
      </c>
      <c r="AH140" s="48" t="s">
        <v>49</v>
      </c>
      <c r="AI140" s="48" t="s">
        <v>49</v>
      </c>
      <c r="AJ140" s="48" t="s">
        <v>49</v>
      </c>
      <c r="AK140" s="49" t="s">
        <v>49</v>
      </c>
      <c r="AL140" s="48" t="s">
        <v>49</v>
      </c>
      <c r="AM140" s="65" t="s">
        <v>32</v>
      </c>
      <c r="AN140" s="65"/>
      <c r="AO140" s="59"/>
      <c r="AP140" s="10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1"/>
    </row>
    <row r="141" spans="1:53" x14ac:dyDescent="0.2">
      <c r="A141" s="33">
        <f t="shared" si="3"/>
        <v>136</v>
      </c>
      <c r="B141" s="34" t="s">
        <v>1170</v>
      </c>
      <c r="C141" s="35" t="s">
        <v>1171</v>
      </c>
      <c r="D141" s="36" t="s">
        <v>1172</v>
      </c>
      <c r="E141" s="334">
        <v>28247</v>
      </c>
      <c r="F141" s="36" t="s">
        <v>54</v>
      </c>
      <c r="G141" s="34" t="s">
        <v>1173</v>
      </c>
      <c r="H141" s="37" t="s">
        <v>349</v>
      </c>
      <c r="I141" s="37" t="s">
        <v>350</v>
      </c>
      <c r="J141" s="34" t="s">
        <v>1174</v>
      </c>
      <c r="K141" s="38" t="s">
        <v>1175</v>
      </c>
      <c r="L141" s="39" t="s">
        <v>42</v>
      </c>
      <c r="M141" s="99" t="s">
        <v>59</v>
      </c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2" t="s">
        <v>1176</v>
      </c>
      <c r="Z141" s="43" t="s">
        <v>1177</v>
      </c>
      <c r="AA141" s="44" t="s">
        <v>1178</v>
      </c>
      <c r="AB141" s="45">
        <v>44041</v>
      </c>
      <c r="AC141" s="101" t="s">
        <v>30</v>
      </c>
      <c r="AD141" s="36" t="s">
        <v>26</v>
      </c>
      <c r="AE141" s="47" t="s">
        <v>49</v>
      </c>
      <c r="AF141" s="48" t="s">
        <v>49</v>
      </c>
      <c r="AG141" s="48" t="s">
        <v>49</v>
      </c>
      <c r="AH141" s="48" t="s">
        <v>49</v>
      </c>
      <c r="AI141" s="48" t="s">
        <v>49</v>
      </c>
      <c r="AJ141" s="48" t="s">
        <v>41</v>
      </c>
      <c r="AK141" s="49" t="s">
        <v>41</v>
      </c>
      <c r="AL141" s="48" t="s">
        <v>41</v>
      </c>
      <c r="AM141" s="62" t="s">
        <v>4589</v>
      </c>
      <c r="AN141" s="62"/>
      <c r="AO141" s="59"/>
      <c r="AP141" s="10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1"/>
    </row>
    <row r="142" spans="1:53" x14ac:dyDescent="0.2">
      <c r="A142" s="33">
        <f t="shared" si="3"/>
        <v>137</v>
      </c>
      <c r="B142" s="34" t="s">
        <v>1179</v>
      </c>
      <c r="C142" s="35" t="s">
        <v>1180</v>
      </c>
      <c r="D142" s="36" t="s">
        <v>1181</v>
      </c>
      <c r="E142" s="334">
        <v>23265</v>
      </c>
      <c r="F142" s="36" t="s">
        <v>36</v>
      </c>
      <c r="G142" s="34" t="s">
        <v>1182</v>
      </c>
      <c r="H142" s="37" t="s">
        <v>456</v>
      </c>
      <c r="I142" s="37" t="s">
        <v>187</v>
      </c>
      <c r="J142" s="38" t="s">
        <v>1183</v>
      </c>
      <c r="K142" s="38" t="s">
        <v>41</v>
      </c>
      <c r="L142" s="39" t="s">
        <v>42</v>
      </c>
      <c r="M142" s="159" t="s">
        <v>1184</v>
      </c>
      <c r="N142" s="70"/>
      <c r="O142" s="70"/>
      <c r="P142" s="70"/>
      <c r="Q142" s="70"/>
      <c r="R142" s="70"/>
      <c r="S142" s="70"/>
      <c r="T142" s="70" t="s">
        <v>44</v>
      </c>
      <c r="U142" s="70"/>
      <c r="V142" s="70"/>
      <c r="W142" s="70"/>
      <c r="X142" s="70"/>
      <c r="Y142" s="54" t="s">
        <v>1185</v>
      </c>
      <c r="Z142" s="43" t="s">
        <v>1186</v>
      </c>
      <c r="AA142" s="44" t="s">
        <v>1154</v>
      </c>
      <c r="AB142" s="45">
        <v>44944</v>
      </c>
      <c r="AC142" s="160" t="s">
        <v>30</v>
      </c>
      <c r="AD142" s="36"/>
      <c r="AE142" s="47" t="s">
        <v>49</v>
      </c>
      <c r="AF142" s="48" t="s">
        <v>41</v>
      </c>
      <c r="AG142" s="48" t="s">
        <v>41</v>
      </c>
      <c r="AH142" s="48" t="s">
        <v>49</v>
      </c>
      <c r="AI142" s="48" t="s">
        <v>49</v>
      </c>
      <c r="AJ142" s="48" t="s">
        <v>41</v>
      </c>
      <c r="AK142" s="49" t="s">
        <v>41</v>
      </c>
      <c r="AL142" s="48" t="s">
        <v>41</v>
      </c>
      <c r="AM142" s="62" t="s">
        <v>4589</v>
      </c>
      <c r="AN142" s="324"/>
      <c r="AO142" s="138"/>
      <c r="AP142" s="10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1"/>
    </row>
    <row r="143" spans="1:53" x14ac:dyDescent="0.2">
      <c r="A143" s="33">
        <f t="shared" si="3"/>
        <v>138</v>
      </c>
      <c r="B143" s="34" t="s">
        <v>1187</v>
      </c>
      <c r="C143" s="35" t="s">
        <v>1188</v>
      </c>
      <c r="D143" s="73" t="s">
        <v>1189</v>
      </c>
      <c r="E143" s="335">
        <v>30478</v>
      </c>
      <c r="F143" s="36" t="s">
        <v>54</v>
      </c>
      <c r="G143" s="98" t="s">
        <v>1190</v>
      </c>
      <c r="H143" s="37" t="s">
        <v>858</v>
      </c>
      <c r="I143" s="37" t="s">
        <v>57</v>
      </c>
      <c r="J143" s="140" t="s">
        <v>1191</v>
      </c>
      <c r="K143" s="38" t="s">
        <v>1192</v>
      </c>
      <c r="L143" s="39" t="s">
        <v>42</v>
      </c>
      <c r="M143" s="161" t="s">
        <v>1193</v>
      </c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42" t="s">
        <v>1194</v>
      </c>
      <c r="Z143" s="58" t="s">
        <v>1195</v>
      </c>
      <c r="AA143" s="119" t="s">
        <v>1196</v>
      </c>
      <c r="AB143" s="45">
        <v>44041</v>
      </c>
      <c r="AC143" s="160" t="s">
        <v>30</v>
      </c>
      <c r="AD143" s="73" t="s">
        <v>26</v>
      </c>
      <c r="AE143" s="47" t="s">
        <v>49</v>
      </c>
      <c r="AF143" s="48" t="s">
        <v>49</v>
      </c>
      <c r="AG143" s="48" t="s">
        <v>49</v>
      </c>
      <c r="AH143" s="48" t="s">
        <v>49</v>
      </c>
      <c r="AI143" s="48" t="s">
        <v>49</v>
      </c>
      <c r="AJ143" s="48" t="s">
        <v>41</v>
      </c>
      <c r="AK143" s="49" t="s">
        <v>41</v>
      </c>
      <c r="AL143" s="48" t="s">
        <v>41</v>
      </c>
      <c r="AM143" s="62" t="s">
        <v>4589</v>
      </c>
      <c r="AN143" s="324"/>
      <c r="AO143" s="138"/>
      <c r="AP143" s="10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1"/>
    </row>
    <row r="144" spans="1:53" x14ac:dyDescent="0.2">
      <c r="A144" s="33">
        <f t="shared" si="3"/>
        <v>139</v>
      </c>
      <c r="B144" s="34" t="s">
        <v>1197</v>
      </c>
      <c r="C144" s="35" t="s">
        <v>1198</v>
      </c>
      <c r="D144" s="36" t="s">
        <v>1199</v>
      </c>
      <c r="E144" s="334">
        <v>27552</v>
      </c>
      <c r="F144" s="36" t="s">
        <v>36</v>
      </c>
      <c r="G144" s="34" t="s">
        <v>1200</v>
      </c>
      <c r="H144" s="37" t="s">
        <v>73</v>
      </c>
      <c r="I144" s="37" t="s">
        <v>73</v>
      </c>
      <c r="J144" s="34" t="s">
        <v>1201</v>
      </c>
      <c r="K144" s="34" t="s">
        <v>1202</v>
      </c>
      <c r="L144" s="39" t="s">
        <v>42</v>
      </c>
      <c r="M144" s="159" t="s">
        <v>1203</v>
      </c>
      <c r="N144" s="68"/>
      <c r="O144" s="68"/>
      <c r="P144" s="68"/>
      <c r="Q144" s="68"/>
      <c r="R144" s="68"/>
      <c r="S144" s="68"/>
      <c r="T144" s="68"/>
      <c r="U144" s="68" t="s">
        <v>732</v>
      </c>
      <c r="V144" s="68"/>
      <c r="W144" s="68"/>
      <c r="X144" s="68"/>
      <c r="Y144" s="42" t="s">
        <v>1204</v>
      </c>
      <c r="Z144" s="58" t="s">
        <v>1205</v>
      </c>
      <c r="AA144" s="162"/>
      <c r="AB144" s="45" t="s">
        <v>47</v>
      </c>
      <c r="AC144" s="160"/>
      <c r="AD144" s="36" t="s">
        <v>26</v>
      </c>
      <c r="AE144" s="47" t="s">
        <v>49</v>
      </c>
      <c r="AF144" s="48" t="s">
        <v>49</v>
      </c>
      <c r="AG144" s="48" t="s">
        <v>49</v>
      </c>
      <c r="AH144" s="48" t="s">
        <v>49</v>
      </c>
      <c r="AI144" s="48" t="s">
        <v>49</v>
      </c>
      <c r="AJ144" s="48" t="s">
        <v>49</v>
      </c>
      <c r="AK144" s="49" t="s">
        <v>49</v>
      </c>
      <c r="AL144" s="48" t="s">
        <v>49</v>
      </c>
      <c r="AM144" s="62" t="s">
        <v>32</v>
      </c>
      <c r="AN144" s="324"/>
      <c r="AO144" s="138"/>
      <c r="AP144" s="102"/>
      <c r="AQ144" s="32"/>
      <c r="AR144" s="32"/>
      <c r="AS144" s="32"/>
      <c r="AT144" s="32"/>
      <c r="AU144" s="32"/>
      <c r="AV144" s="32"/>
      <c r="AW144" s="32"/>
      <c r="AX144" s="32"/>
      <c r="AY144" s="32"/>
      <c r="AZ144" s="32"/>
      <c r="BA144" s="31"/>
    </row>
    <row r="145" spans="1:53" x14ac:dyDescent="0.2">
      <c r="A145" s="33">
        <f t="shared" si="3"/>
        <v>140</v>
      </c>
      <c r="B145" s="107" t="s">
        <v>1206</v>
      </c>
      <c r="C145" s="35" t="s">
        <v>1207</v>
      </c>
      <c r="D145" s="36" t="s">
        <v>1208</v>
      </c>
      <c r="E145" s="334">
        <v>25985</v>
      </c>
      <c r="F145" s="36" t="s">
        <v>54</v>
      </c>
      <c r="G145" s="34" t="s">
        <v>1209</v>
      </c>
      <c r="H145" s="37" t="s">
        <v>176</v>
      </c>
      <c r="I145" s="37" t="s">
        <v>39</v>
      </c>
      <c r="J145" s="34" t="s">
        <v>1210</v>
      </c>
      <c r="K145" s="38" t="s">
        <v>1211</v>
      </c>
      <c r="L145" s="39" t="s">
        <v>42</v>
      </c>
      <c r="M145" s="99" t="s">
        <v>825</v>
      </c>
      <c r="N145" s="115"/>
      <c r="O145" s="147"/>
      <c r="P145" s="147"/>
      <c r="Q145" s="147"/>
      <c r="R145" s="147"/>
      <c r="S145" s="147"/>
      <c r="T145" s="115"/>
      <c r="U145" s="114"/>
      <c r="V145" s="115"/>
      <c r="W145" s="56"/>
      <c r="X145" s="56"/>
      <c r="Y145" s="42" t="s">
        <v>1212</v>
      </c>
      <c r="Z145" s="58" t="s">
        <v>1213</v>
      </c>
      <c r="AA145" s="44" t="s">
        <v>61</v>
      </c>
      <c r="AB145" s="45">
        <v>39286</v>
      </c>
      <c r="AC145" s="101" t="s">
        <v>30</v>
      </c>
      <c r="AD145" s="36" t="s">
        <v>26</v>
      </c>
      <c r="AE145" s="47" t="s">
        <v>49</v>
      </c>
      <c r="AF145" s="48" t="s">
        <v>49</v>
      </c>
      <c r="AG145" s="48" t="s">
        <v>49</v>
      </c>
      <c r="AH145" s="48" t="s">
        <v>49</v>
      </c>
      <c r="AI145" s="48" t="s">
        <v>49</v>
      </c>
      <c r="AJ145" s="48" t="s">
        <v>49</v>
      </c>
      <c r="AK145" s="49" t="s">
        <v>49</v>
      </c>
      <c r="AL145" s="48" t="s">
        <v>49</v>
      </c>
      <c r="AM145" s="62" t="s">
        <v>32</v>
      </c>
      <c r="AN145" s="324"/>
      <c r="AO145" s="138"/>
      <c r="AP145" s="102"/>
      <c r="AQ145" s="32"/>
      <c r="AR145" s="32"/>
      <c r="AS145" s="32"/>
      <c r="AT145" s="32"/>
      <c r="AU145" s="32"/>
      <c r="AV145" s="32"/>
      <c r="AW145" s="32"/>
      <c r="AX145" s="32"/>
      <c r="AY145" s="32"/>
      <c r="AZ145" s="32"/>
      <c r="BA145" s="31"/>
    </row>
    <row r="146" spans="1:53" x14ac:dyDescent="0.2">
      <c r="A146" s="33">
        <f t="shared" si="3"/>
        <v>141</v>
      </c>
      <c r="B146" s="34" t="s">
        <v>1214</v>
      </c>
      <c r="C146" s="35" t="s">
        <v>1215</v>
      </c>
      <c r="D146" s="36" t="s">
        <v>1216</v>
      </c>
      <c r="E146" s="334">
        <v>30122</v>
      </c>
      <c r="F146" s="36" t="s">
        <v>36</v>
      </c>
      <c r="G146" s="34" t="s">
        <v>1217</v>
      </c>
      <c r="H146" s="37" t="s">
        <v>73</v>
      </c>
      <c r="I146" s="37" t="s">
        <v>73</v>
      </c>
      <c r="J146" s="34">
        <v>85781123929</v>
      </c>
      <c r="K146" s="34" t="s">
        <v>41</v>
      </c>
      <c r="L146" s="39" t="s">
        <v>42</v>
      </c>
      <c r="M146" s="163" t="s">
        <v>1218</v>
      </c>
      <c r="N146" s="115"/>
      <c r="O146" s="147"/>
      <c r="P146" s="147"/>
      <c r="Q146" s="147"/>
      <c r="R146" s="147"/>
      <c r="S146" s="147"/>
      <c r="T146" s="115"/>
      <c r="U146" s="114"/>
      <c r="V146" s="115"/>
      <c r="W146" s="56"/>
      <c r="X146" s="56"/>
      <c r="Y146" s="42" t="s">
        <v>1219</v>
      </c>
      <c r="Z146" s="58" t="s">
        <v>1220</v>
      </c>
      <c r="AA146" s="121" t="s">
        <v>1221</v>
      </c>
      <c r="AB146" s="45">
        <v>44650</v>
      </c>
      <c r="AC146" s="164" t="s">
        <v>30</v>
      </c>
      <c r="AD146" s="36" t="s">
        <v>26</v>
      </c>
      <c r="AE146" s="47" t="s">
        <v>49</v>
      </c>
      <c r="AF146" s="48" t="s">
        <v>49</v>
      </c>
      <c r="AG146" s="48" t="s">
        <v>49</v>
      </c>
      <c r="AH146" s="48" t="s">
        <v>49</v>
      </c>
      <c r="AI146" s="48" t="s">
        <v>49</v>
      </c>
      <c r="AJ146" s="48" t="s">
        <v>49</v>
      </c>
      <c r="AK146" s="49" t="s">
        <v>49</v>
      </c>
      <c r="AL146" s="48" t="s">
        <v>49</v>
      </c>
      <c r="AM146" s="65" t="s">
        <v>32</v>
      </c>
      <c r="AN146" s="65"/>
      <c r="AO146" s="103"/>
      <c r="AP146" s="10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1"/>
    </row>
    <row r="147" spans="1:53" x14ac:dyDescent="0.2">
      <c r="A147" s="33">
        <f t="shared" si="3"/>
        <v>142</v>
      </c>
      <c r="B147" s="34" t="s">
        <v>1222</v>
      </c>
      <c r="C147" s="35" t="s">
        <v>1223</v>
      </c>
      <c r="D147" s="73" t="s">
        <v>1224</v>
      </c>
      <c r="E147" s="73"/>
      <c r="F147" s="36" t="s">
        <v>54</v>
      </c>
      <c r="G147" s="98" t="s">
        <v>1225</v>
      </c>
      <c r="H147" s="37" t="s">
        <v>73</v>
      </c>
      <c r="I147" s="37" t="s">
        <v>73</v>
      </c>
      <c r="J147" s="140" t="s">
        <v>1226</v>
      </c>
      <c r="K147" s="34" t="s">
        <v>41</v>
      </c>
      <c r="L147" s="39" t="s">
        <v>42</v>
      </c>
      <c r="M147" s="165" t="s">
        <v>1227</v>
      </c>
      <c r="N147" s="115" t="s">
        <v>179</v>
      </c>
      <c r="O147" s="147" t="s">
        <v>179</v>
      </c>
      <c r="P147" s="147"/>
      <c r="Q147" s="147">
        <v>6</v>
      </c>
      <c r="R147" s="147" t="s">
        <v>1041</v>
      </c>
      <c r="S147" s="147"/>
      <c r="T147" s="115"/>
      <c r="U147" s="114"/>
      <c r="V147" s="115"/>
      <c r="W147" s="56"/>
      <c r="X147" s="56"/>
      <c r="Y147" s="42" t="s">
        <v>1228</v>
      </c>
      <c r="Z147" s="58" t="s">
        <v>1229</v>
      </c>
      <c r="AA147" s="44"/>
      <c r="AB147" s="45" t="s">
        <v>47</v>
      </c>
      <c r="AC147" s="164"/>
      <c r="AD147" s="73"/>
      <c r="AE147" s="47" t="s">
        <v>49</v>
      </c>
      <c r="AF147" s="48" t="s">
        <v>41</v>
      </c>
      <c r="AG147" s="48" t="s">
        <v>41</v>
      </c>
      <c r="AH147" s="48" t="s">
        <v>41</v>
      </c>
      <c r="AI147" s="48" t="s">
        <v>41</v>
      </c>
      <c r="AJ147" s="48" t="s">
        <v>41</v>
      </c>
      <c r="AK147" s="49" t="s">
        <v>41</v>
      </c>
      <c r="AL147" s="48" t="s">
        <v>41</v>
      </c>
      <c r="AM147" s="65" t="s">
        <v>4588</v>
      </c>
      <c r="AN147" s="65"/>
      <c r="AO147" s="59" t="s">
        <v>1230</v>
      </c>
      <c r="AP147" s="10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1"/>
    </row>
    <row r="148" spans="1:53" x14ac:dyDescent="0.2">
      <c r="A148" s="33">
        <f t="shared" si="3"/>
        <v>143</v>
      </c>
      <c r="B148" s="38" t="s">
        <v>1231</v>
      </c>
      <c r="C148" s="35" t="s">
        <v>1232</v>
      </c>
      <c r="D148" s="36" t="s">
        <v>1233</v>
      </c>
      <c r="E148" s="334">
        <v>23355</v>
      </c>
      <c r="F148" s="36" t="s">
        <v>54</v>
      </c>
      <c r="G148" s="34" t="s">
        <v>1234</v>
      </c>
      <c r="H148" s="37" t="s">
        <v>39</v>
      </c>
      <c r="I148" s="37" t="s">
        <v>39</v>
      </c>
      <c r="J148" s="38" t="s">
        <v>1235</v>
      </c>
      <c r="K148" s="34" t="s">
        <v>41</v>
      </c>
      <c r="L148" s="39" t="s">
        <v>42</v>
      </c>
      <c r="M148" s="163" t="s">
        <v>1236</v>
      </c>
      <c r="N148" s="115"/>
      <c r="O148" s="147"/>
      <c r="P148" s="147"/>
      <c r="Q148" s="147"/>
      <c r="R148" s="147"/>
      <c r="S148" s="147"/>
      <c r="T148" s="115" t="s">
        <v>44</v>
      </c>
      <c r="U148" s="114" t="s">
        <v>732</v>
      </c>
      <c r="V148" s="115"/>
      <c r="W148" s="56"/>
      <c r="X148" s="56"/>
      <c r="Y148" s="42" t="s">
        <v>1237</v>
      </c>
      <c r="Z148" s="58" t="s">
        <v>1238</v>
      </c>
      <c r="AA148" s="84" t="s">
        <v>1239</v>
      </c>
      <c r="AB148" s="45">
        <v>44650</v>
      </c>
      <c r="AC148" s="164" t="s">
        <v>30</v>
      </c>
      <c r="AD148" s="36"/>
      <c r="AE148" s="47" t="s">
        <v>49</v>
      </c>
      <c r="AF148" s="48" t="s">
        <v>41</v>
      </c>
      <c r="AG148" s="48" t="s">
        <v>41</v>
      </c>
      <c r="AH148" s="48" t="s">
        <v>49</v>
      </c>
      <c r="AI148" s="48" t="s">
        <v>49</v>
      </c>
      <c r="AJ148" s="48" t="s">
        <v>49</v>
      </c>
      <c r="AK148" s="49" t="s">
        <v>49</v>
      </c>
      <c r="AL148" s="48" t="s">
        <v>49</v>
      </c>
      <c r="AM148" s="65" t="s">
        <v>32</v>
      </c>
      <c r="AN148" s="65"/>
      <c r="AO148" s="59"/>
      <c r="AP148" s="10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1"/>
    </row>
    <row r="149" spans="1:53" x14ac:dyDescent="0.2">
      <c r="A149" s="33">
        <f t="shared" si="3"/>
        <v>144</v>
      </c>
      <c r="B149" s="34" t="s">
        <v>1240</v>
      </c>
      <c r="C149" s="35" t="s">
        <v>1241</v>
      </c>
      <c r="D149" s="36" t="s">
        <v>1242</v>
      </c>
      <c r="E149" s="334">
        <v>31721</v>
      </c>
      <c r="F149" s="36" t="s">
        <v>54</v>
      </c>
      <c r="G149" s="34" t="s">
        <v>4625</v>
      </c>
      <c r="H149" s="37" t="s">
        <v>360</v>
      </c>
      <c r="I149" s="37" t="s">
        <v>350</v>
      </c>
      <c r="J149" s="38" t="s">
        <v>1244</v>
      </c>
      <c r="K149" s="34"/>
      <c r="L149" s="39" t="s">
        <v>42</v>
      </c>
      <c r="M149" s="165" t="s">
        <v>1245</v>
      </c>
      <c r="N149" s="56"/>
      <c r="O149" s="115"/>
      <c r="P149" s="114"/>
      <c r="Q149" s="115"/>
      <c r="R149" s="114"/>
      <c r="S149" s="115"/>
      <c r="T149" s="115"/>
      <c r="U149" s="114"/>
      <c r="V149" s="115"/>
      <c r="W149" s="56"/>
      <c r="X149" s="56"/>
      <c r="Y149" s="42" t="s">
        <v>1246</v>
      </c>
      <c r="Z149" s="58" t="s">
        <v>1247</v>
      </c>
      <c r="AA149" s="144" t="s">
        <v>1248</v>
      </c>
      <c r="AB149" s="45">
        <v>44650</v>
      </c>
      <c r="AC149" s="164" t="s">
        <v>30</v>
      </c>
      <c r="AD149" s="36" t="s">
        <v>26</v>
      </c>
      <c r="AE149" s="47" t="s">
        <v>49</v>
      </c>
      <c r="AF149" s="48" t="s">
        <v>49</v>
      </c>
      <c r="AG149" s="48" t="s">
        <v>49</v>
      </c>
      <c r="AH149" s="48" t="s">
        <v>49</v>
      </c>
      <c r="AI149" s="48" t="s">
        <v>49</v>
      </c>
      <c r="AJ149" s="48" t="s">
        <v>49</v>
      </c>
      <c r="AK149" s="49" t="s">
        <v>49</v>
      </c>
      <c r="AL149" s="48" t="s">
        <v>49</v>
      </c>
      <c r="AM149" s="65" t="s">
        <v>32</v>
      </c>
      <c r="AN149" s="65"/>
      <c r="AO149" s="59"/>
      <c r="AP149" s="10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1"/>
    </row>
    <row r="150" spans="1:53" x14ac:dyDescent="0.2">
      <c r="A150" s="33">
        <f t="shared" si="3"/>
        <v>145</v>
      </c>
      <c r="B150" s="34" t="s">
        <v>1249</v>
      </c>
      <c r="C150" s="35" t="s">
        <v>1250</v>
      </c>
      <c r="D150" s="36" t="s">
        <v>1251</v>
      </c>
      <c r="E150" s="334">
        <v>31139</v>
      </c>
      <c r="F150" s="36" t="s">
        <v>54</v>
      </c>
      <c r="G150" s="34" t="s">
        <v>1252</v>
      </c>
      <c r="H150" s="37" t="s">
        <v>176</v>
      </c>
      <c r="I150" s="37" t="s">
        <v>39</v>
      </c>
      <c r="J150" s="34" t="s">
        <v>1253</v>
      </c>
      <c r="K150" s="34" t="s">
        <v>41</v>
      </c>
      <c r="L150" s="39" t="s">
        <v>42</v>
      </c>
      <c r="M150" s="166" t="s">
        <v>1254</v>
      </c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2" t="s">
        <v>1255</v>
      </c>
      <c r="Z150" s="52" t="s">
        <v>1256</v>
      </c>
      <c r="AA150" s="44" t="s">
        <v>1257</v>
      </c>
      <c r="AB150" s="45">
        <v>42935</v>
      </c>
      <c r="AC150" s="101" t="s">
        <v>30</v>
      </c>
      <c r="AD150" s="36" t="s">
        <v>26</v>
      </c>
      <c r="AE150" s="47" t="s">
        <v>49</v>
      </c>
      <c r="AF150" s="48" t="s">
        <v>49</v>
      </c>
      <c r="AG150" s="48" t="s">
        <v>49</v>
      </c>
      <c r="AH150" s="48" t="s">
        <v>49</v>
      </c>
      <c r="AI150" s="48" t="s">
        <v>49</v>
      </c>
      <c r="AJ150" s="48" t="s">
        <v>49</v>
      </c>
      <c r="AK150" s="49" t="s">
        <v>49</v>
      </c>
      <c r="AL150" s="48" t="s">
        <v>49</v>
      </c>
      <c r="AM150" s="62" t="s">
        <v>32</v>
      </c>
      <c r="AN150" s="62"/>
      <c r="AO150" s="59"/>
      <c r="AP150" s="10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1"/>
    </row>
    <row r="151" spans="1:53" x14ac:dyDescent="0.2">
      <c r="A151" s="33">
        <f t="shared" si="3"/>
        <v>146</v>
      </c>
      <c r="B151" s="34" t="s">
        <v>1258</v>
      </c>
      <c r="C151" s="35" t="s">
        <v>1259</v>
      </c>
      <c r="D151" s="36" t="s">
        <v>1260</v>
      </c>
      <c r="E151" s="334">
        <v>34228</v>
      </c>
      <c r="F151" s="36" t="s">
        <v>54</v>
      </c>
      <c r="G151" s="34" t="s">
        <v>1261</v>
      </c>
      <c r="H151" s="37" t="s">
        <v>73</v>
      </c>
      <c r="I151" s="37" t="s">
        <v>73</v>
      </c>
      <c r="J151" s="38" t="s">
        <v>1262</v>
      </c>
      <c r="K151" s="34"/>
      <c r="L151" s="39" t="s">
        <v>42</v>
      </c>
      <c r="M151" s="120">
        <v>45376</v>
      </c>
      <c r="N151" s="56"/>
      <c r="O151" s="56"/>
      <c r="P151" s="56"/>
      <c r="Q151" s="56"/>
      <c r="R151" s="56"/>
      <c r="S151" s="56"/>
      <c r="T151" s="56"/>
      <c r="U151" s="56"/>
      <c r="V151" s="56" t="s">
        <v>44</v>
      </c>
      <c r="W151" s="56"/>
      <c r="X151" s="56"/>
      <c r="Y151" s="42" t="s">
        <v>1263</v>
      </c>
      <c r="Z151" s="58" t="s">
        <v>1264</v>
      </c>
      <c r="AA151" s="121"/>
      <c r="AB151" s="45"/>
      <c r="AC151" s="101"/>
      <c r="AD151" s="36"/>
      <c r="AE151" s="47" t="s">
        <v>49</v>
      </c>
      <c r="AF151" s="48" t="s">
        <v>41</v>
      </c>
      <c r="AG151" s="48" t="s">
        <v>41</v>
      </c>
      <c r="AH151" s="48" t="s">
        <v>41</v>
      </c>
      <c r="AI151" s="48" t="s">
        <v>41</v>
      </c>
      <c r="AJ151" s="48" t="s">
        <v>49</v>
      </c>
      <c r="AK151" s="49" t="s">
        <v>49</v>
      </c>
      <c r="AL151" s="48" t="s">
        <v>49</v>
      </c>
      <c r="AM151" s="62" t="s">
        <v>32</v>
      </c>
      <c r="AN151" s="62"/>
      <c r="AO151" s="59"/>
      <c r="AP151" s="10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1"/>
    </row>
    <row r="152" spans="1:53" x14ac:dyDescent="0.2">
      <c r="A152" s="33">
        <f t="shared" si="3"/>
        <v>147</v>
      </c>
      <c r="B152" s="34" t="s">
        <v>1265</v>
      </c>
      <c r="C152" s="35" t="s">
        <v>1266</v>
      </c>
      <c r="D152" s="36" t="s">
        <v>1267</v>
      </c>
      <c r="E152" s="334">
        <v>30385</v>
      </c>
      <c r="F152" s="36" t="s">
        <v>36</v>
      </c>
      <c r="G152" s="34" t="s">
        <v>1268</v>
      </c>
      <c r="H152" s="37" t="s">
        <v>73</v>
      </c>
      <c r="I152" s="37" t="s">
        <v>73</v>
      </c>
      <c r="J152" s="42" t="s">
        <v>1269</v>
      </c>
      <c r="K152" s="34"/>
      <c r="L152" s="39" t="s">
        <v>42</v>
      </c>
      <c r="M152" s="120">
        <v>45607</v>
      </c>
      <c r="N152" s="56" t="s">
        <v>179</v>
      </c>
      <c r="O152" s="56" t="s">
        <v>179</v>
      </c>
      <c r="P152" s="56"/>
      <c r="Q152" s="56">
        <v>1</v>
      </c>
      <c r="R152" s="56"/>
      <c r="S152" s="56"/>
      <c r="T152" s="56"/>
      <c r="U152" s="56"/>
      <c r="V152" s="56" t="s">
        <v>44</v>
      </c>
      <c r="W152" s="56"/>
      <c r="X152" s="56"/>
      <c r="Y152" s="42" t="s">
        <v>1270</v>
      </c>
      <c r="Z152" s="58" t="s">
        <v>1271</v>
      </c>
      <c r="AA152" s="121"/>
      <c r="AB152" s="45"/>
      <c r="AC152" s="101"/>
      <c r="AD152" s="36"/>
      <c r="AE152" s="47" t="s">
        <v>49</v>
      </c>
      <c r="AF152" s="48" t="s">
        <v>41</v>
      </c>
      <c r="AG152" s="48" t="s">
        <v>41</v>
      </c>
      <c r="AH152" s="48" t="s">
        <v>41</v>
      </c>
      <c r="AI152" s="48" t="s">
        <v>41</v>
      </c>
      <c r="AJ152" s="48" t="s">
        <v>49</v>
      </c>
      <c r="AK152" s="49" t="s">
        <v>41</v>
      </c>
      <c r="AL152" s="48" t="s">
        <v>41</v>
      </c>
      <c r="AM152" s="62" t="s">
        <v>276</v>
      </c>
      <c r="AN152" s="62"/>
      <c r="AO152" s="59"/>
      <c r="AP152" s="10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1"/>
    </row>
    <row r="153" spans="1:53" x14ac:dyDescent="0.2">
      <c r="A153" s="33">
        <f t="shared" si="3"/>
        <v>148</v>
      </c>
      <c r="B153" s="34" t="s">
        <v>1272</v>
      </c>
      <c r="C153" s="35" t="s">
        <v>1273</v>
      </c>
      <c r="D153" s="36" t="s">
        <v>1274</v>
      </c>
      <c r="E153" s="334">
        <v>24217</v>
      </c>
      <c r="F153" s="36" t="s">
        <v>36</v>
      </c>
      <c r="G153" s="34" t="s">
        <v>1275</v>
      </c>
      <c r="H153" s="37" t="s">
        <v>73</v>
      </c>
      <c r="I153" s="37" t="s">
        <v>73</v>
      </c>
      <c r="J153" s="38" t="s">
        <v>1276</v>
      </c>
      <c r="K153" s="34" t="s">
        <v>41</v>
      </c>
      <c r="L153" s="39" t="s">
        <v>42</v>
      </c>
      <c r="M153" s="166" t="s">
        <v>1277</v>
      </c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2" t="s">
        <v>1278</v>
      </c>
      <c r="Z153" s="52" t="s">
        <v>1279</v>
      </c>
      <c r="AA153" s="44" t="s">
        <v>1280</v>
      </c>
      <c r="AB153" s="45">
        <v>41793</v>
      </c>
      <c r="AC153" s="101" t="s">
        <v>30</v>
      </c>
      <c r="AD153" s="36" t="s">
        <v>26</v>
      </c>
      <c r="AE153" s="47" t="s">
        <v>49</v>
      </c>
      <c r="AF153" s="48" t="s">
        <v>49</v>
      </c>
      <c r="AG153" s="48" t="s">
        <v>49</v>
      </c>
      <c r="AH153" s="48" t="s">
        <v>49</v>
      </c>
      <c r="AI153" s="48" t="s">
        <v>49</v>
      </c>
      <c r="AJ153" s="48" t="s">
        <v>41</v>
      </c>
      <c r="AK153" s="49" t="s">
        <v>41</v>
      </c>
      <c r="AL153" s="48" t="s">
        <v>41</v>
      </c>
      <c r="AM153" s="62" t="s">
        <v>4589</v>
      </c>
      <c r="AN153" s="62"/>
      <c r="AO153" s="59"/>
      <c r="AP153" s="10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1"/>
    </row>
    <row r="154" spans="1:53" x14ac:dyDescent="0.2">
      <c r="A154" s="33">
        <f t="shared" si="3"/>
        <v>149</v>
      </c>
      <c r="B154" s="34" t="s">
        <v>1281</v>
      </c>
      <c r="C154" s="35" t="s">
        <v>1282</v>
      </c>
      <c r="D154" s="36" t="s">
        <v>1283</v>
      </c>
      <c r="E154" s="334">
        <v>26769</v>
      </c>
      <c r="F154" s="36" t="s">
        <v>54</v>
      </c>
      <c r="G154" s="34" t="s">
        <v>1284</v>
      </c>
      <c r="H154" s="37" t="s">
        <v>1285</v>
      </c>
      <c r="I154" s="37" t="s">
        <v>350</v>
      </c>
      <c r="J154" s="34" t="s">
        <v>1286</v>
      </c>
      <c r="K154" s="34" t="s">
        <v>41</v>
      </c>
      <c r="L154" s="39" t="s">
        <v>42</v>
      </c>
      <c r="M154" s="158" t="s">
        <v>1287</v>
      </c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42" t="s">
        <v>1288</v>
      </c>
      <c r="Z154" s="58" t="s">
        <v>1289</v>
      </c>
      <c r="AA154" s="44" t="s">
        <v>1290</v>
      </c>
      <c r="AB154" s="45">
        <v>42935</v>
      </c>
      <c r="AC154" s="101" t="s">
        <v>30</v>
      </c>
      <c r="AD154" s="36" t="s">
        <v>26</v>
      </c>
      <c r="AE154" s="47" t="s">
        <v>49</v>
      </c>
      <c r="AF154" s="48" t="s">
        <v>49</v>
      </c>
      <c r="AG154" s="48" t="s">
        <v>49</v>
      </c>
      <c r="AH154" s="48" t="s">
        <v>49</v>
      </c>
      <c r="AI154" s="48" t="s">
        <v>49</v>
      </c>
      <c r="AJ154" s="48" t="s">
        <v>49</v>
      </c>
      <c r="AK154" s="49" t="s">
        <v>41</v>
      </c>
      <c r="AL154" s="48" t="s">
        <v>41</v>
      </c>
      <c r="AM154" s="62" t="s">
        <v>276</v>
      </c>
      <c r="AN154" s="62"/>
      <c r="AO154" s="59"/>
      <c r="AP154" s="10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1"/>
    </row>
    <row r="155" spans="1:53" x14ac:dyDescent="0.2">
      <c r="A155" s="33">
        <f t="shared" si="3"/>
        <v>150</v>
      </c>
      <c r="B155" s="34" t="s">
        <v>1291</v>
      </c>
      <c r="C155" s="35" t="s">
        <v>1292</v>
      </c>
      <c r="D155" s="36" t="s">
        <v>1293</v>
      </c>
      <c r="E155" s="36"/>
      <c r="F155" s="36" t="s">
        <v>54</v>
      </c>
      <c r="G155" s="34" t="s">
        <v>1294</v>
      </c>
      <c r="H155" s="37" t="s">
        <v>73</v>
      </c>
      <c r="I155" s="37" t="s">
        <v>73</v>
      </c>
      <c r="J155" s="167" t="s">
        <v>1295</v>
      </c>
      <c r="K155" s="57" t="s">
        <v>1296</v>
      </c>
      <c r="L155" s="39" t="s">
        <v>42</v>
      </c>
      <c r="M155" s="99" t="s">
        <v>307</v>
      </c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42" t="s">
        <v>1297</v>
      </c>
      <c r="Z155" s="100" t="s">
        <v>1298</v>
      </c>
      <c r="AA155" s="44" t="s">
        <v>61</v>
      </c>
      <c r="AB155" s="45">
        <v>39286</v>
      </c>
      <c r="AC155" s="101" t="s">
        <v>30</v>
      </c>
      <c r="AD155" s="36"/>
      <c r="AE155" s="47" t="s">
        <v>49</v>
      </c>
      <c r="AF155" s="48" t="s">
        <v>41</v>
      </c>
      <c r="AG155" s="48" t="s">
        <v>41</v>
      </c>
      <c r="AH155" s="48" t="s">
        <v>41</v>
      </c>
      <c r="AI155" s="48" t="s">
        <v>41</v>
      </c>
      <c r="AJ155" s="48" t="s">
        <v>41</v>
      </c>
      <c r="AK155" s="49" t="s">
        <v>41</v>
      </c>
      <c r="AL155" s="48" t="s">
        <v>41</v>
      </c>
      <c r="AM155" s="65" t="s">
        <v>4590</v>
      </c>
      <c r="AN155" s="65"/>
      <c r="AO155" s="59" t="s">
        <v>192</v>
      </c>
      <c r="AP155" s="10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1"/>
    </row>
    <row r="156" spans="1:53" x14ac:dyDescent="0.2">
      <c r="A156" s="33">
        <f t="shared" si="3"/>
        <v>151</v>
      </c>
      <c r="B156" s="34" t="s">
        <v>1299</v>
      </c>
      <c r="C156" s="35" t="s">
        <v>1300</v>
      </c>
      <c r="D156" s="36" t="s">
        <v>1301</v>
      </c>
      <c r="E156" s="334">
        <v>26717</v>
      </c>
      <c r="F156" s="36" t="s">
        <v>54</v>
      </c>
      <c r="G156" s="34" t="s">
        <v>1302</v>
      </c>
      <c r="H156" s="37" t="s">
        <v>186</v>
      </c>
      <c r="I156" s="37" t="s">
        <v>187</v>
      </c>
      <c r="J156" s="167" t="s">
        <v>1303</v>
      </c>
      <c r="K156" s="57" t="s">
        <v>41</v>
      </c>
      <c r="L156" s="39" t="s">
        <v>42</v>
      </c>
      <c r="M156" s="120">
        <v>45694</v>
      </c>
      <c r="N156" s="56"/>
      <c r="O156" s="56"/>
      <c r="P156" s="56"/>
      <c r="Q156" s="56"/>
      <c r="R156" s="56"/>
      <c r="S156" s="56"/>
      <c r="T156" s="56"/>
      <c r="U156" s="56"/>
      <c r="V156" s="56"/>
      <c r="W156" s="56" t="s">
        <v>44</v>
      </c>
      <c r="X156" s="56"/>
      <c r="Y156" s="167" t="s">
        <v>1304</v>
      </c>
      <c r="Z156" s="146" t="s">
        <v>1305</v>
      </c>
      <c r="AA156" s="44"/>
      <c r="AB156" s="45"/>
      <c r="AC156" s="101"/>
      <c r="AD156" s="36"/>
      <c r="AE156" s="47" t="s">
        <v>49</v>
      </c>
      <c r="AF156" s="48" t="s">
        <v>41</v>
      </c>
      <c r="AG156" s="48" t="s">
        <v>41</v>
      </c>
      <c r="AH156" s="48" t="s">
        <v>41</v>
      </c>
      <c r="AI156" s="48" t="s">
        <v>41</v>
      </c>
      <c r="AJ156" s="48" t="s">
        <v>41</v>
      </c>
      <c r="AK156" s="49" t="s">
        <v>49</v>
      </c>
      <c r="AL156" s="48" t="s">
        <v>49</v>
      </c>
      <c r="AM156" s="65" t="s">
        <v>32</v>
      </c>
      <c r="AN156" s="65"/>
      <c r="AO156" s="59"/>
      <c r="AP156" s="10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1"/>
    </row>
    <row r="157" spans="1:53" x14ac:dyDescent="0.2">
      <c r="A157" s="33">
        <f t="shared" si="3"/>
        <v>152</v>
      </c>
      <c r="B157" s="34" t="s">
        <v>1306</v>
      </c>
      <c r="C157" s="35" t="s">
        <v>1307</v>
      </c>
      <c r="D157" s="36" t="s">
        <v>1308</v>
      </c>
      <c r="E157" s="334">
        <v>24723</v>
      </c>
      <c r="F157" s="36" t="s">
        <v>54</v>
      </c>
      <c r="G157" s="34" t="s">
        <v>1309</v>
      </c>
      <c r="H157" s="37" t="s">
        <v>186</v>
      </c>
      <c r="I157" s="37" t="s">
        <v>187</v>
      </c>
      <c r="J157" s="34" t="s">
        <v>1310</v>
      </c>
      <c r="K157" s="34" t="s">
        <v>41</v>
      </c>
      <c r="L157" s="39" t="s">
        <v>42</v>
      </c>
      <c r="M157" s="158" t="s">
        <v>1311</v>
      </c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2" t="s">
        <v>1312</v>
      </c>
      <c r="Z157" s="58" t="s">
        <v>1313</v>
      </c>
      <c r="AA157" s="44" t="s">
        <v>61</v>
      </c>
      <c r="AB157" s="45">
        <v>37208</v>
      </c>
      <c r="AC157" s="101" t="s">
        <v>30</v>
      </c>
      <c r="AD157" s="36" t="s">
        <v>26</v>
      </c>
      <c r="AE157" s="47" t="s">
        <v>49</v>
      </c>
      <c r="AF157" s="48" t="s">
        <v>49</v>
      </c>
      <c r="AG157" s="48" t="s">
        <v>49</v>
      </c>
      <c r="AH157" s="48" t="s">
        <v>49</v>
      </c>
      <c r="AI157" s="48" t="s">
        <v>49</v>
      </c>
      <c r="AJ157" s="48" t="s">
        <v>49</v>
      </c>
      <c r="AK157" s="49" t="s">
        <v>49</v>
      </c>
      <c r="AL157" s="48" t="s">
        <v>41</v>
      </c>
      <c r="AM157" s="65" t="s">
        <v>148</v>
      </c>
      <c r="AN157" s="65"/>
      <c r="AO157" s="59"/>
      <c r="AP157" s="10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1"/>
    </row>
    <row r="158" spans="1:53" x14ac:dyDescent="0.2">
      <c r="A158" s="33">
        <f t="shared" si="3"/>
        <v>153</v>
      </c>
      <c r="B158" s="34" t="s">
        <v>1314</v>
      </c>
      <c r="C158" s="35" t="s">
        <v>1315</v>
      </c>
      <c r="D158" s="36" t="s">
        <v>1316</v>
      </c>
      <c r="E158" s="334">
        <v>26688</v>
      </c>
      <c r="F158" s="36" t="s">
        <v>54</v>
      </c>
      <c r="G158" s="34" t="s">
        <v>1317</v>
      </c>
      <c r="H158" s="37" t="s">
        <v>858</v>
      </c>
      <c r="I158" s="37" t="s">
        <v>57</v>
      </c>
      <c r="J158" s="38" t="s">
        <v>1318</v>
      </c>
      <c r="K158" s="34" t="s">
        <v>41</v>
      </c>
      <c r="L158" s="39" t="s">
        <v>42</v>
      </c>
      <c r="M158" s="158" t="s">
        <v>1319</v>
      </c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2" t="s">
        <v>1320</v>
      </c>
      <c r="Z158" s="58" t="s">
        <v>1321</v>
      </c>
      <c r="AA158" s="119" t="s">
        <v>1322</v>
      </c>
      <c r="AB158" s="45">
        <v>44944</v>
      </c>
      <c r="AC158" s="101" t="s">
        <v>30</v>
      </c>
      <c r="AD158" s="36" t="s">
        <v>26</v>
      </c>
      <c r="AE158" s="47" t="s">
        <v>49</v>
      </c>
      <c r="AF158" s="48" t="s">
        <v>49</v>
      </c>
      <c r="AG158" s="48" t="s">
        <v>49</v>
      </c>
      <c r="AH158" s="48" t="s">
        <v>49</v>
      </c>
      <c r="AI158" s="48" t="s">
        <v>49</v>
      </c>
      <c r="AJ158" s="48" t="s">
        <v>41</v>
      </c>
      <c r="AK158" s="49" t="s">
        <v>41</v>
      </c>
      <c r="AL158" s="48" t="s">
        <v>41</v>
      </c>
      <c r="AM158" s="62" t="s">
        <v>4589</v>
      </c>
      <c r="AN158" s="62"/>
      <c r="AO158" s="59"/>
      <c r="AP158" s="102"/>
      <c r="AQ158" s="32"/>
      <c r="AR158" s="32"/>
      <c r="AS158" s="32"/>
      <c r="AT158" s="32"/>
      <c r="AU158" s="32"/>
      <c r="AV158" s="32"/>
      <c r="AW158" s="32"/>
      <c r="AX158" s="32"/>
      <c r="AY158" s="32"/>
      <c r="AZ158" s="32"/>
      <c r="BA158" s="31"/>
    </row>
    <row r="159" spans="1:53" x14ac:dyDescent="0.2">
      <c r="A159" s="33">
        <f t="shared" si="3"/>
        <v>154</v>
      </c>
      <c r="B159" s="34" t="s">
        <v>1323</v>
      </c>
      <c r="C159" s="35" t="s">
        <v>1324</v>
      </c>
      <c r="D159" s="36" t="s">
        <v>1325</v>
      </c>
      <c r="E159" s="334">
        <v>31714</v>
      </c>
      <c r="F159" s="36" t="s">
        <v>36</v>
      </c>
      <c r="G159" s="34" t="s">
        <v>1326</v>
      </c>
      <c r="H159" s="37" t="s">
        <v>377</v>
      </c>
      <c r="I159" s="37" t="s">
        <v>378</v>
      </c>
      <c r="J159" s="38" t="s">
        <v>1327</v>
      </c>
      <c r="K159" s="34" t="s">
        <v>41</v>
      </c>
      <c r="L159" s="39" t="s">
        <v>42</v>
      </c>
      <c r="M159" s="158" t="s">
        <v>1328</v>
      </c>
      <c r="N159" s="41"/>
      <c r="O159" s="41"/>
      <c r="P159" s="41"/>
      <c r="Q159" s="41"/>
      <c r="R159" s="41"/>
      <c r="S159" s="41"/>
      <c r="T159" s="168" t="s">
        <v>44</v>
      </c>
      <c r="U159" s="41"/>
      <c r="V159" s="41"/>
      <c r="W159" s="41"/>
      <c r="X159" s="41"/>
      <c r="Y159" s="42" t="s">
        <v>1329</v>
      </c>
      <c r="Z159" s="58" t="s">
        <v>1330</v>
      </c>
      <c r="AA159" s="121" t="s">
        <v>1331</v>
      </c>
      <c r="AB159" s="45">
        <v>44650</v>
      </c>
      <c r="AC159" s="101" t="s">
        <v>30</v>
      </c>
      <c r="AD159" s="36"/>
      <c r="AE159" s="47" t="s">
        <v>49</v>
      </c>
      <c r="AF159" s="48"/>
      <c r="AG159" s="48" t="s">
        <v>41</v>
      </c>
      <c r="AH159" s="48" t="s">
        <v>49</v>
      </c>
      <c r="AI159" s="48" t="s">
        <v>41</v>
      </c>
      <c r="AJ159" s="48" t="s">
        <v>41</v>
      </c>
      <c r="AK159" s="49" t="s">
        <v>41</v>
      </c>
      <c r="AL159" s="48" t="s">
        <v>41</v>
      </c>
      <c r="AM159" s="62" t="s">
        <v>139</v>
      </c>
      <c r="AN159" s="62"/>
      <c r="AO159" s="59"/>
      <c r="AP159" s="102"/>
      <c r="AQ159" s="32"/>
      <c r="AR159" s="32"/>
      <c r="AS159" s="32"/>
      <c r="AT159" s="32"/>
      <c r="AU159" s="32"/>
      <c r="AV159" s="32"/>
      <c r="AW159" s="32"/>
      <c r="AX159" s="32"/>
      <c r="AY159" s="32"/>
      <c r="AZ159" s="32"/>
      <c r="BA159" s="31"/>
    </row>
    <row r="160" spans="1:53" x14ac:dyDescent="0.2">
      <c r="A160" s="33">
        <f t="shared" si="3"/>
        <v>155</v>
      </c>
      <c r="B160" s="34" t="s">
        <v>1332</v>
      </c>
      <c r="C160" s="35" t="s">
        <v>1333</v>
      </c>
      <c r="D160" s="36" t="s">
        <v>1334</v>
      </c>
      <c r="E160" s="36"/>
      <c r="F160" s="36" t="s">
        <v>54</v>
      </c>
      <c r="G160" s="34" t="s">
        <v>1335</v>
      </c>
      <c r="H160" s="37" t="s">
        <v>73</v>
      </c>
      <c r="I160" s="37" t="s">
        <v>73</v>
      </c>
      <c r="J160" s="34" t="s">
        <v>1336</v>
      </c>
      <c r="K160" s="34" t="s">
        <v>1337</v>
      </c>
      <c r="L160" s="39" t="s">
        <v>42</v>
      </c>
      <c r="M160" s="158" t="s">
        <v>1338</v>
      </c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42" t="s">
        <v>1339</v>
      </c>
      <c r="Z160" s="58" t="s">
        <v>1340</v>
      </c>
      <c r="AA160" s="44" t="s">
        <v>1341</v>
      </c>
      <c r="AB160" s="45">
        <v>44944</v>
      </c>
      <c r="AC160" s="101" t="s">
        <v>30</v>
      </c>
      <c r="AD160" s="36" t="s">
        <v>26</v>
      </c>
      <c r="AE160" s="64" t="s">
        <v>120</v>
      </c>
      <c r="AF160" s="48" t="s">
        <v>120</v>
      </c>
      <c r="AG160" s="48" t="s">
        <v>120</v>
      </c>
      <c r="AH160" s="48" t="s">
        <v>120</v>
      </c>
      <c r="AI160" s="48" t="s">
        <v>120</v>
      </c>
      <c r="AJ160" s="48" t="s">
        <v>120</v>
      </c>
      <c r="AK160" s="49" t="s">
        <v>120</v>
      </c>
      <c r="AL160" s="48" t="s">
        <v>120</v>
      </c>
      <c r="AM160" s="62" t="s">
        <v>32</v>
      </c>
      <c r="AN160" s="62"/>
      <c r="AO160" s="59"/>
      <c r="AP160" s="10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1"/>
    </row>
    <row r="161" spans="1:53" x14ac:dyDescent="0.2">
      <c r="A161" s="33">
        <f t="shared" si="3"/>
        <v>156</v>
      </c>
      <c r="B161" s="34" t="s">
        <v>1342</v>
      </c>
      <c r="C161" s="35" t="s">
        <v>1343</v>
      </c>
      <c r="D161" s="36" t="s">
        <v>4616</v>
      </c>
      <c r="E161" s="334">
        <v>29541</v>
      </c>
      <c r="F161" s="36" t="s">
        <v>54</v>
      </c>
      <c r="G161" s="34" t="s">
        <v>1345</v>
      </c>
      <c r="H161" s="37" t="s">
        <v>176</v>
      </c>
      <c r="I161" s="37" t="s">
        <v>39</v>
      </c>
      <c r="J161" s="34" t="s">
        <v>1346</v>
      </c>
      <c r="K161" s="34" t="s">
        <v>41</v>
      </c>
      <c r="L161" s="39" t="s">
        <v>42</v>
      </c>
      <c r="M161" s="158" t="s">
        <v>1347</v>
      </c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42" t="s">
        <v>4617</v>
      </c>
      <c r="Z161" s="69" t="s">
        <v>1349</v>
      </c>
      <c r="AA161" s="69"/>
      <c r="AB161" s="45" t="s">
        <v>47</v>
      </c>
      <c r="AC161" s="101"/>
      <c r="AD161" s="36" t="s">
        <v>26</v>
      </c>
      <c r="AE161" s="47" t="s">
        <v>49</v>
      </c>
      <c r="AF161" s="48" t="s">
        <v>49</v>
      </c>
      <c r="AG161" s="48" t="s">
        <v>49</v>
      </c>
      <c r="AH161" s="48" t="s">
        <v>49</v>
      </c>
      <c r="AI161" s="48" t="s">
        <v>49</v>
      </c>
      <c r="AJ161" s="48" t="s">
        <v>49</v>
      </c>
      <c r="AK161" s="49" t="s">
        <v>49</v>
      </c>
      <c r="AL161" s="48" t="s">
        <v>49</v>
      </c>
      <c r="AM161" s="62" t="s">
        <v>32</v>
      </c>
      <c r="AN161" s="62"/>
      <c r="AO161" s="59"/>
      <c r="AP161" s="10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1"/>
    </row>
    <row r="162" spans="1:53" x14ac:dyDescent="0.2">
      <c r="A162" s="33">
        <f t="shared" si="3"/>
        <v>157</v>
      </c>
      <c r="B162" s="34" t="s">
        <v>1350</v>
      </c>
      <c r="C162" s="35" t="s">
        <v>1351</v>
      </c>
      <c r="D162" s="36" t="s">
        <v>1352</v>
      </c>
      <c r="E162" s="36"/>
      <c r="F162" s="36" t="s">
        <v>36</v>
      </c>
      <c r="G162" s="98" t="s">
        <v>1353</v>
      </c>
      <c r="H162" s="37" t="s">
        <v>1354</v>
      </c>
      <c r="I162" s="37" t="s">
        <v>57</v>
      </c>
      <c r="J162" s="38" t="s">
        <v>1355</v>
      </c>
      <c r="K162" s="34" t="s">
        <v>41</v>
      </c>
      <c r="L162" s="39" t="s">
        <v>42</v>
      </c>
      <c r="M162" s="169" t="s">
        <v>59</v>
      </c>
      <c r="N162" s="56" t="s">
        <v>179</v>
      </c>
      <c r="O162" s="56" t="s">
        <v>179</v>
      </c>
      <c r="P162" s="56"/>
      <c r="Q162" s="56">
        <v>6</v>
      </c>
      <c r="R162" s="56" t="s">
        <v>942</v>
      </c>
      <c r="S162" s="56"/>
      <c r="T162" s="56"/>
      <c r="U162" s="56"/>
      <c r="V162" s="56"/>
      <c r="W162" s="56"/>
      <c r="X162" s="56"/>
      <c r="Y162" s="42" t="s">
        <v>1356</v>
      </c>
      <c r="Z162" s="58" t="s">
        <v>1357</v>
      </c>
      <c r="AA162" s="58"/>
      <c r="AB162" s="45" t="s">
        <v>47</v>
      </c>
      <c r="AC162" s="46"/>
      <c r="AD162" s="73"/>
      <c r="AE162" s="47" t="s">
        <v>49</v>
      </c>
      <c r="AF162" s="48" t="s">
        <v>41</v>
      </c>
      <c r="AG162" s="48" t="s">
        <v>41</v>
      </c>
      <c r="AH162" s="48" t="s">
        <v>41</v>
      </c>
      <c r="AI162" s="48" t="s">
        <v>41</v>
      </c>
      <c r="AJ162" s="48" t="s">
        <v>41</v>
      </c>
      <c r="AK162" s="49" t="s">
        <v>41</v>
      </c>
      <c r="AL162" s="48" t="s">
        <v>41</v>
      </c>
      <c r="AM162" s="65" t="s">
        <v>4591</v>
      </c>
      <c r="AN162" s="65"/>
      <c r="AO162" s="59"/>
      <c r="AP162" s="10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1"/>
    </row>
    <row r="163" spans="1:53" x14ac:dyDescent="0.2">
      <c r="A163" s="33">
        <f t="shared" si="3"/>
        <v>158</v>
      </c>
      <c r="B163" s="34" t="s">
        <v>1358</v>
      </c>
      <c r="C163" s="35" t="s">
        <v>1359</v>
      </c>
      <c r="D163" s="36" t="s">
        <v>1360</v>
      </c>
      <c r="E163" s="36"/>
      <c r="F163" s="36" t="s">
        <v>36</v>
      </c>
      <c r="G163" s="34" t="s">
        <v>1361</v>
      </c>
      <c r="H163" s="37" t="s">
        <v>252</v>
      </c>
      <c r="I163" s="37" t="s">
        <v>57</v>
      </c>
      <c r="J163" s="34" t="s">
        <v>1362</v>
      </c>
      <c r="K163" s="34" t="s">
        <v>41</v>
      </c>
      <c r="L163" s="39" t="s">
        <v>42</v>
      </c>
      <c r="M163" s="142" t="s">
        <v>1363</v>
      </c>
      <c r="N163" s="41" t="s">
        <v>179</v>
      </c>
      <c r="O163" s="41" t="s">
        <v>179</v>
      </c>
      <c r="P163" s="41"/>
      <c r="Q163" s="41">
        <v>6</v>
      </c>
      <c r="R163" s="41" t="s">
        <v>942</v>
      </c>
      <c r="S163" s="41"/>
      <c r="T163" s="41"/>
      <c r="U163" s="41"/>
      <c r="V163" s="41"/>
      <c r="W163" s="41"/>
      <c r="X163" s="41"/>
      <c r="Y163" s="42" t="s">
        <v>1145</v>
      </c>
      <c r="Z163" s="58" t="s">
        <v>1364</v>
      </c>
      <c r="AA163" s="58"/>
      <c r="AB163" s="45" t="s">
        <v>47</v>
      </c>
      <c r="AC163" s="46"/>
      <c r="AD163" s="36"/>
      <c r="AE163" s="47" t="s">
        <v>49</v>
      </c>
      <c r="AF163" s="48" t="s">
        <v>41</v>
      </c>
      <c r="AG163" s="48" t="s">
        <v>41</v>
      </c>
      <c r="AH163" s="48" t="s">
        <v>41</v>
      </c>
      <c r="AI163" s="48" t="s">
        <v>41</v>
      </c>
      <c r="AJ163" s="48" t="s">
        <v>41</v>
      </c>
      <c r="AK163" s="49" t="s">
        <v>41</v>
      </c>
      <c r="AL163" s="48" t="s">
        <v>41</v>
      </c>
      <c r="AM163" s="65" t="s">
        <v>4591</v>
      </c>
      <c r="AN163" s="65"/>
      <c r="AO163" s="59" t="s">
        <v>460</v>
      </c>
      <c r="AP163" s="10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1"/>
    </row>
    <row r="164" spans="1:53" x14ac:dyDescent="0.2">
      <c r="A164" s="33">
        <f t="shared" si="3"/>
        <v>159</v>
      </c>
      <c r="B164" s="34" t="s">
        <v>1365</v>
      </c>
      <c r="C164" s="35" t="s">
        <v>1366</v>
      </c>
      <c r="D164" s="36" t="s">
        <v>1367</v>
      </c>
      <c r="E164" s="334">
        <v>28678</v>
      </c>
      <c r="F164" s="36" t="s">
        <v>54</v>
      </c>
      <c r="G164" s="34" t="s">
        <v>1368</v>
      </c>
      <c r="H164" s="37" t="s">
        <v>350</v>
      </c>
      <c r="I164" s="37" t="s">
        <v>350</v>
      </c>
      <c r="J164" s="34">
        <v>81226003225</v>
      </c>
      <c r="K164" s="34" t="s">
        <v>41</v>
      </c>
      <c r="L164" s="39" t="s">
        <v>42</v>
      </c>
      <c r="M164" s="158" t="s">
        <v>1369</v>
      </c>
      <c r="N164" s="56"/>
      <c r="O164" s="56"/>
      <c r="P164" s="56"/>
      <c r="Q164" s="56"/>
      <c r="R164" s="56"/>
      <c r="S164" s="56"/>
      <c r="T164" s="56"/>
      <c r="U164" s="56"/>
      <c r="V164" s="56" t="s">
        <v>44</v>
      </c>
      <c r="W164" s="56"/>
      <c r="X164" s="56"/>
      <c r="Y164" s="42" t="s">
        <v>1370</v>
      </c>
      <c r="Z164" s="58" t="s">
        <v>1371</v>
      </c>
      <c r="AA164" s="69"/>
      <c r="AB164" s="45"/>
      <c r="AC164" s="101"/>
      <c r="AD164" s="36"/>
      <c r="AE164" s="47" t="s">
        <v>49</v>
      </c>
      <c r="AF164" s="48" t="s">
        <v>41</v>
      </c>
      <c r="AG164" s="48" t="s">
        <v>41</v>
      </c>
      <c r="AH164" s="48" t="s">
        <v>41</v>
      </c>
      <c r="AI164" s="48" t="s">
        <v>41</v>
      </c>
      <c r="AJ164" s="48" t="s">
        <v>49</v>
      </c>
      <c r="AK164" s="49" t="s">
        <v>49</v>
      </c>
      <c r="AL164" s="48" t="s">
        <v>49</v>
      </c>
      <c r="AM164" s="62" t="s">
        <v>32</v>
      </c>
      <c r="AN164" s="62"/>
      <c r="AO164" s="59"/>
      <c r="AP164" s="10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1"/>
    </row>
    <row r="165" spans="1:53" x14ac:dyDescent="0.2">
      <c r="A165" s="33">
        <f t="shared" si="3"/>
        <v>160</v>
      </c>
      <c r="B165" s="34" t="s">
        <v>4634</v>
      </c>
      <c r="C165" s="35" t="s">
        <v>4635</v>
      </c>
      <c r="D165" s="36" t="s">
        <v>4636</v>
      </c>
      <c r="E165" s="334">
        <v>35716</v>
      </c>
      <c r="F165" s="36" t="s">
        <v>4169</v>
      </c>
      <c r="G165" s="34" t="s">
        <v>4637</v>
      </c>
      <c r="H165" s="37" t="s">
        <v>73</v>
      </c>
      <c r="I165" s="37" t="s">
        <v>73</v>
      </c>
      <c r="J165" s="38" t="s">
        <v>4638</v>
      </c>
      <c r="K165" s="34"/>
      <c r="L165" s="39" t="s">
        <v>42</v>
      </c>
      <c r="M165" s="166">
        <v>46085</v>
      </c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 t="s">
        <v>44</v>
      </c>
      <c r="Y165" s="38" t="s">
        <v>4639</v>
      </c>
      <c r="Z165" s="310" t="s">
        <v>4640</v>
      </c>
      <c r="AA165" s="69"/>
      <c r="AB165" s="45"/>
      <c r="AC165" s="101"/>
      <c r="AD165" s="36"/>
      <c r="AE165" s="47" t="s">
        <v>49</v>
      </c>
      <c r="AF165" s="48" t="s">
        <v>41</v>
      </c>
      <c r="AG165" s="48" t="s">
        <v>41</v>
      </c>
      <c r="AH165" s="48" t="s">
        <v>41</v>
      </c>
      <c r="AI165" s="48" t="s">
        <v>41</v>
      </c>
      <c r="AJ165" s="48" t="s">
        <v>41</v>
      </c>
      <c r="AK165" s="49" t="s">
        <v>41</v>
      </c>
      <c r="AL165" s="48" t="s">
        <v>49</v>
      </c>
      <c r="AM165" s="62" t="s">
        <v>32</v>
      </c>
      <c r="AN165" s="62"/>
      <c r="AO165" s="59"/>
      <c r="AP165" s="10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1"/>
    </row>
    <row r="166" spans="1:53" x14ac:dyDescent="0.2">
      <c r="A166" s="33">
        <f t="shared" si="3"/>
        <v>161</v>
      </c>
      <c r="B166" s="34" t="s">
        <v>1372</v>
      </c>
      <c r="C166" s="35" t="s">
        <v>1373</v>
      </c>
      <c r="D166" s="36" t="s">
        <v>1374</v>
      </c>
      <c r="E166" s="36"/>
      <c r="F166" s="36" t="s">
        <v>54</v>
      </c>
      <c r="G166" s="34" t="s">
        <v>1375</v>
      </c>
      <c r="H166" s="37" t="s">
        <v>73</v>
      </c>
      <c r="I166" s="37" t="s">
        <v>73</v>
      </c>
      <c r="J166" s="108" t="s">
        <v>1376</v>
      </c>
      <c r="K166" s="108" t="s">
        <v>1377</v>
      </c>
      <c r="L166" s="39" t="s">
        <v>42</v>
      </c>
      <c r="M166" s="99" t="s">
        <v>1378</v>
      </c>
      <c r="N166" s="56" t="s">
        <v>179</v>
      </c>
      <c r="O166" s="56" t="s">
        <v>179</v>
      </c>
      <c r="P166" s="56"/>
      <c r="Q166" s="56">
        <v>4</v>
      </c>
      <c r="R166" s="56" t="s">
        <v>1041</v>
      </c>
      <c r="S166" s="56"/>
      <c r="T166" s="56"/>
      <c r="U166" s="56"/>
      <c r="V166" s="56"/>
      <c r="W166" s="56"/>
      <c r="X166" s="56"/>
      <c r="Y166" s="42" t="s">
        <v>1379</v>
      </c>
      <c r="Z166" s="58" t="s">
        <v>1380</v>
      </c>
      <c r="AA166" s="44"/>
      <c r="AB166" s="45" t="s">
        <v>47</v>
      </c>
      <c r="AC166" s="101"/>
      <c r="AD166" s="36" t="s">
        <v>26</v>
      </c>
      <c r="AE166" s="47" t="s">
        <v>49</v>
      </c>
      <c r="AF166" s="48" t="s">
        <v>49</v>
      </c>
      <c r="AG166" s="48" t="s">
        <v>41</v>
      </c>
      <c r="AH166" s="48" t="s">
        <v>41</v>
      </c>
      <c r="AI166" s="48" t="s">
        <v>41</v>
      </c>
      <c r="AJ166" s="48" t="s">
        <v>41</v>
      </c>
      <c r="AK166" s="49" t="s">
        <v>41</v>
      </c>
      <c r="AL166" s="48" t="s">
        <v>41</v>
      </c>
      <c r="AM166" s="62" t="s">
        <v>4587</v>
      </c>
      <c r="AN166" s="62"/>
      <c r="AO166" s="59"/>
      <c r="AP166" s="10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1"/>
    </row>
    <row r="167" spans="1:53" x14ac:dyDescent="0.2">
      <c r="A167" s="33">
        <f t="shared" si="3"/>
        <v>162</v>
      </c>
      <c r="B167" s="34" t="s">
        <v>1381</v>
      </c>
      <c r="C167" s="35" t="s">
        <v>1382</v>
      </c>
      <c r="D167" s="170" t="s">
        <v>1383</v>
      </c>
      <c r="E167" s="170"/>
      <c r="F167" s="36" t="s">
        <v>54</v>
      </c>
      <c r="G167" s="34" t="s">
        <v>1384</v>
      </c>
      <c r="H167" s="37" t="s">
        <v>73</v>
      </c>
      <c r="I167" s="37" t="s">
        <v>73</v>
      </c>
      <c r="J167" s="107" t="s">
        <v>1385</v>
      </c>
      <c r="K167" s="171" t="s">
        <v>41</v>
      </c>
      <c r="L167" s="172" t="s">
        <v>42</v>
      </c>
      <c r="M167" s="173" t="s">
        <v>1363</v>
      </c>
      <c r="N167" s="70"/>
      <c r="O167" s="111"/>
      <c r="P167" s="111"/>
      <c r="Q167" s="111"/>
      <c r="R167" s="112"/>
      <c r="S167" s="112"/>
      <c r="T167" s="112"/>
      <c r="U167" s="41"/>
      <c r="V167" s="41"/>
      <c r="W167" s="41"/>
      <c r="X167" s="41"/>
      <c r="Y167" s="42" t="s">
        <v>1386</v>
      </c>
      <c r="Z167" s="58" t="s">
        <v>1387</v>
      </c>
      <c r="AA167" s="44" t="s">
        <v>61</v>
      </c>
      <c r="AB167" s="45">
        <v>41793</v>
      </c>
      <c r="AC167" s="160" t="s">
        <v>30</v>
      </c>
      <c r="AD167" s="36" t="s">
        <v>26</v>
      </c>
      <c r="AE167" s="47" t="s">
        <v>49</v>
      </c>
      <c r="AF167" s="48" t="s">
        <v>49</v>
      </c>
      <c r="AG167" s="48" t="s">
        <v>41</v>
      </c>
      <c r="AH167" s="48" t="s">
        <v>41</v>
      </c>
      <c r="AI167" s="48" t="s">
        <v>41</v>
      </c>
      <c r="AJ167" s="48" t="s">
        <v>41</v>
      </c>
      <c r="AK167" s="49" t="s">
        <v>41</v>
      </c>
      <c r="AL167" s="48" t="s">
        <v>41</v>
      </c>
      <c r="AM167" s="62" t="s">
        <v>4587</v>
      </c>
      <c r="AN167" s="62"/>
      <c r="AO167" s="59"/>
      <c r="AP167" s="10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1"/>
    </row>
    <row r="168" spans="1:53" x14ac:dyDescent="0.2">
      <c r="A168" s="33">
        <f t="shared" si="3"/>
        <v>163</v>
      </c>
      <c r="B168" s="34" t="s">
        <v>1388</v>
      </c>
      <c r="C168" s="35" t="s">
        <v>1389</v>
      </c>
      <c r="D168" s="170" t="s">
        <v>1390</v>
      </c>
      <c r="E168" s="339">
        <v>24435</v>
      </c>
      <c r="F168" s="36" t="s">
        <v>36</v>
      </c>
      <c r="G168" s="34" t="s">
        <v>1391</v>
      </c>
      <c r="H168" s="37" t="s">
        <v>73</v>
      </c>
      <c r="I168" s="37" t="s">
        <v>73</v>
      </c>
      <c r="J168" s="108" t="s">
        <v>1392</v>
      </c>
      <c r="K168" s="108" t="s">
        <v>41</v>
      </c>
      <c r="L168" s="39" t="s">
        <v>42</v>
      </c>
      <c r="M168" s="99" t="s">
        <v>1393</v>
      </c>
      <c r="N168" s="115" t="s">
        <v>179</v>
      </c>
      <c r="O168" s="115" t="s">
        <v>179</v>
      </c>
      <c r="P168" s="115"/>
      <c r="Q168" s="115">
        <v>3</v>
      </c>
      <c r="R168" s="115"/>
      <c r="S168" s="115" t="s">
        <v>44</v>
      </c>
      <c r="T168" s="115"/>
      <c r="U168" s="56"/>
      <c r="V168" s="56"/>
      <c r="W168" s="56"/>
      <c r="X168" s="56"/>
      <c r="Y168" s="42" t="s">
        <v>1394</v>
      </c>
      <c r="Z168" s="58" t="s">
        <v>1395</v>
      </c>
      <c r="AA168" s="58"/>
      <c r="AB168" s="45" t="s">
        <v>47</v>
      </c>
      <c r="AC168" s="101"/>
      <c r="AD168" s="36"/>
      <c r="AE168" s="47" t="s">
        <v>49</v>
      </c>
      <c r="AF168" s="48" t="s">
        <v>41</v>
      </c>
      <c r="AG168" s="48" t="s">
        <v>49</v>
      </c>
      <c r="AH168" s="48" t="s">
        <v>49</v>
      </c>
      <c r="AI168" s="48" t="s">
        <v>49</v>
      </c>
      <c r="AJ168" s="48" t="s">
        <v>49</v>
      </c>
      <c r="AK168" s="49" t="s">
        <v>49</v>
      </c>
      <c r="AL168" s="48" t="s">
        <v>49</v>
      </c>
      <c r="AM168" s="62" t="s">
        <v>32</v>
      </c>
      <c r="AN168" s="62"/>
      <c r="AO168" s="59"/>
      <c r="AP168" s="10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1"/>
    </row>
    <row r="169" spans="1:53" x14ac:dyDescent="0.2">
      <c r="A169" s="33">
        <f t="shared" si="3"/>
        <v>164</v>
      </c>
      <c r="B169" s="34" t="s">
        <v>1396</v>
      </c>
      <c r="C169" s="35" t="s">
        <v>1397</v>
      </c>
      <c r="D169" s="170" t="s">
        <v>1398</v>
      </c>
      <c r="E169" s="339">
        <v>28600</v>
      </c>
      <c r="F169" s="36" t="s">
        <v>54</v>
      </c>
      <c r="G169" s="34" t="s">
        <v>1399</v>
      </c>
      <c r="H169" s="37" t="s">
        <v>205</v>
      </c>
      <c r="I169" s="37" t="s">
        <v>205</v>
      </c>
      <c r="J169" s="34" t="s">
        <v>1400</v>
      </c>
      <c r="K169" s="34" t="s">
        <v>41</v>
      </c>
      <c r="L169" s="39" t="s">
        <v>42</v>
      </c>
      <c r="M169" s="99" t="s">
        <v>1401</v>
      </c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2" t="s">
        <v>1402</v>
      </c>
      <c r="Z169" s="58" t="s">
        <v>1403</v>
      </c>
      <c r="AA169" s="44" t="s">
        <v>61</v>
      </c>
      <c r="AB169" s="45">
        <v>36641</v>
      </c>
      <c r="AC169" s="101" t="s">
        <v>30</v>
      </c>
      <c r="AD169" s="36" t="s">
        <v>26</v>
      </c>
      <c r="AE169" s="47" t="s">
        <v>49</v>
      </c>
      <c r="AF169" s="48" t="s">
        <v>49</v>
      </c>
      <c r="AG169" s="48" t="s">
        <v>49</v>
      </c>
      <c r="AH169" s="48" t="s">
        <v>49</v>
      </c>
      <c r="AI169" s="48" t="s">
        <v>49</v>
      </c>
      <c r="AJ169" s="48" t="s">
        <v>49</v>
      </c>
      <c r="AK169" s="49" t="s">
        <v>49</v>
      </c>
      <c r="AL169" s="48" t="s">
        <v>49</v>
      </c>
      <c r="AM169" s="65" t="s">
        <v>32</v>
      </c>
      <c r="AN169" s="65"/>
      <c r="AO169" s="59"/>
      <c r="AP169" s="10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1"/>
    </row>
    <row r="170" spans="1:53" x14ac:dyDescent="0.2">
      <c r="A170" s="33">
        <f t="shared" si="3"/>
        <v>165</v>
      </c>
      <c r="B170" s="34" t="s">
        <v>1404</v>
      </c>
      <c r="C170" s="35" t="s">
        <v>1405</v>
      </c>
      <c r="D170" s="174" t="s">
        <v>1406</v>
      </c>
      <c r="E170" s="174"/>
      <c r="F170" s="36" t="s">
        <v>54</v>
      </c>
      <c r="G170" s="34" t="s">
        <v>1407</v>
      </c>
      <c r="H170" s="37" t="s">
        <v>858</v>
      </c>
      <c r="I170" s="37" t="s">
        <v>57</v>
      </c>
      <c r="J170" s="34" t="s">
        <v>1408</v>
      </c>
      <c r="K170" s="34" t="s">
        <v>41</v>
      </c>
      <c r="L170" s="39" t="s">
        <v>42</v>
      </c>
      <c r="M170" s="99" t="s">
        <v>1409</v>
      </c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42" t="s">
        <v>1410</v>
      </c>
      <c r="Z170" s="58" t="s">
        <v>1411</v>
      </c>
      <c r="AA170" s="44" t="s">
        <v>1412</v>
      </c>
      <c r="AB170" s="45">
        <v>42935</v>
      </c>
      <c r="AC170" s="101" t="s">
        <v>30</v>
      </c>
      <c r="AD170" s="109" t="s">
        <v>26</v>
      </c>
      <c r="AE170" s="47" t="s">
        <v>49</v>
      </c>
      <c r="AF170" s="48" t="s">
        <v>49</v>
      </c>
      <c r="AG170" s="48" t="s">
        <v>49</v>
      </c>
      <c r="AH170" s="48" t="s">
        <v>49</v>
      </c>
      <c r="AI170" s="48" t="s">
        <v>49</v>
      </c>
      <c r="AJ170" s="48" t="s">
        <v>49</v>
      </c>
      <c r="AK170" s="49" t="s">
        <v>49</v>
      </c>
      <c r="AL170" s="48" t="s">
        <v>49</v>
      </c>
      <c r="AM170" s="62" t="s">
        <v>32</v>
      </c>
      <c r="AN170" s="62" t="s">
        <v>4681</v>
      </c>
      <c r="AO170" s="59"/>
      <c r="AP170" s="10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1"/>
    </row>
    <row r="171" spans="1:53" x14ac:dyDescent="0.2">
      <c r="A171" s="33">
        <f t="shared" si="3"/>
        <v>166</v>
      </c>
      <c r="B171" s="34" t="s">
        <v>1413</v>
      </c>
      <c r="C171" s="35" t="s">
        <v>1414</v>
      </c>
      <c r="D171" s="36" t="s">
        <v>1415</v>
      </c>
      <c r="E171" s="36"/>
      <c r="F171" s="36" t="s">
        <v>54</v>
      </c>
      <c r="G171" s="34" t="s">
        <v>1416</v>
      </c>
      <c r="H171" s="37" t="s">
        <v>1417</v>
      </c>
      <c r="I171" s="37" t="s">
        <v>187</v>
      </c>
      <c r="J171" s="34" t="s">
        <v>1418</v>
      </c>
      <c r="K171" s="34" t="s">
        <v>1419</v>
      </c>
      <c r="L171" s="39" t="s">
        <v>42</v>
      </c>
      <c r="M171" s="158" t="s">
        <v>1420</v>
      </c>
      <c r="N171" s="56" t="s">
        <v>179</v>
      </c>
      <c r="O171" s="56" t="s">
        <v>179</v>
      </c>
      <c r="P171" s="56"/>
      <c r="Q171" s="56">
        <v>6</v>
      </c>
      <c r="R171" s="56" t="s">
        <v>942</v>
      </c>
      <c r="S171" s="56"/>
      <c r="T171" s="56"/>
      <c r="U171" s="56"/>
      <c r="V171" s="56"/>
      <c r="W171" s="56"/>
      <c r="X171" s="56"/>
      <c r="Y171" s="42" t="s">
        <v>1421</v>
      </c>
      <c r="Z171" s="58" t="s">
        <v>1422</v>
      </c>
      <c r="AA171" s="58"/>
      <c r="AB171" s="45" t="s">
        <v>47</v>
      </c>
      <c r="AC171" s="101"/>
      <c r="AD171" s="36"/>
      <c r="AE171" s="47" t="s">
        <v>49</v>
      </c>
      <c r="AF171" s="48" t="s">
        <v>41</v>
      </c>
      <c r="AG171" s="48" t="s">
        <v>41</v>
      </c>
      <c r="AH171" s="48" t="s">
        <v>41</v>
      </c>
      <c r="AI171" s="48" t="s">
        <v>41</v>
      </c>
      <c r="AJ171" s="48" t="s">
        <v>41</v>
      </c>
      <c r="AK171" s="49" t="s">
        <v>41</v>
      </c>
      <c r="AL171" s="48" t="s">
        <v>41</v>
      </c>
      <c r="AM171" s="65" t="s">
        <v>4588</v>
      </c>
      <c r="AN171" s="65"/>
      <c r="AO171" s="59"/>
      <c r="AP171" s="117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1"/>
    </row>
    <row r="172" spans="1:53" x14ac:dyDescent="0.2">
      <c r="A172" s="33">
        <f t="shared" si="3"/>
        <v>167</v>
      </c>
      <c r="B172" s="34" t="s">
        <v>1423</v>
      </c>
      <c r="C172" s="35" t="s">
        <v>1424</v>
      </c>
      <c r="D172" s="36" t="s">
        <v>1425</v>
      </c>
      <c r="E172" s="36"/>
      <c r="F172" s="36" t="s">
        <v>36</v>
      </c>
      <c r="G172" s="87" t="s">
        <v>1426</v>
      </c>
      <c r="H172" s="37" t="s">
        <v>360</v>
      </c>
      <c r="I172" s="37" t="s">
        <v>350</v>
      </c>
      <c r="J172" s="34" t="s">
        <v>1427</v>
      </c>
      <c r="K172" s="34" t="s">
        <v>41</v>
      </c>
      <c r="L172" s="39" t="s">
        <v>42</v>
      </c>
      <c r="M172" s="158" t="s">
        <v>1428</v>
      </c>
      <c r="N172" s="56" t="s">
        <v>179</v>
      </c>
      <c r="O172" s="56" t="s">
        <v>179</v>
      </c>
      <c r="P172" s="56"/>
      <c r="Q172" s="56">
        <v>6</v>
      </c>
      <c r="R172" s="56" t="s">
        <v>942</v>
      </c>
      <c r="S172" s="56"/>
      <c r="T172" s="56"/>
      <c r="U172" s="56"/>
      <c r="V172" s="56"/>
      <c r="W172" s="56"/>
      <c r="X172" s="56"/>
      <c r="Y172" s="42" t="s">
        <v>1429</v>
      </c>
      <c r="Z172" s="52" t="s">
        <v>1430</v>
      </c>
      <c r="AA172" s="52"/>
      <c r="AB172" s="45" t="s">
        <v>47</v>
      </c>
      <c r="AC172" s="101"/>
      <c r="AD172" s="36">
        <v>1</v>
      </c>
      <c r="AE172" s="47" t="s">
        <v>49</v>
      </c>
      <c r="AF172" s="48" t="s">
        <v>41</v>
      </c>
      <c r="AG172" s="48" t="s">
        <v>41</v>
      </c>
      <c r="AH172" s="48" t="s">
        <v>41</v>
      </c>
      <c r="AI172" s="48" t="s">
        <v>41</v>
      </c>
      <c r="AJ172" s="48" t="s">
        <v>41</v>
      </c>
      <c r="AK172" s="49" t="s">
        <v>41</v>
      </c>
      <c r="AL172" s="48" t="s">
        <v>41</v>
      </c>
      <c r="AM172" s="65" t="s">
        <v>4588</v>
      </c>
      <c r="AN172" s="65"/>
      <c r="AO172" s="59" t="s">
        <v>1431</v>
      </c>
      <c r="AP172" s="117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1"/>
    </row>
    <row r="173" spans="1:53" x14ac:dyDescent="0.2">
      <c r="A173" s="33">
        <f t="shared" si="3"/>
        <v>168</v>
      </c>
      <c r="B173" s="34" t="s">
        <v>1432</v>
      </c>
      <c r="C173" s="35" t="s">
        <v>1433</v>
      </c>
      <c r="D173" s="36" t="s">
        <v>1434</v>
      </c>
      <c r="E173" s="334">
        <v>26378</v>
      </c>
      <c r="F173" s="36" t="s">
        <v>54</v>
      </c>
      <c r="G173" s="34" t="s">
        <v>1435</v>
      </c>
      <c r="H173" s="37" t="s">
        <v>38</v>
      </c>
      <c r="I173" s="37" t="s">
        <v>39</v>
      </c>
      <c r="J173" s="38" t="s">
        <v>1436</v>
      </c>
      <c r="K173" s="34" t="s">
        <v>41</v>
      </c>
      <c r="L173" s="39" t="s">
        <v>42</v>
      </c>
      <c r="M173" s="166" t="s">
        <v>1437</v>
      </c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42" t="s">
        <v>1438</v>
      </c>
      <c r="Z173" s="58" t="s">
        <v>1439</v>
      </c>
      <c r="AA173" s="44" t="s">
        <v>1440</v>
      </c>
      <c r="AB173" s="45">
        <v>44041</v>
      </c>
      <c r="AC173" s="101" t="s">
        <v>30</v>
      </c>
      <c r="AD173" s="36" t="s">
        <v>26</v>
      </c>
      <c r="AE173" s="175" t="s">
        <v>49</v>
      </c>
      <c r="AF173" s="48" t="s">
        <v>49</v>
      </c>
      <c r="AG173" s="48" t="s">
        <v>49</v>
      </c>
      <c r="AH173" s="48" t="s">
        <v>49</v>
      </c>
      <c r="AI173" s="48" t="s">
        <v>49</v>
      </c>
      <c r="AJ173" s="48" t="s">
        <v>49</v>
      </c>
      <c r="AK173" s="49" t="s">
        <v>41</v>
      </c>
      <c r="AL173" s="48" t="s">
        <v>41</v>
      </c>
      <c r="AM173" s="62" t="s">
        <v>276</v>
      </c>
      <c r="AN173" s="62"/>
      <c r="AO173" s="59"/>
      <c r="AP173" s="10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1"/>
    </row>
    <row r="174" spans="1:53" x14ac:dyDescent="0.2">
      <c r="A174" s="33">
        <f t="shared" si="3"/>
        <v>169</v>
      </c>
      <c r="B174" s="34" t="s">
        <v>1441</v>
      </c>
      <c r="C174" s="35" t="s">
        <v>1442</v>
      </c>
      <c r="D174" s="36" t="s">
        <v>1443</v>
      </c>
      <c r="E174" s="36"/>
      <c r="F174" s="36" t="s">
        <v>54</v>
      </c>
      <c r="G174" s="34" t="s">
        <v>1444</v>
      </c>
      <c r="H174" s="37" t="s">
        <v>73</v>
      </c>
      <c r="I174" s="37" t="s">
        <v>73</v>
      </c>
      <c r="J174" s="34" t="s">
        <v>1445</v>
      </c>
      <c r="K174" s="34" t="s">
        <v>1445</v>
      </c>
      <c r="L174" s="39" t="s">
        <v>42</v>
      </c>
      <c r="M174" s="166" t="s">
        <v>1446</v>
      </c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42" t="s">
        <v>1447</v>
      </c>
      <c r="Z174" s="58" t="s">
        <v>1448</v>
      </c>
      <c r="AA174" s="44" t="s">
        <v>61</v>
      </c>
      <c r="AB174" s="45">
        <v>34597</v>
      </c>
      <c r="AC174" s="101" t="s">
        <v>30</v>
      </c>
      <c r="AD174" s="36" t="s">
        <v>26</v>
      </c>
      <c r="AE174" s="47" t="s">
        <v>49</v>
      </c>
      <c r="AF174" s="48" t="s">
        <v>49</v>
      </c>
      <c r="AG174" s="48" t="s">
        <v>49</v>
      </c>
      <c r="AH174" s="48" t="s">
        <v>49</v>
      </c>
      <c r="AI174" s="48" t="s">
        <v>49</v>
      </c>
      <c r="AJ174" s="48" t="s">
        <v>49</v>
      </c>
      <c r="AK174" s="49" t="s">
        <v>49</v>
      </c>
      <c r="AL174" s="48" t="s">
        <v>49</v>
      </c>
      <c r="AM174" s="65" t="s">
        <v>32</v>
      </c>
      <c r="AN174" s="65"/>
      <c r="AO174" s="59"/>
      <c r="AP174" s="10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1"/>
    </row>
    <row r="175" spans="1:53" x14ac:dyDescent="0.2">
      <c r="A175" s="33">
        <f t="shared" si="3"/>
        <v>170</v>
      </c>
      <c r="B175" s="34" t="s">
        <v>1449</v>
      </c>
      <c r="C175" s="35" t="s">
        <v>1450</v>
      </c>
      <c r="D175" s="36" t="s">
        <v>1451</v>
      </c>
      <c r="E175" s="36"/>
      <c r="F175" s="36" t="s">
        <v>54</v>
      </c>
      <c r="G175" s="34" t="s">
        <v>1452</v>
      </c>
      <c r="H175" s="37" t="s">
        <v>73</v>
      </c>
      <c r="I175" s="37" t="s">
        <v>73</v>
      </c>
      <c r="J175" s="34" t="s">
        <v>1453</v>
      </c>
      <c r="K175" s="34" t="s">
        <v>41</v>
      </c>
      <c r="L175" s="39" t="s">
        <v>42</v>
      </c>
      <c r="M175" s="166" t="s">
        <v>1454</v>
      </c>
      <c r="N175" s="56"/>
      <c r="O175" s="56"/>
      <c r="P175" s="56"/>
      <c r="Q175" s="56"/>
      <c r="R175" s="56"/>
      <c r="S175" s="56" t="s">
        <v>44</v>
      </c>
      <c r="T175" s="56"/>
      <c r="U175" s="56"/>
      <c r="V175" s="56"/>
      <c r="W175" s="56"/>
      <c r="X175" s="56"/>
      <c r="Y175" s="42" t="s">
        <v>1455</v>
      </c>
      <c r="Z175" s="58" t="s">
        <v>1456</v>
      </c>
      <c r="AA175" s="84" t="s">
        <v>1457</v>
      </c>
      <c r="AB175" s="45">
        <v>44650</v>
      </c>
      <c r="AC175" s="101" t="s">
        <v>129</v>
      </c>
      <c r="AD175" s="36"/>
      <c r="AE175" s="47" t="s">
        <v>49</v>
      </c>
      <c r="AF175" s="48" t="s">
        <v>41</v>
      </c>
      <c r="AG175" s="48" t="s">
        <v>49</v>
      </c>
      <c r="AH175" s="48" t="s">
        <v>41</v>
      </c>
      <c r="AI175" s="48" t="s">
        <v>41</v>
      </c>
      <c r="AJ175" s="48" t="s">
        <v>41</v>
      </c>
      <c r="AK175" s="49" t="s">
        <v>41</v>
      </c>
      <c r="AL175" s="48" t="s">
        <v>41</v>
      </c>
      <c r="AM175" s="62" t="s">
        <v>110</v>
      </c>
      <c r="AN175" s="62"/>
      <c r="AO175" s="59"/>
      <c r="AP175" s="10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1"/>
    </row>
    <row r="176" spans="1:53" x14ac:dyDescent="0.2">
      <c r="A176" s="33">
        <f t="shared" si="3"/>
        <v>171</v>
      </c>
      <c r="B176" s="34" t="s">
        <v>1458</v>
      </c>
      <c r="C176" s="35" t="s">
        <v>1459</v>
      </c>
      <c r="D176" s="36" t="s">
        <v>1460</v>
      </c>
      <c r="E176" s="36"/>
      <c r="F176" s="36" t="s">
        <v>54</v>
      </c>
      <c r="G176" s="34" t="s">
        <v>1461</v>
      </c>
      <c r="H176" s="176" t="s">
        <v>4660</v>
      </c>
      <c r="I176" s="176" t="s">
        <v>39</v>
      </c>
      <c r="J176" s="34" t="s">
        <v>1462</v>
      </c>
      <c r="K176" s="34" t="s">
        <v>1463</v>
      </c>
      <c r="L176" s="39" t="s">
        <v>42</v>
      </c>
      <c r="M176" s="99" t="s">
        <v>1464</v>
      </c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42" t="s">
        <v>1465</v>
      </c>
      <c r="Z176" s="58" t="s">
        <v>1466</v>
      </c>
      <c r="AA176" s="44" t="s">
        <v>1467</v>
      </c>
      <c r="AB176" s="45">
        <v>44041</v>
      </c>
      <c r="AC176" s="101" t="s">
        <v>129</v>
      </c>
      <c r="AD176" s="36" t="s">
        <v>26</v>
      </c>
      <c r="AE176" s="47" t="s">
        <v>49</v>
      </c>
      <c r="AF176" s="48" t="s">
        <v>49</v>
      </c>
      <c r="AG176" s="48" t="s">
        <v>49</v>
      </c>
      <c r="AH176" s="48" t="s">
        <v>49</v>
      </c>
      <c r="AI176" s="48" t="s">
        <v>49</v>
      </c>
      <c r="AJ176" s="48" t="s">
        <v>49</v>
      </c>
      <c r="AK176" s="49" t="s">
        <v>49</v>
      </c>
      <c r="AL176" s="48" t="s">
        <v>49</v>
      </c>
      <c r="AM176" s="62" t="s">
        <v>32</v>
      </c>
      <c r="AN176" s="62"/>
      <c r="AO176" s="59"/>
      <c r="AP176" s="10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1"/>
    </row>
    <row r="177" spans="1:53" x14ac:dyDescent="0.2">
      <c r="A177" s="33">
        <f t="shared" si="3"/>
        <v>172</v>
      </c>
      <c r="B177" s="34" t="s">
        <v>1468</v>
      </c>
      <c r="C177" s="35" t="s">
        <v>1469</v>
      </c>
      <c r="D177" s="36" t="s">
        <v>1470</v>
      </c>
      <c r="E177" s="334">
        <v>35888</v>
      </c>
      <c r="F177" s="36" t="s">
        <v>36</v>
      </c>
      <c r="G177" s="34" t="s">
        <v>1471</v>
      </c>
      <c r="H177" s="176" t="s">
        <v>38</v>
      </c>
      <c r="I177" s="176" t="s">
        <v>39</v>
      </c>
      <c r="J177" s="38" t="s">
        <v>1472</v>
      </c>
      <c r="K177" s="34" t="s">
        <v>41</v>
      </c>
      <c r="L177" s="39" t="s">
        <v>42</v>
      </c>
      <c r="M177" s="120">
        <v>45320</v>
      </c>
      <c r="N177" s="56"/>
      <c r="O177" s="56"/>
      <c r="P177" s="56"/>
      <c r="Q177" s="56"/>
      <c r="R177" s="56"/>
      <c r="S177" s="115"/>
      <c r="T177" s="56"/>
      <c r="U177" s="56"/>
      <c r="V177" s="56" t="s">
        <v>44</v>
      </c>
      <c r="W177" s="56"/>
      <c r="X177" s="56"/>
      <c r="Y177" s="42" t="s">
        <v>1473</v>
      </c>
      <c r="Z177" s="83" t="s">
        <v>1474</v>
      </c>
      <c r="AA177" s="44"/>
      <c r="AB177" s="45"/>
      <c r="AC177" s="101"/>
      <c r="AD177" s="36"/>
      <c r="AE177" s="47" t="s">
        <v>49</v>
      </c>
      <c r="AF177" s="48" t="s">
        <v>41</v>
      </c>
      <c r="AG177" s="48" t="s">
        <v>41</v>
      </c>
      <c r="AH177" s="48" t="s">
        <v>41</v>
      </c>
      <c r="AI177" s="48" t="s">
        <v>41</v>
      </c>
      <c r="AJ177" s="48" t="s">
        <v>49</v>
      </c>
      <c r="AK177" s="49" t="s">
        <v>49</v>
      </c>
      <c r="AL177" s="48" t="s">
        <v>41</v>
      </c>
      <c r="AM177" s="65" t="s">
        <v>148</v>
      </c>
      <c r="AN177" s="65"/>
      <c r="AO177" s="59"/>
      <c r="AP177" s="10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1"/>
    </row>
    <row r="178" spans="1:53" x14ac:dyDescent="0.2">
      <c r="A178" s="33">
        <f t="shared" si="3"/>
        <v>173</v>
      </c>
      <c r="B178" s="34" t="s">
        <v>1475</v>
      </c>
      <c r="C178" s="35" t="s">
        <v>1476</v>
      </c>
      <c r="D178" s="36" t="s">
        <v>1477</v>
      </c>
      <c r="E178" s="334">
        <v>33764</v>
      </c>
      <c r="F178" s="36" t="s">
        <v>36</v>
      </c>
      <c r="G178" s="34" t="s">
        <v>1478</v>
      </c>
      <c r="H178" s="37" t="s">
        <v>205</v>
      </c>
      <c r="I178" s="37" t="s">
        <v>205</v>
      </c>
      <c r="J178" s="34" t="s">
        <v>1479</v>
      </c>
      <c r="K178" s="34" t="s">
        <v>1480</v>
      </c>
      <c r="L178" s="39" t="s">
        <v>42</v>
      </c>
      <c r="M178" s="120">
        <v>37112</v>
      </c>
      <c r="N178" s="41"/>
      <c r="O178" s="41"/>
      <c r="P178" s="41"/>
      <c r="Q178" s="41"/>
      <c r="R178" s="41"/>
      <c r="S178" s="177"/>
      <c r="T178" s="112"/>
      <c r="U178" s="41" t="s">
        <v>732</v>
      </c>
      <c r="V178" s="41"/>
      <c r="W178" s="41"/>
      <c r="X178" s="41"/>
      <c r="Y178" s="42" t="s">
        <v>1481</v>
      </c>
      <c r="Z178" s="58" t="s">
        <v>1482</v>
      </c>
      <c r="AA178" s="58"/>
      <c r="AB178" s="45">
        <v>45642</v>
      </c>
      <c r="AC178" s="101"/>
      <c r="AD178" s="36" t="s">
        <v>26</v>
      </c>
      <c r="AE178" s="47" t="s">
        <v>49</v>
      </c>
      <c r="AF178" s="48" t="s">
        <v>49</v>
      </c>
      <c r="AG178" s="48" t="s">
        <v>49</v>
      </c>
      <c r="AH178" s="48" t="s">
        <v>49</v>
      </c>
      <c r="AI178" s="48" t="s">
        <v>49</v>
      </c>
      <c r="AJ178" s="48" t="s">
        <v>49</v>
      </c>
      <c r="AK178" s="49" t="s">
        <v>49</v>
      </c>
      <c r="AL178" s="48" t="s">
        <v>49</v>
      </c>
      <c r="AM178" s="65" t="s">
        <v>32</v>
      </c>
      <c r="AN178" s="65"/>
      <c r="AO178" s="59"/>
      <c r="AP178" s="10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1"/>
    </row>
    <row r="179" spans="1:53" x14ac:dyDescent="0.2">
      <c r="A179" s="33">
        <f t="shared" si="3"/>
        <v>174</v>
      </c>
      <c r="B179" s="34" t="s">
        <v>1483</v>
      </c>
      <c r="C179" s="35" t="s">
        <v>1484</v>
      </c>
      <c r="D179" s="36" t="s">
        <v>1485</v>
      </c>
      <c r="E179" s="334">
        <v>28719</v>
      </c>
      <c r="F179" s="36" t="s">
        <v>54</v>
      </c>
      <c r="G179" s="34" t="s">
        <v>1486</v>
      </c>
      <c r="H179" s="37" t="s">
        <v>73</v>
      </c>
      <c r="I179" s="37" t="s">
        <v>73</v>
      </c>
      <c r="J179" s="34" t="s">
        <v>1445</v>
      </c>
      <c r="K179" s="34" t="s">
        <v>1445</v>
      </c>
      <c r="L179" s="39" t="s">
        <v>42</v>
      </c>
      <c r="M179" s="166" t="s">
        <v>1487</v>
      </c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2" t="s">
        <v>1488</v>
      </c>
      <c r="Z179" s="43" t="s">
        <v>1489</v>
      </c>
      <c r="AA179" s="44" t="s">
        <v>61</v>
      </c>
      <c r="AB179" s="45">
        <v>39286</v>
      </c>
      <c r="AC179" s="101" t="s">
        <v>30</v>
      </c>
      <c r="AD179" s="36" t="s">
        <v>26</v>
      </c>
      <c r="AE179" s="47" t="s">
        <v>49</v>
      </c>
      <c r="AF179" s="48" t="s">
        <v>49</v>
      </c>
      <c r="AG179" s="48" t="s">
        <v>49</v>
      </c>
      <c r="AH179" s="48" t="s">
        <v>49</v>
      </c>
      <c r="AI179" s="48" t="s">
        <v>49</v>
      </c>
      <c r="AJ179" s="48" t="s">
        <v>49</v>
      </c>
      <c r="AK179" s="49" t="s">
        <v>49</v>
      </c>
      <c r="AL179" s="48" t="s">
        <v>49</v>
      </c>
      <c r="AM179" s="65" t="s">
        <v>32</v>
      </c>
      <c r="AN179" s="65"/>
      <c r="AO179" s="59"/>
      <c r="AP179" s="10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1"/>
    </row>
    <row r="180" spans="1:53" x14ac:dyDescent="0.2">
      <c r="A180" s="33">
        <f t="shared" si="3"/>
        <v>175</v>
      </c>
      <c r="B180" s="34" t="s">
        <v>1490</v>
      </c>
      <c r="C180" s="35" t="s">
        <v>1491</v>
      </c>
      <c r="D180" s="36" t="s">
        <v>1492</v>
      </c>
      <c r="E180" s="36"/>
      <c r="F180" s="36" t="s">
        <v>54</v>
      </c>
      <c r="G180" s="98" t="s">
        <v>1493</v>
      </c>
      <c r="H180" s="37" t="s">
        <v>528</v>
      </c>
      <c r="I180" s="37" t="s">
        <v>57</v>
      </c>
      <c r="J180" s="34" t="s">
        <v>1494</v>
      </c>
      <c r="K180" s="34" t="s">
        <v>1495</v>
      </c>
      <c r="L180" s="39" t="s">
        <v>42</v>
      </c>
      <c r="M180" s="99" t="s">
        <v>1496</v>
      </c>
      <c r="N180" s="115"/>
      <c r="O180" s="115"/>
      <c r="P180" s="115"/>
      <c r="Q180" s="115"/>
      <c r="R180" s="115"/>
      <c r="S180" s="115"/>
      <c r="T180" s="115"/>
      <c r="U180" s="56"/>
      <c r="V180" s="56"/>
      <c r="W180" s="56"/>
      <c r="X180" s="56"/>
      <c r="Y180" s="42" t="s">
        <v>1497</v>
      </c>
      <c r="Z180" s="58" t="s">
        <v>1498</v>
      </c>
      <c r="AA180" s="44" t="s">
        <v>61</v>
      </c>
      <c r="AB180" s="45">
        <v>36641</v>
      </c>
      <c r="AC180" s="101" t="s">
        <v>30</v>
      </c>
      <c r="AD180" s="36" t="s">
        <v>26</v>
      </c>
      <c r="AE180" s="47" t="s">
        <v>49</v>
      </c>
      <c r="AF180" s="48" t="s">
        <v>49</v>
      </c>
      <c r="AG180" s="48" t="s">
        <v>41</v>
      </c>
      <c r="AH180" s="48" t="s">
        <v>41</v>
      </c>
      <c r="AI180" s="48" t="s">
        <v>41</v>
      </c>
      <c r="AJ180" s="48" t="s">
        <v>41</v>
      </c>
      <c r="AK180" s="49" t="s">
        <v>41</v>
      </c>
      <c r="AL180" s="48" t="s">
        <v>41</v>
      </c>
      <c r="AM180" s="62" t="s">
        <v>4587</v>
      </c>
      <c r="AN180" s="62"/>
      <c r="AO180" s="59"/>
      <c r="AP180" s="10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1"/>
    </row>
    <row r="181" spans="1:53" x14ac:dyDescent="0.2">
      <c r="A181" s="33">
        <f t="shared" si="3"/>
        <v>176</v>
      </c>
      <c r="B181" s="34" t="s">
        <v>1499</v>
      </c>
      <c r="C181" s="35" t="s">
        <v>1500</v>
      </c>
      <c r="D181" s="36" t="s">
        <v>4611</v>
      </c>
      <c r="E181" s="334">
        <v>34891</v>
      </c>
      <c r="F181" s="36" t="s">
        <v>54</v>
      </c>
      <c r="G181" s="34" t="s">
        <v>1501</v>
      </c>
      <c r="H181" s="37" t="s">
        <v>73</v>
      </c>
      <c r="I181" s="37" t="s">
        <v>73</v>
      </c>
      <c r="J181" s="34" t="s">
        <v>1502</v>
      </c>
      <c r="K181" s="34" t="s">
        <v>41</v>
      </c>
      <c r="L181" s="39" t="s">
        <v>42</v>
      </c>
      <c r="M181" s="99" t="s">
        <v>1503</v>
      </c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42" t="s">
        <v>4612</v>
      </c>
      <c r="Z181" s="58" t="s">
        <v>1504</v>
      </c>
      <c r="AA181" s="44" t="s">
        <v>61</v>
      </c>
      <c r="AB181" s="45">
        <v>36641</v>
      </c>
      <c r="AC181" s="101" t="s">
        <v>30</v>
      </c>
      <c r="AD181" s="36" t="s">
        <v>26</v>
      </c>
      <c r="AE181" s="47" t="s">
        <v>49</v>
      </c>
      <c r="AF181" s="48" t="s">
        <v>49</v>
      </c>
      <c r="AG181" s="48" t="s">
        <v>49</v>
      </c>
      <c r="AH181" s="48" t="s">
        <v>49</v>
      </c>
      <c r="AI181" s="48" t="s">
        <v>49</v>
      </c>
      <c r="AJ181" s="48" t="s">
        <v>49</v>
      </c>
      <c r="AK181" s="49" t="s">
        <v>49</v>
      </c>
      <c r="AL181" s="48" t="s">
        <v>49</v>
      </c>
      <c r="AM181" s="65" t="s">
        <v>32</v>
      </c>
      <c r="AN181" s="65"/>
      <c r="AO181" s="59"/>
      <c r="AP181" s="10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1"/>
    </row>
    <row r="182" spans="1:53" x14ac:dyDescent="0.2">
      <c r="A182" s="33">
        <f t="shared" si="3"/>
        <v>177</v>
      </c>
      <c r="B182" s="34" t="s">
        <v>1505</v>
      </c>
      <c r="C182" s="35" t="s">
        <v>1506</v>
      </c>
      <c r="D182" s="36" t="s">
        <v>1507</v>
      </c>
      <c r="E182" s="334">
        <v>27331</v>
      </c>
      <c r="F182" s="36" t="s">
        <v>54</v>
      </c>
      <c r="G182" s="34" t="s">
        <v>1508</v>
      </c>
      <c r="H182" s="37" t="s">
        <v>176</v>
      </c>
      <c r="I182" s="37" t="s">
        <v>39</v>
      </c>
      <c r="J182" s="34" t="s">
        <v>1509</v>
      </c>
      <c r="K182" s="34" t="s">
        <v>1509</v>
      </c>
      <c r="L182" s="39" t="s">
        <v>42</v>
      </c>
      <c r="M182" s="158" t="s">
        <v>1510</v>
      </c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2" t="s">
        <v>1511</v>
      </c>
      <c r="Z182" s="69" t="s">
        <v>1512</v>
      </c>
      <c r="AA182" s="44" t="s">
        <v>61</v>
      </c>
      <c r="AB182" s="45">
        <v>36803</v>
      </c>
      <c r="AC182" s="101" t="s">
        <v>30</v>
      </c>
      <c r="AD182" s="36"/>
      <c r="AE182" s="47" t="s">
        <v>49</v>
      </c>
      <c r="AF182" s="48" t="s">
        <v>49</v>
      </c>
      <c r="AG182" s="48" t="s">
        <v>49</v>
      </c>
      <c r="AH182" s="48" t="s">
        <v>49</v>
      </c>
      <c r="AI182" s="48" t="s">
        <v>49</v>
      </c>
      <c r="AJ182" s="48" t="s">
        <v>49</v>
      </c>
      <c r="AK182" s="49" t="s">
        <v>49</v>
      </c>
      <c r="AL182" s="48" t="s">
        <v>49</v>
      </c>
      <c r="AM182" s="65" t="s">
        <v>32</v>
      </c>
      <c r="AN182" s="65"/>
      <c r="AO182" s="59"/>
      <c r="AP182" s="10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1"/>
    </row>
    <row r="183" spans="1:53" x14ac:dyDescent="0.2">
      <c r="A183" s="33">
        <f t="shared" si="3"/>
        <v>178</v>
      </c>
      <c r="B183" s="34" t="s">
        <v>1513</v>
      </c>
      <c r="C183" s="35" t="s">
        <v>1514</v>
      </c>
      <c r="D183" s="89" t="s">
        <v>1515</v>
      </c>
      <c r="E183" s="340">
        <v>32336</v>
      </c>
      <c r="F183" s="36" t="s">
        <v>36</v>
      </c>
      <c r="G183" s="34" t="s">
        <v>1516</v>
      </c>
      <c r="H183" s="37" t="s">
        <v>205</v>
      </c>
      <c r="I183" s="37" t="s">
        <v>205</v>
      </c>
      <c r="J183" s="38" t="s">
        <v>1517</v>
      </c>
      <c r="K183" s="107" t="s">
        <v>41</v>
      </c>
      <c r="L183" s="39" t="s">
        <v>42</v>
      </c>
      <c r="M183" s="158" t="s">
        <v>1518</v>
      </c>
      <c r="N183" s="41"/>
      <c r="O183" s="41"/>
      <c r="P183" s="41"/>
      <c r="Q183" s="41"/>
      <c r="R183" s="41"/>
      <c r="S183" s="41"/>
      <c r="T183" s="41"/>
      <c r="U183" s="41" t="s">
        <v>44</v>
      </c>
      <c r="V183" s="41"/>
      <c r="W183" s="41"/>
      <c r="X183" s="41"/>
      <c r="Y183" s="42" t="s">
        <v>1519</v>
      </c>
      <c r="Z183" s="58" t="s">
        <v>1520</v>
      </c>
      <c r="AA183" s="44"/>
      <c r="AB183" s="45">
        <v>45642</v>
      </c>
      <c r="AC183" s="101"/>
      <c r="AD183" s="36"/>
      <c r="AE183" s="47" t="s">
        <v>49</v>
      </c>
      <c r="AF183" s="48" t="s">
        <v>41</v>
      </c>
      <c r="AG183" s="48" t="s">
        <v>41</v>
      </c>
      <c r="AH183" s="48" t="s">
        <v>41</v>
      </c>
      <c r="AI183" s="48" t="s">
        <v>49</v>
      </c>
      <c r="AJ183" s="48" t="s">
        <v>49</v>
      </c>
      <c r="AK183" s="49" t="s">
        <v>49</v>
      </c>
      <c r="AL183" s="48" t="s">
        <v>49</v>
      </c>
      <c r="AM183" s="65" t="s">
        <v>32</v>
      </c>
      <c r="AN183" s="65"/>
      <c r="AO183" s="59"/>
      <c r="AP183" s="10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1"/>
    </row>
    <row r="184" spans="1:53" x14ac:dyDescent="0.2">
      <c r="A184" s="33">
        <f t="shared" si="3"/>
        <v>179</v>
      </c>
      <c r="B184" s="34" t="s">
        <v>1521</v>
      </c>
      <c r="C184" s="35" t="s">
        <v>1522</v>
      </c>
      <c r="D184" s="36" t="s">
        <v>1523</v>
      </c>
      <c r="E184" s="36"/>
      <c r="F184" s="36" t="s">
        <v>54</v>
      </c>
      <c r="G184" s="34" t="s">
        <v>1524</v>
      </c>
      <c r="H184" s="37" t="s">
        <v>73</v>
      </c>
      <c r="I184" s="37" t="s">
        <v>73</v>
      </c>
      <c r="J184" s="38" t="s">
        <v>1525</v>
      </c>
      <c r="K184" s="38" t="s">
        <v>1525</v>
      </c>
      <c r="L184" s="178" t="s">
        <v>42</v>
      </c>
      <c r="M184" s="158" t="s">
        <v>1526</v>
      </c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42" t="s">
        <v>1527</v>
      </c>
      <c r="Z184" s="58" t="s">
        <v>1528</v>
      </c>
      <c r="AA184" s="44" t="s">
        <v>1529</v>
      </c>
      <c r="AB184" s="45">
        <v>42935</v>
      </c>
      <c r="AC184" s="180" t="s">
        <v>30</v>
      </c>
      <c r="AD184" s="36" t="s">
        <v>26</v>
      </c>
      <c r="AE184" s="181" t="s">
        <v>49</v>
      </c>
      <c r="AF184" s="48" t="s">
        <v>49</v>
      </c>
      <c r="AG184" s="48" t="s">
        <v>49</v>
      </c>
      <c r="AH184" s="48" t="s">
        <v>41</v>
      </c>
      <c r="AI184" s="48" t="s">
        <v>41</v>
      </c>
      <c r="AJ184" s="48" t="s">
        <v>41</v>
      </c>
      <c r="AK184" s="49" t="s">
        <v>41</v>
      </c>
      <c r="AL184" s="48" t="s">
        <v>41</v>
      </c>
      <c r="AM184" s="62" t="s">
        <v>110</v>
      </c>
      <c r="AN184" s="62"/>
      <c r="AO184" s="59"/>
      <c r="AP184" s="10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1"/>
    </row>
    <row r="185" spans="1:53" x14ac:dyDescent="0.2">
      <c r="A185" s="33">
        <f t="shared" si="3"/>
        <v>180</v>
      </c>
      <c r="B185" s="34" t="s">
        <v>1530</v>
      </c>
      <c r="C185" s="35" t="s">
        <v>1531</v>
      </c>
      <c r="D185" s="36" t="s">
        <v>1532</v>
      </c>
      <c r="E185" s="334">
        <v>24182</v>
      </c>
      <c r="F185" s="36" t="s">
        <v>36</v>
      </c>
      <c r="G185" s="87" t="s">
        <v>1533</v>
      </c>
      <c r="H185" s="182" t="s">
        <v>73</v>
      </c>
      <c r="I185" s="182" t="s">
        <v>73</v>
      </c>
      <c r="J185" s="183" t="s">
        <v>1534</v>
      </c>
      <c r="K185" s="38" t="s">
        <v>1534</v>
      </c>
      <c r="L185" s="178" t="s">
        <v>42</v>
      </c>
      <c r="M185" s="158" t="s">
        <v>1535</v>
      </c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42" t="s">
        <v>1536</v>
      </c>
      <c r="Z185" s="58" t="s">
        <v>1537</v>
      </c>
      <c r="AA185" s="119" t="s">
        <v>1538</v>
      </c>
      <c r="AB185" s="45">
        <v>42935</v>
      </c>
      <c r="AC185" s="180" t="s">
        <v>30</v>
      </c>
      <c r="AD185" s="36" t="s">
        <v>26</v>
      </c>
      <c r="AE185" s="181" t="s">
        <v>49</v>
      </c>
      <c r="AF185" s="48" t="s">
        <v>49</v>
      </c>
      <c r="AG185" s="48" t="s">
        <v>49</v>
      </c>
      <c r="AH185" s="48" t="s">
        <v>49</v>
      </c>
      <c r="AI185" s="48" t="s">
        <v>49</v>
      </c>
      <c r="AJ185" s="48" t="s">
        <v>49</v>
      </c>
      <c r="AK185" s="49" t="s">
        <v>49</v>
      </c>
      <c r="AL185" s="48" t="s">
        <v>49</v>
      </c>
      <c r="AM185" s="65" t="s">
        <v>32</v>
      </c>
      <c r="AN185" s="65"/>
      <c r="AO185" s="184"/>
      <c r="AP185" s="10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1"/>
    </row>
    <row r="186" spans="1:53" x14ac:dyDescent="0.2">
      <c r="A186" s="33">
        <f t="shared" si="3"/>
        <v>181</v>
      </c>
      <c r="B186" s="34" t="s">
        <v>1539</v>
      </c>
      <c r="C186" s="35" t="s">
        <v>1540</v>
      </c>
      <c r="D186" s="174" t="s">
        <v>4614</v>
      </c>
      <c r="E186" s="341">
        <v>32896</v>
      </c>
      <c r="F186" s="36" t="s">
        <v>54</v>
      </c>
      <c r="G186" s="108" t="s">
        <v>1542</v>
      </c>
      <c r="H186" s="37" t="s">
        <v>1285</v>
      </c>
      <c r="I186" s="37" t="s">
        <v>350</v>
      </c>
      <c r="J186" s="140" t="s">
        <v>1543</v>
      </c>
      <c r="K186" s="108" t="s">
        <v>41</v>
      </c>
      <c r="L186" s="39" t="s">
        <v>42</v>
      </c>
      <c r="M186" s="158" t="s">
        <v>1544</v>
      </c>
      <c r="N186" s="56"/>
      <c r="O186" s="56"/>
      <c r="P186" s="56"/>
      <c r="Q186" s="56"/>
      <c r="R186" s="56"/>
      <c r="S186" s="56"/>
      <c r="T186" s="56"/>
      <c r="U186" s="56" t="s">
        <v>44</v>
      </c>
      <c r="V186" s="56"/>
      <c r="W186" s="56"/>
      <c r="X186" s="56"/>
      <c r="Y186" s="42" t="s">
        <v>1545</v>
      </c>
      <c r="Z186" s="58" t="s">
        <v>1546</v>
      </c>
      <c r="AA186" s="58"/>
      <c r="AB186" s="45">
        <v>45642</v>
      </c>
      <c r="AC186" s="101"/>
      <c r="AD186" s="109"/>
      <c r="AE186" s="47" t="s">
        <v>49</v>
      </c>
      <c r="AF186" s="48" t="s">
        <v>41</v>
      </c>
      <c r="AG186" s="48" t="s">
        <v>41</v>
      </c>
      <c r="AH186" s="48" t="s">
        <v>41</v>
      </c>
      <c r="AI186" s="48" t="s">
        <v>49</v>
      </c>
      <c r="AJ186" s="48" t="s">
        <v>49</v>
      </c>
      <c r="AK186" s="49" t="s">
        <v>49</v>
      </c>
      <c r="AL186" s="48" t="s">
        <v>49</v>
      </c>
      <c r="AM186" s="65" t="s">
        <v>32</v>
      </c>
      <c r="AN186" s="65"/>
      <c r="AO186" s="59"/>
      <c r="AP186" s="102"/>
      <c r="AQ186" s="32"/>
      <c r="AR186" s="32"/>
      <c r="AS186" s="32"/>
      <c r="AT186" s="32"/>
      <c r="AU186" s="32"/>
      <c r="AV186" s="32"/>
      <c r="AW186" s="32"/>
      <c r="AX186" s="32"/>
      <c r="AY186" s="32"/>
      <c r="AZ186" s="32"/>
      <c r="BA186" s="31"/>
    </row>
    <row r="187" spans="1:53" x14ac:dyDescent="0.2">
      <c r="A187" s="33">
        <f t="shared" si="3"/>
        <v>182</v>
      </c>
      <c r="B187" s="34" t="s">
        <v>1547</v>
      </c>
      <c r="C187" s="35" t="s">
        <v>1548</v>
      </c>
      <c r="D187" s="174" t="s">
        <v>1549</v>
      </c>
      <c r="E187" s="341">
        <v>24722</v>
      </c>
      <c r="F187" s="36" t="s">
        <v>54</v>
      </c>
      <c r="G187" s="185" t="s">
        <v>1550</v>
      </c>
      <c r="H187" s="126" t="s">
        <v>73</v>
      </c>
      <c r="I187" s="126" t="s">
        <v>73</v>
      </c>
      <c r="J187" s="139" t="s">
        <v>1551</v>
      </c>
      <c r="K187" s="108" t="s">
        <v>1552</v>
      </c>
      <c r="L187" s="39" t="s">
        <v>42</v>
      </c>
      <c r="M187" s="158" t="s">
        <v>1553</v>
      </c>
      <c r="N187" s="56"/>
      <c r="O187" s="137"/>
      <c r="P187" s="137"/>
      <c r="Q187" s="137"/>
      <c r="R187" s="137"/>
      <c r="S187" s="186"/>
      <c r="T187" s="115"/>
      <c r="U187" s="56"/>
      <c r="V187" s="56"/>
      <c r="W187" s="56"/>
      <c r="X187" s="56"/>
      <c r="Y187" s="42" t="s">
        <v>1554</v>
      </c>
      <c r="Z187" s="58" t="s">
        <v>1555</v>
      </c>
      <c r="AA187" s="121" t="s">
        <v>1556</v>
      </c>
      <c r="AB187" s="45">
        <v>44650</v>
      </c>
      <c r="AC187" s="101" t="s">
        <v>30</v>
      </c>
      <c r="AD187" s="109" t="s">
        <v>26</v>
      </c>
      <c r="AE187" s="47" t="s">
        <v>49</v>
      </c>
      <c r="AF187" s="48" t="s">
        <v>49</v>
      </c>
      <c r="AG187" s="48" t="s">
        <v>49</v>
      </c>
      <c r="AH187" s="48" t="s">
        <v>49</v>
      </c>
      <c r="AI187" s="48" t="s">
        <v>49</v>
      </c>
      <c r="AJ187" s="48" t="s">
        <v>49</v>
      </c>
      <c r="AK187" s="49" t="s">
        <v>49</v>
      </c>
      <c r="AL187" s="48" t="s">
        <v>49</v>
      </c>
      <c r="AM187" s="62" t="s">
        <v>32</v>
      </c>
      <c r="AN187" s="62"/>
      <c r="AO187" s="59"/>
      <c r="AP187" s="10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1"/>
    </row>
    <row r="188" spans="1:53" x14ac:dyDescent="0.2">
      <c r="A188" s="33">
        <f t="shared" si="3"/>
        <v>183</v>
      </c>
      <c r="B188" s="34" t="s">
        <v>1557</v>
      </c>
      <c r="C188" s="35" t="s">
        <v>1558</v>
      </c>
      <c r="D188" s="174" t="s">
        <v>1559</v>
      </c>
      <c r="E188" s="341">
        <v>29384</v>
      </c>
      <c r="F188" s="36" t="s">
        <v>54</v>
      </c>
      <c r="G188" s="108" t="s">
        <v>1560</v>
      </c>
      <c r="H188" s="37" t="s">
        <v>73</v>
      </c>
      <c r="I188" s="37" t="s">
        <v>73</v>
      </c>
      <c r="J188" s="140" t="s">
        <v>1561</v>
      </c>
      <c r="K188" s="108"/>
      <c r="L188" s="39" t="s">
        <v>42</v>
      </c>
      <c r="M188" s="158" t="s">
        <v>1562</v>
      </c>
      <c r="N188" s="56"/>
      <c r="O188" s="56"/>
      <c r="P188" s="56"/>
      <c r="Q188" s="56"/>
      <c r="R188" s="115"/>
      <c r="S188" s="115" t="s">
        <v>44</v>
      </c>
      <c r="T188" s="115"/>
      <c r="U188" s="56"/>
      <c r="V188" s="56"/>
      <c r="W188" s="56"/>
      <c r="X188" s="56"/>
      <c r="Y188" s="42" t="s">
        <v>1563</v>
      </c>
      <c r="Z188" s="58" t="s">
        <v>1564</v>
      </c>
      <c r="AA188" s="44" t="s">
        <v>1565</v>
      </c>
      <c r="AB188" s="45">
        <v>44944</v>
      </c>
      <c r="AC188" s="101" t="s">
        <v>30</v>
      </c>
      <c r="AD188" s="109"/>
      <c r="AE188" s="47" t="s">
        <v>49</v>
      </c>
      <c r="AF188" s="48" t="s">
        <v>41</v>
      </c>
      <c r="AG188" s="48" t="s">
        <v>49</v>
      </c>
      <c r="AH188" s="48" t="s">
        <v>49</v>
      </c>
      <c r="AI188" s="48" t="s">
        <v>49</v>
      </c>
      <c r="AJ188" s="48" t="s">
        <v>49</v>
      </c>
      <c r="AK188" s="49" t="s">
        <v>49</v>
      </c>
      <c r="AL188" s="48" t="s">
        <v>49</v>
      </c>
      <c r="AM188" s="62" t="s">
        <v>32</v>
      </c>
      <c r="AN188" s="62"/>
      <c r="AO188" s="59"/>
      <c r="AP188" s="10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1"/>
    </row>
    <row r="189" spans="1:53" x14ac:dyDescent="0.2">
      <c r="A189" s="33">
        <f t="shared" si="3"/>
        <v>184</v>
      </c>
      <c r="B189" s="34" t="s">
        <v>1566</v>
      </c>
      <c r="C189" s="35" t="s">
        <v>1567</v>
      </c>
      <c r="D189" s="36" t="s">
        <v>1568</v>
      </c>
      <c r="E189" s="36"/>
      <c r="F189" s="36" t="s">
        <v>54</v>
      </c>
      <c r="G189" s="98" t="s">
        <v>1569</v>
      </c>
      <c r="H189" s="37" t="s">
        <v>73</v>
      </c>
      <c r="I189" s="37" t="s">
        <v>73</v>
      </c>
      <c r="J189" s="34" t="s">
        <v>1570</v>
      </c>
      <c r="K189" s="34" t="s">
        <v>1571</v>
      </c>
      <c r="L189" s="39" t="s">
        <v>42</v>
      </c>
      <c r="M189" s="158" t="s">
        <v>1572</v>
      </c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2" t="s">
        <v>1573</v>
      </c>
      <c r="Z189" s="52" t="s">
        <v>1574</v>
      </c>
      <c r="AA189" s="44" t="s">
        <v>61</v>
      </c>
      <c r="AB189" s="45">
        <v>36641</v>
      </c>
      <c r="AC189" s="101" t="s">
        <v>30</v>
      </c>
      <c r="AD189" s="36"/>
      <c r="AE189" s="47" t="s">
        <v>49</v>
      </c>
      <c r="AF189" s="48" t="s">
        <v>41</v>
      </c>
      <c r="AG189" s="48" t="s">
        <v>41</v>
      </c>
      <c r="AH189" s="48" t="s">
        <v>41</v>
      </c>
      <c r="AI189" s="48" t="s">
        <v>41</v>
      </c>
      <c r="AJ189" s="48" t="s">
        <v>41</v>
      </c>
      <c r="AK189" s="49" t="s">
        <v>41</v>
      </c>
      <c r="AL189" s="48" t="s">
        <v>41</v>
      </c>
      <c r="AM189" s="65" t="s">
        <v>4592</v>
      </c>
      <c r="AN189" s="65"/>
      <c r="AO189" s="59"/>
      <c r="AP189" s="10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1"/>
    </row>
    <row r="190" spans="1:53" x14ac:dyDescent="0.2">
      <c r="A190" s="33">
        <f t="shared" si="3"/>
        <v>185</v>
      </c>
      <c r="B190" s="34" t="s">
        <v>1575</v>
      </c>
      <c r="C190" s="35" t="s">
        <v>1576</v>
      </c>
      <c r="D190" s="36" t="s">
        <v>1577</v>
      </c>
      <c r="E190" s="334">
        <v>32317</v>
      </c>
      <c r="F190" s="36" t="s">
        <v>54</v>
      </c>
      <c r="G190" s="34" t="s">
        <v>1578</v>
      </c>
      <c r="H190" s="37" t="s">
        <v>73</v>
      </c>
      <c r="I190" s="37" t="s">
        <v>73</v>
      </c>
      <c r="J190" s="34" t="s">
        <v>1579</v>
      </c>
      <c r="K190" s="34" t="s">
        <v>1579</v>
      </c>
      <c r="L190" s="39" t="s">
        <v>42</v>
      </c>
      <c r="M190" s="99" t="s">
        <v>1580</v>
      </c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42" t="s">
        <v>1581</v>
      </c>
      <c r="Z190" s="52" t="s">
        <v>1582</v>
      </c>
      <c r="AA190" s="44" t="s">
        <v>61</v>
      </c>
      <c r="AB190" s="45">
        <v>40815</v>
      </c>
      <c r="AC190" s="101" t="s">
        <v>129</v>
      </c>
      <c r="AD190" s="73" t="s">
        <v>26</v>
      </c>
      <c r="AE190" s="61" t="s">
        <v>49</v>
      </c>
      <c r="AF190" s="48" t="s">
        <v>49</v>
      </c>
      <c r="AG190" s="48" t="s">
        <v>49</v>
      </c>
      <c r="AH190" s="48" t="s">
        <v>49</v>
      </c>
      <c r="AI190" s="48" t="s">
        <v>49</v>
      </c>
      <c r="AJ190" s="48" t="s">
        <v>49</v>
      </c>
      <c r="AK190" s="49" t="s">
        <v>49</v>
      </c>
      <c r="AL190" s="48" t="s">
        <v>49</v>
      </c>
      <c r="AM190" s="65" t="s">
        <v>32</v>
      </c>
      <c r="AN190" s="65"/>
      <c r="AO190" s="59"/>
      <c r="AP190" s="10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1"/>
    </row>
    <row r="191" spans="1:53" x14ac:dyDescent="0.2">
      <c r="A191" s="33">
        <f t="shared" si="3"/>
        <v>186</v>
      </c>
      <c r="B191" s="34" t="s">
        <v>1583</v>
      </c>
      <c r="C191" s="35" t="s">
        <v>1584</v>
      </c>
      <c r="D191" s="36" t="s">
        <v>1585</v>
      </c>
      <c r="E191" s="334">
        <v>34372</v>
      </c>
      <c r="F191" s="36" t="s">
        <v>54</v>
      </c>
      <c r="G191" s="98" t="s">
        <v>1586</v>
      </c>
      <c r="H191" s="37" t="s">
        <v>73</v>
      </c>
      <c r="I191" s="37" t="s">
        <v>73</v>
      </c>
      <c r="J191" s="54" t="s">
        <v>1587</v>
      </c>
      <c r="K191" s="34" t="s">
        <v>41</v>
      </c>
      <c r="L191" s="39" t="s">
        <v>42</v>
      </c>
      <c r="M191" s="158" t="s">
        <v>1588</v>
      </c>
      <c r="N191" s="56"/>
      <c r="O191" s="56"/>
      <c r="P191" s="56"/>
      <c r="Q191" s="56"/>
      <c r="R191" s="56"/>
      <c r="S191" s="56"/>
      <c r="T191" s="56"/>
      <c r="U191" s="56"/>
      <c r="V191" s="56"/>
      <c r="W191" s="56" t="s">
        <v>732</v>
      </c>
      <c r="X191" s="56"/>
      <c r="Y191" s="54" t="s">
        <v>1589</v>
      </c>
      <c r="Z191" s="58" t="s">
        <v>1590</v>
      </c>
      <c r="AA191" s="44"/>
      <c r="AB191" s="45"/>
      <c r="AC191" s="101" t="s">
        <v>30</v>
      </c>
      <c r="AD191" s="36" t="s">
        <v>26</v>
      </c>
      <c r="AE191" s="47" t="s">
        <v>49</v>
      </c>
      <c r="AF191" s="48" t="s">
        <v>49</v>
      </c>
      <c r="AG191" s="48" t="s">
        <v>49</v>
      </c>
      <c r="AH191" s="48" t="s">
        <v>49</v>
      </c>
      <c r="AI191" s="48" t="s">
        <v>49</v>
      </c>
      <c r="AJ191" s="48" t="s">
        <v>49</v>
      </c>
      <c r="AK191" s="49" t="s">
        <v>49</v>
      </c>
      <c r="AL191" s="48" t="s">
        <v>49</v>
      </c>
      <c r="AM191" s="62" t="s">
        <v>32</v>
      </c>
      <c r="AN191" s="62"/>
      <c r="AO191" s="59"/>
      <c r="AP191" s="10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1"/>
    </row>
    <row r="192" spans="1:53" x14ac:dyDescent="0.2">
      <c r="A192" s="33">
        <f t="shared" si="3"/>
        <v>187</v>
      </c>
      <c r="B192" s="34" t="s">
        <v>1591</v>
      </c>
      <c r="C192" s="35" t="s">
        <v>1592</v>
      </c>
      <c r="D192" s="36" t="s">
        <v>1593</v>
      </c>
      <c r="E192" s="334">
        <v>30522</v>
      </c>
      <c r="F192" s="36" t="s">
        <v>54</v>
      </c>
      <c r="G192" s="98" t="s">
        <v>1594</v>
      </c>
      <c r="H192" s="37" t="s">
        <v>4605</v>
      </c>
      <c r="I192" s="37" t="s">
        <v>205</v>
      </c>
      <c r="J192" s="38" t="s">
        <v>1595</v>
      </c>
      <c r="K192" s="34" t="s">
        <v>41</v>
      </c>
      <c r="L192" s="39" t="s">
        <v>42</v>
      </c>
      <c r="M192" s="158" t="s">
        <v>1596</v>
      </c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42" t="s">
        <v>1152</v>
      </c>
      <c r="Z192" s="52" t="s">
        <v>1597</v>
      </c>
      <c r="AA192" s="44" t="s">
        <v>1598</v>
      </c>
      <c r="AB192" s="45">
        <v>44041</v>
      </c>
      <c r="AC192" s="101" t="s">
        <v>30</v>
      </c>
      <c r="AD192" s="36" t="s">
        <v>26</v>
      </c>
      <c r="AE192" s="47" t="s">
        <v>49</v>
      </c>
      <c r="AF192" s="48" t="s">
        <v>49</v>
      </c>
      <c r="AG192" s="48" t="s">
        <v>49</v>
      </c>
      <c r="AH192" s="48" t="s">
        <v>49</v>
      </c>
      <c r="AI192" s="48" t="s">
        <v>49</v>
      </c>
      <c r="AJ192" s="48" t="s">
        <v>49</v>
      </c>
      <c r="AK192" s="49" t="s">
        <v>49</v>
      </c>
      <c r="AL192" s="48" t="s">
        <v>49</v>
      </c>
      <c r="AM192" s="62" t="s">
        <v>32</v>
      </c>
      <c r="AN192" s="62"/>
      <c r="AO192" s="59"/>
      <c r="AP192" s="10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1"/>
    </row>
    <row r="193" spans="1:61" x14ac:dyDescent="0.2">
      <c r="A193" s="33">
        <f t="shared" si="3"/>
        <v>188</v>
      </c>
      <c r="B193" s="34" t="s">
        <v>1599</v>
      </c>
      <c r="C193" s="35" t="s">
        <v>1600</v>
      </c>
      <c r="D193" s="36" t="s">
        <v>1601</v>
      </c>
      <c r="E193" s="36"/>
      <c r="F193" s="36" t="s">
        <v>54</v>
      </c>
      <c r="G193" s="98" t="s">
        <v>1602</v>
      </c>
      <c r="H193" s="37" t="s">
        <v>176</v>
      </c>
      <c r="I193" s="37" t="s">
        <v>39</v>
      </c>
      <c r="J193" s="57" t="s">
        <v>1603</v>
      </c>
      <c r="K193" s="34" t="s">
        <v>41</v>
      </c>
      <c r="L193" s="39" t="s">
        <v>42</v>
      </c>
      <c r="M193" s="158" t="s">
        <v>1604</v>
      </c>
      <c r="N193" s="56"/>
      <c r="O193" s="56"/>
      <c r="P193" s="56"/>
      <c r="Q193" s="56"/>
      <c r="R193" s="56"/>
      <c r="S193" s="56"/>
      <c r="T193" s="56"/>
      <c r="U193" s="56" t="s">
        <v>44</v>
      </c>
      <c r="V193" s="56"/>
      <c r="W193" s="56" t="s">
        <v>732</v>
      </c>
      <c r="X193" s="56"/>
      <c r="Y193" s="42" t="s">
        <v>1605</v>
      </c>
      <c r="Z193" s="58" t="s">
        <v>1606</v>
      </c>
      <c r="AA193" s="58"/>
      <c r="AB193" s="45">
        <v>45642</v>
      </c>
      <c r="AC193" s="101"/>
      <c r="AD193" s="36"/>
      <c r="AE193" s="47" t="s">
        <v>49</v>
      </c>
      <c r="AF193" s="48" t="s">
        <v>41</v>
      </c>
      <c r="AG193" s="48" t="s">
        <v>41</v>
      </c>
      <c r="AH193" s="48" t="s">
        <v>41</v>
      </c>
      <c r="AI193" s="48" t="s">
        <v>49</v>
      </c>
      <c r="AJ193" s="48" t="s">
        <v>49</v>
      </c>
      <c r="AK193" s="49" t="s">
        <v>49</v>
      </c>
      <c r="AL193" s="48" t="s">
        <v>49</v>
      </c>
      <c r="AM193" s="65" t="s">
        <v>32</v>
      </c>
      <c r="AN193" s="65" t="s">
        <v>4681</v>
      </c>
      <c r="AO193" s="59"/>
      <c r="AP193" s="10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1"/>
    </row>
    <row r="194" spans="1:61" x14ac:dyDescent="0.2">
      <c r="A194" s="33">
        <f t="shared" si="3"/>
        <v>189</v>
      </c>
      <c r="B194" s="34" t="s">
        <v>1607</v>
      </c>
      <c r="C194" s="35" t="s">
        <v>1608</v>
      </c>
      <c r="D194" s="36" t="s">
        <v>1609</v>
      </c>
      <c r="E194" s="334">
        <v>30193</v>
      </c>
      <c r="F194" s="36" t="s">
        <v>36</v>
      </c>
      <c r="G194" s="98" t="s">
        <v>1610</v>
      </c>
      <c r="H194" s="37" t="s">
        <v>252</v>
      </c>
      <c r="I194" s="37" t="s">
        <v>57</v>
      </c>
      <c r="J194" s="38" t="s">
        <v>1611</v>
      </c>
      <c r="K194" s="34" t="s">
        <v>41</v>
      </c>
      <c r="L194" s="39" t="s">
        <v>42</v>
      </c>
      <c r="M194" s="158" t="s">
        <v>1604</v>
      </c>
      <c r="N194" s="56"/>
      <c r="O194" s="56"/>
      <c r="P194" s="56"/>
      <c r="Q194" s="56"/>
      <c r="R194" s="56"/>
      <c r="S194" s="56"/>
      <c r="T194" s="56"/>
      <c r="U194" s="56" t="s">
        <v>44</v>
      </c>
      <c r="V194" s="56"/>
      <c r="W194" s="56"/>
      <c r="X194" s="56"/>
      <c r="Y194" s="42" t="s">
        <v>1612</v>
      </c>
      <c r="Z194" s="58" t="s">
        <v>1613</v>
      </c>
      <c r="AA194" s="58"/>
      <c r="AB194" s="45">
        <v>45642</v>
      </c>
      <c r="AC194" s="101"/>
      <c r="AD194" s="36"/>
      <c r="AE194" s="47" t="s">
        <v>49</v>
      </c>
      <c r="AF194" s="48" t="s">
        <v>41</v>
      </c>
      <c r="AG194" s="48" t="s">
        <v>41</v>
      </c>
      <c r="AH194" s="48" t="s">
        <v>41</v>
      </c>
      <c r="AI194" s="48" t="s">
        <v>49</v>
      </c>
      <c r="AJ194" s="48" t="s">
        <v>41</v>
      </c>
      <c r="AK194" s="49" t="s">
        <v>41</v>
      </c>
      <c r="AL194" s="48" t="s">
        <v>41</v>
      </c>
      <c r="AM194" s="62" t="s">
        <v>4589</v>
      </c>
      <c r="AN194" s="62"/>
      <c r="AO194" s="59"/>
      <c r="AP194" s="10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1"/>
    </row>
    <row r="195" spans="1:61" x14ac:dyDescent="0.2">
      <c r="A195" s="33">
        <f t="shared" si="3"/>
        <v>190</v>
      </c>
      <c r="B195" s="34" t="s">
        <v>1614</v>
      </c>
      <c r="C195" s="35" t="s">
        <v>1615</v>
      </c>
      <c r="D195" s="36" t="s">
        <v>1616</v>
      </c>
      <c r="E195" s="334">
        <v>28992</v>
      </c>
      <c r="F195" s="36" t="s">
        <v>54</v>
      </c>
      <c r="G195" s="98" t="s">
        <v>1166</v>
      </c>
      <c r="H195" s="37" t="s">
        <v>56</v>
      </c>
      <c r="I195" s="37" t="s">
        <v>57</v>
      </c>
      <c r="J195" s="38" t="s">
        <v>1617</v>
      </c>
      <c r="K195" s="34" t="s">
        <v>41</v>
      </c>
      <c r="L195" s="39" t="s">
        <v>42</v>
      </c>
      <c r="M195" s="158" t="s">
        <v>1618</v>
      </c>
      <c r="N195" s="115"/>
      <c r="O195" s="115"/>
      <c r="P195" s="115"/>
      <c r="Q195" s="115"/>
      <c r="R195" s="115"/>
      <c r="S195" s="115" t="s">
        <v>44</v>
      </c>
      <c r="T195" s="115"/>
      <c r="U195" s="56"/>
      <c r="V195" s="56"/>
      <c r="W195" s="56"/>
      <c r="X195" s="56"/>
      <c r="Y195" s="42" t="s">
        <v>1619</v>
      </c>
      <c r="Z195" s="43" t="s">
        <v>1620</v>
      </c>
      <c r="AA195" s="44" t="s">
        <v>1621</v>
      </c>
      <c r="AB195" s="45">
        <v>44650</v>
      </c>
      <c r="AC195" s="101" t="s">
        <v>30</v>
      </c>
      <c r="AD195" s="36"/>
      <c r="AE195" s="47" t="s">
        <v>49</v>
      </c>
      <c r="AF195" s="48" t="s">
        <v>41</v>
      </c>
      <c r="AG195" s="48" t="s">
        <v>49</v>
      </c>
      <c r="AH195" s="48" t="s">
        <v>49</v>
      </c>
      <c r="AI195" s="48" t="s">
        <v>49</v>
      </c>
      <c r="AJ195" s="48" t="s">
        <v>49</v>
      </c>
      <c r="AK195" s="49" t="s">
        <v>49</v>
      </c>
      <c r="AL195" s="48" t="s">
        <v>49</v>
      </c>
      <c r="AM195" s="65" t="s">
        <v>32</v>
      </c>
      <c r="AN195" s="65"/>
      <c r="AO195" s="59"/>
      <c r="AP195" s="10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1"/>
    </row>
    <row r="196" spans="1:61" x14ac:dyDescent="0.2">
      <c r="A196" s="33">
        <f t="shared" si="3"/>
        <v>191</v>
      </c>
      <c r="B196" s="34" t="s">
        <v>1622</v>
      </c>
      <c r="C196" s="35" t="s">
        <v>1623</v>
      </c>
      <c r="D196" s="36" t="s">
        <v>1624</v>
      </c>
      <c r="E196" s="334">
        <v>30143</v>
      </c>
      <c r="F196" s="36" t="s">
        <v>54</v>
      </c>
      <c r="G196" s="34" t="s">
        <v>1625</v>
      </c>
      <c r="H196" s="37" t="s">
        <v>73</v>
      </c>
      <c r="I196" s="37" t="s">
        <v>73</v>
      </c>
      <c r="J196" s="38" t="s">
        <v>1626</v>
      </c>
      <c r="K196" s="34" t="s">
        <v>41</v>
      </c>
      <c r="L196" s="39" t="s">
        <v>42</v>
      </c>
      <c r="M196" s="187">
        <v>45315</v>
      </c>
      <c r="N196" s="188"/>
      <c r="O196" s="188"/>
      <c r="P196" s="188"/>
      <c r="Q196" s="188"/>
      <c r="R196" s="188"/>
      <c r="S196" s="188"/>
      <c r="T196" s="188"/>
      <c r="U196" s="188"/>
      <c r="V196" s="188" t="s">
        <v>44</v>
      </c>
      <c r="W196" s="188"/>
      <c r="X196" s="188"/>
      <c r="Y196" s="38" t="s">
        <v>1627</v>
      </c>
      <c r="Z196" s="43" t="s">
        <v>1628</v>
      </c>
      <c r="AA196" s="44"/>
      <c r="AB196" s="45"/>
      <c r="AC196" s="164"/>
      <c r="AD196" s="36"/>
      <c r="AE196" s="47" t="s">
        <v>49</v>
      </c>
      <c r="AF196" s="48" t="s">
        <v>41</v>
      </c>
      <c r="AG196" s="48" t="s">
        <v>41</v>
      </c>
      <c r="AH196" s="48" t="s">
        <v>41</v>
      </c>
      <c r="AI196" s="48" t="s">
        <v>41</v>
      </c>
      <c r="AJ196" s="48" t="s">
        <v>49</v>
      </c>
      <c r="AK196" s="49" t="s">
        <v>49</v>
      </c>
      <c r="AL196" s="48" t="s">
        <v>49</v>
      </c>
      <c r="AM196" s="65" t="s">
        <v>32</v>
      </c>
      <c r="AN196" s="65"/>
      <c r="AO196" s="59"/>
      <c r="AP196" s="10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1"/>
    </row>
    <row r="197" spans="1:61" x14ac:dyDescent="0.2">
      <c r="A197" s="33">
        <f t="shared" si="3"/>
        <v>192</v>
      </c>
      <c r="B197" s="34" t="s">
        <v>1629</v>
      </c>
      <c r="C197" s="35" t="s">
        <v>1630</v>
      </c>
      <c r="D197" s="36" t="s">
        <v>1631</v>
      </c>
      <c r="E197" s="36" t="s">
        <v>4719</v>
      </c>
      <c r="F197" s="36" t="s">
        <v>54</v>
      </c>
      <c r="G197" s="98" t="s">
        <v>1632</v>
      </c>
      <c r="H197" s="37" t="s">
        <v>360</v>
      </c>
      <c r="I197" s="37" t="s">
        <v>350</v>
      </c>
      <c r="J197" s="34" t="s">
        <v>1633</v>
      </c>
      <c r="K197" s="34" t="s">
        <v>41</v>
      </c>
      <c r="L197" s="39" t="s">
        <v>42</v>
      </c>
      <c r="M197" s="165" t="s">
        <v>1634</v>
      </c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42" t="s">
        <v>1635</v>
      </c>
      <c r="Z197" s="58" t="s">
        <v>1636</v>
      </c>
      <c r="AA197" s="44" t="s">
        <v>1637</v>
      </c>
      <c r="AB197" s="45">
        <v>44041</v>
      </c>
      <c r="AC197" s="164" t="s">
        <v>30</v>
      </c>
      <c r="AD197" s="36" t="s">
        <v>26</v>
      </c>
      <c r="AE197" s="47" t="s">
        <v>49</v>
      </c>
      <c r="AF197" s="48" t="s">
        <v>49</v>
      </c>
      <c r="AG197" s="48" t="s">
        <v>49</v>
      </c>
      <c r="AH197" s="48" t="s">
        <v>49</v>
      </c>
      <c r="AI197" s="48" t="s">
        <v>49</v>
      </c>
      <c r="AJ197" s="48" t="s">
        <v>49</v>
      </c>
      <c r="AK197" s="49" t="s">
        <v>49</v>
      </c>
      <c r="AL197" s="48" t="s">
        <v>41</v>
      </c>
      <c r="AM197" s="62" t="s">
        <v>148</v>
      </c>
      <c r="AN197" s="62"/>
      <c r="AO197" s="59"/>
      <c r="AP197" s="10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1"/>
    </row>
    <row r="198" spans="1:61" x14ac:dyDescent="0.2">
      <c r="A198" s="33">
        <f t="shared" si="3"/>
        <v>193</v>
      </c>
      <c r="B198" s="34" t="s">
        <v>1638</v>
      </c>
      <c r="C198" s="35" t="s">
        <v>1639</v>
      </c>
      <c r="D198" s="36" t="s">
        <v>1640</v>
      </c>
      <c r="E198" s="36"/>
      <c r="F198" s="36" t="s">
        <v>54</v>
      </c>
      <c r="G198" s="98" t="s">
        <v>1641</v>
      </c>
      <c r="H198" s="37" t="s">
        <v>73</v>
      </c>
      <c r="I198" s="37" t="s">
        <v>73</v>
      </c>
      <c r="J198" s="34" t="s">
        <v>1642</v>
      </c>
      <c r="K198" s="34" t="s">
        <v>41</v>
      </c>
      <c r="L198" s="39" t="s">
        <v>42</v>
      </c>
      <c r="M198" s="165">
        <v>31054</v>
      </c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42" t="s">
        <v>1643</v>
      </c>
      <c r="Z198" s="58" t="s">
        <v>1644</v>
      </c>
      <c r="AA198" s="44" t="s">
        <v>61</v>
      </c>
      <c r="AB198" s="45">
        <v>36641</v>
      </c>
      <c r="AC198" s="164" t="s">
        <v>30</v>
      </c>
      <c r="AD198" s="36"/>
      <c r="AE198" s="47" t="s">
        <v>49</v>
      </c>
      <c r="AF198" s="48" t="s">
        <v>41</v>
      </c>
      <c r="AG198" s="48" t="s">
        <v>41</v>
      </c>
      <c r="AH198" s="48" t="s">
        <v>41</v>
      </c>
      <c r="AI198" s="48" t="s">
        <v>41</v>
      </c>
      <c r="AJ198" s="48" t="s">
        <v>41</v>
      </c>
      <c r="AK198" s="49" t="s">
        <v>41</v>
      </c>
      <c r="AL198" s="48" t="s">
        <v>41</v>
      </c>
      <c r="AM198" s="62" t="s">
        <v>4590</v>
      </c>
      <c r="AN198" s="62"/>
      <c r="AO198" s="59" t="s">
        <v>192</v>
      </c>
      <c r="AP198" s="10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1"/>
    </row>
    <row r="199" spans="1:61" x14ac:dyDescent="0.2">
      <c r="A199" s="33">
        <f t="shared" si="3"/>
        <v>194</v>
      </c>
      <c r="B199" s="34" t="s">
        <v>1645</v>
      </c>
      <c r="C199" s="35" t="s">
        <v>1646</v>
      </c>
      <c r="D199" s="36" t="s">
        <v>1647</v>
      </c>
      <c r="E199" s="334">
        <v>25636</v>
      </c>
      <c r="F199" s="36" t="s">
        <v>54</v>
      </c>
      <c r="G199" s="34" t="s">
        <v>1648</v>
      </c>
      <c r="H199" s="37" t="s">
        <v>73</v>
      </c>
      <c r="I199" s="37" t="s">
        <v>73</v>
      </c>
      <c r="J199" s="34" t="s">
        <v>1649</v>
      </c>
      <c r="K199" s="34" t="s">
        <v>41</v>
      </c>
      <c r="L199" s="39" t="s">
        <v>42</v>
      </c>
      <c r="M199" s="189" t="s">
        <v>1650</v>
      </c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90" t="s">
        <v>1651</v>
      </c>
      <c r="Z199" s="58" t="s">
        <v>1652</v>
      </c>
      <c r="AA199" s="44" t="s">
        <v>61</v>
      </c>
      <c r="AB199" s="45">
        <v>36640</v>
      </c>
      <c r="AC199" s="191" t="s">
        <v>129</v>
      </c>
      <c r="AD199" s="36" t="s">
        <v>26</v>
      </c>
      <c r="AE199" s="47" t="s">
        <v>49</v>
      </c>
      <c r="AF199" s="48" t="s">
        <v>49</v>
      </c>
      <c r="AG199" s="48" t="s">
        <v>49</v>
      </c>
      <c r="AH199" s="48" t="s">
        <v>49</v>
      </c>
      <c r="AI199" s="48" t="s">
        <v>49</v>
      </c>
      <c r="AJ199" s="48" t="s">
        <v>49</v>
      </c>
      <c r="AK199" s="49" t="s">
        <v>49</v>
      </c>
      <c r="AL199" s="48" t="s">
        <v>49</v>
      </c>
      <c r="AM199" s="62" t="s">
        <v>32</v>
      </c>
      <c r="AN199" s="62"/>
      <c r="AO199" s="59"/>
      <c r="AP199" s="10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1"/>
    </row>
    <row r="200" spans="1:61" x14ac:dyDescent="0.2">
      <c r="A200" s="33">
        <f t="shared" ref="A200:A263" si="4">+A199+1</f>
        <v>195</v>
      </c>
      <c r="B200" s="34" t="s">
        <v>1653</v>
      </c>
      <c r="C200" s="35" t="s">
        <v>1654</v>
      </c>
      <c r="D200" s="36" t="s">
        <v>1655</v>
      </c>
      <c r="E200" s="334">
        <v>24628</v>
      </c>
      <c r="F200" s="36" t="s">
        <v>241</v>
      </c>
      <c r="G200" s="34" t="s">
        <v>1656</v>
      </c>
      <c r="H200" s="37" t="s">
        <v>73</v>
      </c>
      <c r="I200" s="37" t="s">
        <v>73</v>
      </c>
      <c r="J200" s="34" t="s">
        <v>1657</v>
      </c>
      <c r="K200" s="34" t="s">
        <v>41</v>
      </c>
      <c r="L200" s="39" t="s">
        <v>42</v>
      </c>
      <c r="M200" s="158" t="s">
        <v>556</v>
      </c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57" t="s">
        <v>1658</v>
      </c>
      <c r="Z200" s="43" t="s">
        <v>1659</v>
      </c>
      <c r="AA200" s="44" t="s">
        <v>61</v>
      </c>
      <c r="AB200" s="45">
        <v>36641</v>
      </c>
      <c r="AC200" s="101" t="s">
        <v>30</v>
      </c>
      <c r="AD200" s="36" t="s">
        <v>26</v>
      </c>
      <c r="AE200" s="47" t="s">
        <v>49</v>
      </c>
      <c r="AF200" s="48" t="s">
        <v>49</v>
      </c>
      <c r="AG200" s="48" t="s">
        <v>49</v>
      </c>
      <c r="AH200" s="48" t="s">
        <v>49</v>
      </c>
      <c r="AI200" s="48" t="s">
        <v>49</v>
      </c>
      <c r="AJ200" s="48" t="s">
        <v>49</v>
      </c>
      <c r="AK200" s="49" t="s">
        <v>49</v>
      </c>
      <c r="AL200" s="48" t="s">
        <v>49</v>
      </c>
      <c r="AM200" s="65" t="s">
        <v>32</v>
      </c>
      <c r="AN200" s="65"/>
      <c r="AO200" s="103" t="s">
        <v>41</v>
      </c>
      <c r="AP200" s="10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1"/>
    </row>
    <row r="201" spans="1:61" x14ac:dyDescent="0.2">
      <c r="A201" s="33">
        <f t="shared" si="4"/>
        <v>196</v>
      </c>
      <c r="B201" s="34" t="s">
        <v>4669</v>
      </c>
      <c r="C201" s="35" t="s">
        <v>4670</v>
      </c>
      <c r="D201" s="36" t="s">
        <v>4671</v>
      </c>
      <c r="E201" s="36"/>
      <c r="F201" s="36" t="s">
        <v>4169</v>
      </c>
      <c r="G201" s="34" t="s">
        <v>4672</v>
      </c>
      <c r="H201" s="37" t="s">
        <v>243</v>
      </c>
      <c r="I201" s="37" t="s">
        <v>205</v>
      </c>
      <c r="J201" s="34"/>
      <c r="K201" s="34"/>
      <c r="L201" s="39" t="s">
        <v>42</v>
      </c>
      <c r="M201" s="166">
        <v>46129</v>
      </c>
      <c r="N201" s="41" t="s">
        <v>179</v>
      </c>
      <c r="O201" s="41" t="s">
        <v>179</v>
      </c>
      <c r="P201" s="41"/>
      <c r="Q201" s="41"/>
      <c r="R201" s="41"/>
      <c r="S201" s="41"/>
      <c r="T201" s="41"/>
      <c r="U201" s="41"/>
      <c r="V201" s="41"/>
      <c r="W201" s="41"/>
      <c r="X201" s="41" t="s">
        <v>44</v>
      </c>
      <c r="Y201" s="42" t="s">
        <v>4673</v>
      </c>
      <c r="Z201" s="322" t="s">
        <v>4674</v>
      </c>
      <c r="AA201" s="44"/>
      <c r="AB201" s="45"/>
      <c r="AC201" s="101"/>
      <c r="AD201" s="36"/>
      <c r="AE201" s="47" t="s">
        <v>49</v>
      </c>
      <c r="AF201" s="48" t="s">
        <v>41</v>
      </c>
      <c r="AG201" s="48" t="s">
        <v>41</v>
      </c>
      <c r="AH201" s="48" t="s">
        <v>41</v>
      </c>
      <c r="AI201" s="48" t="s">
        <v>41</v>
      </c>
      <c r="AJ201" s="48" t="s">
        <v>41</v>
      </c>
      <c r="AK201" s="48" t="s">
        <v>41</v>
      </c>
      <c r="AL201" s="48" t="s">
        <v>49</v>
      </c>
      <c r="AM201" s="65" t="s">
        <v>32</v>
      </c>
      <c r="AN201" s="65" t="s">
        <v>4681</v>
      </c>
      <c r="AO201" s="103"/>
      <c r="AP201" s="10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1"/>
    </row>
    <row r="202" spans="1:61" x14ac:dyDescent="0.2">
      <c r="A202" s="33">
        <f t="shared" si="4"/>
        <v>197</v>
      </c>
      <c r="B202" s="34" t="s">
        <v>1660</v>
      </c>
      <c r="C202" s="35" t="s">
        <v>1661</v>
      </c>
      <c r="D202" s="36" t="s">
        <v>1662</v>
      </c>
      <c r="E202" s="334">
        <v>30308</v>
      </c>
      <c r="F202" s="36" t="s">
        <v>36</v>
      </c>
      <c r="G202" s="34" t="s">
        <v>1663</v>
      </c>
      <c r="H202" s="37" t="s">
        <v>73</v>
      </c>
      <c r="I202" s="37" t="s">
        <v>73</v>
      </c>
      <c r="J202" s="34" t="s">
        <v>1664</v>
      </c>
      <c r="K202" s="34" t="s">
        <v>41</v>
      </c>
      <c r="L202" s="39" t="s">
        <v>42</v>
      </c>
      <c r="M202" s="120">
        <v>45143</v>
      </c>
      <c r="N202" s="56"/>
      <c r="O202" s="56"/>
      <c r="P202" s="56"/>
      <c r="Q202" s="56"/>
      <c r="R202" s="56"/>
      <c r="S202" s="56"/>
      <c r="T202" s="56"/>
      <c r="U202" s="56" t="s">
        <v>44</v>
      </c>
      <c r="V202" s="56"/>
      <c r="W202" s="56"/>
      <c r="X202" s="56"/>
      <c r="Y202" s="42" t="s">
        <v>1665</v>
      </c>
      <c r="Z202" s="83" t="s">
        <v>1666</v>
      </c>
      <c r="AA202" s="44"/>
      <c r="AB202" s="45">
        <v>45642</v>
      </c>
      <c r="AC202" s="101"/>
      <c r="AD202" s="36"/>
      <c r="AE202" s="64" t="s">
        <v>120</v>
      </c>
      <c r="AF202" s="48" t="s">
        <v>41</v>
      </c>
      <c r="AG202" s="48" t="s">
        <v>41</v>
      </c>
      <c r="AH202" s="48" t="s">
        <v>41</v>
      </c>
      <c r="AI202" s="48" t="s">
        <v>120</v>
      </c>
      <c r="AJ202" s="48" t="s">
        <v>120</v>
      </c>
      <c r="AK202" s="49" t="s">
        <v>120</v>
      </c>
      <c r="AL202" s="48" t="s">
        <v>120</v>
      </c>
      <c r="AM202" s="62" t="s">
        <v>32</v>
      </c>
      <c r="AN202" s="62"/>
      <c r="AO202" s="59"/>
      <c r="AP202" s="10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1"/>
    </row>
    <row r="203" spans="1:61" x14ac:dyDescent="0.2">
      <c r="A203" s="33">
        <f t="shared" si="4"/>
        <v>198</v>
      </c>
      <c r="B203" s="34" t="s">
        <v>1667</v>
      </c>
      <c r="C203" s="35" t="s">
        <v>1668</v>
      </c>
      <c r="D203" s="36" t="s">
        <v>1669</v>
      </c>
      <c r="E203" s="334">
        <v>22975</v>
      </c>
      <c r="F203" s="36" t="s">
        <v>54</v>
      </c>
      <c r="G203" s="34" t="s">
        <v>1670</v>
      </c>
      <c r="H203" s="37" t="s">
        <v>73</v>
      </c>
      <c r="I203" s="37" t="s">
        <v>73</v>
      </c>
      <c r="J203" s="34" t="s">
        <v>1671</v>
      </c>
      <c r="K203" s="34" t="s">
        <v>1671</v>
      </c>
      <c r="L203" s="39" t="s">
        <v>42</v>
      </c>
      <c r="M203" s="163" t="s">
        <v>1040</v>
      </c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42" t="s">
        <v>1672</v>
      </c>
      <c r="Z203" s="43" t="s">
        <v>1673</v>
      </c>
      <c r="AA203" s="44" t="s">
        <v>61</v>
      </c>
      <c r="AB203" s="45">
        <v>36803</v>
      </c>
      <c r="AC203" s="164" t="s">
        <v>30</v>
      </c>
      <c r="AD203" s="36" t="s">
        <v>26</v>
      </c>
      <c r="AE203" s="61" t="s">
        <v>49</v>
      </c>
      <c r="AF203" s="48" t="s">
        <v>49</v>
      </c>
      <c r="AG203" s="48" t="s">
        <v>49</v>
      </c>
      <c r="AH203" s="48" t="s">
        <v>49</v>
      </c>
      <c r="AI203" s="48" t="s">
        <v>49</v>
      </c>
      <c r="AJ203" s="48" t="s">
        <v>49</v>
      </c>
      <c r="AK203" s="49" t="s">
        <v>49</v>
      </c>
      <c r="AL203" s="48" t="s">
        <v>49</v>
      </c>
      <c r="AM203" s="65" t="s">
        <v>32</v>
      </c>
      <c r="AN203" s="65"/>
      <c r="AO203" s="59"/>
      <c r="AP203" s="10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1"/>
    </row>
    <row r="204" spans="1:61" x14ac:dyDescent="0.2">
      <c r="A204" s="33">
        <f t="shared" si="4"/>
        <v>199</v>
      </c>
      <c r="B204" s="34" t="s">
        <v>1674</v>
      </c>
      <c r="C204" s="35" t="s">
        <v>1675</v>
      </c>
      <c r="D204" s="36" t="s">
        <v>4683</v>
      </c>
      <c r="E204" s="334">
        <v>31412</v>
      </c>
      <c r="F204" s="36" t="s">
        <v>36</v>
      </c>
      <c r="G204" s="87" t="s">
        <v>4684</v>
      </c>
      <c r="H204" s="37" t="s">
        <v>73</v>
      </c>
      <c r="I204" s="37" t="s">
        <v>73</v>
      </c>
      <c r="J204" s="34" t="s">
        <v>1678</v>
      </c>
      <c r="K204" s="34" t="s">
        <v>1679</v>
      </c>
      <c r="L204" s="39" t="s">
        <v>42</v>
      </c>
      <c r="M204" s="120">
        <v>34984</v>
      </c>
      <c r="N204" s="41" t="s">
        <v>179</v>
      </c>
      <c r="O204" s="41"/>
      <c r="P204" s="41"/>
      <c r="Q204" s="41"/>
      <c r="R204" s="41"/>
      <c r="S204" s="41"/>
      <c r="T204" s="41"/>
      <c r="U204" s="41"/>
      <c r="V204" s="41"/>
      <c r="W204" s="41"/>
      <c r="X204" s="41" t="s">
        <v>732</v>
      </c>
      <c r="Y204" s="42" t="s">
        <v>1680</v>
      </c>
      <c r="Z204" s="43" t="s">
        <v>1681</v>
      </c>
      <c r="AA204" s="44" t="s">
        <v>61</v>
      </c>
      <c r="AB204" s="45">
        <v>40815</v>
      </c>
      <c r="AC204" s="101" t="s">
        <v>30</v>
      </c>
      <c r="AD204" s="36" t="s">
        <v>26</v>
      </c>
      <c r="AE204" s="47" t="s">
        <v>49</v>
      </c>
      <c r="AF204" s="48" t="s">
        <v>49</v>
      </c>
      <c r="AG204" s="48" t="s">
        <v>49</v>
      </c>
      <c r="AH204" s="48" t="s">
        <v>49</v>
      </c>
      <c r="AI204" s="48" t="s">
        <v>49</v>
      </c>
      <c r="AJ204" s="48" t="s">
        <v>49</v>
      </c>
      <c r="AK204" s="49" t="s">
        <v>49</v>
      </c>
      <c r="AL204" s="48" t="s">
        <v>49</v>
      </c>
      <c r="AM204" s="65" t="s">
        <v>32</v>
      </c>
      <c r="AN204" s="65"/>
      <c r="AO204" s="103" t="s">
        <v>41</v>
      </c>
      <c r="AP204" s="10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1"/>
    </row>
    <row r="205" spans="1:61" x14ac:dyDescent="0.2">
      <c r="A205" s="33">
        <f t="shared" si="4"/>
        <v>200</v>
      </c>
      <c r="B205" s="98" t="s">
        <v>1682</v>
      </c>
      <c r="C205" s="35" t="s">
        <v>1683</v>
      </c>
      <c r="D205" s="73" t="s">
        <v>1684</v>
      </c>
      <c r="E205" s="335">
        <v>35023</v>
      </c>
      <c r="F205" s="36" t="s">
        <v>36</v>
      </c>
      <c r="G205" s="192" t="s">
        <v>1685</v>
      </c>
      <c r="H205" s="37" t="s">
        <v>73</v>
      </c>
      <c r="I205" s="37" t="s">
        <v>73</v>
      </c>
      <c r="J205" s="193" t="s">
        <v>41</v>
      </c>
      <c r="K205" s="193" t="s">
        <v>1686</v>
      </c>
      <c r="L205" s="39" t="s">
        <v>42</v>
      </c>
      <c r="M205" s="194">
        <v>45728</v>
      </c>
      <c r="N205" s="137"/>
      <c r="O205" s="137"/>
      <c r="P205" s="137"/>
      <c r="Q205" s="137"/>
      <c r="R205" s="137"/>
      <c r="S205" s="137"/>
      <c r="T205" s="137"/>
      <c r="U205" s="137"/>
      <c r="V205" s="137"/>
      <c r="W205" s="137" t="s">
        <v>44</v>
      </c>
      <c r="X205" s="137"/>
      <c r="Y205" s="193" t="s">
        <v>1687</v>
      </c>
      <c r="Z205" s="58" t="s">
        <v>4721</v>
      </c>
      <c r="AA205" s="58"/>
      <c r="AB205" s="58"/>
      <c r="AC205" s="101"/>
      <c r="AD205" s="36"/>
      <c r="AE205" s="47" t="s">
        <v>49</v>
      </c>
      <c r="AF205" s="48" t="s">
        <v>41</v>
      </c>
      <c r="AG205" s="48" t="s">
        <v>41</v>
      </c>
      <c r="AH205" s="48" t="s">
        <v>41</v>
      </c>
      <c r="AI205" s="48" t="s">
        <v>41</v>
      </c>
      <c r="AJ205" s="48" t="s">
        <v>41</v>
      </c>
      <c r="AK205" s="49" t="s">
        <v>49</v>
      </c>
      <c r="AL205" s="48" t="s">
        <v>49</v>
      </c>
      <c r="AM205" s="65" t="s">
        <v>32</v>
      </c>
      <c r="AN205" s="325"/>
      <c r="AO205" s="134"/>
      <c r="AP205" s="195"/>
      <c r="AQ205" s="196"/>
      <c r="AR205" s="196"/>
      <c r="AS205" s="196"/>
      <c r="AT205" s="196"/>
      <c r="AU205" s="196"/>
      <c r="AV205" s="196"/>
      <c r="AW205" s="196"/>
      <c r="AX205" s="196"/>
      <c r="AY205" s="196"/>
      <c r="AZ205" s="196"/>
      <c r="BA205" s="197"/>
      <c r="BB205" s="198"/>
      <c r="BC205" s="198"/>
      <c r="BD205" s="198"/>
      <c r="BE205" s="198"/>
      <c r="BF205" s="198"/>
      <c r="BG205" s="198"/>
      <c r="BH205" s="198"/>
      <c r="BI205" s="198"/>
    </row>
    <row r="206" spans="1:61" x14ac:dyDescent="0.2">
      <c r="A206" s="33">
        <f t="shared" si="4"/>
        <v>201</v>
      </c>
      <c r="B206" s="34" t="s">
        <v>1689</v>
      </c>
      <c r="C206" s="35" t="s">
        <v>1690</v>
      </c>
      <c r="D206" s="36" t="s">
        <v>1691</v>
      </c>
      <c r="E206" s="334">
        <v>20175</v>
      </c>
      <c r="F206" s="36" t="s">
        <v>54</v>
      </c>
      <c r="G206" s="34" t="s">
        <v>1692</v>
      </c>
      <c r="H206" s="37" t="s">
        <v>73</v>
      </c>
      <c r="I206" s="37" t="s">
        <v>73</v>
      </c>
      <c r="J206" s="34" t="s">
        <v>1671</v>
      </c>
      <c r="K206" s="34" t="s">
        <v>1671</v>
      </c>
      <c r="L206" s="39" t="s">
        <v>42</v>
      </c>
      <c r="M206" s="120">
        <v>30353</v>
      </c>
      <c r="N206" s="115"/>
      <c r="O206" s="115"/>
      <c r="P206" s="115"/>
      <c r="Q206" s="115"/>
      <c r="R206" s="115"/>
      <c r="S206" s="115"/>
      <c r="T206" s="115"/>
      <c r="U206" s="56"/>
      <c r="V206" s="56"/>
      <c r="W206" s="56"/>
      <c r="X206" s="56"/>
      <c r="Y206" s="42" t="s">
        <v>1693</v>
      </c>
      <c r="Z206" s="58" t="s">
        <v>1694</v>
      </c>
      <c r="AA206" s="44" t="s">
        <v>1695</v>
      </c>
      <c r="AB206" s="45">
        <v>42325</v>
      </c>
      <c r="AC206" s="101" t="s">
        <v>30</v>
      </c>
      <c r="AD206" s="36" t="s">
        <v>26</v>
      </c>
      <c r="AE206" s="64" t="s">
        <v>120</v>
      </c>
      <c r="AF206" s="48" t="s">
        <v>120</v>
      </c>
      <c r="AG206" s="48" t="s">
        <v>120</v>
      </c>
      <c r="AH206" s="48" t="s">
        <v>120</v>
      </c>
      <c r="AI206" s="48" t="s">
        <v>120</v>
      </c>
      <c r="AJ206" s="48" t="s">
        <v>120</v>
      </c>
      <c r="AK206" s="49" t="s">
        <v>120</v>
      </c>
      <c r="AL206" s="48" t="s">
        <v>120</v>
      </c>
      <c r="AM206" s="65" t="s">
        <v>32</v>
      </c>
      <c r="AN206" s="325"/>
      <c r="AO206" s="134"/>
      <c r="AP206" s="10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1"/>
    </row>
    <row r="207" spans="1:61" x14ac:dyDescent="0.2">
      <c r="A207" s="33">
        <f t="shared" si="4"/>
        <v>202</v>
      </c>
      <c r="B207" s="34" t="s">
        <v>1696</v>
      </c>
      <c r="C207" s="35" t="s">
        <v>1697</v>
      </c>
      <c r="D207" s="36" t="s">
        <v>1698</v>
      </c>
      <c r="E207" s="36"/>
      <c r="F207" s="36" t="s">
        <v>54</v>
      </c>
      <c r="G207" s="34" t="s">
        <v>1699</v>
      </c>
      <c r="H207" s="37" t="s">
        <v>73</v>
      </c>
      <c r="I207" s="37" t="s">
        <v>73</v>
      </c>
      <c r="J207" s="34" t="s">
        <v>1700</v>
      </c>
      <c r="K207" s="34" t="s">
        <v>1700</v>
      </c>
      <c r="L207" s="39" t="s">
        <v>42</v>
      </c>
      <c r="M207" s="194">
        <v>30353</v>
      </c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42" t="s">
        <v>1701</v>
      </c>
      <c r="Z207" s="58" t="s">
        <v>1702</v>
      </c>
      <c r="AA207" s="44" t="s">
        <v>61</v>
      </c>
      <c r="AB207" s="45">
        <v>34597</v>
      </c>
      <c r="AC207" s="191" t="s">
        <v>30</v>
      </c>
      <c r="AD207" s="36"/>
      <c r="AE207" s="47" t="s">
        <v>49</v>
      </c>
      <c r="AF207" s="48" t="s">
        <v>41</v>
      </c>
      <c r="AG207" s="48" t="s">
        <v>41</v>
      </c>
      <c r="AH207" s="48" t="s">
        <v>41</v>
      </c>
      <c r="AI207" s="48" t="s">
        <v>41</v>
      </c>
      <c r="AJ207" s="48" t="s">
        <v>41</v>
      </c>
      <c r="AK207" s="49" t="s">
        <v>41</v>
      </c>
      <c r="AL207" s="48" t="s">
        <v>41</v>
      </c>
      <c r="AM207" s="65" t="s">
        <v>4591</v>
      </c>
      <c r="AN207" s="65"/>
      <c r="AO207" s="59" t="s">
        <v>460</v>
      </c>
      <c r="AP207" s="10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1"/>
    </row>
    <row r="208" spans="1:61" x14ac:dyDescent="0.2">
      <c r="A208" s="33">
        <f t="shared" si="4"/>
        <v>203</v>
      </c>
      <c r="B208" s="34" t="s">
        <v>1703</v>
      </c>
      <c r="C208" s="35" t="s">
        <v>1704</v>
      </c>
      <c r="D208" s="36" t="s">
        <v>1705</v>
      </c>
      <c r="E208" s="334">
        <v>34367</v>
      </c>
      <c r="F208" s="36" t="s">
        <v>36</v>
      </c>
      <c r="G208" s="34" t="s">
        <v>1706</v>
      </c>
      <c r="H208" s="37" t="s">
        <v>214</v>
      </c>
      <c r="I208" s="37" t="s">
        <v>205</v>
      </c>
      <c r="J208" s="38" t="s">
        <v>1707</v>
      </c>
      <c r="K208" s="34"/>
      <c r="L208" s="39" t="s">
        <v>42</v>
      </c>
      <c r="M208" s="166" t="s">
        <v>1708</v>
      </c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42" t="s">
        <v>1709</v>
      </c>
      <c r="Z208" s="52" t="s">
        <v>1710</v>
      </c>
      <c r="AA208" s="44" t="s">
        <v>1711</v>
      </c>
      <c r="AB208" s="45">
        <v>44041</v>
      </c>
      <c r="AC208" s="101" t="s">
        <v>30</v>
      </c>
      <c r="AD208" s="36" t="s">
        <v>26</v>
      </c>
      <c r="AE208" s="47" t="s">
        <v>49</v>
      </c>
      <c r="AF208" s="48" t="s">
        <v>49</v>
      </c>
      <c r="AG208" s="48" t="s">
        <v>49</v>
      </c>
      <c r="AH208" s="48" t="s">
        <v>49</v>
      </c>
      <c r="AI208" s="48" t="s">
        <v>49</v>
      </c>
      <c r="AJ208" s="48" t="s">
        <v>49</v>
      </c>
      <c r="AK208" s="49" t="s">
        <v>49</v>
      </c>
      <c r="AL208" s="48" t="s">
        <v>49</v>
      </c>
      <c r="AM208" s="62" t="s">
        <v>32</v>
      </c>
      <c r="AN208" s="62"/>
      <c r="AO208" s="59"/>
      <c r="AP208" s="10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1"/>
    </row>
    <row r="209" spans="1:53" x14ac:dyDescent="0.2">
      <c r="A209" s="33">
        <f t="shared" si="4"/>
        <v>204</v>
      </c>
      <c r="B209" s="34" t="s">
        <v>1712</v>
      </c>
      <c r="C209" s="35" t="s">
        <v>1713</v>
      </c>
      <c r="D209" s="36" t="s">
        <v>1714</v>
      </c>
      <c r="E209" s="334">
        <v>36073</v>
      </c>
      <c r="F209" s="36" t="s">
        <v>36</v>
      </c>
      <c r="G209" s="34" t="s">
        <v>1715</v>
      </c>
      <c r="H209" s="37" t="s">
        <v>39</v>
      </c>
      <c r="I209" s="37" t="s">
        <v>39</v>
      </c>
      <c r="J209" s="34" t="s">
        <v>1716</v>
      </c>
      <c r="K209" s="34" t="s">
        <v>41</v>
      </c>
      <c r="L209" s="39" t="s">
        <v>42</v>
      </c>
      <c r="M209" s="120">
        <v>42010</v>
      </c>
      <c r="N209" s="56" t="s">
        <v>179</v>
      </c>
      <c r="O209" s="56" t="s">
        <v>179</v>
      </c>
      <c r="P209" s="56"/>
      <c r="Q209" s="56">
        <v>2</v>
      </c>
      <c r="R209" s="56"/>
      <c r="S209" s="56"/>
      <c r="T209" s="56"/>
      <c r="U209" s="56" t="s">
        <v>732</v>
      </c>
      <c r="V209" s="56"/>
      <c r="W209" s="56"/>
      <c r="X209" s="56"/>
      <c r="Y209" s="57" t="s">
        <v>1717</v>
      </c>
      <c r="Z209" s="100" t="s">
        <v>1718</v>
      </c>
      <c r="AA209" s="44" t="s">
        <v>1719</v>
      </c>
      <c r="AB209" s="45">
        <v>42325</v>
      </c>
      <c r="AC209" s="101" t="s">
        <v>30</v>
      </c>
      <c r="AD209" s="36" t="s">
        <v>26</v>
      </c>
      <c r="AE209" s="47" t="s">
        <v>49</v>
      </c>
      <c r="AF209" s="48" t="s">
        <v>49</v>
      </c>
      <c r="AG209" s="48" t="s">
        <v>49</v>
      </c>
      <c r="AH209" s="48" t="s">
        <v>49</v>
      </c>
      <c r="AI209" s="48" t="s">
        <v>49</v>
      </c>
      <c r="AJ209" s="48" t="s">
        <v>49</v>
      </c>
      <c r="AK209" s="49" t="s">
        <v>49</v>
      </c>
      <c r="AL209" s="48" t="s">
        <v>49</v>
      </c>
      <c r="AM209" s="62" t="s">
        <v>32</v>
      </c>
      <c r="AN209" s="62"/>
      <c r="AO209" s="59"/>
      <c r="AP209" s="10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1"/>
    </row>
    <row r="210" spans="1:53" x14ac:dyDescent="0.2">
      <c r="A210" s="33">
        <f t="shared" si="4"/>
        <v>205</v>
      </c>
      <c r="B210" s="34" t="s">
        <v>1720</v>
      </c>
      <c r="C210" s="35" t="s">
        <v>1721</v>
      </c>
      <c r="D210" s="36" t="s">
        <v>1722</v>
      </c>
      <c r="E210" s="334">
        <v>27459</v>
      </c>
      <c r="F210" s="36" t="s">
        <v>36</v>
      </c>
      <c r="G210" s="34" t="s">
        <v>1723</v>
      </c>
      <c r="H210" s="37" t="s">
        <v>398</v>
      </c>
      <c r="I210" s="37" t="s">
        <v>205</v>
      </c>
      <c r="J210" s="38" t="s">
        <v>1724</v>
      </c>
      <c r="K210" s="34" t="s">
        <v>41</v>
      </c>
      <c r="L210" s="39" t="s">
        <v>42</v>
      </c>
      <c r="M210" s="120" t="s">
        <v>1725</v>
      </c>
      <c r="N210" s="56"/>
      <c r="O210" s="56"/>
      <c r="P210" s="56"/>
      <c r="Q210" s="56"/>
      <c r="R210" s="56"/>
      <c r="S210" s="56"/>
      <c r="T210" s="56"/>
      <c r="U210" s="56" t="s">
        <v>44</v>
      </c>
      <c r="V210" s="56"/>
      <c r="W210" s="56"/>
      <c r="X210" s="56"/>
      <c r="Y210" s="54" t="s">
        <v>1726</v>
      </c>
      <c r="Z210" s="100" t="s">
        <v>1727</v>
      </c>
      <c r="AA210" s="44"/>
      <c r="AB210" s="45" t="s">
        <v>47</v>
      </c>
      <c r="AC210" s="101"/>
      <c r="AD210" s="36"/>
      <c r="AE210" s="47" t="s">
        <v>49</v>
      </c>
      <c r="AF210" s="48" t="s">
        <v>41</v>
      </c>
      <c r="AG210" s="48" t="s">
        <v>41</v>
      </c>
      <c r="AH210" s="48" t="s">
        <v>49</v>
      </c>
      <c r="AI210" s="48" t="s">
        <v>49</v>
      </c>
      <c r="AJ210" s="48" t="s">
        <v>49</v>
      </c>
      <c r="AK210" s="49" t="s">
        <v>49</v>
      </c>
      <c r="AL210" s="48" t="s">
        <v>49</v>
      </c>
      <c r="AM210" s="62" t="s">
        <v>32</v>
      </c>
      <c r="AN210" s="62"/>
      <c r="AO210" s="59"/>
      <c r="AP210" s="10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1"/>
    </row>
    <row r="211" spans="1:53" ht="15" customHeight="1" x14ac:dyDescent="0.2">
      <c r="A211" s="33">
        <f t="shared" si="4"/>
        <v>206</v>
      </c>
      <c r="B211" s="38" t="s">
        <v>1728</v>
      </c>
      <c r="C211" s="35" t="s">
        <v>1729</v>
      </c>
      <c r="D211" s="36" t="s">
        <v>1730</v>
      </c>
      <c r="E211" s="334">
        <v>24438</v>
      </c>
      <c r="F211" s="36" t="s">
        <v>54</v>
      </c>
      <c r="G211" s="34" t="s">
        <v>1731</v>
      </c>
      <c r="H211" s="37" t="s">
        <v>205</v>
      </c>
      <c r="I211" s="37" t="s">
        <v>205</v>
      </c>
      <c r="J211" s="199" t="s">
        <v>1732</v>
      </c>
      <c r="K211" s="34" t="s">
        <v>41</v>
      </c>
      <c r="L211" s="39" t="s">
        <v>42</v>
      </c>
      <c r="M211" s="120">
        <v>43292</v>
      </c>
      <c r="N211" s="137"/>
      <c r="O211" s="137"/>
      <c r="P211" s="137"/>
      <c r="Q211" s="137"/>
      <c r="R211" s="137"/>
      <c r="S211" s="137"/>
      <c r="T211" s="137"/>
      <c r="U211" s="137"/>
      <c r="V211" s="137"/>
      <c r="W211" s="137" t="s">
        <v>732</v>
      </c>
      <c r="X211" s="137"/>
      <c r="Y211" s="42" t="s">
        <v>1733</v>
      </c>
      <c r="Z211" s="100" t="s">
        <v>1734</v>
      </c>
      <c r="AA211" s="44"/>
      <c r="AB211" s="45">
        <v>44041</v>
      </c>
      <c r="AC211" s="101" t="s">
        <v>30</v>
      </c>
      <c r="AD211" s="36" t="s">
        <v>26</v>
      </c>
      <c r="AE211" s="47" t="s">
        <v>49</v>
      </c>
      <c r="AF211" s="48" t="s">
        <v>49</v>
      </c>
      <c r="AG211" s="48" t="s">
        <v>49</v>
      </c>
      <c r="AH211" s="48" t="s">
        <v>49</v>
      </c>
      <c r="AI211" s="48" t="s">
        <v>49</v>
      </c>
      <c r="AJ211" s="48" t="s">
        <v>49</v>
      </c>
      <c r="AK211" s="49" t="s">
        <v>49</v>
      </c>
      <c r="AL211" s="48" t="s">
        <v>49</v>
      </c>
      <c r="AM211" s="62" t="s">
        <v>32</v>
      </c>
      <c r="AN211" s="62"/>
      <c r="AO211" s="59"/>
      <c r="AP211" s="10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1"/>
    </row>
    <row r="212" spans="1:53" ht="15" customHeight="1" x14ac:dyDescent="0.2">
      <c r="A212" s="33">
        <f t="shared" si="4"/>
        <v>207</v>
      </c>
      <c r="B212" s="38" t="s">
        <v>1735</v>
      </c>
      <c r="C212" s="35" t="s">
        <v>1736</v>
      </c>
      <c r="D212" s="36" t="s">
        <v>1737</v>
      </c>
      <c r="E212" s="334">
        <v>35201</v>
      </c>
      <c r="F212" s="36" t="s">
        <v>54</v>
      </c>
      <c r="G212" s="34" t="s">
        <v>1738</v>
      </c>
      <c r="H212" s="37" t="s">
        <v>73</v>
      </c>
      <c r="I212" s="37" t="s">
        <v>73</v>
      </c>
      <c r="J212" s="199" t="s">
        <v>1739</v>
      </c>
      <c r="K212" s="34" t="s">
        <v>41</v>
      </c>
      <c r="L212" s="39" t="s">
        <v>42</v>
      </c>
      <c r="M212" s="120">
        <v>45610</v>
      </c>
      <c r="N212" s="115"/>
      <c r="O212" s="115"/>
      <c r="P212" s="115"/>
      <c r="Q212" s="115"/>
      <c r="R212" s="115"/>
      <c r="S212" s="115"/>
      <c r="T212" s="115"/>
      <c r="U212" s="115"/>
      <c r="V212" s="115" t="s">
        <v>44</v>
      </c>
      <c r="W212" s="115"/>
      <c r="X212" s="115"/>
      <c r="Y212" s="199" t="s">
        <v>1740</v>
      </c>
      <c r="Z212" s="100" t="s">
        <v>1741</v>
      </c>
      <c r="AA212" s="44"/>
      <c r="AB212" s="45"/>
      <c r="AC212" s="101"/>
      <c r="AD212" s="36"/>
      <c r="AE212" s="47" t="s">
        <v>49</v>
      </c>
      <c r="AF212" s="48" t="s">
        <v>41</v>
      </c>
      <c r="AG212" s="48" t="s">
        <v>41</v>
      </c>
      <c r="AH212" s="48" t="s">
        <v>41</v>
      </c>
      <c r="AI212" s="48" t="s">
        <v>41</v>
      </c>
      <c r="AJ212" s="48" t="s">
        <v>49</v>
      </c>
      <c r="AK212" s="49" t="s">
        <v>49</v>
      </c>
      <c r="AL212" s="48" t="s">
        <v>49</v>
      </c>
      <c r="AM212" s="62" t="s">
        <v>32</v>
      </c>
      <c r="AN212" s="62"/>
      <c r="AO212" s="59"/>
      <c r="AP212" s="10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1"/>
    </row>
    <row r="213" spans="1:53" x14ac:dyDescent="0.2">
      <c r="A213" s="33">
        <f t="shared" si="4"/>
        <v>208</v>
      </c>
      <c r="B213" s="34" t="s">
        <v>1742</v>
      </c>
      <c r="C213" s="35" t="s">
        <v>1743</v>
      </c>
      <c r="D213" s="36" t="s">
        <v>1744</v>
      </c>
      <c r="E213" s="334">
        <v>27625</v>
      </c>
      <c r="F213" s="36" t="s">
        <v>36</v>
      </c>
      <c r="G213" s="34" t="s">
        <v>1745</v>
      </c>
      <c r="H213" s="37" t="s">
        <v>323</v>
      </c>
      <c r="I213" s="37" t="s">
        <v>39</v>
      </c>
      <c r="J213" s="38" t="s">
        <v>1746</v>
      </c>
      <c r="K213" s="34"/>
      <c r="L213" s="39" t="s">
        <v>42</v>
      </c>
      <c r="M213" s="194">
        <v>42463</v>
      </c>
      <c r="N213" s="115"/>
      <c r="O213" s="114"/>
      <c r="P213" s="115"/>
      <c r="Q213" s="114"/>
      <c r="R213" s="115"/>
      <c r="S213" s="115"/>
      <c r="T213" s="115"/>
      <c r="U213" s="56"/>
      <c r="V213" s="56"/>
      <c r="W213" s="56"/>
      <c r="X213" s="56"/>
      <c r="Y213" s="42" t="s">
        <v>1747</v>
      </c>
      <c r="Z213" s="100" t="s">
        <v>1748</v>
      </c>
      <c r="AA213" s="44" t="s">
        <v>61</v>
      </c>
      <c r="AB213" s="45">
        <v>42935</v>
      </c>
      <c r="AC213" s="191" t="s">
        <v>30</v>
      </c>
      <c r="AD213" s="36" t="s">
        <v>26</v>
      </c>
      <c r="AE213" s="47" t="s">
        <v>49</v>
      </c>
      <c r="AF213" s="48" t="s">
        <v>49</v>
      </c>
      <c r="AG213" s="48" t="s">
        <v>49</v>
      </c>
      <c r="AH213" s="48" t="s">
        <v>49</v>
      </c>
      <c r="AI213" s="48" t="s">
        <v>49</v>
      </c>
      <c r="AJ213" s="48" t="s">
        <v>49</v>
      </c>
      <c r="AK213" s="49" t="s">
        <v>49</v>
      </c>
      <c r="AL213" s="48" t="s">
        <v>49</v>
      </c>
      <c r="AM213" s="62" t="s">
        <v>32</v>
      </c>
      <c r="AN213" s="62"/>
      <c r="AO213" s="59"/>
      <c r="AP213" s="10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1"/>
    </row>
    <row r="214" spans="1:53" x14ac:dyDescent="0.2">
      <c r="A214" s="33">
        <f t="shared" si="4"/>
        <v>209</v>
      </c>
      <c r="B214" s="34" t="s">
        <v>1749</v>
      </c>
      <c r="C214" s="35" t="s">
        <v>1750</v>
      </c>
      <c r="D214" s="36" t="s">
        <v>1751</v>
      </c>
      <c r="E214" s="334">
        <v>21005</v>
      </c>
      <c r="F214" s="36" t="s">
        <v>54</v>
      </c>
      <c r="G214" s="34" t="s">
        <v>1752</v>
      </c>
      <c r="H214" s="37" t="s">
        <v>73</v>
      </c>
      <c r="I214" s="37" t="s">
        <v>73</v>
      </c>
      <c r="J214" s="34" t="s">
        <v>1753</v>
      </c>
      <c r="K214" s="34" t="s">
        <v>1753</v>
      </c>
      <c r="L214" s="39" t="s">
        <v>42</v>
      </c>
      <c r="M214" s="158" t="s">
        <v>1311</v>
      </c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2" t="s">
        <v>1754</v>
      </c>
      <c r="Z214" s="58" t="s">
        <v>1755</v>
      </c>
      <c r="AA214" s="44" t="s">
        <v>61</v>
      </c>
      <c r="AB214" s="45">
        <v>37208</v>
      </c>
      <c r="AC214" s="101" t="s">
        <v>30</v>
      </c>
      <c r="AD214" s="36" t="s">
        <v>26</v>
      </c>
      <c r="AE214" s="47" t="s">
        <v>49</v>
      </c>
      <c r="AF214" s="48" t="s">
        <v>49</v>
      </c>
      <c r="AG214" s="48" t="s">
        <v>49</v>
      </c>
      <c r="AH214" s="48" t="s">
        <v>49</v>
      </c>
      <c r="AI214" s="48" t="s">
        <v>49</v>
      </c>
      <c r="AJ214" s="48" t="s">
        <v>49</v>
      </c>
      <c r="AK214" s="49" t="s">
        <v>49</v>
      </c>
      <c r="AL214" s="48" t="s">
        <v>41</v>
      </c>
      <c r="AM214" s="62" t="s">
        <v>148</v>
      </c>
      <c r="AN214" s="62"/>
      <c r="AO214" s="103"/>
      <c r="AP214" s="10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1"/>
    </row>
    <row r="215" spans="1:53" x14ac:dyDescent="0.2">
      <c r="A215" s="33">
        <f t="shared" si="4"/>
        <v>210</v>
      </c>
      <c r="B215" s="34" t="s">
        <v>1756</v>
      </c>
      <c r="C215" s="35" t="s">
        <v>1757</v>
      </c>
      <c r="D215" s="36" t="s">
        <v>1758</v>
      </c>
      <c r="E215" s="334">
        <v>29921</v>
      </c>
      <c r="F215" s="36" t="s">
        <v>54</v>
      </c>
      <c r="G215" s="34" t="s">
        <v>1759</v>
      </c>
      <c r="H215" s="37" t="s">
        <v>73</v>
      </c>
      <c r="I215" s="37" t="s">
        <v>73</v>
      </c>
      <c r="J215" s="34">
        <v>85741499797</v>
      </c>
      <c r="K215" s="34" t="s">
        <v>41</v>
      </c>
      <c r="L215" s="39" t="s">
        <v>42</v>
      </c>
      <c r="M215" s="158" t="s">
        <v>1760</v>
      </c>
      <c r="N215" s="41"/>
      <c r="O215" s="41"/>
      <c r="P215" s="41"/>
      <c r="Q215" s="41"/>
      <c r="R215" s="41"/>
      <c r="S215" s="41"/>
      <c r="T215" s="41"/>
      <c r="U215" s="41" t="s">
        <v>44</v>
      </c>
      <c r="V215" s="41"/>
      <c r="W215" s="41"/>
      <c r="X215" s="41"/>
      <c r="Y215" s="42" t="s">
        <v>1761</v>
      </c>
      <c r="Z215" s="58" t="s">
        <v>1762</v>
      </c>
      <c r="AA215" s="44"/>
      <c r="AB215" s="45">
        <v>45642</v>
      </c>
      <c r="AC215" s="101"/>
      <c r="AD215" s="36"/>
      <c r="AE215" s="47" t="s">
        <v>49</v>
      </c>
      <c r="AF215" s="48" t="s">
        <v>41</v>
      </c>
      <c r="AG215" s="48" t="s">
        <v>41</v>
      </c>
      <c r="AH215" s="48" t="s">
        <v>1763</v>
      </c>
      <c r="AI215" s="48" t="s">
        <v>49</v>
      </c>
      <c r="AJ215" s="48" t="s">
        <v>49</v>
      </c>
      <c r="AK215" s="49" t="s">
        <v>49</v>
      </c>
      <c r="AL215" s="48" t="s">
        <v>49</v>
      </c>
      <c r="AM215" s="62" t="s">
        <v>32</v>
      </c>
      <c r="AN215" s="62"/>
      <c r="AO215" s="59"/>
      <c r="AP215" s="10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1"/>
    </row>
    <row r="216" spans="1:53" x14ac:dyDescent="0.2">
      <c r="A216" s="33">
        <f t="shared" si="4"/>
        <v>211</v>
      </c>
      <c r="B216" s="34" t="s">
        <v>1764</v>
      </c>
      <c r="C216" s="35" t="s">
        <v>1765</v>
      </c>
      <c r="D216" s="36" t="s">
        <v>4664</v>
      </c>
      <c r="E216" s="334">
        <v>30843</v>
      </c>
      <c r="F216" s="36" t="s">
        <v>54</v>
      </c>
      <c r="G216" s="34" t="s">
        <v>1767</v>
      </c>
      <c r="H216" s="37" t="s">
        <v>73</v>
      </c>
      <c r="I216" s="37" t="s">
        <v>73</v>
      </c>
      <c r="J216" s="34" t="s">
        <v>1753</v>
      </c>
      <c r="K216" s="34" t="s">
        <v>1753</v>
      </c>
      <c r="L216" s="39" t="s">
        <v>42</v>
      </c>
      <c r="M216" s="120">
        <v>30353</v>
      </c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2" t="s">
        <v>1768</v>
      </c>
      <c r="Z216" s="58" t="s">
        <v>1769</v>
      </c>
      <c r="AA216" s="44" t="s">
        <v>1770</v>
      </c>
      <c r="AB216" s="45">
        <v>44041</v>
      </c>
      <c r="AC216" s="101" t="s">
        <v>30</v>
      </c>
      <c r="AD216" s="36" t="s">
        <v>26</v>
      </c>
      <c r="AE216" s="64" t="s">
        <v>120</v>
      </c>
      <c r="AF216" s="48" t="s">
        <v>120</v>
      </c>
      <c r="AG216" s="48" t="s">
        <v>120</v>
      </c>
      <c r="AH216" s="48" t="s">
        <v>120</v>
      </c>
      <c r="AI216" s="48" t="s">
        <v>120</v>
      </c>
      <c r="AJ216" s="48" t="s">
        <v>120</v>
      </c>
      <c r="AK216" s="49" t="s">
        <v>120</v>
      </c>
      <c r="AL216" s="48" t="s">
        <v>120</v>
      </c>
      <c r="AM216" s="62" t="s">
        <v>32</v>
      </c>
      <c r="AN216" s="62"/>
      <c r="AO216" s="59"/>
      <c r="AP216" s="10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1"/>
    </row>
    <row r="217" spans="1:53" x14ac:dyDescent="0.2">
      <c r="A217" s="33">
        <f t="shared" si="4"/>
        <v>212</v>
      </c>
      <c r="B217" s="34" t="s">
        <v>1771</v>
      </c>
      <c r="C217" s="35" t="s">
        <v>1772</v>
      </c>
      <c r="D217" s="36" t="s">
        <v>1773</v>
      </c>
      <c r="E217" s="334">
        <v>28574</v>
      </c>
      <c r="F217" s="36" t="s">
        <v>54</v>
      </c>
      <c r="G217" s="34" t="s">
        <v>1774</v>
      </c>
      <c r="H217" s="37" t="s">
        <v>360</v>
      </c>
      <c r="I217" s="37" t="s">
        <v>350</v>
      </c>
      <c r="J217" s="34" t="s">
        <v>1775</v>
      </c>
      <c r="K217" s="34" t="s">
        <v>41</v>
      </c>
      <c r="L217" s="39" t="s">
        <v>42</v>
      </c>
      <c r="M217" s="158" t="s">
        <v>1776</v>
      </c>
      <c r="N217" s="41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42" t="s">
        <v>1777</v>
      </c>
      <c r="Z217" s="52" t="s">
        <v>1778</v>
      </c>
      <c r="AA217" s="44" t="s">
        <v>61</v>
      </c>
      <c r="AB217" s="45">
        <v>40815</v>
      </c>
      <c r="AC217" s="101" t="s">
        <v>30</v>
      </c>
      <c r="AD217" s="36" t="s">
        <v>26</v>
      </c>
      <c r="AE217" s="47" t="s">
        <v>49</v>
      </c>
      <c r="AF217" s="48" t="s">
        <v>49</v>
      </c>
      <c r="AG217" s="48" t="s">
        <v>49</v>
      </c>
      <c r="AH217" s="48" t="s">
        <v>49</v>
      </c>
      <c r="AI217" s="48" t="s">
        <v>49</v>
      </c>
      <c r="AJ217" s="48" t="s">
        <v>49</v>
      </c>
      <c r="AK217" s="49" t="s">
        <v>49</v>
      </c>
      <c r="AL217" s="48" t="s">
        <v>49</v>
      </c>
      <c r="AM217" s="65" t="s">
        <v>32</v>
      </c>
      <c r="AN217" s="65"/>
      <c r="AO217" s="59"/>
      <c r="AP217" s="102"/>
      <c r="AQ217" s="32"/>
      <c r="AR217" s="32"/>
      <c r="AS217" s="32"/>
      <c r="AT217" s="32"/>
      <c r="AU217" s="32"/>
      <c r="AV217" s="32"/>
      <c r="AW217" s="32"/>
      <c r="AX217" s="32"/>
      <c r="AY217" s="32"/>
      <c r="AZ217" s="32"/>
      <c r="BA217" s="31"/>
    </row>
    <row r="218" spans="1:53" x14ac:dyDescent="0.2">
      <c r="A218" s="33">
        <f t="shared" si="4"/>
        <v>213</v>
      </c>
      <c r="B218" s="34" t="s">
        <v>1779</v>
      </c>
      <c r="C218" s="35" t="s">
        <v>1780</v>
      </c>
      <c r="D218" s="36" t="s">
        <v>1781</v>
      </c>
      <c r="E218" s="334">
        <v>32608</v>
      </c>
      <c r="F218" s="36" t="s">
        <v>36</v>
      </c>
      <c r="G218" s="34" t="s">
        <v>1782</v>
      </c>
      <c r="H218" s="37" t="s">
        <v>38</v>
      </c>
      <c r="I218" s="37" t="s">
        <v>39</v>
      </c>
      <c r="J218" s="38" t="s">
        <v>1783</v>
      </c>
      <c r="K218" s="34" t="s">
        <v>41</v>
      </c>
      <c r="L218" s="39" t="s">
        <v>42</v>
      </c>
      <c r="M218" s="99" t="s">
        <v>1650</v>
      </c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42" t="s">
        <v>1784</v>
      </c>
      <c r="Z218" s="52" t="s">
        <v>1785</v>
      </c>
      <c r="AA218" s="44" t="s">
        <v>1786</v>
      </c>
      <c r="AB218" s="45">
        <v>43200</v>
      </c>
      <c r="AC218" s="101" t="s">
        <v>30</v>
      </c>
      <c r="AD218" s="36" t="s">
        <v>26</v>
      </c>
      <c r="AE218" s="47" t="s">
        <v>49</v>
      </c>
      <c r="AF218" s="48" t="s">
        <v>49</v>
      </c>
      <c r="AG218" s="48" t="s">
        <v>49</v>
      </c>
      <c r="AH218" s="48" t="s">
        <v>49</v>
      </c>
      <c r="AI218" s="48" t="s">
        <v>49</v>
      </c>
      <c r="AJ218" s="48" t="s">
        <v>49</v>
      </c>
      <c r="AK218" s="49" t="s">
        <v>49</v>
      </c>
      <c r="AL218" s="48" t="s">
        <v>49</v>
      </c>
      <c r="AM218" s="65" t="s">
        <v>32</v>
      </c>
      <c r="AN218" s="65"/>
      <c r="AO218" s="59"/>
      <c r="AP218" s="102"/>
      <c r="AQ218" s="32"/>
      <c r="AR218" s="32"/>
      <c r="AS218" s="32"/>
      <c r="AT218" s="32"/>
      <c r="AU218" s="32"/>
      <c r="AV218" s="32"/>
      <c r="AW218" s="32"/>
      <c r="AX218" s="32"/>
      <c r="AY218" s="32"/>
      <c r="AZ218" s="32"/>
      <c r="BA218" s="31"/>
    </row>
    <row r="219" spans="1:53" x14ac:dyDescent="0.2">
      <c r="A219" s="33">
        <f t="shared" si="4"/>
        <v>214</v>
      </c>
      <c r="B219" s="34" t="s">
        <v>1787</v>
      </c>
      <c r="C219" s="35" t="s">
        <v>1788</v>
      </c>
      <c r="D219" s="36" t="s">
        <v>1789</v>
      </c>
      <c r="E219" s="36"/>
      <c r="F219" s="36" t="s">
        <v>54</v>
      </c>
      <c r="G219" s="34" t="s">
        <v>1790</v>
      </c>
      <c r="H219" s="37" t="s">
        <v>73</v>
      </c>
      <c r="I219" s="37" t="s">
        <v>73</v>
      </c>
      <c r="J219" s="34" t="s">
        <v>1791</v>
      </c>
      <c r="K219" s="34" t="s">
        <v>41</v>
      </c>
      <c r="L219" s="39" t="s">
        <v>42</v>
      </c>
      <c r="M219" s="99" t="s">
        <v>1650</v>
      </c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42" t="s">
        <v>1792</v>
      </c>
      <c r="Z219" s="100" t="s">
        <v>1793</v>
      </c>
      <c r="AA219" s="44" t="s">
        <v>61</v>
      </c>
      <c r="AB219" s="45">
        <v>37208</v>
      </c>
      <c r="AC219" s="101" t="s">
        <v>30</v>
      </c>
      <c r="AD219" s="36" t="s">
        <v>26</v>
      </c>
      <c r="AE219" s="47" t="s">
        <v>49</v>
      </c>
      <c r="AF219" s="48" t="s">
        <v>49</v>
      </c>
      <c r="AG219" s="48" t="s">
        <v>41</v>
      </c>
      <c r="AH219" s="48" t="s">
        <v>41</v>
      </c>
      <c r="AI219" s="48" t="s">
        <v>41</v>
      </c>
      <c r="AJ219" s="48" t="s">
        <v>41</v>
      </c>
      <c r="AK219" s="49" t="s">
        <v>41</v>
      </c>
      <c r="AL219" s="48" t="s">
        <v>41</v>
      </c>
      <c r="AM219" s="62" t="s">
        <v>4587</v>
      </c>
      <c r="AN219" s="62"/>
      <c r="AO219" s="59"/>
      <c r="AP219" s="10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1"/>
    </row>
    <row r="220" spans="1:53" x14ac:dyDescent="0.2">
      <c r="A220" s="33">
        <f t="shared" si="4"/>
        <v>215</v>
      </c>
      <c r="B220" s="34" t="s">
        <v>1794</v>
      </c>
      <c r="C220" s="35" t="s">
        <v>1795</v>
      </c>
      <c r="D220" s="36" t="s">
        <v>1796</v>
      </c>
      <c r="E220" s="334">
        <v>32574</v>
      </c>
      <c r="F220" s="36" t="s">
        <v>54</v>
      </c>
      <c r="G220" s="87" t="s">
        <v>1797</v>
      </c>
      <c r="H220" s="37" t="s">
        <v>4660</v>
      </c>
      <c r="I220" s="37" t="s">
        <v>39</v>
      </c>
      <c r="J220" s="38" t="s">
        <v>1798</v>
      </c>
      <c r="K220" s="34" t="s">
        <v>41</v>
      </c>
      <c r="L220" s="39" t="s">
        <v>42</v>
      </c>
      <c r="M220" s="158" t="s">
        <v>1799</v>
      </c>
      <c r="N220" s="56"/>
      <c r="O220" s="56"/>
      <c r="P220" s="56"/>
      <c r="Q220" s="56"/>
      <c r="R220" s="56"/>
      <c r="S220" s="56"/>
      <c r="T220" s="56"/>
      <c r="U220" s="56"/>
      <c r="V220" s="56"/>
      <c r="W220" s="56" t="s">
        <v>732</v>
      </c>
      <c r="X220" s="56"/>
      <c r="Y220" s="42" t="s">
        <v>1800</v>
      </c>
      <c r="Z220" s="69" t="s">
        <v>1801</v>
      </c>
      <c r="AA220" s="44"/>
      <c r="AB220" s="45"/>
      <c r="AC220" s="101"/>
      <c r="AD220" s="36" t="s">
        <v>26</v>
      </c>
      <c r="AE220" s="47" t="s">
        <v>49</v>
      </c>
      <c r="AF220" s="48" t="s">
        <v>49</v>
      </c>
      <c r="AG220" s="48" t="s">
        <v>49</v>
      </c>
      <c r="AH220" s="48" t="s">
        <v>49</v>
      </c>
      <c r="AI220" s="48" t="s">
        <v>49</v>
      </c>
      <c r="AJ220" s="48" t="s">
        <v>49</v>
      </c>
      <c r="AK220" s="49" t="s">
        <v>49</v>
      </c>
      <c r="AL220" s="48" t="s">
        <v>49</v>
      </c>
      <c r="AM220" s="65" t="s">
        <v>32</v>
      </c>
      <c r="AN220" s="65"/>
      <c r="AO220" s="59"/>
      <c r="AP220" s="10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1"/>
    </row>
    <row r="221" spans="1:53" x14ac:dyDescent="0.2">
      <c r="A221" s="33">
        <f t="shared" si="4"/>
        <v>216</v>
      </c>
      <c r="B221" s="34" t="s">
        <v>1802</v>
      </c>
      <c r="C221" s="35" t="s">
        <v>1803</v>
      </c>
      <c r="D221" s="36" t="s">
        <v>1804</v>
      </c>
      <c r="E221" s="334">
        <v>27220</v>
      </c>
      <c r="F221" s="36" t="s">
        <v>54</v>
      </c>
      <c r="G221" s="200" t="s">
        <v>1805</v>
      </c>
      <c r="H221" s="37" t="s">
        <v>528</v>
      </c>
      <c r="I221" s="37" t="s">
        <v>57</v>
      </c>
      <c r="J221" s="201" t="s">
        <v>1806</v>
      </c>
      <c r="K221" s="34" t="s">
        <v>41</v>
      </c>
      <c r="L221" s="39" t="s">
        <v>42</v>
      </c>
      <c r="M221" s="158" t="s">
        <v>1006</v>
      </c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2" t="s">
        <v>1807</v>
      </c>
      <c r="Z221" s="58" t="s">
        <v>1808</v>
      </c>
      <c r="AA221" s="44" t="s">
        <v>1809</v>
      </c>
      <c r="AB221" s="45">
        <v>43200</v>
      </c>
      <c r="AC221" s="101" t="s">
        <v>30</v>
      </c>
      <c r="AD221" s="36" t="s">
        <v>26</v>
      </c>
      <c r="AE221" s="47" t="s">
        <v>49</v>
      </c>
      <c r="AF221" s="48" t="s">
        <v>49</v>
      </c>
      <c r="AG221" s="48" t="s">
        <v>49</v>
      </c>
      <c r="AH221" s="48" t="s">
        <v>49</v>
      </c>
      <c r="AI221" s="48" t="s">
        <v>49</v>
      </c>
      <c r="AJ221" s="48" t="s">
        <v>49</v>
      </c>
      <c r="AK221" s="49" t="s">
        <v>41</v>
      </c>
      <c r="AL221" s="48" t="s">
        <v>41</v>
      </c>
      <c r="AM221" s="62" t="s">
        <v>276</v>
      </c>
      <c r="AN221" s="62"/>
      <c r="AO221" s="59"/>
      <c r="AP221" s="10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1"/>
    </row>
    <row r="222" spans="1:53" x14ac:dyDescent="0.2">
      <c r="A222" s="33">
        <f t="shared" si="4"/>
        <v>217</v>
      </c>
      <c r="B222" s="34" t="s">
        <v>1810</v>
      </c>
      <c r="C222" s="35" t="s">
        <v>1811</v>
      </c>
      <c r="D222" s="89" t="s">
        <v>1812</v>
      </c>
      <c r="E222" s="340">
        <v>31652</v>
      </c>
      <c r="F222" s="36" t="s">
        <v>36</v>
      </c>
      <c r="G222" s="200" t="s">
        <v>1813</v>
      </c>
      <c r="H222" s="37" t="s">
        <v>252</v>
      </c>
      <c r="I222" s="37" t="s">
        <v>57</v>
      </c>
      <c r="J222" s="201" t="s">
        <v>1814</v>
      </c>
      <c r="K222" s="34"/>
      <c r="L222" s="39" t="s">
        <v>42</v>
      </c>
      <c r="M222" s="158" t="s">
        <v>1815</v>
      </c>
      <c r="N222" s="41"/>
      <c r="O222" s="41"/>
      <c r="P222" s="41"/>
      <c r="Q222" s="41"/>
      <c r="R222" s="41"/>
      <c r="S222" s="41"/>
      <c r="T222" s="41"/>
      <c r="U222" s="41"/>
      <c r="V222" s="41"/>
      <c r="W222" s="41" t="s">
        <v>44</v>
      </c>
      <c r="X222" s="41"/>
      <c r="Y222" s="201" t="s">
        <v>1816</v>
      </c>
      <c r="Z222" s="58" t="s">
        <v>4722</v>
      </c>
      <c r="AA222" s="44"/>
      <c r="AB222" s="45"/>
      <c r="AC222" s="101"/>
      <c r="AD222" s="36"/>
      <c r="AE222" s="47" t="s">
        <v>49</v>
      </c>
      <c r="AF222" s="48" t="s">
        <v>41</v>
      </c>
      <c r="AG222" s="48" t="s">
        <v>41</v>
      </c>
      <c r="AH222" s="48" t="s">
        <v>41</v>
      </c>
      <c r="AI222" s="48" t="s">
        <v>41</v>
      </c>
      <c r="AJ222" s="48" t="s">
        <v>41</v>
      </c>
      <c r="AK222" s="49" t="s">
        <v>49</v>
      </c>
      <c r="AL222" s="48" t="s">
        <v>49</v>
      </c>
      <c r="AM222" s="65" t="s">
        <v>32</v>
      </c>
      <c r="AN222" s="65"/>
      <c r="AO222" s="59"/>
      <c r="AP222" s="10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1"/>
    </row>
    <row r="223" spans="1:53" x14ac:dyDescent="0.2">
      <c r="A223" s="33">
        <f t="shared" si="4"/>
        <v>218</v>
      </c>
      <c r="B223" s="34" t="s">
        <v>1818</v>
      </c>
      <c r="C223" s="35" t="s">
        <v>1819</v>
      </c>
      <c r="D223" s="174" t="s">
        <v>1820</v>
      </c>
      <c r="E223" s="341"/>
      <c r="F223" s="36" t="s">
        <v>54</v>
      </c>
      <c r="G223" s="34" t="s">
        <v>1821</v>
      </c>
      <c r="H223" s="37" t="s">
        <v>39</v>
      </c>
      <c r="I223" s="37" t="s">
        <v>39</v>
      </c>
      <c r="J223" s="34" t="s">
        <v>1822</v>
      </c>
      <c r="K223" s="34" t="s">
        <v>1823</v>
      </c>
      <c r="L223" s="39" t="s">
        <v>42</v>
      </c>
      <c r="M223" s="158" t="s">
        <v>1824</v>
      </c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2" t="s">
        <v>1825</v>
      </c>
      <c r="Z223" s="58" t="s">
        <v>1826</v>
      </c>
      <c r="AA223" s="44" t="s">
        <v>1827</v>
      </c>
      <c r="AB223" s="45">
        <v>43200</v>
      </c>
      <c r="AC223" s="101" t="s">
        <v>30</v>
      </c>
      <c r="AD223" s="109"/>
      <c r="AE223" s="47" t="s">
        <v>49</v>
      </c>
      <c r="AF223" s="48" t="s">
        <v>41</v>
      </c>
      <c r="AG223" s="48" t="s">
        <v>41</v>
      </c>
      <c r="AH223" s="48" t="s">
        <v>41</v>
      </c>
      <c r="AI223" s="48" t="s">
        <v>41</v>
      </c>
      <c r="AJ223" s="48" t="s">
        <v>41</v>
      </c>
      <c r="AK223" s="49" t="s">
        <v>41</v>
      </c>
      <c r="AL223" s="48" t="s">
        <v>41</v>
      </c>
      <c r="AM223" s="65" t="s">
        <v>4590</v>
      </c>
      <c r="AN223" s="65"/>
      <c r="AO223" s="59" t="s">
        <v>1828</v>
      </c>
      <c r="AP223" s="10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1"/>
    </row>
    <row r="224" spans="1:53" x14ac:dyDescent="0.2">
      <c r="A224" s="33">
        <f t="shared" si="4"/>
        <v>219</v>
      </c>
      <c r="B224" s="34" t="s">
        <v>1829</v>
      </c>
      <c r="C224" s="35" t="s">
        <v>1830</v>
      </c>
      <c r="D224" s="36" t="s">
        <v>1831</v>
      </c>
      <c r="E224" s="36"/>
      <c r="F224" s="36" t="s">
        <v>36</v>
      </c>
      <c r="G224" s="108" t="s">
        <v>1832</v>
      </c>
      <c r="H224" s="37" t="s">
        <v>73</v>
      </c>
      <c r="I224" s="37" t="s">
        <v>73</v>
      </c>
      <c r="J224" s="38" t="s">
        <v>1833</v>
      </c>
      <c r="K224" s="38" t="s">
        <v>1834</v>
      </c>
      <c r="L224" s="39" t="s">
        <v>42</v>
      </c>
      <c r="M224" s="99" t="s">
        <v>1835</v>
      </c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42" t="s">
        <v>1836</v>
      </c>
      <c r="Z224" s="58" t="s">
        <v>1837</v>
      </c>
      <c r="AA224" s="44" t="s">
        <v>1838</v>
      </c>
      <c r="AB224" s="45">
        <v>43200</v>
      </c>
      <c r="AC224" s="101" t="s">
        <v>30</v>
      </c>
      <c r="AD224" s="36" t="s">
        <v>26</v>
      </c>
      <c r="AE224" s="47" t="s">
        <v>49</v>
      </c>
      <c r="AF224" s="48" t="s">
        <v>49</v>
      </c>
      <c r="AG224" s="48" t="s">
        <v>41</v>
      </c>
      <c r="AH224" s="48" t="s">
        <v>41</v>
      </c>
      <c r="AI224" s="48" t="s">
        <v>41</v>
      </c>
      <c r="AJ224" s="48" t="s">
        <v>41</v>
      </c>
      <c r="AK224" s="49" t="s">
        <v>41</v>
      </c>
      <c r="AL224" s="48" t="s">
        <v>41</v>
      </c>
      <c r="AM224" s="62" t="s">
        <v>4587</v>
      </c>
      <c r="AN224" s="62"/>
      <c r="AO224" s="59"/>
      <c r="AP224" s="10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1"/>
    </row>
    <row r="225" spans="1:53" x14ac:dyDescent="0.2">
      <c r="A225" s="33">
        <f t="shared" si="4"/>
        <v>220</v>
      </c>
      <c r="B225" s="34" t="s">
        <v>1839</v>
      </c>
      <c r="C225" s="35" t="s">
        <v>1840</v>
      </c>
      <c r="D225" s="36" t="s">
        <v>1841</v>
      </c>
      <c r="E225" s="341">
        <v>28447</v>
      </c>
      <c r="F225" s="36" t="s">
        <v>36</v>
      </c>
      <c r="G225" s="108" t="s">
        <v>1842</v>
      </c>
      <c r="H225" s="37" t="s">
        <v>205</v>
      </c>
      <c r="I225" s="37" t="s">
        <v>205</v>
      </c>
      <c r="J225" s="38" t="s">
        <v>1843</v>
      </c>
      <c r="K225" s="38" t="s">
        <v>41</v>
      </c>
      <c r="L225" s="39" t="s">
        <v>42</v>
      </c>
      <c r="M225" s="120">
        <v>44658</v>
      </c>
      <c r="N225" s="56"/>
      <c r="O225" s="56"/>
      <c r="P225" s="56"/>
      <c r="Q225" s="56"/>
      <c r="R225" s="56"/>
      <c r="S225" s="56"/>
      <c r="T225" s="56" t="s">
        <v>44</v>
      </c>
      <c r="U225" s="56"/>
      <c r="V225" s="56"/>
      <c r="W225" s="56"/>
      <c r="X225" s="56"/>
      <c r="Y225" s="42" t="s">
        <v>1844</v>
      </c>
      <c r="Z225" s="58" t="s">
        <v>1845</v>
      </c>
      <c r="AA225" s="44" t="s">
        <v>1846</v>
      </c>
      <c r="AB225" s="45">
        <v>44944</v>
      </c>
      <c r="AC225" s="101" t="s">
        <v>30</v>
      </c>
      <c r="AD225" s="36"/>
      <c r="AE225" s="47" t="s">
        <v>49</v>
      </c>
      <c r="AF225" s="48" t="s">
        <v>41</v>
      </c>
      <c r="AG225" s="48" t="s">
        <v>41</v>
      </c>
      <c r="AH225" s="48" t="s">
        <v>49</v>
      </c>
      <c r="AI225" s="48" t="s">
        <v>49</v>
      </c>
      <c r="AJ225" s="48" t="s">
        <v>49</v>
      </c>
      <c r="AK225" s="49" t="s">
        <v>49</v>
      </c>
      <c r="AL225" s="48" t="s">
        <v>49</v>
      </c>
      <c r="AM225" s="62" t="s">
        <v>32</v>
      </c>
      <c r="AN225" s="62"/>
      <c r="AO225" s="59"/>
      <c r="AP225" s="10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1"/>
    </row>
    <row r="226" spans="1:53" x14ac:dyDescent="0.2">
      <c r="A226" s="33">
        <f t="shared" si="4"/>
        <v>221</v>
      </c>
      <c r="B226" s="108" t="s">
        <v>1847</v>
      </c>
      <c r="C226" s="35" t="s">
        <v>1848</v>
      </c>
      <c r="D226" s="174" t="s">
        <v>1849</v>
      </c>
      <c r="E226" s="341">
        <v>34020</v>
      </c>
      <c r="F226" s="36" t="s">
        <v>54</v>
      </c>
      <c r="G226" s="108" t="s">
        <v>1850</v>
      </c>
      <c r="H226" s="37" t="s">
        <v>73</v>
      </c>
      <c r="I226" s="37" t="s">
        <v>73</v>
      </c>
      <c r="J226" s="108" t="s">
        <v>1851</v>
      </c>
      <c r="K226" s="108" t="s">
        <v>1851</v>
      </c>
      <c r="L226" s="39" t="s">
        <v>42</v>
      </c>
      <c r="M226" s="158" t="s">
        <v>1852</v>
      </c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2" t="s">
        <v>1853</v>
      </c>
      <c r="Z226" s="58" t="s">
        <v>1854</v>
      </c>
      <c r="AA226" s="44" t="s">
        <v>1855</v>
      </c>
      <c r="AB226" s="45">
        <v>42935</v>
      </c>
      <c r="AC226" s="101" t="s">
        <v>30</v>
      </c>
      <c r="AD226" s="109" t="s">
        <v>26</v>
      </c>
      <c r="AE226" s="61" t="s">
        <v>49</v>
      </c>
      <c r="AF226" s="48" t="s">
        <v>49</v>
      </c>
      <c r="AG226" s="48" t="s">
        <v>49</v>
      </c>
      <c r="AH226" s="48" t="s">
        <v>49</v>
      </c>
      <c r="AI226" s="48" t="s">
        <v>49</v>
      </c>
      <c r="AJ226" s="48" t="s">
        <v>41</v>
      </c>
      <c r="AK226" s="49" t="s">
        <v>41</v>
      </c>
      <c r="AL226" s="48" t="s">
        <v>41</v>
      </c>
      <c r="AM226" s="62" t="s">
        <v>4589</v>
      </c>
      <c r="AN226" s="62"/>
      <c r="AO226" s="59"/>
      <c r="AP226" s="10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1"/>
    </row>
    <row r="227" spans="1:53" x14ac:dyDescent="0.2">
      <c r="A227" s="33">
        <f t="shared" si="4"/>
        <v>222</v>
      </c>
      <c r="B227" s="34" t="s">
        <v>1856</v>
      </c>
      <c r="C227" s="35" t="s">
        <v>1857</v>
      </c>
      <c r="D227" s="202" t="s">
        <v>1858</v>
      </c>
      <c r="E227" s="342">
        <v>26311</v>
      </c>
      <c r="F227" s="36" t="s">
        <v>54</v>
      </c>
      <c r="G227" s="87" t="s">
        <v>1859</v>
      </c>
      <c r="H227" s="37" t="s">
        <v>73</v>
      </c>
      <c r="I227" s="37" t="s">
        <v>73</v>
      </c>
      <c r="J227" s="107" t="s">
        <v>1860</v>
      </c>
      <c r="K227" s="34" t="s">
        <v>1861</v>
      </c>
      <c r="L227" s="39" t="s">
        <v>42</v>
      </c>
      <c r="M227" s="158" t="s">
        <v>1862</v>
      </c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2" t="s">
        <v>1863</v>
      </c>
      <c r="Z227" s="52" t="s">
        <v>1864</v>
      </c>
      <c r="AA227" s="44" t="s">
        <v>61</v>
      </c>
      <c r="AB227" s="45">
        <v>41793</v>
      </c>
      <c r="AC227" s="101" t="s">
        <v>30</v>
      </c>
      <c r="AD227" s="36" t="s">
        <v>26</v>
      </c>
      <c r="AE227" s="61" t="s">
        <v>49</v>
      </c>
      <c r="AF227" s="48" t="s">
        <v>49</v>
      </c>
      <c r="AG227" s="48" t="s">
        <v>49</v>
      </c>
      <c r="AH227" s="48" t="s">
        <v>49</v>
      </c>
      <c r="AI227" s="48" t="s">
        <v>49</v>
      </c>
      <c r="AJ227" s="48" t="s">
        <v>49</v>
      </c>
      <c r="AK227" s="49" t="s">
        <v>49</v>
      </c>
      <c r="AL227" s="48" t="s">
        <v>49</v>
      </c>
      <c r="AM227" s="65" t="s">
        <v>32</v>
      </c>
      <c r="AN227" s="65"/>
      <c r="AO227" s="59"/>
      <c r="AP227" s="10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1"/>
    </row>
    <row r="228" spans="1:53" x14ac:dyDescent="0.2">
      <c r="A228" s="33">
        <f t="shared" si="4"/>
        <v>223</v>
      </c>
      <c r="B228" s="34" t="s">
        <v>1865</v>
      </c>
      <c r="C228" s="35" t="s">
        <v>1866</v>
      </c>
      <c r="D228" s="104" t="s">
        <v>1867</v>
      </c>
      <c r="E228" s="334">
        <v>26129</v>
      </c>
      <c r="F228" s="36" t="s">
        <v>54</v>
      </c>
      <c r="G228" s="34" t="s">
        <v>1868</v>
      </c>
      <c r="H228" s="37" t="s">
        <v>73</v>
      </c>
      <c r="I228" s="37" t="s">
        <v>73</v>
      </c>
      <c r="J228" s="34" t="s">
        <v>1860</v>
      </c>
      <c r="K228" s="34" t="s">
        <v>1861</v>
      </c>
      <c r="L228" s="39" t="s">
        <v>42</v>
      </c>
      <c r="M228" s="99" t="s">
        <v>1869</v>
      </c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2" t="s">
        <v>1870</v>
      </c>
      <c r="Z228" s="52" t="s">
        <v>1871</v>
      </c>
      <c r="AA228" s="44" t="s">
        <v>1872</v>
      </c>
      <c r="AB228" s="45">
        <v>40876</v>
      </c>
      <c r="AC228" s="101" t="s">
        <v>30</v>
      </c>
      <c r="AD228" s="36" t="s">
        <v>26</v>
      </c>
      <c r="AE228" s="47" t="s">
        <v>49</v>
      </c>
      <c r="AF228" s="48" t="s">
        <v>49</v>
      </c>
      <c r="AG228" s="48" t="s">
        <v>49</v>
      </c>
      <c r="AH228" s="48" t="s">
        <v>49</v>
      </c>
      <c r="AI228" s="48" t="s">
        <v>49</v>
      </c>
      <c r="AJ228" s="48" t="s">
        <v>49</v>
      </c>
      <c r="AK228" s="49" t="s">
        <v>49</v>
      </c>
      <c r="AL228" s="48" t="s">
        <v>49</v>
      </c>
      <c r="AM228" s="65" t="s">
        <v>32</v>
      </c>
      <c r="AN228" s="65"/>
      <c r="AO228" s="59"/>
      <c r="AP228" s="10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1"/>
    </row>
    <row r="229" spans="1:53" x14ac:dyDescent="0.2">
      <c r="A229" s="33">
        <f t="shared" si="4"/>
        <v>224</v>
      </c>
      <c r="B229" s="34" t="s">
        <v>1873</v>
      </c>
      <c r="C229" s="35" t="s">
        <v>1874</v>
      </c>
      <c r="D229" s="174" t="s">
        <v>1875</v>
      </c>
      <c r="E229" s="341">
        <v>29307</v>
      </c>
      <c r="F229" s="36" t="s">
        <v>54</v>
      </c>
      <c r="G229" s="34" t="s">
        <v>1876</v>
      </c>
      <c r="H229" s="37" t="s">
        <v>73</v>
      </c>
      <c r="I229" s="37" t="s">
        <v>73</v>
      </c>
      <c r="J229" s="34" t="s">
        <v>1679</v>
      </c>
      <c r="K229" s="34" t="s">
        <v>1877</v>
      </c>
      <c r="L229" s="39" t="s">
        <v>42</v>
      </c>
      <c r="M229" s="120">
        <v>34984</v>
      </c>
      <c r="N229" s="56"/>
      <c r="O229" s="56"/>
      <c r="P229" s="56"/>
      <c r="Q229" s="56"/>
      <c r="R229" s="56"/>
      <c r="S229" s="56"/>
      <c r="T229" s="56"/>
      <c r="U229" s="56"/>
      <c r="V229" s="56" t="s">
        <v>732</v>
      </c>
      <c r="W229" s="56"/>
      <c r="X229" s="56"/>
      <c r="Y229" s="42" t="s">
        <v>1879</v>
      </c>
      <c r="Z229" s="58" t="s">
        <v>1880</v>
      </c>
      <c r="AA229" s="44"/>
      <c r="AB229" s="45"/>
      <c r="AC229" s="101"/>
      <c r="AD229" s="36" t="s">
        <v>26</v>
      </c>
      <c r="AE229" s="47" t="s">
        <v>49</v>
      </c>
      <c r="AF229" s="48" t="s">
        <v>49</v>
      </c>
      <c r="AG229" s="48" t="s">
        <v>49</v>
      </c>
      <c r="AH229" s="48" t="s">
        <v>49</v>
      </c>
      <c r="AI229" s="48" t="s">
        <v>49</v>
      </c>
      <c r="AJ229" s="48" t="s">
        <v>49</v>
      </c>
      <c r="AK229" s="49" t="s">
        <v>49</v>
      </c>
      <c r="AL229" s="48" t="s">
        <v>49</v>
      </c>
      <c r="AM229" s="65" t="s">
        <v>32</v>
      </c>
      <c r="AN229" s="65"/>
      <c r="AO229" s="59"/>
      <c r="AP229" s="10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1"/>
    </row>
    <row r="230" spans="1:53" x14ac:dyDescent="0.2">
      <c r="A230" s="33">
        <f t="shared" si="4"/>
        <v>225</v>
      </c>
      <c r="B230" s="34" t="s">
        <v>1881</v>
      </c>
      <c r="C230" s="35" t="s">
        <v>1882</v>
      </c>
      <c r="D230" s="174" t="s">
        <v>1883</v>
      </c>
      <c r="E230" s="341">
        <v>32123</v>
      </c>
      <c r="F230" s="36" t="s">
        <v>54</v>
      </c>
      <c r="G230" s="34" t="s">
        <v>1884</v>
      </c>
      <c r="H230" s="37" t="s">
        <v>73</v>
      </c>
      <c r="I230" s="37" t="s">
        <v>73</v>
      </c>
      <c r="J230" s="38" t="s">
        <v>1885</v>
      </c>
      <c r="K230" s="34" t="s">
        <v>1886</v>
      </c>
      <c r="L230" s="39" t="s">
        <v>42</v>
      </c>
      <c r="M230" s="120" t="s">
        <v>1887</v>
      </c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42" t="s">
        <v>1888</v>
      </c>
      <c r="Z230" s="58" t="s">
        <v>1889</v>
      </c>
      <c r="AA230" s="44" t="s">
        <v>1890</v>
      </c>
      <c r="AB230" s="45">
        <v>44041</v>
      </c>
      <c r="AC230" s="101" t="s">
        <v>30</v>
      </c>
      <c r="AD230" s="36" t="s">
        <v>26</v>
      </c>
      <c r="AE230" s="47" t="s">
        <v>49</v>
      </c>
      <c r="AF230" s="48" t="s">
        <v>49</v>
      </c>
      <c r="AG230" s="48" t="s">
        <v>49</v>
      </c>
      <c r="AH230" s="48" t="s">
        <v>49</v>
      </c>
      <c r="AI230" s="48" t="s">
        <v>49</v>
      </c>
      <c r="AJ230" s="48" t="s">
        <v>49</v>
      </c>
      <c r="AK230" s="49" t="s">
        <v>49</v>
      </c>
      <c r="AL230" s="48" t="s">
        <v>41</v>
      </c>
      <c r="AM230" s="65" t="s">
        <v>148</v>
      </c>
      <c r="AN230" s="65"/>
      <c r="AO230" s="59"/>
      <c r="AP230" s="10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1"/>
    </row>
    <row r="231" spans="1:53" x14ac:dyDescent="0.2">
      <c r="A231" s="33">
        <f t="shared" si="4"/>
        <v>226</v>
      </c>
      <c r="B231" s="72" t="s">
        <v>1891</v>
      </c>
      <c r="C231" s="35" t="s">
        <v>1892</v>
      </c>
      <c r="D231" s="36" t="s">
        <v>1893</v>
      </c>
      <c r="E231" s="334">
        <v>35650</v>
      </c>
      <c r="F231" s="36" t="s">
        <v>54</v>
      </c>
      <c r="G231" s="72" t="s">
        <v>1894</v>
      </c>
      <c r="H231" s="75" t="s">
        <v>252</v>
      </c>
      <c r="I231" s="75" t="s">
        <v>57</v>
      </c>
      <c r="J231" s="72" t="s">
        <v>1895</v>
      </c>
      <c r="K231" s="72" t="s">
        <v>41</v>
      </c>
      <c r="L231" s="77" t="s">
        <v>42</v>
      </c>
      <c r="M231" s="203" t="s">
        <v>556</v>
      </c>
      <c r="N231" s="156"/>
      <c r="O231" s="204"/>
      <c r="P231" s="205"/>
      <c r="Q231" s="204"/>
      <c r="R231" s="205"/>
      <c r="S231" s="205"/>
      <c r="T231" s="205"/>
      <c r="U231" s="156"/>
      <c r="V231" s="156" t="s">
        <v>732</v>
      </c>
      <c r="W231" s="156"/>
      <c r="X231" s="156"/>
      <c r="Y231" s="42" t="s">
        <v>1896</v>
      </c>
      <c r="Z231" s="52" t="s">
        <v>1897</v>
      </c>
      <c r="AA231" s="44"/>
      <c r="AB231" s="45"/>
      <c r="AC231" s="206"/>
      <c r="AD231" s="154" t="s">
        <v>26</v>
      </c>
      <c r="AE231" s="81" t="s">
        <v>49</v>
      </c>
      <c r="AF231" s="48" t="s">
        <v>49</v>
      </c>
      <c r="AG231" s="48" t="s">
        <v>49</v>
      </c>
      <c r="AH231" s="48" t="s">
        <v>49</v>
      </c>
      <c r="AI231" s="48" t="s">
        <v>49</v>
      </c>
      <c r="AJ231" s="48" t="s">
        <v>49</v>
      </c>
      <c r="AK231" s="49" t="s">
        <v>49</v>
      </c>
      <c r="AL231" s="48" t="s">
        <v>49</v>
      </c>
      <c r="AM231" s="62" t="s">
        <v>32</v>
      </c>
      <c r="AN231" s="62"/>
      <c r="AO231" s="59"/>
      <c r="AP231" s="10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1"/>
    </row>
    <row r="232" spans="1:53" x14ac:dyDescent="0.2">
      <c r="A232" s="33">
        <f t="shared" si="4"/>
        <v>227</v>
      </c>
      <c r="B232" s="34" t="s">
        <v>1898</v>
      </c>
      <c r="C232" s="35" t="s">
        <v>1899</v>
      </c>
      <c r="D232" s="36" t="s">
        <v>1900</v>
      </c>
      <c r="E232" s="334">
        <v>22714</v>
      </c>
      <c r="F232" s="36" t="s">
        <v>54</v>
      </c>
      <c r="G232" s="34" t="s">
        <v>1901</v>
      </c>
      <c r="H232" s="37" t="s">
        <v>205</v>
      </c>
      <c r="I232" s="37" t="s">
        <v>205</v>
      </c>
      <c r="J232" s="34" t="s">
        <v>1902</v>
      </c>
      <c r="K232" s="34" t="s">
        <v>1903</v>
      </c>
      <c r="L232" s="39" t="s">
        <v>42</v>
      </c>
      <c r="M232" s="120">
        <v>34761</v>
      </c>
      <c r="N232" s="41"/>
      <c r="O232" s="177"/>
      <c r="P232" s="112"/>
      <c r="Q232" s="177"/>
      <c r="R232" s="112"/>
      <c r="S232" s="112"/>
      <c r="T232" s="112"/>
      <c r="U232" s="41"/>
      <c r="V232" s="41"/>
      <c r="W232" s="41"/>
      <c r="X232" s="41"/>
      <c r="Y232" s="42" t="s">
        <v>1904</v>
      </c>
      <c r="Z232" s="43" t="s">
        <v>1905</v>
      </c>
      <c r="AA232" s="44" t="s">
        <v>61</v>
      </c>
      <c r="AB232" s="45">
        <v>36641</v>
      </c>
      <c r="AC232" s="101" t="s">
        <v>30</v>
      </c>
      <c r="AD232" s="36" t="s">
        <v>26</v>
      </c>
      <c r="AE232" s="47" t="s">
        <v>49</v>
      </c>
      <c r="AF232" s="48" t="s">
        <v>49</v>
      </c>
      <c r="AG232" s="48" t="s">
        <v>49</v>
      </c>
      <c r="AH232" s="48" t="s">
        <v>49</v>
      </c>
      <c r="AI232" s="48" t="s">
        <v>49</v>
      </c>
      <c r="AJ232" s="48" t="s">
        <v>41</v>
      </c>
      <c r="AK232" s="49" t="s">
        <v>41</v>
      </c>
      <c r="AL232" s="48" t="s">
        <v>41</v>
      </c>
      <c r="AM232" s="62" t="s">
        <v>4589</v>
      </c>
      <c r="AN232" s="62"/>
      <c r="AO232" s="59"/>
      <c r="AP232" s="10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1"/>
    </row>
    <row r="233" spans="1:53" x14ac:dyDescent="0.2">
      <c r="A233" s="33">
        <f t="shared" si="4"/>
        <v>228</v>
      </c>
      <c r="B233" s="34" t="s">
        <v>1906</v>
      </c>
      <c r="C233" s="35" t="s">
        <v>1907</v>
      </c>
      <c r="D233" s="36" t="s">
        <v>1908</v>
      </c>
      <c r="E233" s="334">
        <v>19478</v>
      </c>
      <c r="F233" s="36" t="s">
        <v>54</v>
      </c>
      <c r="G233" s="34" t="s">
        <v>1909</v>
      </c>
      <c r="H233" s="37" t="s">
        <v>205</v>
      </c>
      <c r="I233" s="37" t="s">
        <v>205</v>
      </c>
      <c r="J233" s="34" t="s">
        <v>1910</v>
      </c>
      <c r="K233" s="34" t="s">
        <v>41</v>
      </c>
      <c r="L233" s="39" t="s">
        <v>42</v>
      </c>
      <c r="M233" s="120">
        <v>33428</v>
      </c>
      <c r="N233" s="56"/>
      <c r="O233" s="114"/>
      <c r="P233" s="115"/>
      <c r="Q233" s="114"/>
      <c r="R233" s="115"/>
      <c r="S233" s="115"/>
      <c r="T233" s="115"/>
      <c r="U233" s="56"/>
      <c r="V233" s="56"/>
      <c r="W233" s="56"/>
      <c r="X233" s="56"/>
      <c r="Y233" s="42" t="s">
        <v>1911</v>
      </c>
      <c r="Z233" s="43" t="s">
        <v>1912</v>
      </c>
      <c r="AA233" s="119" t="s">
        <v>61</v>
      </c>
      <c r="AB233" s="45">
        <v>36641</v>
      </c>
      <c r="AC233" s="101" t="s">
        <v>30</v>
      </c>
      <c r="AD233" s="36" t="s">
        <v>26</v>
      </c>
      <c r="AE233" s="47" t="s">
        <v>49</v>
      </c>
      <c r="AF233" s="48" t="s">
        <v>49</v>
      </c>
      <c r="AG233" s="48" t="s">
        <v>49</v>
      </c>
      <c r="AH233" s="48" t="s">
        <v>49</v>
      </c>
      <c r="AI233" s="48" t="s">
        <v>41</v>
      </c>
      <c r="AJ233" s="48" t="s">
        <v>41</v>
      </c>
      <c r="AK233" s="49" t="s">
        <v>41</v>
      </c>
      <c r="AL233" s="48" t="s">
        <v>41</v>
      </c>
      <c r="AM233" s="62" t="s">
        <v>139</v>
      </c>
      <c r="AN233" s="62"/>
      <c r="AO233" s="59"/>
      <c r="AP233" s="102"/>
      <c r="AQ233" s="32"/>
      <c r="AR233" s="32"/>
      <c r="AS233" s="32"/>
      <c r="AT233" s="32"/>
      <c r="AU233" s="32"/>
      <c r="AV233" s="32"/>
      <c r="AW233" s="32"/>
      <c r="AX233" s="32"/>
      <c r="AY233" s="32"/>
      <c r="AZ233" s="32"/>
      <c r="BA233" s="31"/>
    </row>
    <row r="234" spans="1:53" ht="18" customHeight="1" x14ac:dyDescent="0.2">
      <c r="A234" s="33">
        <f t="shared" si="4"/>
        <v>229</v>
      </c>
      <c r="B234" s="107" t="s">
        <v>1913</v>
      </c>
      <c r="C234" s="35" t="s">
        <v>1914</v>
      </c>
      <c r="D234" s="36" t="s">
        <v>1915</v>
      </c>
      <c r="E234" s="334">
        <v>34777</v>
      </c>
      <c r="F234" s="36" t="s">
        <v>54</v>
      </c>
      <c r="G234" s="34" t="s">
        <v>1916</v>
      </c>
      <c r="H234" s="37" t="s">
        <v>73</v>
      </c>
      <c r="I234" s="37" t="s">
        <v>73</v>
      </c>
      <c r="J234" s="183" t="s">
        <v>1917</v>
      </c>
      <c r="K234" s="34" t="s">
        <v>41</v>
      </c>
      <c r="L234" s="39" t="s">
        <v>42</v>
      </c>
      <c r="M234" s="120">
        <v>44447</v>
      </c>
      <c r="N234" s="56"/>
      <c r="O234" s="186"/>
      <c r="P234" s="115"/>
      <c r="Q234" s="186"/>
      <c r="R234" s="115"/>
      <c r="S234" s="115" t="s">
        <v>44</v>
      </c>
      <c r="T234" s="115"/>
      <c r="U234" s="56"/>
      <c r="V234" s="56"/>
      <c r="W234" s="56"/>
      <c r="X234" s="56"/>
      <c r="Y234" s="42" t="s">
        <v>1918</v>
      </c>
      <c r="Z234" s="43" t="s">
        <v>1919</v>
      </c>
      <c r="AA234" s="207" t="s">
        <v>1920</v>
      </c>
      <c r="AB234" s="45">
        <v>44944</v>
      </c>
      <c r="AC234" s="101" t="s">
        <v>30</v>
      </c>
      <c r="AD234" s="36"/>
      <c r="AE234" s="47" t="s">
        <v>49</v>
      </c>
      <c r="AF234" s="48" t="s">
        <v>41</v>
      </c>
      <c r="AG234" s="48" t="s">
        <v>49</v>
      </c>
      <c r="AH234" s="48" t="s">
        <v>49</v>
      </c>
      <c r="AI234" s="48" t="s">
        <v>49</v>
      </c>
      <c r="AJ234" s="48" t="s">
        <v>41</v>
      </c>
      <c r="AK234" s="49" t="s">
        <v>41</v>
      </c>
      <c r="AL234" s="48" t="s">
        <v>41</v>
      </c>
      <c r="AM234" s="62" t="s">
        <v>4589</v>
      </c>
      <c r="AN234" s="62"/>
      <c r="AO234" s="59"/>
      <c r="AP234" s="102"/>
      <c r="AQ234" s="32"/>
      <c r="AR234" s="32"/>
      <c r="AS234" s="32"/>
      <c r="AT234" s="32"/>
      <c r="AU234" s="32"/>
      <c r="AV234" s="32"/>
      <c r="AW234" s="32"/>
      <c r="AX234" s="32"/>
      <c r="AY234" s="32"/>
      <c r="AZ234" s="32"/>
      <c r="BA234" s="31"/>
    </row>
    <row r="235" spans="1:53" x14ac:dyDescent="0.2">
      <c r="A235" s="33">
        <f t="shared" si="4"/>
        <v>230</v>
      </c>
      <c r="B235" s="34" t="s">
        <v>1921</v>
      </c>
      <c r="C235" s="35" t="s">
        <v>1922</v>
      </c>
      <c r="D235" s="36" t="s">
        <v>1923</v>
      </c>
      <c r="E235" s="334">
        <v>36257</v>
      </c>
      <c r="F235" s="36" t="s">
        <v>54</v>
      </c>
      <c r="G235" s="34" t="s">
        <v>1924</v>
      </c>
      <c r="H235" s="37" t="s">
        <v>176</v>
      </c>
      <c r="I235" s="37" t="s">
        <v>39</v>
      </c>
      <c r="J235" s="38" t="s">
        <v>1925</v>
      </c>
      <c r="K235" s="34" t="s">
        <v>41</v>
      </c>
      <c r="L235" s="39" t="s">
        <v>42</v>
      </c>
      <c r="M235" s="120">
        <v>45803</v>
      </c>
      <c r="N235" s="56"/>
      <c r="O235" s="147"/>
      <c r="P235" s="115"/>
      <c r="Q235" s="56"/>
      <c r="R235" s="115"/>
      <c r="S235" s="115"/>
      <c r="T235" s="115"/>
      <c r="U235" s="56"/>
      <c r="V235" s="56"/>
      <c r="W235" s="56" t="s">
        <v>44</v>
      </c>
      <c r="X235" s="56"/>
      <c r="Y235" s="38" t="s">
        <v>1926</v>
      </c>
      <c r="Z235" s="55" t="s">
        <v>1927</v>
      </c>
      <c r="AA235" s="207"/>
      <c r="AB235" s="45"/>
      <c r="AC235" s="101"/>
      <c r="AD235" s="36"/>
      <c r="AE235" s="47" t="s">
        <v>49</v>
      </c>
      <c r="AF235" s="48" t="s">
        <v>41</v>
      </c>
      <c r="AG235" s="48" t="s">
        <v>41</v>
      </c>
      <c r="AH235" s="48" t="s">
        <v>41</v>
      </c>
      <c r="AI235" s="48" t="s">
        <v>41</v>
      </c>
      <c r="AJ235" s="48" t="s">
        <v>41</v>
      </c>
      <c r="AK235" s="49" t="s">
        <v>49</v>
      </c>
      <c r="AL235" s="48" t="s">
        <v>49</v>
      </c>
      <c r="AM235" s="62" t="s">
        <v>32</v>
      </c>
      <c r="AN235" s="62"/>
      <c r="AO235" s="59"/>
      <c r="AP235" s="102"/>
      <c r="AQ235" s="32"/>
      <c r="AR235" s="32"/>
      <c r="AS235" s="32"/>
      <c r="AT235" s="32"/>
      <c r="AU235" s="32"/>
      <c r="AV235" s="32"/>
      <c r="AW235" s="32"/>
      <c r="AX235" s="32"/>
      <c r="AY235" s="32"/>
      <c r="AZ235" s="32"/>
      <c r="BA235" s="31"/>
    </row>
    <row r="236" spans="1:53" x14ac:dyDescent="0.2">
      <c r="A236" s="33">
        <f t="shared" si="4"/>
        <v>231</v>
      </c>
      <c r="B236" s="108" t="s">
        <v>1928</v>
      </c>
      <c r="C236" s="35" t="s">
        <v>1929</v>
      </c>
      <c r="D236" s="36" t="s">
        <v>1930</v>
      </c>
      <c r="E236" s="334">
        <v>25818</v>
      </c>
      <c r="F236" s="36" t="s">
        <v>54</v>
      </c>
      <c r="G236" s="34" t="s">
        <v>1931</v>
      </c>
      <c r="H236" s="37" t="s">
        <v>243</v>
      </c>
      <c r="I236" s="37" t="s">
        <v>205</v>
      </c>
      <c r="J236" s="140" t="s">
        <v>1932</v>
      </c>
      <c r="K236" s="34" t="s">
        <v>41</v>
      </c>
      <c r="L236" s="39" t="s">
        <v>42</v>
      </c>
      <c r="M236" s="120">
        <v>43070</v>
      </c>
      <c r="N236" s="56"/>
      <c r="O236" s="114"/>
      <c r="P236" s="115"/>
      <c r="Q236" s="114"/>
      <c r="R236" s="115"/>
      <c r="S236" s="115"/>
      <c r="T236" s="115"/>
      <c r="U236" s="56"/>
      <c r="V236" s="56"/>
      <c r="W236" s="56"/>
      <c r="X236" s="56"/>
      <c r="Y236" s="42" t="s">
        <v>1933</v>
      </c>
      <c r="Z236" s="52" t="s">
        <v>1934</v>
      </c>
      <c r="AA236" s="44" t="s">
        <v>1935</v>
      </c>
      <c r="AB236" s="45">
        <v>42935</v>
      </c>
      <c r="AC236" s="101" t="s">
        <v>30</v>
      </c>
      <c r="AD236" s="73" t="s">
        <v>26</v>
      </c>
      <c r="AE236" s="47" t="s">
        <v>49</v>
      </c>
      <c r="AF236" s="48" t="s">
        <v>49</v>
      </c>
      <c r="AG236" s="48" t="s">
        <v>49</v>
      </c>
      <c r="AH236" s="48" t="s">
        <v>49</v>
      </c>
      <c r="AI236" s="48" t="s">
        <v>49</v>
      </c>
      <c r="AJ236" s="48" t="s">
        <v>49</v>
      </c>
      <c r="AK236" s="49" t="s">
        <v>49</v>
      </c>
      <c r="AL236" s="48" t="s">
        <v>49</v>
      </c>
      <c r="AM236" s="62" t="s">
        <v>32</v>
      </c>
      <c r="AN236" s="62"/>
      <c r="AO236" s="59"/>
      <c r="AP236" s="117"/>
      <c r="AQ236" s="32"/>
      <c r="AR236" s="32"/>
      <c r="AS236" s="32"/>
      <c r="AT236" s="32"/>
      <c r="AU236" s="32"/>
      <c r="AV236" s="32"/>
      <c r="AW236" s="32"/>
      <c r="AX236" s="32"/>
      <c r="AY236" s="32"/>
      <c r="AZ236" s="32"/>
      <c r="BA236" s="31"/>
    </row>
    <row r="237" spans="1:53" x14ac:dyDescent="0.2">
      <c r="A237" s="33">
        <f t="shared" si="4"/>
        <v>232</v>
      </c>
      <c r="B237" s="34" t="s">
        <v>1936</v>
      </c>
      <c r="C237" s="35" t="s">
        <v>1937</v>
      </c>
      <c r="D237" s="36" t="s">
        <v>1938</v>
      </c>
      <c r="E237" s="36"/>
      <c r="F237" s="36" t="s">
        <v>54</v>
      </c>
      <c r="G237" s="34" t="s">
        <v>1939</v>
      </c>
      <c r="H237" s="37" t="s">
        <v>323</v>
      </c>
      <c r="I237" s="37" t="s">
        <v>39</v>
      </c>
      <c r="J237" s="34" t="s">
        <v>1940</v>
      </c>
      <c r="K237" s="34" t="s">
        <v>41</v>
      </c>
      <c r="L237" s="39" t="s">
        <v>42</v>
      </c>
      <c r="M237" s="120">
        <v>37718</v>
      </c>
      <c r="N237" s="41"/>
      <c r="O237" s="177"/>
      <c r="P237" s="112"/>
      <c r="Q237" s="177"/>
      <c r="R237" s="112"/>
      <c r="S237" s="112"/>
      <c r="T237" s="41"/>
      <c r="U237" s="41"/>
      <c r="V237" s="41"/>
      <c r="W237" s="41"/>
      <c r="X237" s="41"/>
      <c r="Y237" s="42" t="s">
        <v>1941</v>
      </c>
      <c r="Z237" s="52" t="s">
        <v>1942</v>
      </c>
      <c r="AA237" s="44" t="s">
        <v>61</v>
      </c>
      <c r="AB237" s="45">
        <v>38593</v>
      </c>
      <c r="AC237" s="101" t="s">
        <v>30</v>
      </c>
      <c r="AD237" s="36" t="s">
        <v>26</v>
      </c>
      <c r="AE237" s="47" t="s">
        <v>49</v>
      </c>
      <c r="AF237" s="48" t="s">
        <v>49</v>
      </c>
      <c r="AG237" s="48" t="s">
        <v>49</v>
      </c>
      <c r="AH237" s="48" t="s">
        <v>41</v>
      </c>
      <c r="AI237" s="48" t="s">
        <v>41</v>
      </c>
      <c r="AJ237" s="48" t="s">
        <v>41</v>
      </c>
      <c r="AK237" s="49" t="s">
        <v>41</v>
      </c>
      <c r="AL237" s="48" t="s">
        <v>41</v>
      </c>
      <c r="AM237" s="62" t="s">
        <v>110</v>
      </c>
      <c r="AN237" s="62"/>
      <c r="AO237" s="59"/>
      <c r="AP237" s="10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1"/>
    </row>
    <row r="238" spans="1:53" x14ac:dyDescent="0.2">
      <c r="A238" s="33">
        <f t="shared" si="4"/>
        <v>233</v>
      </c>
      <c r="B238" s="34" t="s">
        <v>4668</v>
      </c>
      <c r="C238" s="35" t="s">
        <v>1944</v>
      </c>
      <c r="D238" s="36" t="s">
        <v>1945</v>
      </c>
      <c r="E238" s="334">
        <v>29302</v>
      </c>
      <c r="F238" s="36" t="s">
        <v>54</v>
      </c>
      <c r="G238" s="98" t="s">
        <v>1946</v>
      </c>
      <c r="H238" s="37" t="s">
        <v>73</v>
      </c>
      <c r="I238" s="37" t="s">
        <v>73</v>
      </c>
      <c r="J238" s="38" t="s">
        <v>1947</v>
      </c>
      <c r="K238" s="34" t="s">
        <v>41</v>
      </c>
      <c r="L238" s="39" t="s">
        <v>42</v>
      </c>
      <c r="M238" s="120">
        <v>45084</v>
      </c>
      <c r="N238" s="41"/>
      <c r="O238" s="177"/>
      <c r="P238" s="112"/>
      <c r="Q238" s="177"/>
      <c r="R238" s="112"/>
      <c r="S238" s="112"/>
      <c r="T238" s="41"/>
      <c r="U238" s="41" t="s">
        <v>44</v>
      </c>
      <c r="V238" s="41"/>
      <c r="W238" s="41"/>
      <c r="X238" s="41"/>
      <c r="Y238" s="42" t="s">
        <v>1948</v>
      </c>
      <c r="Z238" s="55" t="s">
        <v>1949</v>
      </c>
      <c r="AA238" s="119"/>
      <c r="AB238" s="45" t="s">
        <v>47</v>
      </c>
      <c r="AC238" s="101"/>
      <c r="AD238" s="36"/>
      <c r="AE238" s="66" t="s">
        <v>130</v>
      </c>
      <c r="AF238" s="48" t="s">
        <v>41</v>
      </c>
      <c r="AG238" s="48" t="s">
        <v>41</v>
      </c>
      <c r="AH238" s="48" t="s">
        <v>41</v>
      </c>
      <c r="AI238" s="48" t="s">
        <v>130</v>
      </c>
      <c r="AJ238" s="48" t="s">
        <v>130</v>
      </c>
      <c r="AK238" s="49" t="s">
        <v>130</v>
      </c>
      <c r="AL238" s="48" t="s">
        <v>130</v>
      </c>
      <c r="AM238" s="65" t="s">
        <v>32</v>
      </c>
      <c r="AN238" s="65"/>
      <c r="AO238" s="59"/>
      <c r="AP238" s="102"/>
      <c r="AQ238" s="32"/>
      <c r="AR238" s="32"/>
      <c r="AS238" s="32"/>
      <c r="AT238" s="32"/>
      <c r="AU238" s="32"/>
      <c r="AV238" s="32"/>
      <c r="AW238" s="32"/>
      <c r="AX238" s="32"/>
      <c r="AY238" s="32"/>
      <c r="AZ238" s="32"/>
      <c r="BA238" s="31"/>
    </row>
    <row r="239" spans="1:53" x14ac:dyDescent="0.2">
      <c r="A239" s="33">
        <f t="shared" si="4"/>
        <v>234</v>
      </c>
      <c r="B239" s="34" t="s">
        <v>1950</v>
      </c>
      <c r="C239" s="35" t="s">
        <v>1951</v>
      </c>
      <c r="D239" s="36" t="s">
        <v>1952</v>
      </c>
      <c r="E239" s="334">
        <v>35209</v>
      </c>
      <c r="F239" s="36" t="s">
        <v>54</v>
      </c>
      <c r="G239" s="34" t="s">
        <v>1953</v>
      </c>
      <c r="H239" s="37" t="s">
        <v>39</v>
      </c>
      <c r="I239" s="37" t="s">
        <v>39</v>
      </c>
      <c r="J239" s="38" t="s">
        <v>1954</v>
      </c>
      <c r="K239" s="34" t="s">
        <v>41</v>
      </c>
      <c r="L239" s="39" t="s">
        <v>42</v>
      </c>
      <c r="M239" s="120" t="s">
        <v>1955</v>
      </c>
      <c r="N239" s="41"/>
      <c r="O239" s="41"/>
      <c r="P239" s="41"/>
      <c r="Q239" s="41"/>
      <c r="R239" s="41"/>
      <c r="S239" s="41"/>
      <c r="T239" s="41" t="s">
        <v>44</v>
      </c>
      <c r="U239" s="41"/>
      <c r="V239" s="41"/>
      <c r="W239" s="41" t="s">
        <v>732</v>
      </c>
      <c r="X239" s="41"/>
      <c r="Y239" s="42" t="s">
        <v>1956</v>
      </c>
      <c r="Z239" s="43" t="s">
        <v>1957</v>
      </c>
      <c r="AA239" s="84" t="s">
        <v>1958</v>
      </c>
      <c r="AB239" s="45">
        <v>44650</v>
      </c>
      <c r="AC239" s="101" t="s">
        <v>30</v>
      </c>
      <c r="AD239" s="36"/>
      <c r="AE239" s="47" t="s">
        <v>49</v>
      </c>
      <c r="AF239" s="48" t="s">
        <v>41</v>
      </c>
      <c r="AG239" s="48" t="s">
        <v>41</v>
      </c>
      <c r="AH239" s="48" t="s">
        <v>49</v>
      </c>
      <c r="AI239" s="48" t="s">
        <v>49</v>
      </c>
      <c r="AJ239" s="48" t="s">
        <v>49</v>
      </c>
      <c r="AK239" s="49" t="s">
        <v>49</v>
      </c>
      <c r="AL239" s="48" t="s">
        <v>49</v>
      </c>
      <c r="AM239" s="62" t="s">
        <v>32</v>
      </c>
      <c r="AN239" s="62"/>
      <c r="AO239" s="59"/>
      <c r="AP239" s="102"/>
      <c r="AQ239" s="32"/>
      <c r="AR239" s="32"/>
      <c r="AS239" s="32"/>
      <c r="AT239" s="32"/>
      <c r="AU239" s="32"/>
      <c r="AV239" s="32"/>
      <c r="AW239" s="32"/>
      <c r="AX239" s="32"/>
      <c r="AY239" s="32"/>
      <c r="AZ239" s="32"/>
      <c r="BA239" s="31"/>
    </row>
    <row r="240" spans="1:53" ht="26.25" customHeight="1" x14ac:dyDescent="0.2">
      <c r="A240" s="33">
        <f t="shared" si="4"/>
        <v>235</v>
      </c>
      <c r="B240" s="34" t="s">
        <v>1959</v>
      </c>
      <c r="C240" s="35" t="s">
        <v>1960</v>
      </c>
      <c r="D240" s="36" t="s">
        <v>1961</v>
      </c>
      <c r="E240" s="334">
        <v>28915</v>
      </c>
      <c r="F240" s="36" t="s">
        <v>54</v>
      </c>
      <c r="G240" s="34" t="s">
        <v>1962</v>
      </c>
      <c r="H240" s="37" t="s">
        <v>73</v>
      </c>
      <c r="I240" s="37" t="s">
        <v>73</v>
      </c>
      <c r="J240" s="34" t="s">
        <v>1963</v>
      </c>
      <c r="K240" s="34" t="s">
        <v>1964</v>
      </c>
      <c r="L240" s="39" t="s">
        <v>42</v>
      </c>
      <c r="M240" s="120" t="s">
        <v>628</v>
      </c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57" t="s">
        <v>1965</v>
      </c>
      <c r="Z240" s="43" t="s">
        <v>1966</v>
      </c>
      <c r="AA240" s="207" t="s">
        <v>1967</v>
      </c>
      <c r="AB240" s="45">
        <v>44944</v>
      </c>
      <c r="AC240" s="101" t="s">
        <v>30</v>
      </c>
      <c r="AD240" s="36" t="s">
        <v>26</v>
      </c>
      <c r="AE240" s="47" t="s">
        <v>49</v>
      </c>
      <c r="AF240" s="48" t="s">
        <v>49</v>
      </c>
      <c r="AG240" s="48" t="s">
        <v>49</v>
      </c>
      <c r="AH240" s="48" t="s">
        <v>49</v>
      </c>
      <c r="AI240" s="48" t="s">
        <v>49</v>
      </c>
      <c r="AJ240" s="48" t="s">
        <v>49</v>
      </c>
      <c r="AK240" s="49" t="s">
        <v>49</v>
      </c>
      <c r="AL240" s="48" t="s">
        <v>49</v>
      </c>
      <c r="AM240" s="65" t="s">
        <v>32</v>
      </c>
      <c r="AN240" s="325"/>
      <c r="AO240" s="134"/>
      <c r="AP240" s="102"/>
      <c r="AQ240" s="32"/>
      <c r="AR240" s="32"/>
      <c r="AS240" s="32"/>
      <c r="AT240" s="32"/>
      <c r="AU240" s="32"/>
      <c r="AV240" s="32"/>
      <c r="AW240" s="32"/>
      <c r="AX240" s="32"/>
      <c r="AY240" s="32"/>
      <c r="AZ240" s="32"/>
      <c r="BA240" s="31"/>
    </row>
    <row r="241" spans="1:53" x14ac:dyDescent="0.2">
      <c r="A241" s="33">
        <f t="shared" si="4"/>
        <v>236</v>
      </c>
      <c r="B241" s="34" t="s">
        <v>1968</v>
      </c>
      <c r="C241" s="35" t="s">
        <v>1969</v>
      </c>
      <c r="D241" s="36" t="s">
        <v>1970</v>
      </c>
      <c r="E241" s="334">
        <v>26034</v>
      </c>
      <c r="F241" s="36" t="s">
        <v>54</v>
      </c>
      <c r="G241" s="34" t="s">
        <v>1971</v>
      </c>
      <c r="H241" s="37" t="s">
        <v>73</v>
      </c>
      <c r="I241" s="37" t="s">
        <v>73</v>
      </c>
      <c r="J241" s="38" t="s">
        <v>1972</v>
      </c>
      <c r="K241" s="34" t="s">
        <v>41</v>
      </c>
      <c r="L241" s="39" t="s">
        <v>42</v>
      </c>
      <c r="M241" s="120">
        <v>45143</v>
      </c>
      <c r="N241" s="41"/>
      <c r="O241" s="41"/>
      <c r="P241" s="41"/>
      <c r="Q241" s="41"/>
      <c r="R241" s="41"/>
      <c r="S241" s="41"/>
      <c r="T241" s="41"/>
      <c r="U241" s="41" t="s">
        <v>44</v>
      </c>
      <c r="V241" s="41"/>
      <c r="W241" s="41"/>
      <c r="X241" s="41"/>
      <c r="Y241" s="38" t="s">
        <v>1973</v>
      </c>
      <c r="Z241" s="43" t="s">
        <v>1974</v>
      </c>
      <c r="AA241" s="44"/>
      <c r="AB241" s="45" t="s">
        <v>47</v>
      </c>
      <c r="AC241" s="101"/>
      <c r="AD241" s="36"/>
      <c r="AE241" s="47" t="s">
        <v>49</v>
      </c>
      <c r="AF241" s="48" t="s">
        <v>41</v>
      </c>
      <c r="AG241" s="48" t="s">
        <v>41</v>
      </c>
      <c r="AH241" s="48" t="s">
        <v>41</v>
      </c>
      <c r="AI241" s="48" t="s">
        <v>49</v>
      </c>
      <c r="AJ241" s="48" t="s">
        <v>49</v>
      </c>
      <c r="AK241" s="49" t="s">
        <v>49</v>
      </c>
      <c r="AL241" s="48" t="s">
        <v>49</v>
      </c>
      <c r="AM241" s="62" t="s">
        <v>32</v>
      </c>
      <c r="AN241" s="232"/>
      <c r="AO241" s="134"/>
      <c r="AP241" s="10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1"/>
    </row>
    <row r="242" spans="1:53" x14ac:dyDescent="0.2">
      <c r="A242" s="33">
        <f t="shared" si="4"/>
        <v>237</v>
      </c>
      <c r="B242" s="34" t="s">
        <v>1975</v>
      </c>
      <c r="C242" s="35" t="s">
        <v>1976</v>
      </c>
      <c r="D242" s="36" t="s">
        <v>1977</v>
      </c>
      <c r="E242" s="334">
        <v>32052</v>
      </c>
      <c r="F242" s="36" t="s">
        <v>54</v>
      </c>
      <c r="G242" s="34" t="s">
        <v>1978</v>
      </c>
      <c r="H242" s="37" t="s">
        <v>4605</v>
      </c>
      <c r="I242" s="37" t="s">
        <v>205</v>
      </c>
      <c r="J242" s="38" t="s">
        <v>1979</v>
      </c>
      <c r="K242" s="34" t="s">
        <v>41</v>
      </c>
      <c r="L242" s="39" t="s">
        <v>42</v>
      </c>
      <c r="M242" s="120">
        <v>45357</v>
      </c>
      <c r="N242" s="112"/>
      <c r="O242" s="112"/>
      <c r="P242" s="112"/>
      <c r="Q242" s="112"/>
      <c r="R242" s="112"/>
      <c r="S242" s="112"/>
      <c r="T242" s="112"/>
      <c r="U242" s="41"/>
      <c r="V242" s="41" t="s">
        <v>44</v>
      </c>
      <c r="W242" s="41"/>
      <c r="X242" s="41"/>
      <c r="Y242" s="54" t="s">
        <v>1980</v>
      </c>
      <c r="Z242" s="43" t="s">
        <v>1981</v>
      </c>
      <c r="AA242" s="44"/>
      <c r="AB242" s="45"/>
      <c r="AC242" s="101"/>
      <c r="AD242" s="36"/>
      <c r="AE242" s="47" t="s">
        <v>49</v>
      </c>
      <c r="AF242" s="48" t="s">
        <v>41</v>
      </c>
      <c r="AG242" s="48" t="s">
        <v>41</v>
      </c>
      <c r="AH242" s="48" t="s">
        <v>41</v>
      </c>
      <c r="AI242" s="48" t="s">
        <v>41</v>
      </c>
      <c r="AJ242" s="48" t="s">
        <v>49</v>
      </c>
      <c r="AK242" s="49" t="s">
        <v>41</v>
      </c>
      <c r="AL242" s="48" t="s">
        <v>41</v>
      </c>
      <c r="AM242" s="62" t="s">
        <v>276</v>
      </c>
      <c r="AN242" s="62"/>
      <c r="AO242" s="59"/>
      <c r="AP242" s="102"/>
      <c r="AQ242" s="32"/>
      <c r="AR242" s="32"/>
      <c r="AS242" s="32"/>
      <c r="AT242" s="32"/>
      <c r="AU242" s="32"/>
      <c r="AV242" s="32"/>
      <c r="AW242" s="32"/>
      <c r="AX242" s="32"/>
      <c r="AY242" s="32"/>
      <c r="AZ242" s="32"/>
      <c r="BA242" s="31"/>
    </row>
    <row r="243" spans="1:53" x14ac:dyDescent="0.2">
      <c r="A243" s="33">
        <f t="shared" si="4"/>
        <v>238</v>
      </c>
      <c r="B243" s="122" t="s">
        <v>1982</v>
      </c>
      <c r="C243" s="123" t="s">
        <v>1983</v>
      </c>
      <c r="D243" s="202" t="s">
        <v>1984</v>
      </c>
      <c r="E243" s="342">
        <v>27018</v>
      </c>
      <c r="F243" s="36" t="s">
        <v>54</v>
      </c>
      <c r="G243" s="122" t="s">
        <v>1985</v>
      </c>
      <c r="H243" s="126" t="s">
        <v>73</v>
      </c>
      <c r="I243" s="126" t="s">
        <v>73</v>
      </c>
      <c r="J243" s="122" t="s">
        <v>1986</v>
      </c>
      <c r="K243" s="127" t="s">
        <v>1987</v>
      </c>
      <c r="L243" s="128" t="s">
        <v>42</v>
      </c>
      <c r="M243" s="194">
        <v>42465</v>
      </c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42" t="s">
        <v>1988</v>
      </c>
      <c r="Z243" s="58" t="s">
        <v>1989</v>
      </c>
      <c r="AA243" s="119" t="s">
        <v>1990</v>
      </c>
      <c r="AB243" s="45">
        <v>42935</v>
      </c>
      <c r="AC243" s="191" t="s">
        <v>30</v>
      </c>
      <c r="AD243" s="36" t="s">
        <v>26</v>
      </c>
      <c r="AE243" s="133" t="s">
        <v>49</v>
      </c>
      <c r="AF243" s="48" t="s">
        <v>49</v>
      </c>
      <c r="AG243" s="48" t="s">
        <v>49</v>
      </c>
      <c r="AH243" s="48" t="s">
        <v>49</v>
      </c>
      <c r="AI243" s="48" t="s">
        <v>49</v>
      </c>
      <c r="AJ243" s="48" t="s">
        <v>49</v>
      </c>
      <c r="AK243" s="49" t="s">
        <v>49</v>
      </c>
      <c r="AL243" s="48" t="s">
        <v>49</v>
      </c>
      <c r="AM243" s="62" t="s">
        <v>32</v>
      </c>
      <c r="AN243" s="232"/>
      <c r="AO243" s="134"/>
      <c r="AP243" s="117"/>
      <c r="AQ243" s="32"/>
      <c r="AR243" s="32"/>
      <c r="AS243" s="32"/>
      <c r="AT243" s="32"/>
      <c r="AU243" s="32"/>
      <c r="AV243" s="32"/>
      <c r="AW243" s="32"/>
      <c r="AX243" s="32"/>
      <c r="AY243" s="32"/>
      <c r="AZ243" s="32"/>
      <c r="BA243" s="31"/>
    </row>
    <row r="244" spans="1:53" x14ac:dyDescent="0.2">
      <c r="A244" s="33">
        <f t="shared" si="4"/>
        <v>239</v>
      </c>
      <c r="B244" s="122" t="s">
        <v>1991</v>
      </c>
      <c r="C244" s="123" t="s">
        <v>1992</v>
      </c>
      <c r="D244" s="202" t="s">
        <v>1993</v>
      </c>
      <c r="E244" s="342">
        <v>30638</v>
      </c>
      <c r="F244" s="36" t="s">
        <v>36</v>
      </c>
      <c r="G244" s="122" t="s">
        <v>1994</v>
      </c>
      <c r="H244" s="126" t="s">
        <v>73</v>
      </c>
      <c r="I244" s="126" t="s">
        <v>73</v>
      </c>
      <c r="J244" s="122" t="s">
        <v>1995</v>
      </c>
      <c r="K244" s="122" t="s">
        <v>1996</v>
      </c>
      <c r="L244" s="128" t="s">
        <v>42</v>
      </c>
      <c r="M244" s="99" t="s">
        <v>1997</v>
      </c>
      <c r="N244" s="115"/>
      <c r="O244" s="115"/>
      <c r="P244" s="115"/>
      <c r="Q244" s="115"/>
      <c r="R244" s="115"/>
      <c r="S244" s="115"/>
      <c r="T244" s="115"/>
      <c r="U244" s="56"/>
      <c r="V244" s="56"/>
      <c r="W244" s="56" t="s">
        <v>732</v>
      </c>
      <c r="X244" s="56"/>
      <c r="Y244" s="42" t="s">
        <v>1998</v>
      </c>
      <c r="Z244" s="52" t="s">
        <v>1999</v>
      </c>
      <c r="AA244" s="208" t="s">
        <v>2000</v>
      </c>
      <c r="AB244" s="45">
        <v>44650</v>
      </c>
      <c r="AC244" s="101" t="s">
        <v>30</v>
      </c>
      <c r="AD244" s="36" t="s">
        <v>26</v>
      </c>
      <c r="AE244" s="133" t="s">
        <v>49</v>
      </c>
      <c r="AF244" s="48" t="s">
        <v>49</v>
      </c>
      <c r="AG244" s="48" t="s">
        <v>49</v>
      </c>
      <c r="AH244" s="48" t="s">
        <v>49</v>
      </c>
      <c r="AI244" s="48" t="s">
        <v>49</v>
      </c>
      <c r="AJ244" s="48" t="s">
        <v>49</v>
      </c>
      <c r="AK244" s="49" t="s">
        <v>49</v>
      </c>
      <c r="AL244" s="48" t="s">
        <v>49</v>
      </c>
      <c r="AM244" s="65" t="s">
        <v>32</v>
      </c>
      <c r="AN244" s="325"/>
      <c r="AO244" s="134"/>
      <c r="AP244" s="102"/>
      <c r="AQ244" s="32"/>
      <c r="AR244" s="32"/>
      <c r="AS244" s="32"/>
      <c r="AT244" s="32"/>
      <c r="AU244" s="32"/>
      <c r="AV244" s="32"/>
      <c r="AW244" s="32"/>
      <c r="AX244" s="32"/>
      <c r="AY244" s="32"/>
      <c r="AZ244" s="32"/>
      <c r="BA244" s="31"/>
    </row>
    <row r="245" spans="1:53" x14ac:dyDescent="0.2">
      <c r="A245" s="33">
        <f t="shared" si="4"/>
        <v>240</v>
      </c>
      <c r="B245" s="122" t="s">
        <v>2001</v>
      </c>
      <c r="C245" s="123" t="s">
        <v>2002</v>
      </c>
      <c r="D245" s="202" t="s">
        <v>2003</v>
      </c>
      <c r="E245" s="342">
        <v>36114</v>
      </c>
      <c r="F245" s="36" t="s">
        <v>36</v>
      </c>
      <c r="G245" s="122" t="s">
        <v>2004</v>
      </c>
      <c r="H245" s="126" t="s">
        <v>176</v>
      </c>
      <c r="I245" s="126" t="s">
        <v>39</v>
      </c>
      <c r="J245" s="127" t="s">
        <v>2005</v>
      </c>
      <c r="K245" s="122" t="s">
        <v>41</v>
      </c>
      <c r="L245" s="128" t="s">
        <v>42</v>
      </c>
      <c r="M245" s="120">
        <v>45740</v>
      </c>
      <c r="N245" s="56"/>
      <c r="O245" s="56"/>
      <c r="P245" s="56"/>
      <c r="Q245" s="56"/>
      <c r="R245" s="56"/>
      <c r="S245" s="56"/>
      <c r="T245" s="56"/>
      <c r="U245" s="56"/>
      <c r="V245" s="56"/>
      <c r="W245" s="56" t="s">
        <v>44</v>
      </c>
      <c r="X245" s="130"/>
      <c r="Y245" s="127" t="s">
        <v>2006</v>
      </c>
      <c r="Z245" s="43" t="s">
        <v>2007</v>
      </c>
      <c r="AA245" s="208"/>
      <c r="AB245" s="45"/>
      <c r="AC245" s="101"/>
      <c r="AD245" s="36"/>
      <c r="AE245" s="133" t="s">
        <v>49</v>
      </c>
      <c r="AF245" s="48" t="s">
        <v>41</v>
      </c>
      <c r="AG245" s="48" t="s">
        <v>41</v>
      </c>
      <c r="AH245" s="48" t="s">
        <v>41</v>
      </c>
      <c r="AI245" s="48" t="s">
        <v>41</v>
      </c>
      <c r="AJ245" s="48" t="s">
        <v>41</v>
      </c>
      <c r="AK245" s="49" t="s">
        <v>49</v>
      </c>
      <c r="AL245" s="48" t="s">
        <v>49</v>
      </c>
      <c r="AM245" s="65" t="s">
        <v>32</v>
      </c>
      <c r="AN245" s="325"/>
      <c r="AO245" s="134"/>
      <c r="AP245" s="102"/>
      <c r="AQ245" s="32"/>
      <c r="AR245" s="32"/>
      <c r="AS245" s="32"/>
      <c r="AT245" s="32"/>
      <c r="AU245" s="32"/>
      <c r="AV245" s="32"/>
      <c r="AW245" s="32"/>
      <c r="AX245" s="32"/>
      <c r="AY245" s="32"/>
      <c r="AZ245" s="32"/>
      <c r="BA245" s="31"/>
    </row>
    <row r="246" spans="1:53" x14ac:dyDescent="0.2">
      <c r="A246" s="33">
        <f t="shared" si="4"/>
        <v>241</v>
      </c>
      <c r="B246" s="34" t="s">
        <v>2008</v>
      </c>
      <c r="C246" s="35" t="s">
        <v>2009</v>
      </c>
      <c r="D246" s="36" t="s">
        <v>2010</v>
      </c>
      <c r="E246" s="334">
        <v>33121</v>
      </c>
      <c r="F246" s="36" t="s">
        <v>54</v>
      </c>
      <c r="G246" s="34" t="s">
        <v>2011</v>
      </c>
      <c r="H246" s="37" t="s">
        <v>73</v>
      </c>
      <c r="I246" s="37" t="s">
        <v>73</v>
      </c>
      <c r="J246" s="34" t="s">
        <v>2012</v>
      </c>
      <c r="K246" s="34" t="s">
        <v>41</v>
      </c>
      <c r="L246" s="39" t="s">
        <v>42</v>
      </c>
      <c r="M246" s="99" t="s">
        <v>2013</v>
      </c>
      <c r="N246" s="56"/>
      <c r="O246" s="56"/>
      <c r="P246" s="56"/>
      <c r="Q246" s="56"/>
      <c r="R246" s="56"/>
      <c r="S246" s="56"/>
      <c r="T246" s="56"/>
      <c r="U246" s="56"/>
      <c r="V246" s="56"/>
      <c r="W246" s="56" t="s">
        <v>732</v>
      </c>
      <c r="X246" s="186"/>
      <c r="Y246" s="209" t="s">
        <v>2014</v>
      </c>
      <c r="Z246" s="52" t="s">
        <v>2015</v>
      </c>
      <c r="AA246" s="44" t="s">
        <v>61</v>
      </c>
      <c r="AB246" s="45">
        <v>38593</v>
      </c>
      <c r="AC246" s="101" t="s">
        <v>30</v>
      </c>
      <c r="AD246" s="36" t="s">
        <v>26</v>
      </c>
      <c r="AE246" s="47" t="s">
        <v>49</v>
      </c>
      <c r="AF246" s="48" t="s">
        <v>49</v>
      </c>
      <c r="AG246" s="48" t="s">
        <v>49</v>
      </c>
      <c r="AH246" s="48" t="s">
        <v>49</v>
      </c>
      <c r="AI246" s="48" t="s">
        <v>49</v>
      </c>
      <c r="AJ246" s="48" t="s">
        <v>49</v>
      </c>
      <c r="AK246" s="49" t="s">
        <v>49</v>
      </c>
      <c r="AL246" s="48" t="s">
        <v>49</v>
      </c>
      <c r="AM246" s="65" t="s">
        <v>32</v>
      </c>
      <c r="AN246" s="65"/>
      <c r="AO246" s="59"/>
      <c r="AP246" s="102"/>
      <c r="AQ246" s="32"/>
      <c r="AR246" s="32"/>
      <c r="AS246" s="32"/>
      <c r="AT246" s="32"/>
      <c r="AU246" s="32"/>
      <c r="AV246" s="32"/>
      <c r="AW246" s="32"/>
      <c r="AX246" s="32"/>
      <c r="AY246" s="32"/>
      <c r="AZ246" s="32"/>
      <c r="BA246" s="210"/>
    </row>
    <row r="247" spans="1:53" x14ac:dyDescent="0.2">
      <c r="A247" s="33">
        <f t="shared" si="4"/>
        <v>242</v>
      </c>
      <c r="B247" s="107" t="s">
        <v>2016</v>
      </c>
      <c r="C247" s="35" t="s">
        <v>2017</v>
      </c>
      <c r="D247" s="36" t="s">
        <v>2018</v>
      </c>
      <c r="E247" s="334"/>
      <c r="F247" s="36" t="s">
        <v>54</v>
      </c>
      <c r="G247" s="185" t="s">
        <v>2019</v>
      </c>
      <c r="H247" s="37" t="s">
        <v>176</v>
      </c>
      <c r="I247" s="37" t="s">
        <v>39</v>
      </c>
      <c r="J247" s="34" t="s">
        <v>2020</v>
      </c>
      <c r="K247" s="34" t="s">
        <v>41</v>
      </c>
      <c r="L247" s="39" t="s">
        <v>42</v>
      </c>
      <c r="M247" s="120">
        <v>41187</v>
      </c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42" t="s">
        <v>2021</v>
      </c>
      <c r="Z247" s="58" t="s">
        <v>2022</v>
      </c>
      <c r="AA247" s="44" t="s">
        <v>61</v>
      </c>
      <c r="AB247" s="45">
        <v>36641</v>
      </c>
      <c r="AC247" s="101" t="s">
        <v>30</v>
      </c>
      <c r="AD247" s="36" t="s">
        <v>26</v>
      </c>
      <c r="AE247" s="47" t="s">
        <v>49</v>
      </c>
      <c r="AF247" s="48" t="s">
        <v>49</v>
      </c>
      <c r="AG247" s="48" t="s">
        <v>49</v>
      </c>
      <c r="AH247" s="48" t="s">
        <v>41</v>
      </c>
      <c r="AI247" s="48" t="s">
        <v>41</v>
      </c>
      <c r="AJ247" s="48" t="s">
        <v>41</v>
      </c>
      <c r="AK247" s="49" t="s">
        <v>41</v>
      </c>
      <c r="AL247" s="48" t="s">
        <v>41</v>
      </c>
      <c r="AM247" s="62" t="s">
        <v>110</v>
      </c>
      <c r="AN247" s="62"/>
      <c r="AO247" s="59"/>
      <c r="AP247" s="117"/>
      <c r="AQ247" s="32"/>
      <c r="AR247" s="32"/>
      <c r="AS247" s="32"/>
      <c r="AT247" s="32"/>
      <c r="AU247" s="32"/>
      <c r="AV247" s="32"/>
      <c r="AW247" s="32"/>
      <c r="AX247" s="32"/>
      <c r="AY247" s="32"/>
      <c r="AZ247" s="32"/>
      <c r="BA247" s="31"/>
    </row>
    <row r="248" spans="1:53" x14ac:dyDescent="0.2">
      <c r="A248" s="33">
        <f t="shared" si="4"/>
        <v>243</v>
      </c>
      <c r="B248" s="108" t="s">
        <v>2023</v>
      </c>
      <c r="C248" s="35" t="s">
        <v>2024</v>
      </c>
      <c r="D248" s="36" t="s">
        <v>2025</v>
      </c>
      <c r="E248" s="334">
        <v>22317</v>
      </c>
      <c r="F248" s="36" t="s">
        <v>36</v>
      </c>
      <c r="G248" s="108" t="s">
        <v>2026</v>
      </c>
      <c r="H248" s="37" t="s">
        <v>73</v>
      </c>
      <c r="I248" s="37" t="s">
        <v>73</v>
      </c>
      <c r="J248" s="34" t="s">
        <v>2027</v>
      </c>
      <c r="K248" s="34" t="s">
        <v>2028</v>
      </c>
      <c r="L248" s="39" t="s">
        <v>42</v>
      </c>
      <c r="M248" s="120">
        <v>41918</v>
      </c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42" t="s">
        <v>2029</v>
      </c>
      <c r="Z248" s="58" t="s">
        <v>2030</v>
      </c>
      <c r="AA248" s="44" t="s">
        <v>2031</v>
      </c>
      <c r="AB248" s="45">
        <v>42325</v>
      </c>
      <c r="AC248" s="101" t="s">
        <v>30</v>
      </c>
      <c r="AD248" s="36" t="s">
        <v>26</v>
      </c>
      <c r="AE248" s="47" t="s">
        <v>49</v>
      </c>
      <c r="AF248" s="48" t="s">
        <v>49</v>
      </c>
      <c r="AG248" s="48" t="s">
        <v>49</v>
      </c>
      <c r="AH248" s="48" t="s">
        <v>49</v>
      </c>
      <c r="AI248" s="48" t="s">
        <v>49</v>
      </c>
      <c r="AJ248" s="48" t="s">
        <v>49</v>
      </c>
      <c r="AK248" s="49" t="s">
        <v>49</v>
      </c>
      <c r="AL248" s="48" t="s">
        <v>49</v>
      </c>
      <c r="AM248" s="62" t="s">
        <v>32</v>
      </c>
      <c r="AN248" s="62"/>
      <c r="AO248" s="59"/>
      <c r="AP248" s="10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1"/>
    </row>
    <row r="249" spans="1:53" x14ac:dyDescent="0.2">
      <c r="A249" s="33">
        <f t="shared" si="4"/>
        <v>244</v>
      </c>
      <c r="B249" s="34" t="s">
        <v>2032</v>
      </c>
      <c r="C249" s="35" t="s">
        <v>2033</v>
      </c>
      <c r="D249" s="36" t="s">
        <v>2034</v>
      </c>
      <c r="E249" s="334">
        <v>29822</v>
      </c>
      <c r="F249" s="36" t="s">
        <v>54</v>
      </c>
      <c r="G249" s="185" t="s">
        <v>2035</v>
      </c>
      <c r="H249" s="37" t="s">
        <v>73</v>
      </c>
      <c r="I249" s="37" t="s">
        <v>73</v>
      </c>
      <c r="J249" s="34" t="s">
        <v>2036</v>
      </c>
      <c r="K249" s="136" t="s">
        <v>2036</v>
      </c>
      <c r="L249" s="39" t="s">
        <v>42</v>
      </c>
      <c r="M249" s="99" t="s">
        <v>2037</v>
      </c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42" t="s">
        <v>2038</v>
      </c>
      <c r="Z249" s="58" t="s">
        <v>2039</v>
      </c>
      <c r="AA249" s="44" t="s">
        <v>61</v>
      </c>
      <c r="AB249" s="45">
        <v>40815</v>
      </c>
      <c r="AC249" s="101" t="s">
        <v>30</v>
      </c>
      <c r="AD249" s="36" t="s">
        <v>26</v>
      </c>
      <c r="AE249" s="61" t="s">
        <v>49</v>
      </c>
      <c r="AF249" s="48" t="s">
        <v>49</v>
      </c>
      <c r="AG249" s="48" t="s">
        <v>49</v>
      </c>
      <c r="AH249" s="48" t="s">
        <v>49</v>
      </c>
      <c r="AI249" s="48" t="s">
        <v>49</v>
      </c>
      <c r="AJ249" s="48" t="s">
        <v>49</v>
      </c>
      <c r="AK249" s="49" t="s">
        <v>49</v>
      </c>
      <c r="AL249" s="48" t="s">
        <v>49</v>
      </c>
      <c r="AM249" s="62" t="s">
        <v>32</v>
      </c>
      <c r="AN249" s="62"/>
      <c r="AO249" s="59"/>
      <c r="AP249" s="10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1"/>
    </row>
    <row r="250" spans="1:53" x14ac:dyDescent="0.2">
      <c r="A250" s="33">
        <f t="shared" si="4"/>
        <v>245</v>
      </c>
      <c r="B250" s="34" t="s">
        <v>2040</v>
      </c>
      <c r="C250" s="35" t="s">
        <v>2041</v>
      </c>
      <c r="D250" s="36" t="s">
        <v>2042</v>
      </c>
      <c r="E250" s="36"/>
      <c r="F250" s="36" t="s">
        <v>241</v>
      </c>
      <c r="G250" s="34" t="s">
        <v>2043</v>
      </c>
      <c r="H250" s="37" t="s">
        <v>73</v>
      </c>
      <c r="I250" s="37" t="s">
        <v>73</v>
      </c>
      <c r="J250" s="34" t="s">
        <v>1445</v>
      </c>
      <c r="K250" s="34" t="s">
        <v>1445</v>
      </c>
      <c r="L250" s="39" t="s">
        <v>42</v>
      </c>
      <c r="M250" s="120">
        <v>31054</v>
      </c>
      <c r="N250" s="41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42" t="s">
        <v>2044</v>
      </c>
      <c r="Z250" s="58" t="s">
        <v>2045</v>
      </c>
      <c r="AA250" s="44" t="s">
        <v>61</v>
      </c>
      <c r="AB250" s="45">
        <v>40815</v>
      </c>
      <c r="AC250" s="101" t="s">
        <v>30</v>
      </c>
      <c r="AD250" s="36" t="s">
        <v>26</v>
      </c>
      <c r="AE250" s="47" t="s">
        <v>49</v>
      </c>
      <c r="AF250" s="48" t="s">
        <v>49</v>
      </c>
      <c r="AG250" s="48" t="s">
        <v>49</v>
      </c>
      <c r="AH250" s="48" t="s">
        <v>41</v>
      </c>
      <c r="AI250" s="48" t="s">
        <v>41</v>
      </c>
      <c r="AJ250" s="48" t="s">
        <v>41</v>
      </c>
      <c r="AK250" s="49" t="s">
        <v>41</v>
      </c>
      <c r="AL250" s="48" t="s">
        <v>41</v>
      </c>
      <c r="AM250" s="62" t="s">
        <v>110</v>
      </c>
      <c r="AN250" s="62"/>
      <c r="AO250" s="59"/>
      <c r="AP250" s="102"/>
      <c r="AQ250" s="32"/>
      <c r="AR250" s="32"/>
      <c r="AS250" s="32"/>
      <c r="AT250" s="32"/>
      <c r="AU250" s="32"/>
      <c r="AV250" s="32"/>
      <c r="AW250" s="32"/>
      <c r="AX250" s="32"/>
      <c r="AY250" s="32"/>
      <c r="AZ250" s="32"/>
      <c r="BA250" s="31"/>
    </row>
    <row r="251" spans="1:53" x14ac:dyDescent="0.2">
      <c r="A251" s="33">
        <f t="shared" si="4"/>
        <v>246</v>
      </c>
      <c r="B251" s="34" t="s">
        <v>2046</v>
      </c>
      <c r="C251" s="35" t="s">
        <v>2047</v>
      </c>
      <c r="D251" s="36" t="s">
        <v>2048</v>
      </c>
      <c r="E251" s="36"/>
      <c r="F251" s="36" t="s">
        <v>54</v>
      </c>
      <c r="G251" s="34" t="s">
        <v>2049</v>
      </c>
      <c r="H251" s="37" t="s">
        <v>73</v>
      </c>
      <c r="I251" s="37" t="s">
        <v>73</v>
      </c>
      <c r="J251" s="34" t="s">
        <v>2050</v>
      </c>
      <c r="K251" s="34" t="s">
        <v>2051</v>
      </c>
      <c r="L251" s="39" t="s">
        <v>986</v>
      </c>
      <c r="M251" s="99" t="s">
        <v>2052</v>
      </c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42" t="s">
        <v>2053</v>
      </c>
      <c r="Z251" s="58" t="s">
        <v>2054</v>
      </c>
      <c r="AA251" s="44" t="s">
        <v>2055</v>
      </c>
      <c r="AB251" s="45">
        <v>42325</v>
      </c>
      <c r="AC251" s="101" t="s">
        <v>30</v>
      </c>
      <c r="AD251" s="36"/>
      <c r="AE251" s="66" t="s">
        <v>130</v>
      </c>
      <c r="AF251" s="48" t="s">
        <v>41</v>
      </c>
      <c r="AG251" s="48" t="s">
        <v>41</v>
      </c>
      <c r="AH251" s="48" t="s">
        <v>41</v>
      </c>
      <c r="AI251" s="48" t="s">
        <v>41</v>
      </c>
      <c r="AJ251" s="48" t="s">
        <v>41</v>
      </c>
      <c r="AK251" s="49" t="s">
        <v>41</v>
      </c>
      <c r="AL251" s="48" t="s">
        <v>41</v>
      </c>
      <c r="AM251" s="65" t="s">
        <v>4588</v>
      </c>
      <c r="AN251" s="65"/>
      <c r="AO251" s="59"/>
      <c r="AP251" s="10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1"/>
    </row>
    <row r="252" spans="1:53" ht="15" customHeight="1" x14ac:dyDescent="0.2">
      <c r="A252" s="33">
        <f t="shared" si="4"/>
        <v>247</v>
      </c>
      <c r="B252" s="34" t="s">
        <v>2056</v>
      </c>
      <c r="C252" s="35" t="s">
        <v>2057</v>
      </c>
      <c r="D252" s="36" t="s">
        <v>2058</v>
      </c>
      <c r="E252" s="334">
        <v>35304</v>
      </c>
      <c r="F252" s="36" t="s">
        <v>54</v>
      </c>
      <c r="G252" s="34" t="s">
        <v>2059</v>
      </c>
      <c r="H252" s="37" t="s">
        <v>350</v>
      </c>
      <c r="I252" s="37" t="s">
        <v>350</v>
      </c>
      <c r="J252" s="38" t="s">
        <v>2060</v>
      </c>
      <c r="K252" s="34" t="s">
        <v>41</v>
      </c>
      <c r="L252" s="39" t="s">
        <v>42</v>
      </c>
      <c r="M252" s="120">
        <v>44568</v>
      </c>
      <c r="N252" s="56"/>
      <c r="O252" s="56"/>
      <c r="P252" s="56"/>
      <c r="Q252" s="56"/>
      <c r="R252" s="56"/>
      <c r="S252" s="56"/>
      <c r="T252" s="56" t="s">
        <v>44</v>
      </c>
      <c r="U252" s="56"/>
      <c r="V252" s="56"/>
      <c r="W252" s="56"/>
      <c r="X252" s="56"/>
      <c r="Y252" s="42" t="s">
        <v>2061</v>
      </c>
      <c r="Z252" s="58" t="s">
        <v>2062</v>
      </c>
      <c r="AA252" s="211" t="s">
        <v>2063</v>
      </c>
      <c r="AB252" s="45">
        <v>44944</v>
      </c>
      <c r="AC252" s="101" t="s">
        <v>30</v>
      </c>
      <c r="AD252" s="36"/>
      <c r="AE252" s="61" t="s">
        <v>49</v>
      </c>
      <c r="AF252" s="48" t="s">
        <v>41</v>
      </c>
      <c r="AG252" s="48" t="s">
        <v>41</v>
      </c>
      <c r="AH252" s="48" t="s">
        <v>49</v>
      </c>
      <c r="AI252" s="48" t="s">
        <v>49</v>
      </c>
      <c r="AJ252" s="48" t="s">
        <v>49</v>
      </c>
      <c r="AK252" s="49" t="s">
        <v>49</v>
      </c>
      <c r="AL252" s="48" t="s">
        <v>49</v>
      </c>
      <c r="AM252" s="62" t="s">
        <v>32</v>
      </c>
      <c r="AN252" s="62"/>
      <c r="AO252" s="59"/>
      <c r="AP252" s="10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1"/>
    </row>
    <row r="253" spans="1:53" ht="15" customHeight="1" x14ac:dyDescent="0.2">
      <c r="A253" s="33">
        <f t="shared" si="4"/>
        <v>248</v>
      </c>
      <c r="B253" s="34" t="s">
        <v>2064</v>
      </c>
      <c r="C253" s="35" t="s">
        <v>2065</v>
      </c>
      <c r="D253" s="36" t="s">
        <v>2066</v>
      </c>
      <c r="E253" s="334">
        <v>25396</v>
      </c>
      <c r="F253" s="36" t="s">
        <v>54</v>
      </c>
      <c r="G253" s="98" t="s">
        <v>2067</v>
      </c>
      <c r="H253" s="37" t="s">
        <v>39</v>
      </c>
      <c r="I253" s="37" t="s">
        <v>39</v>
      </c>
      <c r="J253" s="34" t="s">
        <v>2068</v>
      </c>
      <c r="K253" s="34" t="s">
        <v>2068</v>
      </c>
      <c r="L253" s="39" t="s">
        <v>42</v>
      </c>
      <c r="M253" s="120">
        <v>42254</v>
      </c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42" t="s">
        <v>2069</v>
      </c>
      <c r="Z253" s="58" t="s">
        <v>2070</v>
      </c>
      <c r="AA253" s="44" t="s">
        <v>2071</v>
      </c>
      <c r="AB253" s="45">
        <v>42325</v>
      </c>
      <c r="AC253" s="101" t="s">
        <v>30</v>
      </c>
      <c r="AD253" s="73" t="s">
        <v>26</v>
      </c>
      <c r="AE253" s="47" t="s">
        <v>49</v>
      </c>
      <c r="AF253" s="48" t="s">
        <v>49</v>
      </c>
      <c r="AG253" s="48" t="s">
        <v>49</v>
      </c>
      <c r="AH253" s="48" t="s">
        <v>49</v>
      </c>
      <c r="AI253" s="48" t="s">
        <v>49</v>
      </c>
      <c r="AJ253" s="48" t="s">
        <v>49</v>
      </c>
      <c r="AK253" s="49" t="s">
        <v>49</v>
      </c>
      <c r="AL253" s="48" t="s">
        <v>41</v>
      </c>
      <c r="AM253" s="65" t="s">
        <v>148</v>
      </c>
      <c r="AN253" s="65"/>
      <c r="AO253" s="59"/>
      <c r="AP253" s="10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1"/>
    </row>
    <row r="254" spans="1:53" ht="15" customHeight="1" x14ac:dyDescent="0.2">
      <c r="A254" s="33">
        <f t="shared" si="4"/>
        <v>249</v>
      </c>
      <c r="B254" s="34" t="s">
        <v>2072</v>
      </c>
      <c r="C254" s="35" t="s">
        <v>2073</v>
      </c>
      <c r="D254" s="36" t="s">
        <v>2074</v>
      </c>
      <c r="E254" s="334">
        <v>32044</v>
      </c>
      <c r="F254" s="36" t="s">
        <v>54</v>
      </c>
      <c r="G254" s="34" t="s">
        <v>2075</v>
      </c>
      <c r="H254" s="37" t="s">
        <v>4659</v>
      </c>
      <c r="I254" s="37" t="s">
        <v>205</v>
      </c>
      <c r="J254" s="38" t="s">
        <v>2076</v>
      </c>
      <c r="K254" s="34" t="s">
        <v>41</v>
      </c>
      <c r="L254" s="39" t="s">
        <v>42</v>
      </c>
      <c r="M254" s="120" t="s">
        <v>2077</v>
      </c>
      <c r="N254" s="41"/>
      <c r="O254" s="41"/>
      <c r="P254" s="41"/>
      <c r="Q254" s="41"/>
      <c r="R254" s="41"/>
      <c r="S254" s="41"/>
      <c r="T254" s="41" t="s">
        <v>44</v>
      </c>
      <c r="U254" s="41"/>
      <c r="V254" s="41"/>
      <c r="W254" s="41"/>
      <c r="X254" s="41"/>
      <c r="Y254" s="42" t="s">
        <v>2078</v>
      </c>
      <c r="Z254" s="58" t="s">
        <v>2079</v>
      </c>
      <c r="AA254" s="211" t="s">
        <v>2080</v>
      </c>
      <c r="AB254" s="45">
        <v>44944</v>
      </c>
      <c r="AC254" s="101" t="s">
        <v>30</v>
      </c>
      <c r="AD254" s="36"/>
      <c r="AE254" s="47" t="s">
        <v>49</v>
      </c>
      <c r="AF254" s="48" t="s">
        <v>41</v>
      </c>
      <c r="AG254" s="48" t="s">
        <v>41</v>
      </c>
      <c r="AH254" s="48" t="s">
        <v>49</v>
      </c>
      <c r="AI254" s="48" t="s">
        <v>49</v>
      </c>
      <c r="AJ254" s="48" t="s">
        <v>49</v>
      </c>
      <c r="AK254" s="49" t="s">
        <v>49</v>
      </c>
      <c r="AL254" s="48" t="s">
        <v>49</v>
      </c>
      <c r="AM254" s="62" t="s">
        <v>32</v>
      </c>
      <c r="AN254" s="62"/>
      <c r="AO254" s="59"/>
      <c r="AP254" s="10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1"/>
    </row>
    <row r="255" spans="1:53" ht="15" customHeight="1" x14ac:dyDescent="0.2">
      <c r="A255" s="33">
        <f t="shared" si="4"/>
        <v>250</v>
      </c>
      <c r="B255" s="34" t="s">
        <v>2081</v>
      </c>
      <c r="C255" s="35" t="s">
        <v>2082</v>
      </c>
      <c r="D255" s="36" t="s">
        <v>2083</v>
      </c>
      <c r="E255" s="334">
        <v>33952</v>
      </c>
      <c r="F255" s="36" t="s">
        <v>54</v>
      </c>
      <c r="G255" s="34" t="s">
        <v>2084</v>
      </c>
      <c r="H255" s="37" t="s">
        <v>377</v>
      </c>
      <c r="I255" s="37" t="s">
        <v>378</v>
      </c>
      <c r="J255" s="212" t="s">
        <v>2085</v>
      </c>
      <c r="K255" s="34" t="s">
        <v>41</v>
      </c>
      <c r="L255" s="39" t="s">
        <v>42</v>
      </c>
      <c r="M255" s="120">
        <v>36528</v>
      </c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2" t="s">
        <v>2086</v>
      </c>
      <c r="Z255" s="83" t="s">
        <v>2087</v>
      </c>
      <c r="AA255" s="44"/>
      <c r="AB255" s="45">
        <v>45642</v>
      </c>
      <c r="AC255" s="101"/>
      <c r="AD255" s="36" t="s">
        <v>26</v>
      </c>
      <c r="AE255" s="47" t="s">
        <v>49</v>
      </c>
      <c r="AF255" s="48" t="s">
        <v>49</v>
      </c>
      <c r="AG255" s="48" t="s">
        <v>49</v>
      </c>
      <c r="AH255" s="48" t="s">
        <v>49</v>
      </c>
      <c r="AI255" s="48" t="s">
        <v>41</v>
      </c>
      <c r="AJ255" s="48" t="s">
        <v>41</v>
      </c>
      <c r="AK255" s="49" t="s">
        <v>41</v>
      </c>
      <c r="AL255" s="48" t="s">
        <v>41</v>
      </c>
      <c r="AM255" s="65" t="s">
        <v>139</v>
      </c>
      <c r="AN255" s="65"/>
      <c r="AO255" s="59"/>
      <c r="AP255" s="10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1"/>
    </row>
    <row r="256" spans="1:53" ht="15" customHeight="1" x14ac:dyDescent="0.2">
      <c r="A256" s="33">
        <f t="shared" si="4"/>
        <v>251</v>
      </c>
      <c r="B256" s="34" t="s">
        <v>2088</v>
      </c>
      <c r="C256" s="35" t="s">
        <v>2089</v>
      </c>
      <c r="D256" s="36" t="s">
        <v>2090</v>
      </c>
      <c r="E256" s="334">
        <v>31294</v>
      </c>
      <c r="F256" s="36" t="s">
        <v>54</v>
      </c>
      <c r="G256" s="34" t="s">
        <v>2091</v>
      </c>
      <c r="H256" s="37" t="s">
        <v>323</v>
      </c>
      <c r="I256" s="37" t="s">
        <v>39</v>
      </c>
      <c r="J256" s="38" t="s">
        <v>2092</v>
      </c>
      <c r="K256" s="34" t="s">
        <v>41</v>
      </c>
      <c r="L256" s="39" t="s">
        <v>42</v>
      </c>
      <c r="M256" s="120" t="s">
        <v>2093</v>
      </c>
      <c r="N256" s="41"/>
      <c r="O256" s="41"/>
      <c r="P256" s="41"/>
      <c r="Q256" s="41"/>
      <c r="R256" s="41"/>
      <c r="S256" s="41"/>
      <c r="T256" s="41" t="s">
        <v>44</v>
      </c>
      <c r="U256" s="41"/>
      <c r="V256" s="41"/>
      <c r="W256" s="41"/>
      <c r="X256" s="41"/>
      <c r="Y256" s="42" t="s">
        <v>2094</v>
      </c>
      <c r="Z256" s="58" t="s">
        <v>2095</v>
      </c>
      <c r="AA256" s="211" t="s">
        <v>2096</v>
      </c>
      <c r="AB256" s="45">
        <v>44944</v>
      </c>
      <c r="AC256" s="101" t="s">
        <v>30</v>
      </c>
      <c r="AD256" s="36"/>
      <c r="AE256" s="47" t="s">
        <v>49</v>
      </c>
      <c r="AF256" s="48" t="s">
        <v>41</v>
      </c>
      <c r="AG256" s="48" t="s">
        <v>41</v>
      </c>
      <c r="AH256" s="48" t="s">
        <v>49</v>
      </c>
      <c r="AI256" s="48" t="s">
        <v>49</v>
      </c>
      <c r="AJ256" s="48" t="s">
        <v>49</v>
      </c>
      <c r="AK256" s="49" t="s">
        <v>49</v>
      </c>
      <c r="AL256" s="48" t="s">
        <v>49</v>
      </c>
      <c r="AM256" s="62" t="s">
        <v>32</v>
      </c>
      <c r="AN256" s="62"/>
      <c r="AO256" s="59"/>
      <c r="AP256" s="102"/>
      <c r="AQ256" s="32"/>
      <c r="AR256" s="32"/>
      <c r="AS256" s="32"/>
      <c r="AT256" s="32"/>
      <c r="AU256" s="32"/>
      <c r="AV256" s="32"/>
      <c r="AW256" s="32"/>
      <c r="AX256" s="32"/>
      <c r="AY256" s="32"/>
      <c r="AZ256" s="32"/>
      <c r="BA256" s="31"/>
    </row>
    <row r="257" spans="1:53" x14ac:dyDescent="0.2">
      <c r="A257" s="33">
        <f t="shared" si="4"/>
        <v>252</v>
      </c>
      <c r="B257" s="34" t="s">
        <v>2097</v>
      </c>
      <c r="C257" s="35" t="s">
        <v>2098</v>
      </c>
      <c r="D257" s="36" t="s">
        <v>2099</v>
      </c>
      <c r="E257" s="36"/>
      <c r="F257" s="36" t="s">
        <v>54</v>
      </c>
      <c r="G257" s="98" t="s">
        <v>2100</v>
      </c>
      <c r="H257" s="37" t="s">
        <v>73</v>
      </c>
      <c r="I257" s="37" t="s">
        <v>73</v>
      </c>
      <c r="J257" s="34" t="s">
        <v>2101</v>
      </c>
      <c r="K257" s="34" t="s">
        <v>2102</v>
      </c>
      <c r="L257" s="39" t="s">
        <v>42</v>
      </c>
      <c r="M257" s="99" t="s">
        <v>2103</v>
      </c>
      <c r="N257" s="112"/>
      <c r="O257" s="112"/>
      <c r="P257" s="112"/>
      <c r="Q257" s="112"/>
      <c r="R257" s="112"/>
      <c r="S257" s="112"/>
      <c r="T257" s="112"/>
      <c r="U257" s="41"/>
      <c r="V257" s="41"/>
      <c r="W257" s="41"/>
      <c r="X257" s="41"/>
      <c r="Y257" s="42" t="s">
        <v>2104</v>
      </c>
      <c r="Z257" s="58" t="s">
        <v>2105</v>
      </c>
      <c r="AA257" s="44" t="s">
        <v>2106</v>
      </c>
      <c r="AB257" s="45">
        <v>42325</v>
      </c>
      <c r="AC257" s="101" t="s">
        <v>30</v>
      </c>
      <c r="AD257" s="36" t="s">
        <v>26</v>
      </c>
      <c r="AE257" s="47" t="s">
        <v>49</v>
      </c>
      <c r="AF257" s="48" t="s">
        <v>49</v>
      </c>
      <c r="AG257" s="48" t="s">
        <v>41</v>
      </c>
      <c r="AH257" s="48" t="s">
        <v>41</v>
      </c>
      <c r="AI257" s="48" t="s">
        <v>41</v>
      </c>
      <c r="AJ257" s="48" t="s">
        <v>41</v>
      </c>
      <c r="AK257" s="49" t="s">
        <v>41</v>
      </c>
      <c r="AL257" s="48" t="s">
        <v>41</v>
      </c>
      <c r="AM257" s="62" t="s">
        <v>4587</v>
      </c>
      <c r="AN257" s="62"/>
      <c r="AO257" s="59" t="s">
        <v>2107</v>
      </c>
      <c r="AP257" s="117"/>
      <c r="AQ257" s="32"/>
      <c r="AR257" s="32"/>
      <c r="AS257" s="32"/>
      <c r="AT257" s="32"/>
      <c r="AU257" s="32"/>
      <c r="AV257" s="32"/>
      <c r="AW257" s="32"/>
      <c r="AX257" s="32"/>
      <c r="AY257" s="32"/>
      <c r="AZ257" s="32"/>
      <c r="BA257" s="31"/>
    </row>
    <row r="258" spans="1:53" x14ac:dyDescent="0.2">
      <c r="A258" s="33">
        <f t="shared" si="4"/>
        <v>253</v>
      </c>
      <c r="B258" s="34" t="s">
        <v>2108</v>
      </c>
      <c r="C258" s="35" t="s">
        <v>2109</v>
      </c>
      <c r="D258" s="36" t="s">
        <v>2110</v>
      </c>
      <c r="E258" s="334">
        <v>34609</v>
      </c>
      <c r="F258" s="36" t="s">
        <v>36</v>
      </c>
      <c r="G258" s="34" t="s">
        <v>2111</v>
      </c>
      <c r="H258" s="37" t="s">
        <v>73</v>
      </c>
      <c r="I258" s="37" t="s">
        <v>73</v>
      </c>
      <c r="J258" s="34" t="s">
        <v>2112</v>
      </c>
      <c r="K258" s="34" t="s">
        <v>41</v>
      </c>
      <c r="L258" s="39" t="s">
        <v>42</v>
      </c>
      <c r="M258" s="120">
        <v>40004</v>
      </c>
      <c r="N258" s="115"/>
      <c r="O258" s="115"/>
      <c r="P258" s="115"/>
      <c r="Q258" s="115"/>
      <c r="R258" s="115"/>
      <c r="S258" s="115"/>
      <c r="T258" s="115"/>
      <c r="U258" s="56"/>
      <c r="V258" s="56"/>
      <c r="W258" s="56"/>
      <c r="X258" s="56"/>
      <c r="Y258" s="42" t="s">
        <v>2113</v>
      </c>
      <c r="Z258" s="58" t="s">
        <v>2114</v>
      </c>
      <c r="AA258" s="84" t="s">
        <v>2115</v>
      </c>
      <c r="AB258" s="45" t="s">
        <v>2116</v>
      </c>
      <c r="AC258" s="101" t="s">
        <v>30</v>
      </c>
      <c r="AD258" s="36" t="s">
        <v>26</v>
      </c>
      <c r="AE258" s="47" t="s">
        <v>49</v>
      </c>
      <c r="AF258" s="48" t="s">
        <v>49</v>
      </c>
      <c r="AG258" s="48" t="s">
        <v>49</v>
      </c>
      <c r="AH258" s="48" t="s">
        <v>49</v>
      </c>
      <c r="AI258" s="48" t="s">
        <v>49</v>
      </c>
      <c r="AJ258" s="48" t="s">
        <v>49</v>
      </c>
      <c r="AK258" s="49" t="s">
        <v>49</v>
      </c>
      <c r="AL258" s="48" t="s">
        <v>41</v>
      </c>
      <c r="AM258" s="213">
        <v>1</v>
      </c>
      <c r="AN258" s="213"/>
      <c r="AO258" s="59"/>
      <c r="AP258" s="10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1"/>
    </row>
    <row r="259" spans="1:53" x14ac:dyDescent="0.2">
      <c r="A259" s="33">
        <f t="shared" si="4"/>
        <v>254</v>
      </c>
      <c r="B259" s="34" t="s">
        <v>2117</v>
      </c>
      <c r="C259" s="35" t="s">
        <v>2118</v>
      </c>
      <c r="D259" s="36" t="s">
        <v>2119</v>
      </c>
      <c r="E259" s="334">
        <v>22992</v>
      </c>
      <c r="F259" s="36" t="s">
        <v>54</v>
      </c>
      <c r="G259" s="34" t="s">
        <v>2120</v>
      </c>
      <c r="H259" s="37" t="s">
        <v>73</v>
      </c>
      <c r="I259" s="37" t="s">
        <v>73</v>
      </c>
      <c r="J259" s="34" t="s">
        <v>2121</v>
      </c>
      <c r="K259" s="34" t="s">
        <v>41</v>
      </c>
      <c r="L259" s="39" t="s">
        <v>42</v>
      </c>
      <c r="M259" s="165">
        <v>45202</v>
      </c>
      <c r="N259" s="130" t="s">
        <v>179</v>
      </c>
      <c r="O259" s="115" t="s">
        <v>341</v>
      </c>
      <c r="P259" s="115" t="s">
        <v>1878</v>
      </c>
      <c r="Q259" s="115">
        <v>2</v>
      </c>
      <c r="R259" s="137"/>
      <c r="S259" s="137"/>
      <c r="T259" s="137"/>
      <c r="U259" s="137" t="s">
        <v>44</v>
      </c>
      <c r="V259" s="137"/>
      <c r="W259" s="137"/>
      <c r="X259" s="137"/>
      <c r="Y259" s="42" t="s">
        <v>2122</v>
      </c>
      <c r="Z259" s="146" t="s">
        <v>2123</v>
      </c>
      <c r="AA259" s="44"/>
      <c r="AB259" s="45" t="s">
        <v>47</v>
      </c>
      <c r="AC259" s="164"/>
      <c r="AD259" s="36"/>
      <c r="AE259" s="47" t="s">
        <v>49</v>
      </c>
      <c r="AF259" s="48" t="s">
        <v>41</v>
      </c>
      <c r="AG259" s="48" t="s">
        <v>41</v>
      </c>
      <c r="AH259" s="48" t="s">
        <v>41</v>
      </c>
      <c r="AI259" s="48" t="s">
        <v>49</v>
      </c>
      <c r="AJ259" s="48" t="s">
        <v>49</v>
      </c>
      <c r="AK259" s="49" t="s">
        <v>41</v>
      </c>
      <c r="AL259" s="48" t="s">
        <v>41</v>
      </c>
      <c r="AM259" s="62" t="s">
        <v>276</v>
      </c>
      <c r="AN259" s="62"/>
      <c r="AO259" s="59"/>
      <c r="AP259" s="10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1"/>
    </row>
    <row r="260" spans="1:53" x14ac:dyDescent="0.2">
      <c r="A260" s="33">
        <f t="shared" si="4"/>
        <v>255</v>
      </c>
      <c r="B260" s="34" t="s">
        <v>2124</v>
      </c>
      <c r="C260" s="35" t="s">
        <v>2125</v>
      </c>
      <c r="D260" s="36" t="s">
        <v>2126</v>
      </c>
      <c r="E260" s="334">
        <v>23170</v>
      </c>
      <c r="F260" s="36" t="s">
        <v>54</v>
      </c>
      <c r="G260" s="34" t="s">
        <v>2127</v>
      </c>
      <c r="H260" s="37" t="s">
        <v>73</v>
      </c>
      <c r="I260" s="37" t="s">
        <v>73</v>
      </c>
      <c r="J260" s="34" t="s">
        <v>2128</v>
      </c>
      <c r="K260" s="34" t="s">
        <v>41</v>
      </c>
      <c r="L260" s="39" t="s">
        <v>42</v>
      </c>
      <c r="M260" s="163" t="s">
        <v>2129</v>
      </c>
      <c r="N260" s="130"/>
      <c r="O260" s="130"/>
      <c r="P260" s="130"/>
      <c r="Q260" s="130"/>
      <c r="R260" s="115"/>
      <c r="S260" s="115"/>
      <c r="T260" s="115"/>
      <c r="U260" s="115"/>
      <c r="V260" s="56"/>
      <c r="W260" s="56"/>
      <c r="X260" s="56"/>
      <c r="Y260" s="42" t="s">
        <v>2130</v>
      </c>
      <c r="Z260" s="100" t="s">
        <v>2131</v>
      </c>
      <c r="AA260" s="44" t="s">
        <v>2132</v>
      </c>
      <c r="AB260" s="45">
        <v>41793</v>
      </c>
      <c r="AC260" s="164" t="s">
        <v>129</v>
      </c>
      <c r="AD260" s="36" t="s">
        <v>26</v>
      </c>
      <c r="AE260" s="47" t="s">
        <v>49</v>
      </c>
      <c r="AF260" s="48" t="s">
        <v>49</v>
      </c>
      <c r="AG260" s="48" t="s">
        <v>49</v>
      </c>
      <c r="AH260" s="48" t="s">
        <v>49</v>
      </c>
      <c r="AI260" s="48" t="s">
        <v>41</v>
      </c>
      <c r="AJ260" s="48" t="s">
        <v>41</v>
      </c>
      <c r="AK260" s="49" t="s">
        <v>41</v>
      </c>
      <c r="AL260" s="48" t="s">
        <v>41</v>
      </c>
      <c r="AM260" s="62" t="s">
        <v>139</v>
      </c>
      <c r="AN260" s="62"/>
      <c r="AO260" s="59"/>
      <c r="AP260" s="10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1"/>
    </row>
    <row r="261" spans="1:53" x14ac:dyDescent="0.2">
      <c r="A261" s="33">
        <f t="shared" si="4"/>
        <v>256</v>
      </c>
      <c r="B261" s="34" t="s">
        <v>2133</v>
      </c>
      <c r="C261" s="35" t="s">
        <v>2134</v>
      </c>
      <c r="D261" s="36" t="s">
        <v>2135</v>
      </c>
      <c r="E261" s="334">
        <v>26334</v>
      </c>
      <c r="F261" s="36" t="s">
        <v>54</v>
      </c>
      <c r="G261" s="34" t="s">
        <v>2136</v>
      </c>
      <c r="H261" s="37" t="s">
        <v>73</v>
      </c>
      <c r="I261" s="37" t="s">
        <v>73</v>
      </c>
      <c r="J261" s="34" t="s">
        <v>2137</v>
      </c>
      <c r="K261" s="34" t="s">
        <v>2138</v>
      </c>
      <c r="L261" s="39" t="s">
        <v>42</v>
      </c>
      <c r="M261" s="99" t="s">
        <v>2139</v>
      </c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42" t="s">
        <v>2140</v>
      </c>
      <c r="Z261" s="58" t="s">
        <v>2141</v>
      </c>
      <c r="AA261" s="44" t="s">
        <v>2142</v>
      </c>
      <c r="AB261" s="45">
        <v>41793</v>
      </c>
      <c r="AC261" s="101" t="s">
        <v>30</v>
      </c>
      <c r="AD261" s="36" t="s">
        <v>26</v>
      </c>
      <c r="AE261" s="64" t="s">
        <v>120</v>
      </c>
      <c r="AF261" s="48" t="s">
        <v>120</v>
      </c>
      <c r="AG261" s="48" t="s">
        <v>120</v>
      </c>
      <c r="AH261" s="48" t="s">
        <v>120</v>
      </c>
      <c r="AI261" s="48" t="s">
        <v>120</v>
      </c>
      <c r="AJ261" s="48" t="s">
        <v>120</v>
      </c>
      <c r="AK261" s="49" t="s">
        <v>120</v>
      </c>
      <c r="AL261" s="48" t="s">
        <v>120</v>
      </c>
      <c r="AM261" s="62" t="s">
        <v>32</v>
      </c>
      <c r="AN261" s="62"/>
      <c r="AO261" s="59"/>
      <c r="AP261" s="10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1"/>
    </row>
    <row r="262" spans="1:53" ht="15" customHeight="1" x14ac:dyDescent="0.2">
      <c r="A262" s="33">
        <f t="shared" si="4"/>
        <v>257</v>
      </c>
      <c r="B262" s="34" t="s">
        <v>2143</v>
      </c>
      <c r="C262" s="35" t="s">
        <v>2144</v>
      </c>
      <c r="D262" s="36" t="s">
        <v>2145</v>
      </c>
      <c r="E262" s="334">
        <v>35306</v>
      </c>
      <c r="F262" s="36" t="s">
        <v>54</v>
      </c>
      <c r="G262" s="34" t="s">
        <v>2146</v>
      </c>
      <c r="H262" s="37" t="s">
        <v>252</v>
      </c>
      <c r="I262" s="37" t="s">
        <v>57</v>
      </c>
      <c r="J262" s="38" t="s">
        <v>2147</v>
      </c>
      <c r="K262" s="34" t="s">
        <v>41</v>
      </c>
      <c r="L262" s="39" t="s">
        <v>42</v>
      </c>
      <c r="M262" s="120" t="s">
        <v>2148</v>
      </c>
      <c r="N262" s="56"/>
      <c r="O262" s="56"/>
      <c r="P262" s="56"/>
      <c r="Q262" s="56"/>
      <c r="R262" s="56"/>
      <c r="S262" s="56"/>
      <c r="T262" s="56" t="s">
        <v>44</v>
      </c>
      <c r="U262" s="56"/>
      <c r="V262" s="56"/>
      <c r="W262" s="56"/>
      <c r="X262" s="56"/>
      <c r="Y262" s="42" t="s">
        <v>2149</v>
      </c>
      <c r="Z262" s="58" t="s">
        <v>2150</v>
      </c>
      <c r="AA262" s="211" t="s">
        <v>2151</v>
      </c>
      <c r="AB262" s="45">
        <v>44944</v>
      </c>
      <c r="AC262" s="101" t="s">
        <v>30</v>
      </c>
      <c r="AD262" s="36"/>
      <c r="AE262" s="61" t="s">
        <v>49</v>
      </c>
      <c r="AF262" s="48" t="s">
        <v>41</v>
      </c>
      <c r="AG262" s="48" t="s">
        <v>41</v>
      </c>
      <c r="AH262" s="48" t="s">
        <v>49</v>
      </c>
      <c r="AI262" s="48" t="s">
        <v>49</v>
      </c>
      <c r="AJ262" s="48" t="s">
        <v>49</v>
      </c>
      <c r="AK262" s="49" t="s">
        <v>49</v>
      </c>
      <c r="AL262" s="48" t="s">
        <v>49</v>
      </c>
      <c r="AM262" s="65" t="s">
        <v>32</v>
      </c>
      <c r="AN262" s="65"/>
      <c r="AO262" s="59"/>
      <c r="AP262" s="10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1"/>
    </row>
    <row r="263" spans="1:53" ht="15" customHeight="1" x14ac:dyDescent="0.2">
      <c r="A263" s="33">
        <f t="shared" si="4"/>
        <v>258</v>
      </c>
      <c r="B263" s="34" t="s">
        <v>2152</v>
      </c>
      <c r="C263" s="35" t="s">
        <v>2153</v>
      </c>
      <c r="D263" s="36" t="s">
        <v>2154</v>
      </c>
      <c r="E263" s="334">
        <v>33617</v>
      </c>
      <c r="F263" s="36" t="s">
        <v>54</v>
      </c>
      <c r="G263" s="34" t="s">
        <v>2155</v>
      </c>
      <c r="H263" s="37" t="s">
        <v>323</v>
      </c>
      <c r="I263" s="37" t="s">
        <v>39</v>
      </c>
      <c r="J263" s="38" t="s">
        <v>2156</v>
      </c>
      <c r="K263" s="34" t="s">
        <v>41</v>
      </c>
      <c r="L263" s="39" t="s">
        <v>42</v>
      </c>
      <c r="M263" s="120">
        <v>44869</v>
      </c>
      <c r="N263" s="56"/>
      <c r="O263" s="56"/>
      <c r="P263" s="56"/>
      <c r="Q263" s="56"/>
      <c r="R263" s="56"/>
      <c r="S263" s="56"/>
      <c r="T263" s="56" t="s">
        <v>44</v>
      </c>
      <c r="U263" s="56"/>
      <c r="V263" s="56"/>
      <c r="W263" s="56"/>
      <c r="X263" s="56"/>
      <c r="Y263" s="42" t="s">
        <v>2157</v>
      </c>
      <c r="Z263" s="58" t="s">
        <v>2158</v>
      </c>
      <c r="AA263" s="211" t="s">
        <v>2159</v>
      </c>
      <c r="AB263" s="45">
        <v>44944</v>
      </c>
      <c r="AC263" s="101" t="s">
        <v>30</v>
      </c>
      <c r="AD263" s="36"/>
      <c r="AE263" s="61" t="s">
        <v>49</v>
      </c>
      <c r="AF263" s="48" t="s">
        <v>41</v>
      </c>
      <c r="AG263" s="48" t="s">
        <v>41</v>
      </c>
      <c r="AH263" s="48" t="s">
        <v>49</v>
      </c>
      <c r="AI263" s="48" t="s">
        <v>49</v>
      </c>
      <c r="AJ263" s="48" t="s">
        <v>49</v>
      </c>
      <c r="AK263" s="49" t="s">
        <v>49</v>
      </c>
      <c r="AL263" s="48" t="s">
        <v>49</v>
      </c>
      <c r="AM263" s="62" t="s">
        <v>32</v>
      </c>
      <c r="AN263" s="62"/>
      <c r="AO263" s="59"/>
      <c r="AP263" s="10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1"/>
    </row>
    <row r="264" spans="1:53" ht="15" customHeight="1" x14ac:dyDescent="0.2">
      <c r="A264" s="33">
        <f t="shared" ref="A264:A327" si="5">+A263+1</f>
        <v>259</v>
      </c>
      <c r="B264" s="34" t="s">
        <v>2160</v>
      </c>
      <c r="C264" s="35" t="s">
        <v>2161</v>
      </c>
      <c r="D264" s="36" t="s">
        <v>2162</v>
      </c>
      <c r="E264" s="334">
        <v>24643</v>
      </c>
      <c r="F264" s="36" t="s">
        <v>54</v>
      </c>
      <c r="G264" s="34" t="s">
        <v>2163</v>
      </c>
      <c r="H264" s="37" t="s">
        <v>38</v>
      </c>
      <c r="I264" s="37" t="s">
        <v>39</v>
      </c>
      <c r="J264" s="34" t="s">
        <v>2164</v>
      </c>
      <c r="K264" s="38" t="s">
        <v>2165</v>
      </c>
      <c r="L264" s="39" t="s">
        <v>42</v>
      </c>
      <c r="M264" s="120">
        <v>37539</v>
      </c>
      <c r="N264" s="41"/>
      <c r="O264" s="41"/>
      <c r="P264" s="41"/>
      <c r="Q264" s="41"/>
      <c r="R264" s="112"/>
      <c r="S264" s="112"/>
      <c r="T264" s="112"/>
      <c r="U264" s="41"/>
      <c r="V264" s="41"/>
      <c r="W264" s="41"/>
      <c r="X264" s="41"/>
      <c r="Y264" s="42" t="s">
        <v>2166</v>
      </c>
      <c r="Z264" s="69" t="s">
        <v>2167</v>
      </c>
      <c r="AA264" s="44" t="s">
        <v>61</v>
      </c>
      <c r="AB264" s="45">
        <v>37877</v>
      </c>
      <c r="AC264" s="101" t="s">
        <v>30</v>
      </c>
      <c r="AD264" s="36" t="s">
        <v>26</v>
      </c>
      <c r="AE264" s="47" t="s">
        <v>49</v>
      </c>
      <c r="AF264" s="48" t="s">
        <v>49</v>
      </c>
      <c r="AG264" s="48" t="s">
        <v>49</v>
      </c>
      <c r="AH264" s="48" t="s">
        <v>49</v>
      </c>
      <c r="AI264" s="48" t="s">
        <v>49</v>
      </c>
      <c r="AJ264" s="48" t="s">
        <v>49</v>
      </c>
      <c r="AK264" s="49" t="s">
        <v>41</v>
      </c>
      <c r="AL264" s="48" t="s">
        <v>41</v>
      </c>
      <c r="AM264" s="62" t="s">
        <v>276</v>
      </c>
      <c r="AN264" s="62"/>
      <c r="AO264" s="59"/>
      <c r="AP264" s="10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1"/>
    </row>
    <row r="265" spans="1:53" ht="15" customHeight="1" x14ac:dyDescent="0.2">
      <c r="A265" s="33">
        <f t="shared" si="5"/>
        <v>260</v>
      </c>
      <c r="B265" s="34" t="s">
        <v>2168</v>
      </c>
      <c r="C265" s="35" t="s">
        <v>2169</v>
      </c>
      <c r="D265" s="36" t="s">
        <v>2170</v>
      </c>
      <c r="E265" s="334">
        <v>34559</v>
      </c>
      <c r="F265" s="36" t="s">
        <v>36</v>
      </c>
      <c r="G265" s="214" t="s">
        <v>2171</v>
      </c>
      <c r="H265" s="37" t="s">
        <v>176</v>
      </c>
      <c r="I265" s="37" t="s">
        <v>39</v>
      </c>
      <c r="J265" s="38" t="s">
        <v>2172</v>
      </c>
      <c r="K265" s="34" t="s">
        <v>41</v>
      </c>
      <c r="L265" s="39" t="s">
        <v>42</v>
      </c>
      <c r="M265" s="99" t="s">
        <v>2173</v>
      </c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2" t="s">
        <v>2174</v>
      </c>
      <c r="Z265" s="58" t="s">
        <v>2175</v>
      </c>
      <c r="AA265" s="211" t="s">
        <v>2176</v>
      </c>
      <c r="AB265" s="45">
        <v>44944</v>
      </c>
      <c r="AC265" s="101" t="s">
        <v>30</v>
      </c>
      <c r="AD265" s="36"/>
      <c r="AE265" s="47" t="s">
        <v>49</v>
      </c>
      <c r="AF265" s="48" t="s">
        <v>41</v>
      </c>
      <c r="AG265" s="48" t="s">
        <v>41</v>
      </c>
      <c r="AH265" s="48" t="s">
        <v>49</v>
      </c>
      <c r="AI265" s="48" t="s">
        <v>49</v>
      </c>
      <c r="AJ265" s="48" t="s">
        <v>49</v>
      </c>
      <c r="AK265" s="49" t="s">
        <v>49</v>
      </c>
      <c r="AL265" s="48" t="s">
        <v>49</v>
      </c>
      <c r="AM265" s="62" t="s">
        <v>32</v>
      </c>
      <c r="AN265" s="62"/>
      <c r="AO265" s="59"/>
      <c r="AP265" s="117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1"/>
    </row>
    <row r="266" spans="1:53" ht="15" customHeight="1" x14ac:dyDescent="0.2">
      <c r="A266" s="33">
        <f t="shared" si="5"/>
        <v>261</v>
      </c>
      <c r="B266" s="107" t="s">
        <v>2177</v>
      </c>
      <c r="C266" s="35" t="s">
        <v>2178</v>
      </c>
      <c r="D266" s="36" t="s">
        <v>2179</v>
      </c>
      <c r="E266" s="36"/>
      <c r="F266" s="36" t="s">
        <v>36</v>
      </c>
      <c r="G266" s="87" t="s">
        <v>2180</v>
      </c>
      <c r="H266" s="37" t="s">
        <v>73</v>
      </c>
      <c r="I266" s="37" t="s">
        <v>73</v>
      </c>
      <c r="J266" s="38" t="s">
        <v>2181</v>
      </c>
      <c r="K266" s="34" t="s">
        <v>41</v>
      </c>
      <c r="L266" s="39" t="s">
        <v>42</v>
      </c>
      <c r="M266" s="120" t="s">
        <v>2182</v>
      </c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42" t="s">
        <v>2183</v>
      </c>
      <c r="Z266" s="43" t="s">
        <v>2184</v>
      </c>
      <c r="AA266" s="44" t="s">
        <v>2185</v>
      </c>
      <c r="AB266" s="45" t="s">
        <v>1130</v>
      </c>
      <c r="AC266" s="101" t="s">
        <v>30</v>
      </c>
      <c r="AD266" s="36"/>
      <c r="AE266" s="47" t="s">
        <v>49</v>
      </c>
      <c r="AF266" s="48" t="s">
        <v>41</v>
      </c>
      <c r="AG266" s="48" t="s">
        <v>41</v>
      </c>
      <c r="AH266" s="48" t="s">
        <v>41</v>
      </c>
      <c r="AI266" s="48" t="s">
        <v>41</v>
      </c>
      <c r="AJ266" s="48" t="s">
        <v>41</v>
      </c>
      <c r="AK266" s="49" t="s">
        <v>41</v>
      </c>
      <c r="AL266" s="48" t="s">
        <v>41</v>
      </c>
      <c r="AM266" s="65" t="s">
        <v>4591</v>
      </c>
      <c r="AN266" s="65"/>
      <c r="AO266" s="59"/>
      <c r="AP266" s="10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1"/>
    </row>
    <row r="267" spans="1:53" ht="15" customHeight="1" x14ac:dyDescent="0.2">
      <c r="A267" s="33">
        <f t="shared" si="5"/>
        <v>262</v>
      </c>
      <c r="B267" s="107" t="s">
        <v>2186</v>
      </c>
      <c r="C267" s="35" t="s">
        <v>2187</v>
      </c>
      <c r="D267" s="36" t="s">
        <v>2188</v>
      </c>
      <c r="E267" s="334">
        <v>30243</v>
      </c>
      <c r="F267" s="36" t="s">
        <v>54</v>
      </c>
      <c r="G267" s="34" t="s">
        <v>2189</v>
      </c>
      <c r="H267" s="37" t="s">
        <v>456</v>
      </c>
      <c r="I267" s="37" t="s">
        <v>187</v>
      </c>
      <c r="J267" s="38" t="s">
        <v>2190</v>
      </c>
      <c r="K267" s="34" t="s">
        <v>41</v>
      </c>
      <c r="L267" s="39" t="s">
        <v>42</v>
      </c>
      <c r="M267" s="120" t="s">
        <v>2191</v>
      </c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42" t="s">
        <v>2192</v>
      </c>
      <c r="Z267" s="43" t="s">
        <v>2193</v>
      </c>
      <c r="AA267" s="211" t="s">
        <v>2194</v>
      </c>
      <c r="AB267" s="45">
        <v>44944</v>
      </c>
      <c r="AC267" s="101" t="s">
        <v>30</v>
      </c>
      <c r="AD267" s="36" t="s">
        <v>26</v>
      </c>
      <c r="AE267" s="47" t="s">
        <v>49</v>
      </c>
      <c r="AF267" s="48" t="s">
        <v>49</v>
      </c>
      <c r="AG267" s="48" t="s">
        <v>49</v>
      </c>
      <c r="AH267" s="48" t="s">
        <v>49</v>
      </c>
      <c r="AI267" s="48" t="s">
        <v>49</v>
      </c>
      <c r="AJ267" s="48" t="s">
        <v>49</v>
      </c>
      <c r="AK267" s="49" t="s">
        <v>49</v>
      </c>
      <c r="AL267" s="48" t="s">
        <v>41</v>
      </c>
      <c r="AM267" s="62" t="s">
        <v>148</v>
      </c>
      <c r="AN267" s="62"/>
      <c r="AO267" s="59"/>
      <c r="AP267" s="10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1"/>
    </row>
    <row r="268" spans="1:53" x14ac:dyDescent="0.2">
      <c r="A268" s="33">
        <f t="shared" si="5"/>
        <v>263</v>
      </c>
      <c r="B268" s="34" t="s">
        <v>2195</v>
      </c>
      <c r="C268" s="35" t="s">
        <v>2196</v>
      </c>
      <c r="D268" s="36" t="s">
        <v>2197</v>
      </c>
      <c r="E268" s="334">
        <v>34803</v>
      </c>
      <c r="F268" s="36" t="s">
        <v>54</v>
      </c>
      <c r="G268" s="34" t="s">
        <v>2198</v>
      </c>
      <c r="H268" s="37" t="s">
        <v>1354</v>
      </c>
      <c r="I268" s="37" t="s">
        <v>57</v>
      </c>
      <c r="J268" s="38" t="s">
        <v>2199</v>
      </c>
      <c r="K268" s="34" t="s">
        <v>41</v>
      </c>
      <c r="L268" s="39" t="s">
        <v>42</v>
      </c>
      <c r="M268" s="99" t="s">
        <v>2200</v>
      </c>
      <c r="N268" s="56"/>
      <c r="O268" s="56"/>
      <c r="P268" s="56"/>
      <c r="Q268" s="56"/>
      <c r="R268" s="56"/>
      <c r="S268" s="56" t="s">
        <v>44</v>
      </c>
      <c r="T268" s="56"/>
      <c r="U268" s="56"/>
      <c r="V268" s="56"/>
      <c r="W268" s="56"/>
      <c r="X268" s="56"/>
      <c r="Y268" s="42" t="s">
        <v>2201</v>
      </c>
      <c r="Z268" s="43" t="s">
        <v>2202</v>
      </c>
      <c r="AA268" s="121" t="s">
        <v>2203</v>
      </c>
      <c r="AB268" s="45">
        <v>44650</v>
      </c>
      <c r="AC268" s="101" t="s">
        <v>30</v>
      </c>
      <c r="AD268" s="36"/>
      <c r="AE268" s="61" t="s">
        <v>49</v>
      </c>
      <c r="AF268" s="48" t="s">
        <v>41</v>
      </c>
      <c r="AG268" s="48" t="s">
        <v>49</v>
      </c>
      <c r="AH268" s="48" t="s">
        <v>49</v>
      </c>
      <c r="AI268" s="48" t="s">
        <v>49</v>
      </c>
      <c r="AJ268" s="48" t="s">
        <v>49</v>
      </c>
      <c r="AK268" s="49" t="s">
        <v>49</v>
      </c>
      <c r="AL268" s="48" t="s">
        <v>49</v>
      </c>
      <c r="AM268" s="62" t="s">
        <v>32</v>
      </c>
      <c r="AN268" s="62"/>
      <c r="AO268" s="59"/>
      <c r="AP268" s="10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1"/>
    </row>
    <row r="269" spans="1:53" x14ac:dyDescent="0.2">
      <c r="A269" s="33">
        <f t="shared" si="5"/>
        <v>264</v>
      </c>
      <c r="B269" s="34" t="s">
        <v>2204</v>
      </c>
      <c r="C269" s="35" t="s">
        <v>2205</v>
      </c>
      <c r="D269" s="36" t="s">
        <v>2206</v>
      </c>
      <c r="E269" s="36"/>
      <c r="F269" s="36" t="s">
        <v>54</v>
      </c>
      <c r="G269" s="34" t="s">
        <v>2207</v>
      </c>
      <c r="H269" s="37" t="s">
        <v>73</v>
      </c>
      <c r="I269" s="37" t="s">
        <v>73</v>
      </c>
      <c r="J269" s="34" t="s">
        <v>2208</v>
      </c>
      <c r="K269" s="34" t="s">
        <v>2208</v>
      </c>
      <c r="L269" s="39" t="s">
        <v>42</v>
      </c>
      <c r="M269" s="99" t="s">
        <v>2209</v>
      </c>
      <c r="N269" s="215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42"/>
      <c r="Z269" s="52" t="s">
        <v>2210</v>
      </c>
      <c r="AA269" s="119" t="s">
        <v>61</v>
      </c>
      <c r="AB269" s="45">
        <v>40815</v>
      </c>
      <c r="AC269" s="101" t="s">
        <v>30</v>
      </c>
      <c r="AD269" s="36"/>
      <c r="AE269" s="61" t="s">
        <v>49</v>
      </c>
      <c r="AF269" s="48" t="s">
        <v>41</v>
      </c>
      <c r="AG269" s="48" t="s">
        <v>41</v>
      </c>
      <c r="AH269" s="48" t="s">
        <v>41</v>
      </c>
      <c r="AI269" s="48" t="s">
        <v>41</v>
      </c>
      <c r="AJ269" s="48" t="s">
        <v>41</v>
      </c>
      <c r="AK269" s="49" t="s">
        <v>41</v>
      </c>
      <c r="AL269" s="48" t="s">
        <v>41</v>
      </c>
      <c r="AM269" s="65" t="s">
        <v>4588</v>
      </c>
      <c r="AN269" s="65"/>
      <c r="AO269" s="59" t="s">
        <v>2211</v>
      </c>
      <c r="AP269" s="117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1"/>
    </row>
    <row r="270" spans="1:53" x14ac:dyDescent="0.2">
      <c r="A270" s="33">
        <f t="shared" si="5"/>
        <v>265</v>
      </c>
      <c r="B270" s="34" t="s">
        <v>2212</v>
      </c>
      <c r="C270" s="35" t="s">
        <v>2213</v>
      </c>
      <c r="D270" s="36" t="s">
        <v>2214</v>
      </c>
      <c r="E270" s="334">
        <v>26010</v>
      </c>
      <c r="F270" s="36" t="s">
        <v>54</v>
      </c>
      <c r="G270" s="87" t="s">
        <v>2215</v>
      </c>
      <c r="H270" s="37" t="s">
        <v>73</v>
      </c>
      <c r="I270" s="37" t="s">
        <v>73</v>
      </c>
      <c r="J270" s="38" t="s">
        <v>2216</v>
      </c>
      <c r="K270" s="107" t="s">
        <v>2217</v>
      </c>
      <c r="L270" s="39" t="s">
        <v>42</v>
      </c>
      <c r="M270" s="99" t="s">
        <v>2218</v>
      </c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2" t="s">
        <v>2219</v>
      </c>
      <c r="Z270" s="100" t="s">
        <v>2220</v>
      </c>
      <c r="AA270" s="44" t="s">
        <v>2221</v>
      </c>
      <c r="AB270" s="45">
        <v>41793</v>
      </c>
      <c r="AC270" s="101" t="s">
        <v>30</v>
      </c>
      <c r="AD270" s="36" t="s">
        <v>26</v>
      </c>
      <c r="AE270" s="64" t="s">
        <v>120</v>
      </c>
      <c r="AF270" s="48" t="s">
        <v>120</v>
      </c>
      <c r="AG270" s="48" t="s">
        <v>120</v>
      </c>
      <c r="AH270" s="48" t="s">
        <v>120</v>
      </c>
      <c r="AI270" s="48" t="s">
        <v>120</v>
      </c>
      <c r="AJ270" s="48" t="s">
        <v>120</v>
      </c>
      <c r="AK270" s="49" t="s">
        <v>120</v>
      </c>
      <c r="AL270" s="48" t="s">
        <v>120</v>
      </c>
      <c r="AM270" s="65" t="s">
        <v>32</v>
      </c>
      <c r="AN270" s="65"/>
      <c r="AO270" s="59"/>
      <c r="AP270" s="10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1"/>
    </row>
    <row r="271" spans="1:53" x14ac:dyDescent="0.2">
      <c r="A271" s="33">
        <f t="shared" si="5"/>
        <v>266</v>
      </c>
      <c r="B271" s="34" t="s">
        <v>2222</v>
      </c>
      <c r="C271" s="35" t="s">
        <v>2223</v>
      </c>
      <c r="D271" s="36" t="s">
        <v>2224</v>
      </c>
      <c r="E271" s="36"/>
      <c r="F271" s="36" t="s">
        <v>54</v>
      </c>
      <c r="G271" s="216" t="s">
        <v>2225</v>
      </c>
      <c r="H271" s="37" t="s">
        <v>73</v>
      </c>
      <c r="I271" s="37" t="s">
        <v>73</v>
      </c>
      <c r="J271" s="108" t="s">
        <v>2226</v>
      </c>
      <c r="K271" s="108" t="s">
        <v>2227</v>
      </c>
      <c r="L271" s="39" t="s">
        <v>42</v>
      </c>
      <c r="M271" s="120">
        <v>32234</v>
      </c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2" t="s">
        <v>2228</v>
      </c>
      <c r="Z271" s="58" t="s">
        <v>2229</v>
      </c>
      <c r="AA271" s="44" t="s">
        <v>61</v>
      </c>
      <c r="AB271" s="45">
        <v>40815</v>
      </c>
      <c r="AC271" s="101" t="s">
        <v>30</v>
      </c>
      <c r="AD271" s="36" t="s">
        <v>26</v>
      </c>
      <c r="AE271" s="64" t="s">
        <v>120</v>
      </c>
      <c r="AF271" s="48" t="s">
        <v>120</v>
      </c>
      <c r="AG271" s="48" t="s">
        <v>120</v>
      </c>
      <c r="AH271" s="48" t="s">
        <v>41</v>
      </c>
      <c r="AI271" s="48" t="s">
        <v>41</v>
      </c>
      <c r="AJ271" s="48" t="s">
        <v>41</v>
      </c>
      <c r="AK271" s="49" t="s">
        <v>41</v>
      </c>
      <c r="AL271" s="48" t="s">
        <v>41</v>
      </c>
      <c r="AM271" s="62" t="s">
        <v>110</v>
      </c>
      <c r="AN271" s="62"/>
      <c r="AO271" s="59"/>
      <c r="AP271" s="10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1"/>
    </row>
    <row r="272" spans="1:53" x14ac:dyDescent="0.2">
      <c r="A272" s="33">
        <f t="shared" si="5"/>
        <v>267</v>
      </c>
      <c r="B272" s="34" t="s">
        <v>2230</v>
      </c>
      <c r="C272" s="35" t="s">
        <v>2231</v>
      </c>
      <c r="D272" s="36" t="s">
        <v>2232</v>
      </c>
      <c r="E272" s="334">
        <v>29810</v>
      </c>
      <c r="F272" s="36" t="s">
        <v>54</v>
      </c>
      <c r="G272" s="60" t="s">
        <v>2233</v>
      </c>
      <c r="H272" s="37" t="s">
        <v>528</v>
      </c>
      <c r="I272" s="37" t="s">
        <v>57</v>
      </c>
      <c r="J272" s="113" t="s">
        <v>2234</v>
      </c>
      <c r="K272" s="34" t="s">
        <v>41</v>
      </c>
      <c r="L272" s="39" t="s">
        <v>42</v>
      </c>
      <c r="M272" s="120">
        <v>37207</v>
      </c>
      <c r="N272" s="41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42" t="s">
        <v>2235</v>
      </c>
      <c r="Z272" s="69" t="s">
        <v>2236</v>
      </c>
      <c r="AA272" s="44" t="s">
        <v>2237</v>
      </c>
      <c r="AB272" s="45">
        <v>41793</v>
      </c>
      <c r="AC272" s="101" t="s">
        <v>30</v>
      </c>
      <c r="AD272" s="73" t="s">
        <v>26</v>
      </c>
      <c r="AE272" s="47" t="s">
        <v>49</v>
      </c>
      <c r="AF272" s="48" t="s">
        <v>49</v>
      </c>
      <c r="AG272" s="48" t="s">
        <v>49</v>
      </c>
      <c r="AH272" s="48" t="s">
        <v>49</v>
      </c>
      <c r="AI272" s="48" t="s">
        <v>49</v>
      </c>
      <c r="AJ272" s="48" t="s">
        <v>49</v>
      </c>
      <c r="AK272" s="49" t="s">
        <v>49</v>
      </c>
      <c r="AL272" s="48" t="s">
        <v>49</v>
      </c>
      <c r="AM272" s="62" t="s">
        <v>32</v>
      </c>
      <c r="AN272" s="62"/>
      <c r="AO272" s="59"/>
      <c r="AP272" s="10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1"/>
    </row>
    <row r="273" spans="1:53" x14ac:dyDescent="0.2">
      <c r="A273" s="33">
        <f t="shared" si="5"/>
        <v>268</v>
      </c>
      <c r="B273" s="34" t="s">
        <v>2238</v>
      </c>
      <c r="C273" s="35" t="s">
        <v>2239</v>
      </c>
      <c r="D273" s="36" t="s">
        <v>2240</v>
      </c>
      <c r="E273" s="36"/>
      <c r="F273" s="36" t="s">
        <v>54</v>
      </c>
      <c r="G273" s="108" t="s">
        <v>2241</v>
      </c>
      <c r="H273" s="37" t="s">
        <v>413</v>
      </c>
      <c r="I273" s="37" t="s">
        <v>378</v>
      </c>
      <c r="J273" s="34" t="s">
        <v>2242</v>
      </c>
      <c r="K273" s="34" t="s">
        <v>41</v>
      </c>
      <c r="L273" s="39" t="s">
        <v>42</v>
      </c>
      <c r="M273" s="120">
        <v>37377</v>
      </c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2" t="s">
        <v>2243</v>
      </c>
      <c r="Z273" s="52" t="s">
        <v>2244</v>
      </c>
      <c r="AA273" s="44" t="s">
        <v>61</v>
      </c>
      <c r="AB273" s="45">
        <v>37877</v>
      </c>
      <c r="AC273" s="101" t="s">
        <v>30</v>
      </c>
      <c r="AD273" s="36" t="s">
        <v>26</v>
      </c>
      <c r="AE273" s="47" t="s">
        <v>49</v>
      </c>
      <c r="AF273" s="48" t="s">
        <v>49</v>
      </c>
      <c r="AG273" s="48" t="s">
        <v>49</v>
      </c>
      <c r="AH273" s="48" t="s">
        <v>41</v>
      </c>
      <c r="AI273" s="48" t="s">
        <v>41</v>
      </c>
      <c r="AJ273" s="48" t="s">
        <v>41</v>
      </c>
      <c r="AK273" s="49" t="s">
        <v>41</v>
      </c>
      <c r="AL273" s="48" t="s">
        <v>41</v>
      </c>
      <c r="AM273" s="62">
        <v>5</v>
      </c>
      <c r="AN273" s="62"/>
      <c r="AO273" s="59"/>
      <c r="AP273" s="10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1"/>
    </row>
    <row r="274" spans="1:53" x14ac:dyDescent="0.2">
      <c r="A274" s="33">
        <f t="shared" si="5"/>
        <v>269</v>
      </c>
      <c r="B274" s="34" t="s">
        <v>2245</v>
      </c>
      <c r="C274" s="35" t="s">
        <v>2246</v>
      </c>
      <c r="D274" s="36" t="s">
        <v>2247</v>
      </c>
      <c r="E274" s="36"/>
      <c r="F274" s="36" t="s">
        <v>36</v>
      </c>
      <c r="G274" s="60" t="s">
        <v>2248</v>
      </c>
      <c r="H274" s="37" t="s">
        <v>360</v>
      </c>
      <c r="I274" s="37" t="s">
        <v>350</v>
      </c>
      <c r="J274" s="113" t="s">
        <v>2249</v>
      </c>
      <c r="K274" s="34" t="s">
        <v>41</v>
      </c>
      <c r="L274" s="39" t="s">
        <v>42</v>
      </c>
      <c r="M274" s="120">
        <v>44384</v>
      </c>
      <c r="N274" s="41"/>
      <c r="O274" s="70"/>
      <c r="P274" s="70"/>
      <c r="Q274" s="70"/>
      <c r="R274" s="70"/>
      <c r="S274" s="70" t="s">
        <v>44</v>
      </c>
      <c r="T274" s="70"/>
      <c r="U274" s="70"/>
      <c r="V274" s="70"/>
      <c r="W274" s="70"/>
      <c r="X274" s="70"/>
      <c r="Y274" s="42" t="s">
        <v>2250</v>
      </c>
      <c r="Z274" s="58" t="s">
        <v>2251</v>
      </c>
      <c r="AA274" s="84" t="s">
        <v>2252</v>
      </c>
      <c r="AB274" s="45">
        <v>44650</v>
      </c>
      <c r="AC274" s="101" t="s">
        <v>30</v>
      </c>
      <c r="AD274" s="73"/>
      <c r="AE274" s="47" t="s">
        <v>49</v>
      </c>
      <c r="AF274" s="48" t="s">
        <v>41</v>
      </c>
      <c r="AG274" s="48" t="s">
        <v>49</v>
      </c>
      <c r="AH274" s="48" t="s">
        <v>41</v>
      </c>
      <c r="AI274" s="48" t="s">
        <v>41</v>
      </c>
      <c r="AJ274" s="48" t="s">
        <v>41</v>
      </c>
      <c r="AK274" s="49" t="s">
        <v>41</v>
      </c>
      <c r="AL274" s="48" t="s">
        <v>41</v>
      </c>
      <c r="AM274" s="62" t="s">
        <v>110</v>
      </c>
      <c r="AN274" s="62"/>
      <c r="AO274" s="59"/>
      <c r="AP274" s="10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1"/>
    </row>
    <row r="275" spans="1:53" ht="18.75" customHeight="1" x14ac:dyDescent="0.2">
      <c r="A275" s="33">
        <f t="shared" si="5"/>
        <v>270</v>
      </c>
      <c r="B275" s="38" t="s">
        <v>2253</v>
      </c>
      <c r="C275" s="35" t="s">
        <v>2254</v>
      </c>
      <c r="D275" s="36" t="s">
        <v>2255</v>
      </c>
      <c r="E275" s="334">
        <v>35123</v>
      </c>
      <c r="F275" s="36" t="s">
        <v>54</v>
      </c>
      <c r="G275" s="200" t="s">
        <v>2256</v>
      </c>
      <c r="H275" s="37" t="s">
        <v>39</v>
      </c>
      <c r="I275" s="37" t="s">
        <v>39</v>
      </c>
      <c r="J275" s="38" t="s">
        <v>2257</v>
      </c>
      <c r="K275" s="38" t="s">
        <v>41</v>
      </c>
      <c r="L275" s="39" t="s">
        <v>42</v>
      </c>
      <c r="M275" s="158" t="s">
        <v>2258</v>
      </c>
      <c r="N275" s="56"/>
      <c r="O275" s="56"/>
      <c r="P275" s="56"/>
      <c r="Q275" s="56"/>
      <c r="R275" s="56"/>
      <c r="S275" s="56" t="s">
        <v>44</v>
      </c>
      <c r="T275" s="56"/>
      <c r="U275" s="56"/>
      <c r="V275" s="56"/>
      <c r="W275" s="56"/>
      <c r="X275" s="56"/>
      <c r="Y275" s="42" t="s">
        <v>2259</v>
      </c>
      <c r="Z275" s="58" t="s">
        <v>2260</v>
      </c>
      <c r="AA275" s="207" t="s">
        <v>2261</v>
      </c>
      <c r="AB275" s="45">
        <v>44944</v>
      </c>
      <c r="AC275" s="101" t="s">
        <v>30</v>
      </c>
      <c r="AD275" s="36" t="s">
        <v>26</v>
      </c>
      <c r="AE275" s="47" t="s">
        <v>49</v>
      </c>
      <c r="AF275" s="48" t="s">
        <v>49</v>
      </c>
      <c r="AG275" s="48" t="s">
        <v>49</v>
      </c>
      <c r="AH275" s="48" t="s">
        <v>49</v>
      </c>
      <c r="AI275" s="48" t="s">
        <v>49</v>
      </c>
      <c r="AJ275" s="48" t="s">
        <v>49</v>
      </c>
      <c r="AK275" s="49" t="s">
        <v>49</v>
      </c>
      <c r="AL275" s="48" t="s">
        <v>49</v>
      </c>
      <c r="AM275" s="65" t="s">
        <v>32</v>
      </c>
      <c r="AN275" s="65"/>
      <c r="AO275" s="59"/>
      <c r="AP275" s="117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1"/>
    </row>
    <row r="276" spans="1:53" x14ac:dyDescent="0.2">
      <c r="A276" s="33">
        <f t="shared" si="5"/>
        <v>271</v>
      </c>
      <c r="B276" s="34" t="s">
        <v>2262</v>
      </c>
      <c r="C276" s="35" t="s">
        <v>2263</v>
      </c>
      <c r="D276" s="36" t="s">
        <v>2264</v>
      </c>
      <c r="E276" s="36"/>
      <c r="F276" s="36" t="s">
        <v>54</v>
      </c>
      <c r="G276" s="200" t="s">
        <v>2265</v>
      </c>
      <c r="H276" s="37" t="s">
        <v>1285</v>
      </c>
      <c r="I276" s="37" t="s">
        <v>350</v>
      </c>
      <c r="J276" s="38" t="s">
        <v>2266</v>
      </c>
      <c r="K276" s="34" t="s">
        <v>41</v>
      </c>
      <c r="L276" s="39" t="s">
        <v>42</v>
      </c>
      <c r="M276" s="120">
        <v>43408</v>
      </c>
      <c r="N276" s="41" t="s">
        <v>179</v>
      </c>
      <c r="O276" s="41" t="s">
        <v>179</v>
      </c>
      <c r="P276" s="41"/>
      <c r="Q276" s="41">
        <v>5</v>
      </c>
      <c r="R276" s="41" t="s">
        <v>942</v>
      </c>
      <c r="S276" s="41"/>
      <c r="T276" s="41"/>
      <c r="U276" s="41"/>
      <c r="V276" s="41"/>
      <c r="W276" s="41"/>
      <c r="X276" s="41"/>
      <c r="Y276" s="42" t="s">
        <v>2267</v>
      </c>
      <c r="Z276" s="58" t="s">
        <v>2268</v>
      </c>
      <c r="AA276" s="44"/>
      <c r="AB276" s="45" t="s">
        <v>47</v>
      </c>
      <c r="AC276" s="101"/>
      <c r="AD276" s="36"/>
      <c r="AE276" s="47" t="s">
        <v>49</v>
      </c>
      <c r="AF276" s="48" t="s">
        <v>41</v>
      </c>
      <c r="AG276" s="48" t="s">
        <v>41</v>
      </c>
      <c r="AH276" s="48" t="s">
        <v>41</v>
      </c>
      <c r="AI276" s="48" t="s">
        <v>41</v>
      </c>
      <c r="AJ276" s="48" t="s">
        <v>41</v>
      </c>
      <c r="AK276" s="49" t="s">
        <v>41</v>
      </c>
      <c r="AL276" s="48" t="s">
        <v>41</v>
      </c>
      <c r="AM276" s="65">
        <v>7</v>
      </c>
      <c r="AN276" s="65"/>
      <c r="AO276" s="59" t="s">
        <v>2211</v>
      </c>
      <c r="AP276" s="10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1"/>
    </row>
    <row r="277" spans="1:53" x14ac:dyDescent="0.2">
      <c r="A277" s="33">
        <f t="shared" si="5"/>
        <v>272</v>
      </c>
      <c r="B277" s="34" t="s">
        <v>2269</v>
      </c>
      <c r="C277" s="35" t="s">
        <v>2270</v>
      </c>
      <c r="D277" s="36" t="s">
        <v>2271</v>
      </c>
      <c r="E277" s="36"/>
      <c r="F277" s="36" t="s">
        <v>54</v>
      </c>
      <c r="G277" s="200" t="s">
        <v>2265</v>
      </c>
      <c r="H277" s="37" t="s">
        <v>1285</v>
      </c>
      <c r="I277" s="37" t="s">
        <v>350</v>
      </c>
      <c r="J277" s="34" t="s">
        <v>2272</v>
      </c>
      <c r="K277" s="34" t="s">
        <v>2273</v>
      </c>
      <c r="L277" s="39" t="s">
        <v>42</v>
      </c>
      <c r="M277" s="99" t="s">
        <v>2274</v>
      </c>
      <c r="N277" s="112" t="s">
        <v>179</v>
      </c>
      <c r="O277" s="41" t="s">
        <v>179</v>
      </c>
      <c r="P277" s="41"/>
      <c r="Q277" s="41">
        <v>5</v>
      </c>
      <c r="R277" s="41" t="s">
        <v>942</v>
      </c>
      <c r="S277" s="41"/>
      <c r="T277" s="41"/>
      <c r="U277" s="41"/>
      <c r="V277" s="41"/>
      <c r="W277" s="41"/>
      <c r="X277" s="41"/>
      <c r="Y277" s="57" t="s">
        <v>2267</v>
      </c>
      <c r="Z277" s="58" t="s">
        <v>2275</v>
      </c>
      <c r="AA277" s="44"/>
      <c r="AB277" s="45" t="s">
        <v>47</v>
      </c>
      <c r="AC277" s="101"/>
      <c r="AD277" s="36"/>
      <c r="AE277" s="47" t="s">
        <v>49</v>
      </c>
      <c r="AF277" s="48" t="s">
        <v>41</v>
      </c>
      <c r="AG277" s="48" t="s">
        <v>41</v>
      </c>
      <c r="AH277" s="48" t="s">
        <v>41</v>
      </c>
      <c r="AI277" s="48" t="s">
        <v>41</v>
      </c>
      <c r="AJ277" s="48" t="s">
        <v>41</v>
      </c>
      <c r="AK277" s="49" t="s">
        <v>41</v>
      </c>
      <c r="AL277" s="48" t="s">
        <v>41</v>
      </c>
      <c r="AM277" s="65" t="s">
        <v>4591</v>
      </c>
      <c r="AN277" s="65"/>
      <c r="AO277" s="59" t="s">
        <v>2211</v>
      </c>
      <c r="AP277" s="10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1"/>
    </row>
    <row r="278" spans="1:53" x14ac:dyDescent="0.2">
      <c r="A278" s="33">
        <f t="shared" si="5"/>
        <v>273</v>
      </c>
      <c r="B278" s="34" t="s">
        <v>2283</v>
      </c>
      <c r="C278" s="35" t="s">
        <v>2284</v>
      </c>
      <c r="D278" s="36" t="s">
        <v>2285</v>
      </c>
      <c r="E278" s="334">
        <v>28316</v>
      </c>
      <c r="F278" s="36" t="s">
        <v>54</v>
      </c>
      <c r="G278" s="60" t="s">
        <v>2286</v>
      </c>
      <c r="H278" s="37" t="s">
        <v>73</v>
      </c>
      <c r="I278" s="37" t="s">
        <v>73</v>
      </c>
      <c r="J278" s="113" t="s">
        <v>2287</v>
      </c>
      <c r="K278" s="34" t="s">
        <v>41</v>
      </c>
      <c r="L278" s="39" t="s">
        <v>42</v>
      </c>
      <c r="M278" s="120" t="s">
        <v>2288</v>
      </c>
      <c r="N278" s="41"/>
      <c r="O278" s="70"/>
      <c r="P278" s="70"/>
      <c r="Q278" s="70"/>
      <c r="R278" s="70"/>
      <c r="S278" s="70"/>
      <c r="T278" s="70" t="s">
        <v>44</v>
      </c>
      <c r="U278" s="70"/>
      <c r="V278" s="70"/>
      <c r="W278" s="70"/>
      <c r="X278" s="70"/>
      <c r="Y278" s="42" t="s">
        <v>2289</v>
      </c>
      <c r="Z278" s="58" t="s">
        <v>2290</v>
      </c>
      <c r="AA278" s="84" t="s">
        <v>2291</v>
      </c>
      <c r="AB278" s="45">
        <v>44650</v>
      </c>
      <c r="AC278" s="101" t="s">
        <v>30</v>
      </c>
      <c r="AD278" s="73"/>
      <c r="AE278" s="47" t="s">
        <v>49</v>
      </c>
      <c r="AF278" s="48" t="s">
        <v>41</v>
      </c>
      <c r="AG278" s="48" t="s">
        <v>41</v>
      </c>
      <c r="AH278" s="48" t="s">
        <v>49</v>
      </c>
      <c r="AI278" s="48" t="s">
        <v>49</v>
      </c>
      <c r="AJ278" s="48" t="s">
        <v>41</v>
      </c>
      <c r="AK278" s="49" t="s">
        <v>41</v>
      </c>
      <c r="AL278" s="48" t="s">
        <v>41</v>
      </c>
      <c r="AM278" s="62" t="s">
        <v>4589</v>
      </c>
      <c r="AN278" s="62"/>
      <c r="AO278" s="59"/>
      <c r="AP278" s="117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1"/>
    </row>
    <row r="279" spans="1:53" x14ac:dyDescent="0.2">
      <c r="A279" s="33">
        <f t="shared" si="5"/>
        <v>274</v>
      </c>
      <c r="B279" s="34" t="s">
        <v>2292</v>
      </c>
      <c r="C279" s="35" t="s">
        <v>2293</v>
      </c>
      <c r="D279" s="36" t="s">
        <v>2294</v>
      </c>
      <c r="E279" s="334">
        <v>30293</v>
      </c>
      <c r="F279" s="36" t="s">
        <v>54</v>
      </c>
      <c r="G279" s="52" t="s">
        <v>2295</v>
      </c>
      <c r="H279" s="37" t="s">
        <v>350</v>
      </c>
      <c r="I279" s="37" t="s">
        <v>350</v>
      </c>
      <c r="J279" s="113" t="s">
        <v>2296</v>
      </c>
      <c r="K279" s="34" t="s">
        <v>41</v>
      </c>
      <c r="L279" s="39" t="s">
        <v>42</v>
      </c>
      <c r="M279" s="120">
        <v>45237</v>
      </c>
      <c r="N279" s="41"/>
      <c r="O279" s="70"/>
      <c r="P279" s="70"/>
      <c r="Q279" s="70"/>
      <c r="R279" s="70"/>
      <c r="S279" s="70"/>
      <c r="T279" s="70"/>
      <c r="U279" s="70" t="s">
        <v>44</v>
      </c>
      <c r="V279" s="70"/>
      <c r="W279" s="70"/>
      <c r="X279" s="70"/>
      <c r="Y279" s="42" t="s">
        <v>2297</v>
      </c>
      <c r="Z279" s="83" t="s">
        <v>2298</v>
      </c>
      <c r="AA279" s="44"/>
      <c r="AB279" s="45">
        <v>45642</v>
      </c>
      <c r="AC279" s="101"/>
      <c r="AD279" s="73"/>
      <c r="AE279" s="47" t="s">
        <v>49</v>
      </c>
      <c r="AF279" s="48" t="s">
        <v>41</v>
      </c>
      <c r="AG279" s="48" t="s">
        <v>41</v>
      </c>
      <c r="AH279" s="48" t="s">
        <v>41</v>
      </c>
      <c r="AI279" s="48" t="s">
        <v>49</v>
      </c>
      <c r="AJ279" s="48" t="s">
        <v>49</v>
      </c>
      <c r="AK279" s="49" t="s">
        <v>49</v>
      </c>
      <c r="AL279" s="48" t="s">
        <v>41</v>
      </c>
      <c r="AM279" s="62" t="s">
        <v>148</v>
      </c>
      <c r="AN279" s="62"/>
      <c r="AO279" s="59"/>
      <c r="AP279" s="117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1"/>
    </row>
    <row r="280" spans="1:53" x14ac:dyDescent="0.2">
      <c r="A280" s="33">
        <f t="shared" si="5"/>
        <v>275</v>
      </c>
      <c r="B280" s="34" t="s">
        <v>2299</v>
      </c>
      <c r="C280" s="35" t="s">
        <v>2300</v>
      </c>
      <c r="D280" s="36" t="s">
        <v>2301</v>
      </c>
      <c r="E280" s="334">
        <v>28331</v>
      </c>
      <c r="F280" s="36" t="s">
        <v>36</v>
      </c>
      <c r="G280" s="34" t="s">
        <v>2302</v>
      </c>
      <c r="H280" s="37" t="s">
        <v>73</v>
      </c>
      <c r="I280" s="37" t="s">
        <v>73</v>
      </c>
      <c r="J280" s="34" t="s">
        <v>2303</v>
      </c>
      <c r="K280" s="34" t="s">
        <v>41</v>
      </c>
      <c r="L280" s="39" t="s">
        <v>42</v>
      </c>
      <c r="M280" s="99" t="s">
        <v>1160</v>
      </c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42" t="s">
        <v>2304</v>
      </c>
      <c r="Z280" s="52" t="s">
        <v>2305</v>
      </c>
      <c r="AA280" s="44" t="s">
        <v>2306</v>
      </c>
      <c r="AB280" s="45">
        <v>43200</v>
      </c>
      <c r="AC280" s="101" t="s">
        <v>30</v>
      </c>
      <c r="AD280" s="36" t="s">
        <v>26</v>
      </c>
      <c r="AE280" s="47" t="s">
        <v>49</v>
      </c>
      <c r="AF280" s="48" t="s">
        <v>49</v>
      </c>
      <c r="AG280" s="48" t="s">
        <v>49</v>
      </c>
      <c r="AH280" s="48" t="s">
        <v>49</v>
      </c>
      <c r="AI280" s="48" t="s">
        <v>49</v>
      </c>
      <c r="AJ280" s="48" t="s">
        <v>49</v>
      </c>
      <c r="AK280" s="49" t="s">
        <v>49</v>
      </c>
      <c r="AL280" s="48" t="s">
        <v>49</v>
      </c>
      <c r="AM280" s="62" t="s">
        <v>32</v>
      </c>
      <c r="AN280" s="62"/>
      <c r="AO280" s="59"/>
      <c r="AP280" s="10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1"/>
    </row>
    <row r="281" spans="1:53" x14ac:dyDescent="0.2">
      <c r="A281" s="33">
        <f t="shared" si="5"/>
        <v>276</v>
      </c>
      <c r="B281" s="34" t="s">
        <v>2307</v>
      </c>
      <c r="C281" s="35" t="s">
        <v>2308</v>
      </c>
      <c r="D281" s="36" t="s">
        <v>2309</v>
      </c>
      <c r="E281" s="36"/>
      <c r="F281" s="36" t="s">
        <v>54</v>
      </c>
      <c r="G281" s="34" t="s">
        <v>2310</v>
      </c>
      <c r="H281" s="37" t="s">
        <v>176</v>
      </c>
      <c r="I281" s="37" t="s">
        <v>39</v>
      </c>
      <c r="J281" s="34" t="s">
        <v>2311</v>
      </c>
      <c r="K281" s="34" t="s">
        <v>41</v>
      </c>
      <c r="L281" s="39" t="s">
        <v>42</v>
      </c>
      <c r="M281" s="99" t="s">
        <v>2312</v>
      </c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2" t="s">
        <v>2313</v>
      </c>
      <c r="Z281" s="58" t="s">
        <v>2314</v>
      </c>
      <c r="AA281" s="44" t="s">
        <v>61</v>
      </c>
      <c r="AB281" s="45">
        <v>38593</v>
      </c>
      <c r="AC281" s="101" t="s">
        <v>30</v>
      </c>
      <c r="AD281" s="36"/>
      <c r="AE281" s="47" t="s">
        <v>49</v>
      </c>
      <c r="AF281" s="48" t="s">
        <v>41</v>
      </c>
      <c r="AG281" s="48" t="s">
        <v>41</v>
      </c>
      <c r="AH281" s="48" t="s">
        <v>41</v>
      </c>
      <c r="AI281" s="48" t="s">
        <v>41</v>
      </c>
      <c r="AJ281" s="48" t="s">
        <v>41</v>
      </c>
      <c r="AK281" s="49" t="s">
        <v>41</v>
      </c>
      <c r="AL281" s="48" t="s">
        <v>41</v>
      </c>
      <c r="AM281" s="65" t="s">
        <v>4591</v>
      </c>
      <c r="AN281" s="65"/>
      <c r="AO281" s="59" t="s">
        <v>460</v>
      </c>
      <c r="AP281" s="10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1"/>
    </row>
    <row r="282" spans="1:53" x14ac:dyDescent="0.2">
      <c r="A282" s="33">
        <f t="shared" si="5"/>
        <v>277</v>
      </c>
      <c r="B282" s="34" t="s">
        <v>2315</v>
      </c>
      <c r="C282" s="35" t="s">
        <v>2316</v>
      </c>
      <c r="D282" s="36" t="s">
        <v>2317</v>
      </c>
      <c r="E282" s="334">
        <v>35832</v>
      </c>
      <c r="F282" s="36" t="s">
        <v>54</v>
      </c>
      <c r="G282" s="34" t="s">
        <v>2318</v>
      </c>
      <c r="H282" s="37" t="s">
        <v>349</v>
      </c>
      <c r="I282" s="37" t="s">
        <v>350</v>
      </c>
      <c r="J282" s="38" t="s">
        <v>2319</v>
      </c>
      <c r="K282" s="34" t="s">
        <v>41</v>
      </c>
      <c r="L282" s="39" t="s">
        <v>42</v>
      </c>
      <c r="M282" s="99" t="s">
        <v>2320</v>
      </c>
      <c r="N282" s="41"/>
      <c r="O282" s="41"/>
      <c r="P282" s="41"/>
      <c r="Q282" s="41"/>
      <c r="R282" s="41"/>
      <c r="S282" s="41"/>
      <c r="T282" s="41"/>
      <c r="U282" s="41"/>
      <c r="V282" s="41"/>
      <c r="W282" s="41" t="s">
        <v>732</v>
      </c>
      <c r="X282" s="41"/>
      <c r="Y282" s="42" t="s">
        <v>2321</v>
      </c>
      <c r="Z282" s="52" t="s">
        <v>2322</v>
      </c>
      <c r="AA282" s="44" t="s">
        <v>2323</v>
      </c>
      <c r="AB282" s="45">
        <v>42935</v>
      </c>
      <c r="AC282" s="101" t="s">
        <v>30</v>
      </c>
      <c r="AD282" s="36" t="s">
        <v>26</v>
      </c>
      <c r="AE282" s="47" t="s">
        <v>49</v>
      </c>
      <c r="AF282" s="48" t="s">
        <v>49</v>
      </c>
      <c r="AG282" s="48" t="s">
        <v>49</v>
      </c>
      <c r="AH282" s="48" t="s">
        <v>49</v>
      </c>
      <c r="AI282" s="48" t="s">
        <v>49</v>
      </c>
      <c r="AJ282" s="48" t="s">
        <v>49</v>
      </c>
      <c r="AK282" s="49" t="s">
        <v>49</v>
      </c>
      <c r="AL282" s="48" t="s">
        <v>49</v>
      </c>
      <c r="AM282" s="65" t="s">
        <v>32</v>
      </c>
      <c r="AN282" s="65"/>
      <c r="AO282" s="59"/>
      <c r="AP282" s="10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1"/>
    </row>
    <row r="283" spans="1:53" x14ac:dyDescent="0.2">
      <c r="A283" s="33">
        <f t="shared" si="5"/>
        <v>278</v>
      </c>
      <c r="B283" s="34" t="s">
        <v>2324</v>
      </c>
      <c r="C283" s="35" t="s">
        <v>2325</v>
      </c>
      <c r="D283" s="36" t="s">
        <v>2326</v>
      </c>
      <c r="E283" s="36"/>
      <c r="F283" s="36" t="s">
        <v>36</v>
      </c>
      <c r="G283" s="34" t="s">
        <v>2327</v>
      </c>
      <c r="H283" s="37" t="s">
        <v>73</v>
      </c>
      <c r="I283" s="37" t="s">
        <v>73</v>
      </c>
      <c r="J283" s="34" t="s">
        <v>2328</v>
      </c>
      <c r="K283" s="34" t="s">
        <v>2329</v>
      </c>
      <c r="L283" s="39" t="s">
        <v>42</v>
      </c>
      <c r="M283" s="120">
        <v>42254</v>
      </c>
      <c r="N283" s="41" t="s">
        <v>179</v>
      </c>
      <c r="O283" s="41" t="s">
        <v>179</v>
      </c>
      <c r="P283" s="41"/>
      <c r="Q283" s="41">
        <v>5</v>
      </c>
      <c r="R283" s="41" t="s">
        <v>942</v>
      </c>
      <c r="S283" s="41"/>
      <c r="T283" s="41"/>
      <c r="U283" s="41"/>
      <c r="V283" s="41"/>
      <c r="W283" s="41"/>
      <c r="X283" s="41"/>
      <c r="Y283" s="42" t="s">
        <v>2330</v>
      </c>
      <c r="Z283" s="58" t="s">
        <v>2331</v>
      </c>
      <c r="AA283" s="44"/>
      <c r="AB283" s="45" t="s">
        <v>47</v>
      </c>
      <c r="AC283" s="101"/>
      <c r="AD283" s="36" t="s">
        <v>26</v>
      </c>
      <c r="AE283" s="47" t="s">
        <v>49</v>
      </c>
      <c r="AF283" s="48" t="s">
        <v>49</v>
      </c>
      <c r="AG283" s="48" t="s">
        <v>41</v>
      </c>
      <c r="AH283" s="48" t="s">
        <v>41</v>
      </c>
      <c r="AI283" s="48" t="s">
        <v>41</v>
      </c>
      <c r="AJ283" s="48" t="s">
        <v>41</v>
      </c>
      <c r="AK283" s="49" t="s">
        <v>41</v>
      </c>
      <c r="AL283" s="48" t="s">
        <v>41</v>
      </c>
      <c r="AM283" s="62" t="s">
        <v>4587</v>
      </c>
      <c r="AN283" s="62"/>
      <c r="AO283" s="59"/>
      <c r="AP283" s="10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1"/>
    </row>
    <row r="284" spans="1:53" x14ac:dyDescent="0.2">
      <c r="A284" s="33">
        <f t="shared" si="5"/>
        <v>279</v>
      </c>
      <c r="B284" s="34" t="s">
        <v>2332</v>
      </c>
      <c r="C284" s="35" t="s">
        <v>2333</v>
      </c>
      <c r="D284" s="36" t="s">
        <v>2334</v>
      </c>
      <c r="E284" s="334">
        <v>27035</v>
      </c>
      <c r="F284" s="36" t="s">
        <v>54</v>
      </c>
      <c r="G284" s="34" t="s">
        <v>2335</v>
      </c>
      <c r="H284" s="37" t="s">
        <v>38</v>
      </c>
      <c r="I284" s="37" t="s">
        <v>39</v>
      </c>
      <c r="J284" s="34" t="s">
        <v>2336</v>
      </c>
      <c r="K284" s="34" t="s">
        <v>41</v>
      </c>
      <c r="L284" s="39" t="s">
        <v>42</v>
      </c>
      <c r="M284" s="99" t="s">
        <v>2337</v>
      </c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2" t="s">
        <v>2338</v>
      </c>
      <c r="Z284" s="43" t="s">
        <v>2339</v>
      </c>
      <c r="AA284" s="44" t="s">
        <v>61</v>
      </c>
      <c r="AB284" s="45">
        <v>37877</v>
      </c>
      <c r="AC284" s="101" t="s">
        <v>30</v>
      </c>
      <c r="AD284" s="36" t="s">
        <v>26</v>
      </c>
      <c r="AE284" s="47" t="s">
        <v>49</v>
      </c>
      <c r="AF284" s="48" t="s">
        <v>49</v>
      </c>
      <c r="AG284" s="48" t="s">
        <v>49</v>
      </c>
      <c r="AH284" s="48" t="s">
        <v>49</v>
      </c>
      <c r="AI284" s="48" t="s">
        <v>49</v>
      </c>
      <c r="AJ284" s="48" t="s">
        <v>49</v>
      </c>
      <c r="AK284" s="49" t="s">
        <v>49</v>
      </c>
      <c r="AL284" s="48" t="s">
        <v>49</v>
      </c>
      <c r="AM284" s="65" t="s">
        <v>32</v>
      </c>
      <c r="AN284" s="65"/>
      <c r="AO284" s="59"/>
      <c r="AP284" s="10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1"/>
    </row>
    <row r="285" spans="1:53" x14ac:dyDescent="0.2">
      <c r="A285" s="33">
        <f t="shared" si="5"/>
        <v>280</v>
      </c>
      <c r="B285" s="34" t="s">
        <v>2340</v>
      </c>
      <c r="C285" s="35" t="s">
        <v>2341</v>
      </c>
      <c r="D285" s="36" t="s">
        <v>2342</v>
      </c>
      <c r="E285" s="334">
        <v>23595</v>
      </c>
      <c r="F285" s="36" t="s">
        <v>54</v>
      </c>
      <c r="G285" s="34" t="s">
        <v>2343</v>
      </c>
      <c r="H285" s="37" t="s">
        <v>38</v>
      </c>
      <c r="I285" s="37" t="s">
        <v>39</v>
      </c>
      <c r="J285" s="34" t="s">
        <v>2344</v>
      </c>
      <c r="K285" s="34" t="s">
        <v>41</v>
      </c>
      <c r="L285" s="39" t="s">
        <v>42</v>
      </c>
      <c r="M285" s="120">
        <v>37598</v>
      </c>
      <c r="N285" s="41"/>
      <c r="O285" s="111"/>
      <c r="P285" s="112"/>
      <c r="Q285" s="111"/>
      <c r="R285" s="112"/>
      <c r="S285" s="112"/>
      <c r="T285" s="112"/>
      <c r="U285" s="41"/>
      <c r="V285" s="41"/>
      <c r="W285" s="41"/>
      <c r="X285" s="41"/>
      <c r="Y285" s="42" t="s">
        <v>2345</v>
      </c>
      <c r="Z285" s="69" t="s">
        <v>2346</v>
      </c>
      <c r="AA285" s="44" t="s">
        <v>61</v>
      </c>
      <c r="AB285" s="45">
        <v>37877</v>
      </c>
      <c r="AC285" s="101" t="s">
        <v>30</v>
      </c>
      <c r="AD285" s="36" t="s">
        <v>26</v>
      </c>
      <c r="AE285" s="47" t="s">
        <v>49</v>
      </c>
      <c r="AF285" s="48" t="s">
        <v>49</v>
      </c>
      <c r="AG285" s="48" t="s">
        <v>49</v>
      </c>
      <c r="AH285" s="48" t="s">
        <v>49</v>
      </c>
      <c r="AI285" s="48" t="s">
        <v>49</v>
      </c>
      <c r="AJ285" s="48" t="s">
        <v>49</v>
      </c>
      <c r="AK285" s="49" t="s">
        <v>49</v>
      </c>
      <c r="AL285" s="48" t="s">
        <v>49</v>
      </c>
      <c r="AM285" s="62" t="s">
        <v>32</v>
      </c>
      <c r="AN285" s="62"/>
      <c r="AO285" s="59"/>
      <c r="AP285" s="10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1"/>
    </row>
    <row r="286" spans="1:53" x14ac:dyDescent="0.2">
      <c r="A286" s="33">
        <f t="shared" si="5"/>
        <v>281</v>
      </c>
      <c r="B286" s="34" t="s">
        <v>2347</v>
      </c>
      <c r="C286" s="35" t="s">
        <v>2348</v>
      </c>
      <c r="D286" s="36" t="s">
        <v>2349</v>
      </c>
      <c r="E286" s="334">
        <v>19029</v>
      </c>
      <c r="F286" s="36" t="s">
        <v>54</v>
      </c>
      <c r="G286" s="98" t="s">
        <v>2350</v>
      </c>
      <c r="H286" s="37" t="s">
        <v>398</v>
      </c>
      <c r="I286" s="37" t="s">
        <v>205</v>
      </c>
      <c r="J286" s="34" t="s">
        <v>2351</v>
      </c>
      <c r="K286" s="34" t="s">
        <v>41</v>
      </c>
      <c r="L286" s="39" t="s">
        <v>42</v>
      </c>
      <c r="M286" s="99" t="s">
        <v>2352</v>
      </c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2" t="s">
        <v>2353</v>
      </c>
      <c r="Z286" s="52" t="s">
        <v>2354</v>
      </c>
      <c r="AA286" s="44" t="s">
        <v>61</v>
      </c>
      <c r="AB286" s="45">
        <v>36641</v>
      </c>
      <c r="AC286" s="101" t="s">
        <v>30</v>
      </c>
      <c r="AD286" s="36" t="s">
        <v>26</v>
      </c>
      <c r="AE286" s="47" t="s">
        <v>49</v>
      </c>
      <c r="AF286" s="48" t="s">
        <v>49</v>
      </c>
      <c r="AG286" s="48" t="s">
        <v>49</v>
      </c>
      <c r="AH286" s="48" t="s">
        <v>49</v>
      </c>
      <c r="AI286" s="48" t="s">
        <v>49</v>
      </c>
      <c r="AJ286" s="48" t="s">
        <v>49</v>
      </c>
      <c r="AK286" s="49" t="s">
        <v>49</v>
      </c>
      <c r="AL286" s="48" t="s">
        <v>41</v>
      </c>
      <c r="AM286" s="62" t="s">
        <v>148</v>
      </c>
      <c r="AN286" s="62"/>
      <c r="AO286" s="59"/>
      <c r="AP286" s="10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1"/>
    </row>
    <row r="287" spans="1:53" x14ac:dyDescent="0.2">
      <c r="A287" s="33">
        <f t="shared" si="5"/>
        <v>282</v>
      </c>
      <c r="B287" s="34" t="s">
        <v>2355</v>
      </c>
      <c r="C287" s="35" t="s">
        <v>2356</v>
      </c>
      <c r="D287" s="36" t="s">
        <v>2357</v>
      </c>
      <c r="E287" s="333">
        <v>34431</v>
      </c>
      <c r="F287" s="36" t="s">
        <v>36</v>
      </c>
      <c r="G287" s="98" t="s">
        <v>2358</v>
      </c>
      <c r="H287" s="37" t="s">
        <v>73</v>
      </c>
      <c r="I287" s="37" t="s">
        <v>73</v>
      </c>
      <c r="J287" s="219" t="s">
        <v>2359</v>
      </c>
      <c r="K287" s="34"/>
      <c r="L287" s="39" t="s">
        <v>42</v>
      </c>
      <c r="M287" s="120">
        <v>45883</v>
      </c>
      <c r="N287" s="41"/>
      <c r="O287" s="41"/>
      <c r="P287" s="41"/>
      <c r="Q287" s="41"/>
      <c r="R287" s="41"/>
      <c r="S287" s="41"/>
      <c r="T287" s="41"/>
      <c r="U287" s="41"/>
      <c r="V287" s="41"/>
      <c r="W287" s="41" t="s">
        <v>44</v>
      </c>
      <c r="X287" s="41"/>
      <c r="Y287" s="42" t="s">
        <v>2360</v>
      </c>
      <c r="Z287" s="43" t="s">
        <v>2361</v>
      </c>
      <c r="AA287" s="44"/>
      <c r="AB287" s="45"/>
      <c r="AC287" s="101"/>
      <c r="AD287" s="36"/>
      <c r="AE287" s="47" t="s">
        <v>49</v>
      </c>
      <c r="AF287" s="48" t="s">
        <v>41</v>
      </c>
      <c r="AG287" s="48" t="s">
        <v>41</v>
      </c>
      <c r="AH287" s="48" t="s">
        <v>41</v>
      </c>
      <c r="AI287" s="48" t="s">
        <v>41</v>
      </c>
      <c r="AJ287" s="48" t="s">
        <v>41</v>
      </c>
      <c r="AK287" s="49" t="s">
        <v>49</v>
      </c>
      <c r="AL287" s="48" t="s">
        <v>49</v>
      </c>
      <c r="AM287" s="62" t="s">
        <v>32</v>
      </c>
      <c r="AN287" s="62" t="s">
        <v>4681</v>
      </c>
      <c r="AO287" s="59"/>
      <c r="AP287" s="10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1"/>
    </row>
    <row r="288" spans="1:53" x14ac:dyDescent="0.2">
      <c r="A288" s="33">
        <f t="shared" si="5"/>
        <v>283</v>
      </c>
      <c r="B288" s="34" t="s">
        <v>2363</v>
      </c>
      <c r="C288" s="35" t="s">
        <v>2364</v>
      </c>
      <c r="D288" s="36" t="s">
        <v>2365</v>
      </c>
      <c r="E288" s="334">
        <v>20888</v>
      </c>
      <c r="F288" s="36" t="s">
        <v>241</v>
      </c>
      <c r="G288" s="34" t="s">
        <v>2366</v>
      </c>
      <c r="H288" s="37" t="s">
        <v>73</v>
      </c>
      <c r="I288" s="37" t="s">
        <v>73</v>
      </c>
      <c r="J288" s="34" t="s">
        <v>2367</v>
      </c>
      <c r="K288" s="34" t="s">
        <v>41</v>
      </c>
      <c r="L288" s="39" t="s">
        <v>42</v>
      </c>
      <c r="M288" s="120">
        <v>35040</v>
      </c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2" t="s">
        <v>2368</v>
      </c>
      <c r="Z288" s="69" t="s">
        <v>2369</v>
      </c>
      <c r="AA288" s="44" t="s">
        <v>61</v>
      </c>
      <c r="AB288" s="45">
        <v>36641</v>
      </c>
      <c r="AC288" s="101" t="s">
        <v>30</v>
      </c>
      <c r="AD288" s="36" t="s">
        <v>26</v>
      </c>
      <c r="AE288" s="47" t="s">
        <v>49</v>
      </c>
      <c r="AF288" s="48" t="s">
        <v>49</v>
      </c>
      <c r="AG288" s="48" t="s">
        <v>49</v>
      </c>
      <c r="AH288" s="48" t="s">
        <v>49</v>
      </c>
      <c r="AI288" s="48" t="s">
        <v>49</v>
      </c>
      <c r="AJ288" s="48" t="s">
        <v>49</v>
      </c>
      <c r="AK288" s="49" t="s">
        <v>49</v>
      </c>
      <c r="AL288" s="48" t="s">
        <v>49</v>
      </c>
      <c r="AM288" s="62" t="s">
        <v>32</v>
      </c>
      <c r="AN288" s="62"/>
      <c r="AO288" s="59"/>
      <c r="AP288" s="10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1"/>
    </row>
    <row r="289" spans="1:53" x14ac:dyDescent="0.2">
      <c r="A289" s="33">
        <f t="shared" si="5"/>
        <v>284</v>
      </c>
      <c r="B289" s="34" t="s">
        <v>4696</v>
      </c>
      <c r="C289" s="35" t="s">
        <v>4697</v>
      </c>
      <c r="D289" s="36" t="s">
        <v>4698</v>
      </c>
      <c r="E289" s="36"/>
      <c r="F289" s="36" t="s">
        <v>36</v>
      </c>
      <c r="G289" s="34" t="s">
        <v>4699</v>
      </c>
      <c r="H289" s="37" t="s">
        <v>205</v>
      </c>
      <c r="I289" s="37" t="s">
        <v>205</v>
      </c>
      <c r="J289" s="38" t="s">
        <v>4700</v>
      </c>
      <c r="K289" s="34" t="s">
        <v>41</v>
      </c>
      <c r="L289" s="39" t="s">
        <v>42</v>
      </c>
      <c r="M289" s="120">
        <v>46148</v>
      </c>
      <c r="N289" s="41" t="s">
        <v>179</v>
      </c>
      <c r="O289" s="41" t="s">
        <v>179</v>
      </c>
      <c r="P289" s="41"/>
      <c r="Q289" s="41"/>
      <c r="R289" s="41"/>
      <c r="S289" s="41"/>
      <c r="T289" s="41"/>
      <c r="U289" s="41"/>
      <c r="V289" s="41"/>
      <c r="W289" s="41"/>
      <c r="X289" s="41" t="s">
        <v>44</v>
      </c>
      <c r="Y289" s="42" t="s">
        <v>4701</v>
      </c>
      <c r="Z289" s="332" t="s">
        <v>4702</v>
      </c>
      <c r="AA289" s="44"/>
      <c r="AB289" s="45"/>
      <c r="AC289" s="101"/>
      <c r="AD289" s="36"/>
      <c r="AE289" s="47" t="s">
        <v>49</v>
      </c>
      <c r="AF289" s="48" t="s">
        <v>41</v>
      </c>
      <c r="AG289" s="48" t="s">
        <v>41</v>
      </c>
      <c r="AH289" s="48" t="s">
        <v>41</v>
      </c>
      <c r="AI289" s="48" t="s">
        <v>41</v>
      </c>
      <c r="AJ289" s="48" t="s">
        <v>41</v>
      </c>
      <c r="AK289" s="49" t="s">
        <v>41</v>
      </c>
      <c r="AL289" s="48" t="s">
        <v>49</v>
      </c>
      <c r="AM289" s="62" t="s">
        <v>32</v>
      </c>
      <c r="AN289" s="62"/>
      <c r="AO289" s="59"/>
      <c r="AP289" s="10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1"/>
    </row>
    <row r="290" spans="1:53" x14ac:dyDescent="0.2">
      <c r="A290" s="33">
        <f t="shared" si="5"/>
        <v>285</v>
      </c>
      <c r="B290" s="108" t="s">
        <v>2370</v>
      </c>
      <c r="C290" s="35" t="s">
        <v>2371</v>
      </c>
      <c r="D290" s="174" t="s">
        <v>2372</v>
      </c>
      <c r="E290" s="341">
        <v>26726</v>
      </c>
      <c r="F290" s="36" t="s">
        <v>54</v>
      </c>
      <c r="G290" s="108" t="s">
        <v>2373</v>
      </c>
      <c r="H290" s="37" t="s">
        <v>456</v>
      </c>
      <c r="I290" s="37" t="s">
        <v>187</v>
      </c>
      <c r="J290" s="108" t="s">
        <v>2374</v>
      </c>
      <c r="K290" s="108" t="s">
        <v>2374</v>
      </c>
      <c r="L290" s="39" t="s">
        <v>42</v>
      </c>
      <c r="M290" s="120" t="s">
        <v>2375</v>
      </c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42" t="s">
        <v>2376</v>
      </c>
      <c r="Z290" s="52" t="s">
        <v>2377</v>
      </c>
      <c r="AA290" s="44" t="s">
        <v>2378</v>
      </c>
      <c r="AB290" s="45">
        <v>42935</v>
      </c>
      <c r="AC290" s="101" t="s">
        <v>30</v>
      </c>
      <c r="AD290" s="109" t="s">
        <v>26</v>
      </c>
      <c r="AE290" s="47" t="s">
        <v>49</v>
      </c>
      <c r="AF290" s="48" t="s">
        <v>49</v>
      </c>
      <c r="AG290" s="48" t="s">
        <v>49</v>
      </c>
      <c r="AH290" s="48" t="s">
        <v>49</v>
      </c>
      <c r="AI290" s="48" t="s">
        <v>49</v>
      </c>
      <c r="AJ290" s="48" t="s">
        <v>49</v>
      </c>
      <c r="AK290" s="49" t="s">
        <v>49</v>
      </c>
      <c r="AL290" s="48" t="s">
        <v>49</v>
      </c>
      <c r="AM290" s="65" t="s">
        <v>32</v>
      </c>
      <c r="AN290" s="65"/>
      <c r="AO290" s="59"/>
      <c r="AP290" s="10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1"/>
    </row>
    <row r="291" spans="1:53" x14ac:dyDescent="0.2">
      <c r="A291" s="33">
        <f t="shared" si="5"/>
        <v>286</v>
      </c>
      <c r="B291" s="139" t="s">
        <v>4643</v>
      </c>
      <c r="C291" s="35" t="s">
        <v>4644</v>
      </c>
      <c r="D291" s="174" t="s">
        <v>4645</v>
      </c>
      <c r="E291" s="341">
        <v>31799</v>
      </c>
      <c r="F291" s="36" t="s">
        <v>54</v>
      </c>
      <c r="G291" s="185" t="s">
        <v>4646</v>
      </c>
      <c r="H291" s="37" t="s">
        <v>176</v>
      </c>
      <c r="I291" s="37" t="s">
        <v>39</v>
      </c>
      <c r="J291" s="140" t="s">
        <v>4647</v>
      </c>
      <c r="K291" s="139" t="s">
        <v>41</v>
      </c>
      <c r="L291" s="39" t="s">
        <v>42</v>
      </c>
      <c r="M291" s="120">
        <v>42456</v>
      </c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 t="s">
        <v>44</v>
      </c>
      <c r="Y291" s="42" t="s">
        <v>4648</v>
      </c>
      <c r="Z291" s="312" t="s">
        <v>4649</v>
      </c>
      <c r="AA291" s="44"/>
      <c r="AB291" s="45"/>
      <c r="AC291" s="101"/>
      <c r="AD291" s="109"/>
      <c r="AE291" s="47" t="s">
        <v>49</v>
      </c>
      <c r="AF291" s="48" t="s">
        <v>41</v>
      </c>
      <c r="AG291" s="48" t="s">
        <v>41</v>
      </c>
      <c r="AH291" s="48" t="s">
        <v>41</v>
      </c>
      <c r="AI291" s="48" t="s">
        <v>41</v>
      </c>
      <c r="AJ291" s="48" t="s">
        <v>41</v>
      </c>
      <c r="AK291" s="48" t="s">
        <v>41</v>
      </c>
      <c r="AL291" s="48" t="s">
        <v>49</v>
      </c>
      <c r="AM291" s="65" t="s">
        <v>32</v>
      </c>
      <c r="AN291" s="65"/>
      <c r="AO291" s="59"/>
      <c r="AP291" s="10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1"/>
    </row>
    <row r="292" spans="1:53" x14ac:dyDescent="0.2">
      <c r="A292" s="33">
        <f t="shared" si="5"/>
        <v>287</v>
      </c>
      <c r="B292" s="108" t="s">
        <v>2379</v>
      </c>
      <c r="C292" s="35" t="s">
        <v>2380</v>
      </c>
      <c r="D292" s="174" t="s">
        <v>2381</v>
      </c>
      <c r="E292" s="341">
        <v>34951</v>
      </c>
      <c r="F292" s="36" t="s">
        <v>36</v>
      </c>
      <c r="G292" s="185" t="s">
        <v>2382</v>
      </c>
      <c r="H292" s="37" t="s">
        <v>176</v>
      </c>
      <c r="I292" s="37" t="s">
        <v>39</v>
      </c>
      <c r="J292" s="140" t="s">
        <v>2383</v>
      </c>
      <c r="K292" s="139" t="s">
        <v>41</v>
      </c>
      <c r="L292" s="39" t="s">
        <v>42</v>
      </c>
      <c r="M292" s="120">
        <v>45079</v>
      </c>
      <c r="N292" s="56" t="s">
        <v>179</v>
      </c>
      <c r="O292" s="56" t="s">
        <v>179</v>
      </c>
      <c r="P292" s="56"/>
      <c r="Q292" s="56">
        <v>2</v>
      </c>
      <c r="R292" s="56" t="s">
        <v>942</v>
      </c>
      <c r="S292" s="56"/>
      <c r="T292" s="56"/>
      <c r="U292" s="56" t="s">
        <v>44</v>
      </c>
      <c r="V292" s="56"/>
      <c r="W292" s="56"/>
      <c r="X292" s="56"/>
      <c r="Y292" s="42" t="s">
        <v>2384</v>
      </c>
      <c r="Z292" s="55" t="s">
        <v>2385</v>
      </c>
      <c r="AA292" s="55"/>
      <c r="AB292" s="55" t="s">
        <v>47</v>
      </c>
      <c r="AC292" s="101"/>
      <c r="AD292" s="109"/>
      <c r="AE292" s="47" t="s">
        <v>49</v>
      </c>
      <c r="AF292" s="48" t="s">
        <v>41</v>
      </c>
      <c r="AG292" s="48" t="s">
        <v>41</v>
      </c>
      <c r="AH292" s="48" t="s">
        <v>41</v>
      </c>
      <c r="AI292" s="48" t="s">
        <v>49</v>
      </c>
      <c r="AJ292" s="48" t="s">
        <v>41</v>
      </c>
      <c r="AK292" s="49" t="s">
        <v>41</v>
      </c>
      <c r="AL292" s="48" t="s">
        <v>41</v>
      </c>
      <c r="AM292" s="62" t="s">
        <v>4589</v>
      </c>
      <c r="AN292" s="62"/>
      <c r="AO292" s="59"/>
      <c r="AP292" s="10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1"/>
    </row>
    <row r="293" spans="1:53" x14ac:dyDescent="0.2">
      <c r="A293" s="33">
        <f t="shared" si="5"/>
        <v>288</v>
      </c>
      <c r="B293" s="108" t="s">
        <v>2386</v>
      </c>
      <c r="C293" s="35" t="s">
        <v>2387</v>
      </c>
      <c r="D293" s="174" t="s">
        <v>2388</v>
      </c>
      <c r="E293" s="341">
        <v>34966</v>
      </c>
      <c r="F293" s="36" t="s">
        <v>54</v>
      </c>
      <c r="G293" s="108" t="s">
        <v>2389</v>
      </c>
      <c r="H293" s="37" t="s">
        <v>73</v>
      </c>
      <c r="I293" s="37" t="s">
        <v>73</v>
      </c>
      <c r="J293" s="145" t="s">
        <v>2390</v>
      </c>
      <c r="K293" s="108" t="s">
        <v>41</v>
      </c>
      <c r="L293" s="39" t="s">
        <v>42</v>
      </c>
      <c r="M293" s="120">
        <v>45852</v>
      </c>
      <c r="N293" s="56"/>
      <c r="O293" s="56"/>
      <c r="P293" s="56"/>
      <c r="Q293" s="56"/>
      <c r="R293" s="56"/>
      <c r="S293" s="56"/>
      <c r="T293" s="56"/>
      <c r="U293" s="56"/>
      <c r="V293" s="56"/>
      <c r="W293" s="56" t="s">
        <v>44</v>
      </c>
      <c r="X293" s="56"/>
      <c r="Y293" s="42" t="s">
        <v>2391</v>
      </c>
      <c r="Z293" s="43" t="s">
        <v>2392</v>
      </c>
      <c r="AA293" s="55"/>
      <c r="AB293" s="55"/>
      <c r="AC293" s="101"/>
      <c r="AD293" s="109"/>
      <c r="AE293" s="47" t="s">
        <v>49</v>
      </c>
      <c r="AF293" s="48" t="s">
        <v>41</v>
      </c>
      <c r="AG293" s="48" t="s">
        <v>41</v>
      </c>
      <c r="AH293" s="48" t="s">
        <v>41</v>
      </c>
      <c r="AI293" s="48" t="s">
        <v>41</v>
      </c>
      <c r="AJ293" s="48" t="s">
        <v>41</v>
      </c>
      <c r="AK293" s="49" t="s">
        <v>49</v>
      </c>
      <c r="AL293" s="48" t="s">
        <v>49</v>
      </c>
      <c r="AM293" s="62" t="s">
        <v>32</v>
      </c>
      <c r="AN293" s="62"/>
      <c r="AO293" s="59"/>
      <c r="AP293" s="10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1"/>
    </row>
    <row r="294" spans="1:53" x14ac:dyDescent="0.2">
      <c r="A294" s="33">
        <f t="shared" si="5"/>
        <v>289</v>
      </c>
      <c r="B294" s="107" t="s">
        <v>2393</v>
      </c>
      <c r="C294" s="35" t="s">
        <v>2394</v>
      </c>
      <c r="D294" s="36" t="s">
        <v>2395</v>
      </c>
      <c r="E294" s="36"/>
      <c r="F294" s="36" t="s">
        <v>54</v>
      </c>
      <c r="G294" s="98" t="s">
        <v>2396</v>
      </c>
      <c r="H294" s="37" t="s">
        <v>56</v>
      </c>
      <c r="I294" s="37" t="s">
        <v>57</v>
      </c>
      <c r="J294" s="54" t="s">
        <v>2397</v>
      </c>
      <c r="K294" s="183" t="s">
        <v>41</v>
      </c>
      <c r="L294" s="39" t="s">
        <v>42</v>
      </c>
      <c r="M294" s="120" t="s">
        <v>390</v>
      </c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42" t="s">
        <v>2398</v>
      </c>
      <c r="Z294" s="69" t="s">
        <v>2399</v>
      </c>
      <c r="AA294" s="44" t="s">
        <v>2400</v>
      </c>
      <c r="AB294" s="45">
        <v>43200</v>
      </c>
      <c r="AC294" s="101" t="s">
        <v>30</v>
      </c>
      <c r="AD294" s="73"/>
      <c r="AE294" s="47" t="s">
        <v>49</v>
      </c>
      <c r="AF294" s="48" t="s">
        <v>41</v>
      </c>
      <c r="AG294" s="48" t="s">
        <v>41</v>
      </c>
      <c r="AH294" s="48" t="s">
        <v>41</v>
      </c>
      <c r="AI294" s="48" t="s">
        <v>41</v>
      </c>
      <c r="AJ294" s="48" t="s">
        <v>41</v>
      </c>
      <c r="AK294" s="49" t="s">
        <v>41</v>
      </c>
      <c r="AL294" s="48" t="s">
        <v>41</v>
      </c>
      <c r="AM294" s="65" t="s">
        <v>4592</v>
      </c>
      <c r="AN294" s="65"/>
      <c r="AO294" s="59"/>
      <c r="AP294" s="10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1"/>
    </row>
    <row r="295" spans="1:53" x14ac:dyDescent="0.2">
      <c r="A295" s="33">
        <f t="shared" si="5"/>
        <v>290</v>
      </c>
      <c r="B295" s="34" t="s">
        <v>2401</v>
      </c>
      <c r="C295" s="35" t="s">
        <v>2402</v>
      </c>
      <c r="D295" s="36" t="s">
        <v>2403</v>
      </c>
      <c r="E295" s="334">
        <v>29278</v>
      </c>
      <c r="F295" s="36" t="s">
        <v>54</v>
      </c>
      <c r="G295" s="98" t="s">
        <v>2404</v>
      </c>
      <c r="H295" s="37" t="s">
        <v>214</v>
      </c>
      <c r="I295" s="37" t="s">
        <v>205</v>
      </c>
      <c r="J295" s="42" t="s">
        <v>2405</v>
      </c>
      <c r="K295" s="38" t="s">
        <v>41</v>
      </c>
      <c r="L295" s="39" t="s">
        <v>42</v>
      </c>
      <c r="M295" s="120">
        <v>42223</v>
      </c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42" t="s">
        <v>2405</v>
      </c>
      <c r="Z295" s="69" t="s">
        <v>2406</v>
      </c>
      <c r="AA295" s="44" t="s">
        <v>2407</v>
      </c>
      <c r="AB295" s="45">
        <v>42325</v>
      </c>
      <c r="AC295" s="101" t="s">
        <v>30</v>
      </c>
      <c r="AD295" s="73" t="s">
        <v>26</v>
      </c>
      <c r="AE295" s="47" t="s">
        <v>49</v>
      </c>
      <c r="AF295" s="48" t="s">
        <v>49</v>
      </c>
      <c r="AG295" s="48" t="s">
        <v>49</v>
      </c>
      <c r="AH295" s="48" t="s">
        <v>49</v>
      </c>
      <c r="AI295" s="48" t="s">
        <v>49</v>
      </c>
      <c r="AJ295" s="48" t="s">
        <v>49</v>
      </c>
      <c r="AK295" s="49" t="s">
        <v>41</v>
      </c>
      <c r="AL295" s="48" t="s">
        <v>41</v>
      </c>
      <c r="AM295" s="62" t="s">
        <v>276</v>
      </c>
      <c r="AN295" s="62"/>
      <c r="AO295" s="59"/>
      <c r="AP295" s="10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1"/>
    </row>
    <row r="296" spans="1:53" x14ac:dyDescent="0.2">
      <c r="A296" s="33">
        <f t="shared" si="5"/>
        <v>291</v>
      </c>
      <c r="B296" s="34" t="s">
        <v>2408</v>
      </c>
      <c r="C296" s="35" t="s">
        <v>2409</v>
      </c>
      <c r="D296" s="36" t="s">
        <v>2410</v>
      </c>
      <c r="E296" s="36"/>
      <c r="F296" s="36" t="s">
        <v>36</v>
      </c>
      <c r="G296" s="34" t="s">
        <v>2411</v>
      </c>
      <c r="H296" s="37" t="s">
        <v>349</v>
      </c>
      <c r="I296" s="37" t="s">
        <v>350</v>
      </c>
      <c r="J296" s="34" t="s">
        <v>2412</v>
      </c>
      <c r="K296" s="34" t="s">
        <v>41</v>
      </c>
      <c r="L296" s="39" t="s">
        <v>42</v>
      </c>
      <c r="M296" s="99" t="s">
        <v>2413</v>
      </c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42" t="s">
        <v>2414</v>
      </c>
      <c r="Z296" s="58" t="s">
        <v>2415</v>
      </c>
      <c r="AA296" s="44" t="s">
        <v>2416</v>
      </c>
      <c r="AB296" s="45">
        <v>41793</v>
      </c>
      <c r="AC296" s="101" t="s">
        <v>30</v>
      </c>
      <c r="AD296" s="36"/>
      <c r="AE296" s="47" t="s">
        <v>49</v>
      </c>
      <c r="AF296" s="48" t="s">
        <v>41</v>
      </c>
      <c r="AG296" s="48" t="s">
        <v>41</v>
      </c>
      <c r="AH296" s="48" t="s">
        <v>41</v>
      </c>
      <c r="AI296" s="48" t="s">
        <v>41</v>
      </c>
      <c r="AJ296" s="48" t="s">
        <v>41</v>
      </c>
      <c r="AK296" s="49" t="s">
        <v>41</v>
      </c>
      <c r="AL296" s="48" t="s">
        <v>41</v>
      </c>
      <c r="AM296" s="65" t="s">
        <v>4588</v>
      </c>
      <c r="AN296" s="65"/>
      <c r="AO296" s="59"/>
      <c r="AP296" s="117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1"/>
    </row>
    <row r="297" spans="1:53" x14ac:dyDescent="0.2">
      <c r="A297" s="33">
        <f t="shared" si="5"/>
        <v>292</v>
      </c>
      <c r="B297" s="34" t="s">
        <v>2417</v>
      </c>
      <c r="C297" s="35" t="s">
        <v>2418</v>
      </c>
      <c r="D297" s="36" t="s">
        <v>2419</v>
      </c>
      <c r="E297" s="334">
        <v>35656</v>
      </c>
      <c r="F297" s="36" t="s">
        <v>54</v>
      </c>
      <c r="G297" s="34" t="s">
        <v>2420</v>
      </c>
      <c r="H297" s="37" t="s">
        <v>243</v>
      </c>
      <c r="I297" s="37" t="s">
        <v>205</v>
      </c>
      <c r="J297" s="38" t="s">
        <v>2421</v>
      </c>
      <c r="K297" s="34" t="s">
        <v>41</v>
      </c>
      <c r="L297" s="39" t="s">
        <v>42</v>
      </c>
      <c r="M297" s="120">
        <v>45052</v>
      </c>
      <c r="N297" s="56"/>
      <c r="O297" s="56"/>
      <c r="P297" s="56"/>
      <c r="Q297" s="56"/>
      <c r="R297" s="56"/>
      <c r="S297" s="56"/>
      <c r="T297" s="56"/>
      <c r="U297" s="56" t="s">
        <v>44</v>
      </c>
      <c r="V297" s="56"/>
      <c r="W297" s="56"/>
      <c r="X297" s="56"/>
      <c r="Y297" s="42" t="s">
        <v>2422</v>
      </c>
      <c r="Z297" s="58" t="s">
        <v>2423</v>
      </c>
      <c r="AA297" s="44"/>
      <c r="AB297" s="45">
        <v>45642</v>
      </c>
      <c r="AC297" s="101"/>
      <c r="AD297" s="36"/>
      <c r="AE297" s="47" t="s">
        <v>49</v>
      </c>
      <c r="AF297" s="48" t="s">
        <v>41</v>
      </c>
      <c r="AG297" s="48" t="s">
        <v>41</v>
      </c>
      <c r="AH297" s="48" t="s">
        <v>41</v>
      </c>
      <c r="AI297" s="48" t="s">
        <v>49</v>
      </c>
      <c r="AJ297" s="48" t="s">
        <v>49</v>
      </c>
      <c r="AK297" s="49" t="s">
        <v>49</v>
      </c>
      <c r="AL297" s="48" t="s">
        <v>49</v>
      </c>
      <c r="AM297" s="62" t="s">
        <v>32</v>
      </c>
      <c r="AN297" s="62"/>
      <c r="AO297" s="59"/>
      <c r="AP297" s="10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1"/>
    </row>
    <row r="298" spans="1:53" x14ac:dyDescent="0.2">
      <c r="A298" s="33">
        <f t="shared" si="5"/>
        <v>293</v>
      </c>
      <c r="B298" s="34" t="s">
        <v>2424</v>
      </c>
      <c r="C298" s="35" t="s">
        <v>2425</v>
      </c>
      <c r="D298" s="36" t="s">
        <v>2426</v>
      </c>
      <c r="E298" s="334">
        <v>29196</v>
      </c>
      <c r="F298" s="36" t="s">
        <v>54</v>
      </c>
      <c r="G298" s="34" t="s">
        <v>2427</v>
      </c>
      <c r="H298" s="37" t="s">
        <v>349</v>
      </c>
      <c r="I298" s="37" t="s">
        <v>350</v>
      </c>
      <c r="J298" s="38" t="s">
        <v>2428</v>
      </c>
      <c r="K298" s="34" t="s">
        <v>41</v>
      </c>
      <c r="L298" s="39" t="s">
        <v>42</v>
      </c>
      <c r="M298" s="120">
        <v>40853</v>
      </c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2" t="s">
        <v>2429</v>
      </c>
      <c r="Z298" s="69" t="s">
        <v>2430</v>
      </c>
      <c r="AA298" s="44" t="s">
        <v>2431</v>
      </c>
      <c r="AB298" s="45">
        <v>41803</v>
      </c>
      <c r="AC298" s="101" t="s">
        <v>30</v>
      </c>
      <c r="AD298" s="36" t="s">
        <v>26</v>
      </c>
      <c r="AE298" s="47" t="s">
        <v>49</v>
      </c>
      <c r="AF298" s="48" t="s">
        <v>49</v>
      </c>
      <c r="AG298" s="48" t="s">
        <v>49</v>
      </c>
      <c r="AH298" s="48" t="s">
        <v>49</v>
      </c>
      <c r="AI298" s="48" t="s">
        <v>49</v>
      </c>
      <c r="AJ298" s="48" t="s">
        <v>49</v>
      </c>
      <c r="AK298" s="49" t="s">
        <v>49</v>
      </c>
      <c r="AL298" s="48" t="s">
        <v>49</v>
      </c>
      <c r="AM298" s="62" t="s">
        <v>32</v>
      </c>
      <c r="AN298" s="62"/>
      <c r="AO298" s="59"/>
      <c r="AP298" s="10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1"/>
    </row>
    <row r="299" spans="1:53" x14ac:dyDescent="0.2">
      <c r="A299" s="33">
        <f t="shared" si="5"/>
        <v>294</v>
      </c>
      <c r="B299" s="34" t="s">
        <v>2432</v>
      </c>
      <c r="C299" s="35" t="s">
        <v>2433</v>
      </c>
      <c r="D299" s="36" t="s">
        <v>2434</v>
      </c>
      <c r="E299" s="334">
        <v>27882</v>
      </c>
      <c r="F299" s="36" t="s">
        <v>54</v>
      </c>
      <c r="G299" s="34" t="s">
        <v>2435</v>
      </c>
      <c r="H299" s="37" t="s">
        <v>1285</v>
      </c>
      <c r="I299" s="37" t="s">
        <v>350</v>
      </c>
      <c r="J299" s="34" t="s">
        <v>2436</v>
      </c>
      <c r="K299" s="34" t="s">
        <v>41</v>
      </c>
      <c r="L299" s="39" t="s">
        <v>42</v>
      </c>
      <c r="M299" s="99" t="s">
        <v>2437</v>
      </c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2" t="s">
        <v>2438</v>
      </c>
      <c r="Z299" s="69" t="s">
        <v>2439</v>
      </c>
      <c r="AA299" s="119" t="s">
        <v>61</v>
      </c>
      <c r="AB299" s="45">
        <v>38593</v>
      </c>
      <c r="AC299" s="101" t="s">
        <v>30</v>
      </c>
      <c r="AD299" s="73" t="s">
        <v>26</v>
      </c>
      <c r="AE299" s="47" t="s">
        <v>49</v>
      </c>
      <c r="AF299" s="48" t="s">
        <v>49</v>
      </c>
      <c r="AG299" s="48" t="s">
        <v>49</v>
      </c>
      <c r="AH299" s="48" t="s">
        <v>49</v>
      </c>
      <c r="AI299" s="48" t="s">
        <v>49</v>
      </c>
      <c r="AJ299" s="48" t="s">
        <v>49</v>
      </c>
      <c r="AK299" s="49" t="s">
        <v>49</v>
      </c>
      <c r="AL299" s="48" t="s">
        <v>49</v>
      </c>
      <c r="AM299" s="65" t="s">
        <v>32</v>
      </c>
      <c r="AN299" s="65"/>
      <c r="AO299" s="59"/>
      <c r="AP299" s="10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1"/>
    </row>
    <row r="300" spans="1:53" x14ac:dyDescent="0.2">
      <c r="A300" s="33">
        <f t="shared" si="5"/>
        <v>295</v>
      </c>
      <c r="B300" s="34" t="s">
        <v>2440</v>
      </c>
      <c r="C300" s="35" t="s">
        <v>2441</v>
      </c>
      <c r="D300" s="36" t="s">
        <v>2442</v>
      </c>
      <c r="E300" s="334">
        <v>30841</v>
      </c>
      <c r="F300" s="36" t="s">
        <v>54</v>
      </c>
      <c r="G300" s="98" t="s">
        <v>2443</v>
      </c>
      <c r="H300" s="37" t="s">
        <v>73</v>
      </c>
      <c r="I300" s="37" t="s">
        <v>73</v>
      </c>
      <c r="J300" s="34" t="s">
        <v>2444</v>
      </c>
      <c r="K300" s="34" t="s">
        <v>41</v>
      </c>
      <c r="L300" s="39" t="s">
        <v>42</v>
      </c>
      <c r="M300" s="120">
        <v>44354</v>
      </c>
      <c r="N300" s="56"/>
      <c r="O300" s="56"/>
      <c r="P300" s="56"/>
      <c r="Q300" s="56"/>
      <c r="R300" s="56"/>
      <c r="S300" s="56" t="s">
        <v>44</v>
      </c>
      <c r="T300" s="56"/>
      <c r="U300" s="56"/>
      <c r="V300" s="56"/>
      <c r="W300" s="56"/>
      <c r="X300" s="56"/>
      <c r="Y300" s="42" t="s">
        <v>2445</v>
      </c>
      <c r="Z300" s="58" t="s">
        <v>2446</v>
      </c>
      <c r="AA300" s="84" t="s">
        <v>2447</v>
      </c>
      <c r="AB300" s="45">
        <v>44650</v>
      </c>
      <c r="AC300" s="101" t="s">
        <v>30</v>
      </c>
      <c r="AD300" s="73"/>
      <c r="AE300" s="64" t="s">
        <v>120</v>
      </c>
      <c r="AF300" s="48" t="s">
        <v>41</v>
      </c>
      <c r="AG300" s="48" t="s">
        <v>120</v>
      </c>
      <c r="AH300" s="48" t="s">
        <v>120</v>
      </c>
      <c r="AI300" s="48" t="s">
        <v>120</v>
      </c>
      <c r="AJ300" s="48" t="s">
        <v>120</v>
      </c>
      <c r="AK300" s="49" t="s">
        <v>120</v>
      </c>
      <c r="AL300" s="48" t="s">
        <v>120</v>
      </c>
      <c r="AM300" s="62" t="s">
        <v>32</v>
      </c>
      <c r="AN300" s="62"/>
      <c r="AO300" s="59"/>
      <c r="AP300" s="10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1"/>
    </row>
    <row r="301" spans="1:53" x14ac:dyDescent="0.2">
      <c r="A301" s="33">
        <f t="shared" si="5"/>
        <v>296</v>
      </c>
      <c r="B301" s="34" t="s">
        <v>2448</v>
      </c>
      <c r="C301" s="35" t="s">
        <v>2449</v>
      </c>
      <c r="D301" s="36" t="s">
        <v>2450</v>
      </c>
      <c r="E301" s="334">
        <v>31906</v>
      </c>
      <c r="F301" s="36" t="s">
        <v>54</v>
      </c>
      <c r="G301" s="98" t="s">
        <v>4576</v>
      </c>
      <c r="H301" s="37" t="s">
        <v>73</v>
      </c>
      <c r="I301" s="37" t="s">
        <v>73</v>
      </c>
      <c r="J301" s="34" t="s">
        <v>2444</v>
      </c>
      <c r="K301" s="34" t="s">
        <v>2451</v>
      </c>
      <c r="L301" s="39" t="s">
        <v>42</v>
      </c>
      <c r="M301" s="120">
        <v>32913</v>
      </c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42" t="s">
        <v>2452</v>
      </c>
      <c r="Z301" s="58" t="s">
        <v>2453</v>
      </c>
      <c r="AA301" s="121" t="s">
        <v>2454</v>
      </c>
      <c r="AB301" s="45">
        <v>44650</v>
      </c>
      <c r="AC301" s="101" t="s">
        <v>30</v>
      </c>
      <c r="AD301" s="73" t="s">
        <v>26</v>
      </c>
      <c r="AE301" s="64" t="s">
        <v>120</v>
      </c>
      <c r="AF301" s="48" t="s">
        <v>120</v>
      </c>
      <c r="AG301" s="48" t="s">
        <v>120</v>
      </c>
      <c r="AH301" s="48" t="s">
        <v>120</v>
      </c>
      <c r="AI301" s="48" t="s">
        <v>120</v>
      </c>
      <c r="AJ301" s="48" t="s">
        <v>120</v>
      </c>
      <c r="AK301" s="49" t="s">
        <v>120</v>
      </c>
      <c r="AL301" s="48" t="s">
        <v>120</v>
      </c>
      <c r="AM301" s="62" t="s">
        <v>32</v>
      </c>
      <c r="AN301" s="62"/>
      <c r="AO301" s="59"/>
      <c r="AP301" s="102"/>
      <c r="AQ301" s="32"/>
      <c r="AR301" s="220"/>
      <c r="AS301" s="32"/>
      <c r="AT301" s="32"/>
      <c r="AU301" s="32"/>
      <c r="AV301" s="32"/>
      <c r="AW301" s="32"/>
      <c r="AX301" s="32"/>
      <c r="AY301" s="32"/>
      <c r="AZ301" s="32"/>
      <c r="BA301" s="31"/>
    </row>
    <row r="302" spans="1:53" x14ac:dyDescent="0.2">
      <c r="A302" s="33">
        <f t="shared" si="5"/>
        <v>297</v>
      </c>
      <c r="B302" s="34" t="s">
        <v>2455</v>
      </c>
      <c r="C302" s="35" t="s">
        <v>2456</v>
      </c>
      <c r="D302" s="36" t="s">
        <v>2457</v>
      </c>
      <c r="E302" s="334">
        <v>22740</v>
      </c>
      <c r="F302" s="36" t="s">
        <v>54</v>
      </c>
      <c r="G302" s="34" t="s">
        <v>2458</v>
      </c>
      <c r="H302" s="37" t="s">
        <v>73</v>
      </c>
      <c r="I302" s="37" t="s">
        <v>73</v>
      </c>
      <c r="J302" s="34" t="s">
        <v>2459</v>
      </c>
      <c r="K302" s="34" t="s">
        <v>41</v>
      </c>
      <c r="L302" s="39" t="s">
        <v>42</v>
      </c>
      <c r="M302" s="99" t="s">
        <v>2460</v>
      </c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42" t="s">
        <v>2461</v>
      </c>
      <c r="Z302" s="52" t="s">
        <v>2462</v>
      </c>
      <c r="AA302" s="44" t="s">
        <v>2463</v>
      </c>
      <c r="AB302" s="45">
        <v>41793</v>
      </c>
      <c r="AC302" s="101" t="s">
        <v>30</v>
      </c>
      <c r="AD302" s="36" t="s">
        <v>26</v>
      </c>
      <c r="AE302" s="47" t="s">
        <v>49</v>
      </c>
      <c r="AF302" s="48" t="s">
        <v>49</v>
      </c>
      <c r="AG302" s="48" t="s">
        <v>49</v>
      </c>
      <c r="AH302" s="48" t="s">
        <v>49</v>
      </c>
      <c r="AI302" s="48" t="s">
        <v>49</v>
      </c>
      <c r="AJ302" s="48" t="s">
        <v>49</v>
      </c>
      <c r="AK302" s="49" t="s">
        <v>49</v>
      </c>
      <c r="AL302" s="48" t="s">
        <v>49</v>
      </c>
      <c r="AM302" s="62" t="s">
        <v>32</v>
      </c>
      <c r="AN302" s="62"/>
      <c r="AO302" s="59"/>
      <c r="AP302" s="10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1"/>
    </row>
    <row r="303" spans="1:53" x14ac:dyDescent="0.2">
      <c r="A303" s="33">
        <f t="shared" si="5"/>
        <v>298</v>
      </c>
      <c r="B303" s="34" t="s">
        <v>2464</v>
      </c>
      <c r="C303" s="35" t="s">
        <v>2465</v>
      </c>
      <c r="D303" s="36" t="s">
        <v>2466</v>
      </c>
      <c r="E303" s="334">
        <v>22086</v>
      </c>
      <c r="F303" s="36" t="s">
        <v>54</v>
      </c>
      <c r="G303" s="34" t="s">
        <v>2467</v>
      </c>
      <c r="H303" s="37" t="s">
        <v>243</v>
      </c>
      <c r="I303" s="37" t="s">
        <v>205</v>
      </c>
      <c r="J303" s="34" t="s">
        <v>2468</v>
      </c>
      <c r="K303" s="34" t="s">
        <v>41</v>
      </c>
      <c r="L303" s="39" t="s">
        <v>42</v>
      </c>
      <c r="M303" s="120">
        <v>36749</v>
      </c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2" t="s">
        <v>2469</v>
      </c>
      <c r="Z303" s="58" t="s">
        <v>2470</v>
      </c>
      <c r="AA303" s="44" t="s">
        <v>61</v>
      </c>
      <c r="AB303" s="45">
        <v>37877</v>
      </c>
      <c r="AC303" s="101" t="s">
        <v>30</v>
      </c>
      <c r="AD303" s="36" t="s">
        <v>26</v>
      </c>
      <c r="AE303" s="47" t="s">
        <v>49</v>
      </c>
      <c r="AF303" s="48" t="s">
        <v>49</v>
      </c>
      <c r="AG303" s="48" t="s">
        <v>49</v>
      </c>
      <c r="AH303" s="48" t="s">
        <v>49</v>
      </c>
      <c r="AI303" s="48" t="s">
        <v>49</v>
      </c>
      <c r="AJ303" s="48" t="s">
        <v>49</v>
      </c>
      <c r="AK303" s="49" t="s">
        <v>41</v>
      </c>
      <c r="AL303" s="48" t="s">
        <v>41</v>
      </c>
      <c r="AM303" s="62" t="s">
        <v>276</v>
      </c>
      <c r="AN303" s="62"/>
      <c r="AO303" s="59"/>
      <c r="AP303" s="10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1"/>
    </row>
    <row r="304" spans="1:53" x14ac:dyDescent="0.2">
      <c r="A304" s="33">
        <f t="shared" si="5"/>
        <v>299</v>
      </c>
      <c r="B304" s="34" t="s">
        <v>2471</v>
      </c>
      <c r="C304" s="35" t="s">
        <v>2472</v>
      </c>
      <c r="D304" s="36" t="s">
        <v>2473</v>
      </c>
      <c r="E304" s="334">
        <v>30387</v>
      </c>
      <c r="F304" s="36" t="s">
        <v>54</v>
      </c>
      <c r="G304" s="34" t="s">
        <v>2474</v>
      </c>
      <c r="H304" s="37" t="s">
        <v>958</v>
      </c>
      <c r="I304" s="37" t="s">
        <v>187</v>
      </c>
      <c r="J304" s="38" t="s">
        <v>2475</v>
      </c>
      <c r="K304" s="34" t="s">
        <v>41</v>
      </c>
      <c r="L304" s="39" t="s">
        <v>42</v>
      </c>
      <c r="M304" s="120" t="s">
        <v>2476</v>
      </c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42" t="s">
        <v>2477</v>
      </c>
      <c r="Z304" s="100" t="s">
        <v>2478</v>
      </c>
      <c r="AA304" s="44" t="s">
        <v>2479</v>
      </c>
      <c r="AB304" s="45">
        <v>44041</v>
      </c>
      <c r="AC304" s="101" t="s">
        <v>30</v>
      </c>
      <c r="AD304" s="36" t="s">
        <v>26</v>
      </c>
      <c r="AE304" s="61" t="s">
        <v>49</v>
      </c>
      <c r="AF304" s="48" t="s">
        <v>49</v>
      </c>
      <c r="AG304" s="48" t="s">
        <v>49</v>
      </c>
      <c r="AH304" s="48" t="s">
        <v>49</v>
      </c>
      <c r="AI304" s="48" t="s">
        <v>49</v>
      </c>
      <c r="AJ304" s="48" t="s">
        <v>49</v>
      </c>
      <c r="AK304" s="49" t="s">
        <v>49</v>
      </c>
      <c r="AL304" s="48" t="s">
        <v>49</v>
      </c>
      <c r="AM304" s="65" t="s">
        <v>32</v>
      </c>
      <c r="AN304" s="65"/>
      <c r="AO304" s="59"/>
      <c r="AP304" s="10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1"/>
    </row>
    <row r="305" spans="1:53" x14ac:dyDescent="0.2">
      <c r="A305" s="33">
        <f t="shared" si="5"/>
        <v>300</v>
      </c>
      <c r="B305" s="34" t="s">
        <v>2480</v>
      </c>
      <c r="C305" s="35" t="s">
        <v>2481</v>
      </c>
      <c r="D305" s="36" t="s">
        <v>2482</v>
      </c>
      <c r="E305" s="334">
        <v>29635</v>
      </c>
      <c r="F305" s="36" t="s">
        <v>36</v>
      </c>
      <c r="G305" s="34" t="s">
        <v>2483</v>
      </c>
      <c r="H305" s="37" t="s">
        <v>205</v>
      </c>
      <c r="I305" s="37" t="s">
        <v>205</v>
      </c>
      <c r="J305" s="38" t="s">
        <v>2484</v>
      </c>
      <c r="K305" s="34" t="s">
        <v>41</v>
      </c>
      <c r="L305" s="39" t="s">
        <v>42</v>
      </c>
      <c r="M305" s="120">
        <v>44137</v>
      </c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42" t="s">
        <v>2485</v>
      </c>
      <c r="Z305" s="100" t="s">
        <v>2486</v>
      </c>
      <c r="AA305" s="44" t="s">
        <v>2487</v>
      </c>
      <c r="AB305" s="45">
        <v>44041</v>
      </c>
      <c r="AC305" s="101" t="s">
        <v>30</v>
      </c>
      <c r="AD305" s="36" t="s">
        <v>26</v>
      </c>
      <c r="AE305" s="61" t="s">
        <v>49</v>
      </c>
      <c r="AF305" s="48" t="s">
        <v>49</v>
      </c>
      <c r="AG305" s="48" t="s">
        <v>49</v>
      </c>
      <c r="AH305" s="48" t="s">
        <v>49</v>
      </c>
      <c r="AI305" s="48" t="s">
        <v>49</v>
      </c>
      <c r="AJ305" s="48" t="s">
        <v>49</v>
      </c>
      <c r="AK305" s="49" t="s">
        <v>49</v>
      </c>
      <c r="AL305" s="48" t="s">
        <v>49</v>
      </c>
      <c r="AM305" s="62" t="s">
        <v>32</v>
      </c>
      <c r="AN305" s="62"/>
      <c r="AO305" s="59"/>
      <c r="AP305" s="10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1"/>
    </row>
    <row r="306" spans="1:53" x14ac:dyDescent="0.2">
      <c r="A306" s="33">
        <f t="shared" si="5"/>
        <v>301</v>
      </c>
      <c r="B306" s="34" t="s">
        <v>2488</v>
      </c>
      <c r="C306" s="35" t="s">
        <v>2489</v>
      </c>
      <c r="D306" s="36" t="s">
        <v>2490</v>
      </c>
      <c r="E306" s="36"/>
      <c r="F306" s="36" t="s">
        <v>36</v>
      </c>
      <c r="G306" s="34" t="s">
        <v>2491</v>
      </c>
      <c r="H306" s="37" t="s">
        <v>73</v>
      </c>
      <c r="I306" s="37" t="s">
        <v>73</v>
      </c>
      <c r="J306" s="34" t="s">
        <v>2492</v>
      </c>
      <c r="K306" s="34" t="s">
        <v>2492</v>
      </c>
      <c r="L306" s="39" t="s">
        <v>42</v>
      </c>
      <c r="M306" s="99" t="s">
        <v>2493</v>
      </c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42" t="s">
        <v>2494</v>
      </c>
      <c r="Z306" s="100" t="s">
        <v>2495</v>
      </c>
      <c r="AA306" s="44" t="s">
        <v>61</v>
      </c>
      <c r="AB306" s="45">
        <v>36641</v>
      </c>
      <c r="AC306" s="101" t="s">
        <v>30</v>
      </c>
      <c r="AD306" s="36" t="s">
        <v>26</v>
      </c>
      <c r="AE306" s="61" t="s">
        <v>49</v>
      </c>
      <c r="AF306" s="48" t="s">
        <v>49</v>
      </c>
      <c r="AG306" s="48" t="s">
        <v>49</v>
      </c>
      <c r="AH306" s="48" t="s">
        <v>49</v>
      </c>
      <c r="AI306" s="48" t="s">
        <v>41</v>
      </c>
      <c r="AJ306" s="48" t="s">
        <v>41</v>
      </c>
      <c r="AK306" s="49" t="s">
        <v>41</v>
      </c>
      <c r="AL306" s="48" t="s">
        <v>41</v>
      </c>
      <c r="AM306" s="62" t="s">
        <v>139</v>
      </c>
      <c r="AN306" s="62"/>
      <c r="AO306" s="59"/>
      <c r="AP306" s="10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1"/>
    </row>
    <row r="307" spans="1:53" x14ac:dyDescent="0.2">
      <c r="A307" s="33">
        <f t="shared" si="5"/>
        <v>302</v>
      </c>
      <c r="B307" s="34" t="s">
        <v>2496</v>
      </c>
      <c r="C307" s="35" t="s">
        <v>2497</v>
      </c>
      <c r="D307" s="36" t="s">
        <v>2498</v>
      </c>
      <c r="E307" s="334">
        <v>34235</v>
      </c>
      <c r="F307" s="36" t="s">
        <v>36</v>
      </c>
      <c r="G307" s="34" t="s">
        <v>2499</v>
      </c>
      <c r="H307" s="37" t="s">
        <v>73</v>
      </c>
      <c r="I307" s="37" t="s">
        <v>73</v>
      </c>
      <c r="J307" s="38" t="s">
        <v>2500</v>
      </c>
      <c r="K307" s="34" t="s">
        <v>41</v>
      </c>
      <c r="L307" s="39" t="s">
        <v>42</v>
      </c>
      <c r="M307" s="120">
        <v>45209</v>
      </c>
      <c r="N307" s="56"/>
      <c r="O307" s="56"/>
      <c r="P307" s="56"/>
      <c r="Q307" s="56"/>
      <c r="R307" s="56"/>
      <c r="S307" s="56"/>
      <c r="T307" s="56"/>
      <c r="U307" s="56" t="s">
        <v>44</v>
      </c>
      <c r="V307" s="56"/>
      <c r="W307" s="56"/>
      <c r="X307" s="56"/>
      <c r="Y307" s="38" t="s">
        <v>2501</v>
      </c>
      <c r="Z307" s="146" t="s">
        <v>2502</v>
      </c>
      <c r="AA307" s="146"/>
      <c r="AB307" s="45">
        <v>45642</v>
      </c>
      <c r="AC307" s="101"/>
      <c r="AD307" s="36"/>
      <c r="AE307" s="61" t="s">
        <v>49</v>
      </c>
      <c r="AF307" s="48" t="s">
        <v>41</v>
      </c>
      <c r="AG307" s="48" t="s">
        <v>41</v>
      </c>
      <c r="AH307" s="48" t="s">
        <v>41</v>
      </c>
      <c r="AI307" s="48" t="s">
        <v>49</v>
      </c>
      <c r="AJ307" s="48" t="s">
        <v>49</v>
      </c>
      <c r="AK307" s="49" t="s">
        <v>49</v>
      </c>
      <c r="AL307" s="48" t="s">
        <v>41</v>
      </c>
      <c r="AM307" s="65" t="s">
        <v>148</v>
      </c>
      <c r="AN307" s="65"/>
      <c r="AO307" s="59"/>
      <c r="AP307" s="10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1"/>
    </row>
    <row r="308" spans="1:53" x14ac:dyDescent="0.2">
      <c r="A308" s="33">
        <f t="shared" si="5"/>
        <v>303</v>
      </c>
      <c r="B308" s="34" t="s">
        <v>2503</v>
      </c>
      <c r="C308" s="35" t="s">
        <v>2504</v>
      </c>
      <c r="D308" s="343" t="s">
        <v>4713</v>
      </c>
      <c r="E308" s="334">
        <v>35579</v>
      </c>
      <c r="F308" s="36" t="s">
        <v>54</v>
      </c>
      <c r="G308" s="34" t="s">
        <v>2506</v>
      </c>
      <c r="H308" s="37" t="s">
        <v>176</v>
      </c>
      <c r="I308" s="37" t="s">
        <v>39</v>
      </c>
      <c r="J308" s="38" t="s">
        <v>41</v>
      </c>
      <c r="K308" s="34" t="s">
        <v>41</v>
      </c>
      <c r="L308" s="39" t="s">
        <v>42</v>
      </c>
      <c r="M308" s="99" t="s">
        <v>2508</v>
      </c>
      <c r="N308" s="56" t="s">
        <v>179</v>
      </c>
      <c r="O308" s="56"/>
      <c r="P308" s="56"/>
      <c r="Q308" s="56"/>
      <c r="R308" s="56"/>
      <c r="S308" s="56"/>
      <c r="T308" s="56"/>
      <c r="U308" s="56"/>
      <c r="V308" s="56"/>
      <c r="W308" s="56"/>
      <c r="X308" s="56" t="s">
        <v>732</v>
      </c>
      <c r="Y308" s="42" t="s">
        <v>4714</v>
      </c>
      <c r="Z308" s="69" t="s">
        <v>2510</v>
      </c>
      <c r="AA308" s="44" t="s">
        <v>2511</v>
      </c>
      <c r="AB308" s="45">
        <v>42935</v>
      </c>
      <c r="AC308" s="101" t="s">
        <v>30</v>
      </c>
      <c r="AD308" s="36" t="s">
        <v>26</v>
      </c>
      <c r="AE308" s="47" t="s">
        <v>49</v>
      </c>
      <c r="AF308" s="48" t="s">
        <v>49</v>
      </c>
      <c r="AG308" s="48" t="s">
        <v>49</v>
      </c>
      <c r="AH308" s="48" t="s">
        <v>49</v>
      </c>
      <c r="AI308" s="48" t="s">
        <v>49</v>
      </c>
      <c r="AJ308" s="48" t="s">
        <v>49</v>
      </c>
      <c r="AK308" s="49" t="s">
        <v>49</v>
      </c>
      <c r="AL308" s="48" t="s">
        <v>49</v>
      </c>
      <c r="AM308" s="65" t="s">
        <v>32</v>
      </c>
      <c r="AN308" s="65"/>
      <c r="AO308" s="59"/>
      <c r="AP308" s="10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1"/>
    </row>
    <row r="309" spans="1:53" x14ac:dyDescent="0.2">
      <c r="A309" s="33">
        <f t="shared" si="5"/>
        <v>304</v>
      </c>
      <c r="B309" s="34" t="s">
        <v>2512</v>
      </c>
      <c r="C309" s="35" t="s">
        <v>2513</v>
      </c>
      <c r="D309" s="36" t="s">
        <v>2514</v>
      </c>
      <c r="E309" s="334">
        <v>28595</v>
      </c>
      <c r="F309" s="36" t="s">
        <v>54</v>
      </c>
      <c r="G309" s="34" t="s">
        <v>2515</v>
      </c>
      <c r="H309" s="37" t="s">
        <v>350</v>
      </c>
      <c r="I309" s="37" t="s">
        <v>350</v>
      </c>
      <c r="J309" s="38" t="s">
        <v>2516</v>
      </c>
      <c r="K309" s="38" t="s">
        <v>2516</v>
      </c>
      <c r="L309" s="39" t="s">
        <v>42</v>
      </c>
      <c r="M309" s="99" t="s">
        <v>2517</v>
      </c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42" t="s">
        <v>2518</v>
      </c>
      <c r="Z309" s="52" t="s">
        <v>2519</v>
      </c>
      <c r="AA309" s="44" t="s">
        <v>61</v>
      </c>
      <c r="AB309" s="45">
        <v>38593</v>
      </c>
      <c r="AC309" s="101" t="s">
        <v>30</v>
      </c>
      <c r="AD309" s="36" t="s">
        <v>26</v>
      </c>
      <c r="AE309" s="47" t="s">
        <v>49</v>
      </c>
      <c r="AF309" s="48" t="s">
        <v>49</v>
      </c>
      <c r="AG309" s="48" t="s">
        <v>49</v>
      </c>
      <c r="AH309" s="48" t="s">
        <v>49</v>
      </c>
      <c r="AI309" s="48" t="s">
        <v>49</v>
      </c>
      <c r="AJ309" s="48" t="s">
        <v>49</v>
      </c>
      <c r="AK309" s="49" t="s">
        <v>49</v>
      </c>
      <c r="AL309" s="48" t="s">
        <v>49</v>
      </c>
      <c r="AM309" s="65" t="s">
        <v>32</v>
      </c>
      <c r="AN309" s="65"/>
      <c r="AO309" s="59"/>
      <c r="AP309" s="10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1"/>
    </row>
    <row r="310" spans="1:53" x14ac:dyDescent="0.2">
      <c r="A310" s="33">
        <f t="shared" si="5"/>
        <v>305</v>
      </c>
      <c r="B310" s="34" t="s">
        <v>2520</v>
      </c>
      <c r="C310" s="35" t="s">
        <v>2521</v>
      </c>
      <c r="D310" s="36" t="s">
        <v>2522</v>
      </c>
      <c r="E310" s="36"/>
      <c r="F310" s="36" t="s">
        <v>54</v>
      </c>
      <c r="G310" s="98" t="s">
        <v>2523</v>
      </c>
      <c r="H310" s="37" t="s">
        <v>252</v>
      </c>
      <c r="I310" s="37" t="s">
        <v>57</v>
      </c>
      <c r="J310" s="34" t="s">
        <v>2524</v>
      </c>
      <c r="K310" s="34" t="s">
        <v>41</v>
      </c>
      <c r="L310" s="39" t="s">
        <v>42</v>
      </c>
      <c r="M310" s="99" t="s">
        <v>2525</v>
      </c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42" t="s">
        <v>2526</v>
      </c>
      <c r="Z310" s="58" t="s">
        <v>2527</v>
      </c>
      <c r="AA310" s="44" t="s">
        <v>2528</v>
      </c>
      <c r="AB310" s="45">
        <v>44041</v>
      </c>
      <c r="AC310" s="101" t="s">
        <v>30</v>
      </c>
      <c r="AD310" s="36" t="s">
        <v>26</v>
      </c>
      <c r="AE310" s="47" t="s">
        <v>49</v>
      </c>
      <c r="AF310" s="48" t="s">
        <v>49</v>
      </c>
      <c r="AG310" s="48" t="s">
        <v>49</v>
      </c>
      <c r="AH310" s="48" t="s">
        <v>49</v>
      </c>
      <c r="AI310" s="48" t="s">
        <v>49</v>
      </c>
      <c r="AJ310" s="48" t="s">
        <v>49</v>
      </c>
      <c r="AK310" s="49" t="s">
        <v>49</v>
      </c>
      <c r="AL310" s="48" t="s">
        <v>49</v>
      </c>
      <c r="AM310" s="62" t="s">
        <v>32</v>
      </c>
      <c r="AN310" s="62"/>
      <c r="AO310" s="59"/>
      <c r="AP310" s="10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1"/>
    </row>
    <row r="311" spans="1:53" x14ac:dyDescent="0.2">
      <c r="A311" s="33">
        <f t="shared" si="5"/>
        <v>306</v>
      </c>
      <c r="B311" s="34" t="s">
        <v>2529</v>
      </c>
      <c r="C311" s="35" t="s">
        <v>2530</v>
      </c>
      <c r="D311" s="36" t="s">
        <v>2531</v>
      </c>
      <c r="E311" s="334">
        <v>30382</v>
      </c>
      <c r="F311" s="36" t="s">
        <v>36</v>
      </c>
      <c r="G311" s="98" t="s">
        <v>2532</v>
      </c>
      <c r="H311" s="37" t="s">
        <v>1285</v>
      </c>
      <c r="I311" s="37" t="s">
        <v>350</v>
      </c>
      <c r="J311" s="38" t="s">
        <v>2533</v>
      </c>
      <c r="K311" s="34" t="s">
        <v>41</v>
      </c>
      <c r="L311" s="39" t="s">
        <v>42</v>
      </c>
      <c r="M311" s="120">
        <v>45516</v>
      </c>
      <c r="N311" s="56" t="s">
        <v>179</v>
      </c>
      <c r="O311" s="56"/>
      <c r="P311" s="56"/>
      <c r="Q311" s="56"/>
      <c r="R311" s="56" t="s">
        <v>179</v>
      </c>
      <c r="S311" s="56"/>
      <c r="T311" s="56"/>
      <c r="U311" s="56"/>
      <c r="V311" s="56" t="s">
        <v>44</v>
      </c>
      <c r="W311" s="56"/>
      <c r="X311" s="56"/>
      <c r="Y311" s="42" t="s">
        <v>2534</v>
      </c>
      <c r="Z311" s="58" t="s">
        <v>2535</v>
      </c>
      <c r="AA311" s="44"/>
      <c r="AB311" s="45"/>
      <c r="AC311" s="101"/>
      <c r="AD311" s="36"/>
      <c r="AE311" s="47" t="s">
        <v>49</v>
      </c>
      <c r="AF311" s="48" t="s">
        <v>41</v>
      </c>
      <c r="AG311" s="48" t="s">
        <v>41</v>
      </c>
      <c r="AH311" s="48" t="s">
        <v>41</v>
      </c>
      <c r="AI311" s="48" t="s">
        <v>41</v>
      </c>
      <c r="AJ311" s="48" t="s">
        <v>49</v>
      </c>
      <c r="AK311" s="49" t="s">
        <v>49</v>
      </c>
      <c r="AL311" s="48" t="s">
        <v>49</v>
      </c>
      <c r="AM311" s="62" t="s">
        <v>32</v>
      </c>
      <c r="AN311" s="62"/>
      <c r="AO311" s="59"/>
      <c r="AP311" s="10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1"/>
    </row>
    <row r="312" spans="1:53" x14ac:dyDescent="0.2">
      <c r="A312" s="33">
        <f t="shared" si="5"/>
        <v>307</v>
      </c>
      <c r="B312" s="34" t="s">
        <v>2536</v>
      </c>
      <c r="C312" s="35" t="s">
        <v>2537</v>
      </c>
      <c r="D312" s="36" t="s">
        <v>2538</v>
      </c>
      <c r="E312" s="36"/>
      <c r="F312" s="36" t="s">
        <v>54</v>
      </c>
      <c r="G312" s="98" t="s">
        <v>2539</v>
      </c>
      <c r="H312" s="37" t="s">
        <v>73</v>
      </c>
      <c r="I312" s="37" t="s">
        <v>73</v>
      </c>
      <c r="J312" s="38" t="s">
        <v>2540</v>
      </c>
      <c r="K312" s="34" t="s">
        <v>41</v>
      </c>
      <c r="L312" s="39" t="s">
        <v>42</v>
      </c>
      <c r="M312" s="99" t="s">
        <v>2541</v>
      </c>
      <c r="N312" s="56" t="s">
        <v>179</v>
      </c>
      <c r="O312" s="56"/>
      <c r="P312" s="56"/>
      <c r="Q312" s="56"/>
      <c r="R312" s="56" t="s">
        <v>1041</v>
      </c>
      <c r="S312" s="56" t="s">
        <v>44</v>
      </c>
      <c r="T312" s="56"/>
      <c r="U312" s="56"/>
      <c r="V312" s="56"/>
      <c r="W312" s="56"/>
      <c r="X312" s="56"/>
      <c r="Y312" s="42" t="s">
        <v>2542</v>
      </c>
      <c r="Z312" s="58" t="s">
        <v>2543</v>
      </c>
      <c r="AA312" s="44"/>
      <c r="AB312" s="45" t="s">
        <v>47</v>
      </c>
      <c r="AC312" s="101"/>
      <c r="AD312" s="36"/>
      <c r="AE312" s="47" t="s">
        <v>49</v>
      </c>
      <c r="AF312" s="48" t="s">
        <v>41</v>
      </c>
      <c r="AG312" s="48" t="s">
        <v>49</v>
      </c>
      <c r="AH312" s="48" t="s">
        <v>41</v>
      </c>
      <c r="AI312" s="48" t="s">
        <v>41</v>
      </c>
      <c r="AJ312" s="48" t="s">
        <v>41</v>
      </c>
      <c r="AK312" s="49" t="s">
        <v>41</v>
      </c>
      <c r="AL312" s="48" t="s">
        <v>41</v>
      </c>
      <c r="AM312" s="62" t="s">
        <v>110</v>
      </c>
      <c r="AN312" s="62"/>
      <c r="AO312" s="59"/>
      <c r="AP312" s="10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1"/>
    </row>
    <row r="313" spans="1:53" x14ac:dyDescent="0.2">
      <c r="A313" s="33">
        <f t="shared" si="5"/>
        <v>308</v>
      </c>
      <c r="B313" s="34" t="s">
        <v>2544</v>
      </c>
      <c r="C313" s="35" t="s">
        <v>2545</v>
      </c>
      <c r="D313" s="73" t="s">
        <v>2546</v>
      </c>
      <c r="E313" s="73"/>
      <c r="F313" s="36" t="s">
        <v>36</v>
      </c>
      <c r="G313" s="98" t="s">
        <v>2547</v>
      </c>
      <c r="H313" s="37" t="s">
        <v>350</v>
      </c>
      <c r="I313" s="37" t="s">
        <v>350</v>
      </c>
      <c r="J313" s="34" t="s">
        <v>2548</v>
      </c>
      <c r="K313" s="34" t="s">
        <v>2548</v>
      </c>
      <c r="L313" s="39" t="s">
        <v>42</v>
      </c>
      <c r="M313" s="99" t="s">
        <v>2549</v>
      </c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42" t="s">
        <v>2550</v>
      </c>
      <c r="Z313" s="58" t="s">
        <v>2551</v>
      </c>
      <c r="AA313" s="44" t="s">
        <v>61</v>
      </c>
      <c r="AB313" s="45">
        <v>37877</v>
      </c>
      <c r="AC313" s="101" t="s">
        <v>30</v>
      </c>
      <c r="AD313" s="73" t="s">
        <v>26</v>
      </c>
      <c r="AE313" s="47" t="s">
        <v>49</v>
      </c>
      <c r="AF313" s="48" t="s">
        <v>49</v>
      </c>
      <c r="AG313" s="48" t="s">
        <v>49</v>
      </c>
      <c r="AH313" s="48" t="s">
        <v>41</v>
      </c>
      <c r="AI313" s="48" t="s">
        <v>41</v>
      </c>
      <c r="AJ313" s="48" t="s">
        <v>41</v>
      </c>
      <c r="AK313" s="49" t="s">
        <v>41</v>
      </c>
      <c r="AL313" s="48" t="s">
        <v>41</v>
      </c>
      <c r="AM313" s="62" t="s">
        <v>110</v>
      </c>
      <c r="AN313" s="62"/>
      <c r="AO313" s="59"/>
      <c r="AP313" s="10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1"/>
    </row>
    <row r="314" spans="1:53" x14ac:dyDescent="0.2">
      <c r="A314" s="33">
        <f t="shared" si="5"/>
        <v>309</v>
      </c>
      <c r="B314" s="34" t="s">
        <v>2552</v>
      </c>
      <c r="C314" s="35" t="s">
        <v>2553</v>
      </c>
      <c r="D314" s="36" t="s">
        <v>2554</v>
      </c>
      <c r="E314" s="334">
        <v>34101</v>
      </c>
      <c r="F314" s="36" t="s">
        <v>36</v>
      </c>
      <c r="G314" s="34" t="s">
        <v>2555</v>
      </c>
      <c r="H314" s="37" t="s">
        <v>73</v>
      </c>
      <c r="I314" s="37" t="s">
        <v>73</v>
      </c>
      <c r="J314" s="34" t="s">
        <v>2556</v>
      </c>
      <c r="K314" s="34" t="s">
        <v>2556</v>
      </c>
      <c r="L314" s="39" t="s">
        <v>42</v>
      </c>
      <c r="M314" s="99" t="s">
        <v>2557</v>
      </c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42" t="s">
        <v>2558</v>
      </c>
      <c r="Z314" s="52" t="s">
        <v>2559</v>
      </c>
      <c r="AA314" s="44" t="s">
        <v>2560</v>
      </c>
      <c r="AB314" s="45">
        <v>42935</v>
      </c>
      <c r="AC314" s="101" t="s">
        <v>129</v>
      </c>
      <c r="AD314" s="36" t="s">
        <v>26</v>
      </c>
      <c r="AE314" s="66" t="s">
        <v>130</v>
      </c>
      <c r="AF314" s="48" t="s">
        <v>130</v>
      </c>
      <c r="AG314" s="48" t="s">
        <v>130</v>
      </c>
      <c r="AH314" s="48" t="s">
        <v>130</v>
      </c>
      <c r="AI314" s="48" t="s">
        <v>130</v>
      </c>
      <c r="AJ314" s="48" t="s">
        <v>130</v>
      </c>
      <c r="AK314" s="49" t="s">
        <v>130</v>
      </c>
      <c r="AL314" s="48" t="s">
        <v>130</v>
      </c>
      <c r="AM314" s="62" t="s">
        <v>32</v>
      </c>
      <c r="AN314" s="62"/>
      <c r="AO314" s="59"/>
      <c r="AP314" s="10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1"/>
    </row>
    <row r="315" spans="1:53" x14ac:dyDescent="0.2">
      <c r="A315" s="33">
        <f t="shared" si="5"/>
        <v>310</v>
      </c>
      <c r="B315" s="221" t="s">
        <v>2561</v>
      </c>
      <c r="C315" s="35" t="s">
        <v>2562</v>
      </c>
      <c r="D315" s="36" t="s">
        <v>2563</v>
      </c>
      <c r="E315" s="334">
        <v>31615</v>
      </c>
      <c r="F315" s="36" t="s">
        <v>36</v>
      </c>
      <c r="G315" s="34" t="s">
        <v>2564</v>
      </c>
      <c r="H315" s="37" t="s">
        <v>56</v>
      </c>
      <c r="I315" s="37" t="s">
        <v>57</v>
      </c>
      <c r="J315" s="34" t="s">
        <v>2565</v>
      </c>
      <c r="K315" s="34" t="s">
        <v>41</v>
      </c>
      <c r="L315" s="39" t="s">
        <v>42</v>
      </c>
      <c r="M315" s="120">
        <v>39855</v>
      </c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2" t="s">
        <v>2566</v>
      </c>
      <c r="Z315" s="52" t="s">
        <v>2567</v>
      </c>
      <c r="AA315" s="84" t="s">
        <v>2568</v>
      </c>
      <c r="AB315" s="45">
        <v>44650</v>
      </c>
      <c r="AC315" s="101" t="s">
        <v>30</v>
      </c>
      <c r="AD315" s="36" t="s">
        <v>26</v>
      </c>
      <c r="AE315" s="47" t="s">
        <v>49</v>
      </c>
      <c r="AF315" s="48" t="s">
        <v>49</v>
      </c>
      <c r="AG315" s="48" t="s">
        <v>49</v>
      </c>
      <c r="AH315" s="48" t="s">
        <v>49</v>
      </c>
      <c r="AI315" s="48" t="s">
        <v>49</v>
      </c>
      <c r="AJ315" s="48" t="s">
        <v>49</v>
      </c>
      <c r="AK315" s="49" t="s">
        <v>49</v>
      </c>
      <c r="AL315" s="48" t="s">
        <v>49</v>
      </c>
      <c r="AM315" s="65" t="s">
        <v>32</v>
      </c>
      <c r="AN315" s="65"/>
      <c r="AO315" s="59"/>
      <c r="AP315" s="102" t="s">
        <v>2569</v>
      </c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1"/>
    </row>
    <row r="316" spans="1:53" x14ac:dyDescent="0.2">
      <c r="A316" s="33">
        <f t="shared" si="5"/>
        <v>311</v>
      </c>
      <c r="B316" s="221" t="s">
        <v>2570</v>
      </c>
      <c r="C316" s="35" t="s">
        <v>2571</v>
      </c>
      <c r="D316" s="36" t="s">
        <v>2572</v>
      </c>
      <c r="E316" s="334">
        <v>31746</v>
      </c>
      <c r="F316" s="36" t="s">
        <v>54</v>
      </c>
      <c r="G316" s="34" t="s">
        <v>2573</v>
      </c>
      <c r="H316" s="37" t="s">
        <v>1285</v>
      </c>
      <c r="I316" s="37" t="s">
        <v>350</v>
      </c>
      <c r="J316" s="38" t="s">
        <v>2574</v>
      </c>
      <c r="K316" s="34"/>
      <c r="L316" s="39" t="s">
        <v>42</v>
      </c>
      <c r="M316" s="120">
        <v>45670</v>
      </c>
      <c r="N316" s="41"/>
      <c r="O316" s="41"/>
      <c r="P316" s="41"/>
      <c r="Q316" s="41"/>
      <c r="R316" s="41"/>
      <c r="S316" s="41"/>
      <c r="T316" s="41"/>
      <c r="U316" s="41"/>
      <c r="V316" s="41"/>
      <c r="W316" s="41" t="s">
        <v>44</v>
      </c>
      <c r="X316" s="41"/>
      <c r="Y316" s="42" t="s">
        <v>2575</v>
      </c>
      <c r="Z316" s="43" t="s">
        <v>2576</v>
      </c>
      <c r="AA316" s="144"/>
      <c r="AB316" s="45"/>
      <c r="AC316" s="101"/>
      <c r="AD316" s="36"/>
      <c r="AE316" s="47" t="s">
        <v>49</v>
      </c>
      <c r="AF316" s="48" t="s">
        <v>41</v>
      </c>
      <c r="AG316" s="48" t="s">
        <v>41</v>
      </c>
      <c r="AH316" s="48" t="s">
        <v>41</v>
      </c>
      <c r="AI316" s="48" t="s">
        <v>41</v>
      </c>
      <c r="AJ316" s="48" t="s">
        <v>41</v>
      </c>
      <c r="AK316" s="49" t="s">
        <v>49</v>
      </c>
      <c r="AL316" s="48" t="s">
        <v>49</v>
      </c>
      <c r="AM316" s="62" t="s">
        <v>32</v>
      </c>
      <c r="AN316" s="62"/>
      <c r="AO316" s="59"/>
      <c r="AP316" s="10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1"/>
    </row>
    <row r="317" spans="1:53" x14ac:dyDescent="0.2">
      <c r="A317" s="33">
        <f t="shared" si="5"/>
        <v>312</v>
      </c>
      <c r="B317" s="34" t="s">
        <v>2577</v>
      </c>
      <c r="C317" s="35" t="s">
        <v>2578</v>
      </c>
      <c r="D317" s="36" t="s">
        <v>2579</v>
      </c>
      <c r="E317" s="334">
        <v>22401</v>
      </c>
      <c r="F317" s="36" t="s">
        <v>54</v>
      </c>
      <c r="G317" s="34" t="s">
        <v>2580</v>
      </c>
      <c r="H317" s="37" t="s">
        <v>1417</v>
      </c>
      <c r="I317" s="37" t="s">
        <v>187</v>
      </c>
      <c r="J317" s="34" t="s">
        <v>2581</v>
      </c>
      <c r="K317" s="34" t="s">
        <v>41</v>
      </c>
      <c r="L317" s="39" t="s">
        <v>42</v>
      </c>
      <c r="M317" s="99" t="s">
        <v>1347</v>
      </c>
      <c r="N317" s="115"/>
      <c r="O317" s="115"/>
      <c r="P317" s="115"/>
      <c r="Q317" s="115"/>
      <c r="R317" s="115"/>
      <c r="S317" s="115"/>
      <c r="T317" s="115"/>
      <c r="U317" s="56"/>
      <c r="V317" s="56"/>
      <c r="W317" s="56"/>
      <c r="X317" s="56"/>
      <c r="Y317" s="42" t="s">
        <v>2582</v>
      </c>
      <c r="Z317" s="69" t="s">
        <v>2583</v>
      </c>
      <c r="AA317" s="44" t="s">
        <v>2584</v>
      </c>
      <c r="AB317" s="45">
        <v>42935</v>
      </c>
      <c r="AC317" s="101" t="s">
        <v>30</v>
      </c>
      <c r="AD317" s="36" t="s">
        <v>26</v>
      </c>
      <c r="AE317" s="61" t="s">
        <v>49</v>
      </c>
      <c r="AF317" s="48" t="s">
        <v>49</v>
      </c>
      <c r="AG317" s="48" t="s">
        <v>49</v>
      </c>
      <c r="AH317" s="48" t="s">
        <v>49</v>
      </c>
      <c r="AI317" s="48" t="s">
        <v>49</v>
      </c>
      <c r="AJ317" s="48" t="s">
        <v>49</v>
      </c>
      <c r="AK317" s="49" t="s">
        <v>49</v>
      </c>
      <c r="AL317" s="48" t="s">
        <v>49</v>
      </c>
      <c r="AM317" s="62" t="s">
        <v>32</v>
      </c>
      <c r="AN317" s="62"/>
      <c r="AO317" s="59"/>
      <c r="AP317" s="10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1"/>
    </row>
    <row r="318" spans="1:53" x14ac:dyDescent="0.2">
      <c r="A318" s="33">
        <f t="shared" si="5"/>
        <v>313</v>
      </c>
      <c r="B318" s="122" t="s">
        <v>2585</v>
      </c>
      <c r="C318" s="123" t="s">
        <v>2586</v>
      </c>
      <c r="D318" s="202" t="s">
        <v>2587</v>
      </c>
      <c r="E318" s="342">
        <v>35470</v>
      </c>
      <c r="F318" s="36" t="s">
        <v>54</v>
      </c>
      <c r="G318" s="122" t="s">
        <v>2588</v>
      </c>
      <c r="H318" s="126" t="s">
        <v>252</v>
      </c>
      <c r="I318" s="126" t="s">
        <v>57</v>
      </c>
      <c r="J318" s="127" t="s">
        <v>2589</v>
      </c>
      <c r="K318" s="122"/>
      <c r="L318" s="128" t="s">
        <v>42</v>
      </c>
      <c r="M318" s="120">
        <v>45581</v>
      </c>
      <c r="N318" s="130"/>
      <c r="O318" s="130"/>
      <c r="P318" s="130"/>
      <c r="Q318" s="130"/>
      <c r="R318" s="130"/>
      <c r="S318" s="130"/>
      <c r="T318" s="130"/>
      <c r="U318" s="130"/>
      <c r="V318" s="130" t="s">
        <v>44</v>
      </c>
      <c r="W318" s="130"/>
      <c r="X318" s="130"/>
      <c r="Y318" s="127" t="s">
        <v>2590</v>
      </c>
      <c r="Z318" s="83" t="s">
        <v>2591</v>
      </c>
      <c r="AA318" s="44"/>
      <c r="AB318" s="131"/>
      <c r="AC318" s="164"/>
      <c r="AD318" s="36"/>
      <c r="AE318" s="222" t="s">
        <v>49</v>
      </c>
      <c r="AF318" s="48" t="s">
        <v>41</v>
      </c>
      <c r="AG318" s="48" t="s">
        <v>41</v>
      </c>
      <c r="AH318" s="48" t="s">
        <v>41</v>
      </c>
      <c r="AI318" s="48" t="s">
        <v>41</v>
      </c>
      <c r="AJ318" s="48" t="s">
        <v>49</v>
      </c>
      <c r="AK318" s="49" t="s">
        <v>49</v>
      </c>
      <c r="AL318" s="48" t="s">
        <v>49</v>
      </c>
      <c r="AM318" s="65" t="s">
        <v>32</v>
      </c>
      <c r="AN318" s="325"/>
      <c r="AO318" s="134"/>
      <c r="AP318" s="10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1"/>
    </row>
    <row r="319" spans="1:53" x14ac:dyDescent="0.2">
      <c r="A319" s="33">
        <f t="shared" si="5"/>
        <v>314</v>
      </c>
      <c r="B319" s="122" t="s">
        <v>2592</v>
      </c>
      <c r="C319" s="123" t="s">
        <v>2593</v>
      </c>
      <c r="D319" s="124" t="s">
        <v>2594</v>
      </c>
      <c r="E319" s="338">
        <v>28403</v>
      </c>
      <c r="F319" s="36" t="s">
        <v>36</v>
      </c>
      <c r="G319" s="122" t="s">
        <v>2595</v>
      </c>
      <c r="H319" s="126" t="s">
        <v>176</v>
      </c>
      <c r="I319" s="126" t="s">
        <v>39</v>
      </c>
      <c r="J319" s="127" t="s">
        <v>2596</v>
      </c>
      <c r="K319" s="122" t="s">
        <v>41</v>
      </c>
      <c r="L319" s="128" t="s">
        <v>42</v>
      </c>
      <c r="M319" s="165">
        <v>44443</v>
      </c>
      <c r="N319" s="130"/>
      <c r="O319" s="130"/>
      <c r="P319" s="130"/>
      <c r="Q319" s="130"/>
      <c r="R319" s="130"/>
      <c r="S319" s="130" t="s">
        <v>44</v>
      </c>
      <c r="T319" s="130"/>
      <c r="U319" s="130"/>
      <c r="V319" s="130"/>
      <c r="W319" s="130"/>
      <c r="X319" s="130"/>
      <c r="Y319" s="42" t="s">
        <v>2597</v>
      </c>
      <c r="Z319" s="58" t="s">
        <v>2598</v>
      </c>
      <c r="AA319" s="121" t="s">
        <v>2599</v>
      </c>
      <c r="AB319" s="131">
        <v>44650</v>
      </c>
      <c r="AC319" s="164" t="s">
        <v>30</v>
      </c>
      <c r="AD319" s="36"/>
      <c r="AE319" s="222" t="s">
        <v>49</v>
      </c>
      <c r="AF319" s="48" t="s">
        <v>41</v>
      </c>
      <c r="AG319" s="48" t="s">
        <v>49</v>
      </c>
      <c r="AH319" s="48" t="s">
        <v>49</v>
      </c>
      <c r="AI319" s="48" t="s">
        <v>49</v>
      </c>
      <c r="AJ319" s="48" t="s">
        <v>49</v>
      </c>
      <c r="AK319" s="49" t="s">
        <v>49</v>
      </c>
      <c r="AL319" s="48" t="s">
        <v>41</v>
      </c>
      <c r="AM319" s="65" t="s">
        <v>148</v>
      </c>
      <c r="AN319" s="325"/>
      <c r="AO319" s="134"/>
      <c r="AP319" s="10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1"/>
    </row>
    <row r="320" spans="1:53" x14ac:dyDescent="0.2">
      <c r="A320" s="33">
        <f t="shared" si="5"/>
        <v>315</v>
      </c>
      <c r="B320" s="122" t="s">
        <v>2600</v>
      </c>
      <c r="C320" s="123" t="s">
        <v>2601</v>
      </c>
      <c r="D320" s="202" t="s">
        <v>2602</v>
      </c>
      <c r="E320" s="342">
        <v>35040</v>
      </c>
      <c r="F320" s="36" t="s">
        <v>36</v>
      </c>
      <c r="G320" s="122" t="s">
        <v>2603</v>
      </c>
      <c r="H320" s="126" t="s">
        <v>398</v>
      </c>
      <c r="I320" s="126" t="s">
        <v>205</v>
      </c>
      <c r="J320" s="127" t="s">
        <v>2604</v>
      </c>
      <c r="K320" s="122" t="s">
        <v>41</v>
      </c>
      <c r="L320" s="128" t="s">
        <v>42</v>
      </c>
      <c r="M320" s="165">
        <v>45302</v>
      </c>
      <c r="N320" s="130" t="s">
        <v>179</v>
      </c>
      <c r="O320" s="130"/>
      <c r="P320" s="130"/>
      <c r="Q320" s="130"/>
      <c r="R320" s="130"/>
      <c r="S320" s="130"/>
      <c r="T320" s="130"/>
      <c r="U320" s="130"/>
      <c r="V320" s="130" t="s">
        <v>44</v>
      </c>
      <c r="W320" s="130"/>
      <c r="X320" s="130"/>
      <c r="Y320" s="42" t="s">
        <v>2605</v>
      </c>
      <c r="Z320" s="58" t="s">
        <v>2606</v>
      </c>
      <c r="AA320" s="44"/>
      <c r="AB320" s="131"/>
      <c r="AC320" s="164"/>
      <c r="AD320" s="36"/>
      <c r="AE320" s="222" t="s">
        <v>49</v>
      </c>
      <c r="AF320" s="48" t="s">
        <v>41</v>
      </c>
      <c r="AG320" s="48" t="s">
        <v>41</v>
      </c>
      <c r="AH320" s="48" t="s">
        <v>41</v>
      </c>
      <c r="AI320" s="48" t="s">
        <v>41</v>
      </c>
      <c r="AJ320" s="48" t="s">
        <v>49</v>
      </c>
      <c r="AK320" s="49" t="s">
        <v>49</v>
      </c>
      <c r="AL320" s="48" t="s">
        <v>49</v>
      </c>
      <c r="AM320" s="62" t="s">
        <v>32</v>
      </c>
      <c r="AN320" s="232"/>
      <c r="AO320" s="134"/>
      <c r="AP320" s="10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1"/>
    </row>
    <row r="321" spans="1:53" x14ac:dyDescent="0.2">
      <c r="A321" s="33">
        <f t="shared" si="5"/>
        <v>316</v>
      </c>
      <c r="B321" s="122" t="s">
        <v>2607</v>
      </c>
      <c r="C321" s="123" t="s">
        <v>2608</v>
      </c>
      <c r="D321" s="36" t="s">
        <v>2609</v>
      </c>
      <c r="E321" s="334">
        <v>21588</v>
      </c>
      <c r="F321" s="36" t="s">
        <v>54</v>
      </c>
      <c r="G321" s="122" t="s">
        <v>2610</v>
      </c>
      <c r="H321" s="126" t="s">
        <v>73</v>
      </c>
      <c r="I321" s="126" t="s">
        <v>73</v>
      </c>
      <c r="J321" s="122" t="s">
        <v>2611</v>
      </c>
      <c r="K321" s="122" t="s">
        <v>2611</v>
      </c>
      <c r="L321" s="128" t="s">
        <v>42</v>
      </c>
      <c r="M321" s="165">
        <v>30353</v>
      </c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42" t="s">
        <v>2612</v>
      </c>
      <c r="Z321" s="58" t="s">
        <v>2613</v>
      </c>
      <c r="AA321" s="119" t="s">
        <v>2614</v>
      </c>
      <c r="AB321" s="131">
        <v>42935</v>
      </c>
      <c r="AC321" s="164" t="s">
        <v>30</v>
      </c>
      <c r="AD321" s="36" t="s">
        <v>26</v>
      </c>
      <c r="AE321" s="222" t="s">
        <v>49</v>
      </c>
      <c r="AF321" s="48" t="s">
        <v>49</v>
      </c>
      <c r="AG321" s="48" t="s">
        <v>49</v>
      </c>
      <c r="AH321" s="48" t="s">
        <v>49</v>
      </c>
      <c r="AI321" s="48" t="s">
        <v>49</v>
      </c>
      <c r="AJ321" s="48" t="s">
        <v>49</v>
      </c>
      <c r="AK321" s="49" t="s">
        <v>49</v>
      </c>
      <c r="AL321" s="48" t="s">
        <v>49</v>
      </c>
      <c r="AM321" s="65" t="s">
        <v>32</v>
      </c>
      <c r="AN321" s="325"/>
      <c r="AO321" s="134"/>
      <c r="AP321" s="10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1"/>
    </row>
    <row r="322" spans="1:53" x14ac:dyDescent="0.2">
      <c r="A322" s="33">
        <f t="shared" si="5"/>
        <v>317</v>
      </c>
      <c r="B322" s="122" t="s">
        <v>2615</v>
      </c>
      <c r="C322" s="123" t="s">
        <v>2616</v>
      </c>
      <c r="D322" s="73" t="s">
        <v>4715</v>
      </c>
      <c r="E322" s="335">
        <v>27511</v>
      </c>
      <c r="F322" s="36" t="s">
        <v>54</v>
      </c>
      <c r="G322" s="122" t="s">
        <v>2618</v>
      </c>
      <c r="H322" s="126" t="s">
        <v>73</v>
      </c>
      <c r="I322" s="126" t="s">
        <v>73</v>
      </c>
      <c r="J322" s="127" t="s">
        <v>41</v>
      </c>
      <c r="K322" s="122"/>
      <c r="L322" s="128" t="s">
        <v>42</v>
      </c>
      <c r="M322" s="165">
        <v>45114</v>
      </c>
      <c r="N322" s="130"/>
      <c r="O322" s="130"/>
      <c r="P322" s="130"/>
      <c r="Q322" s="130"/>
      <c r="R322" s="130"/>
      <c r="S322" s="130"/>
      <c r="T322" s="130"/>
      <c r="U322" s="130" t="s">
        <v>44</v>
      </c>
      <c r="V322" s="130"/>
      <c r="W322" s="130"/>
      <c r="X322" s="130"/>
      <c r="Y322" s="42" t="s">
        <v>4716</v>
      </c>
      <c r="Z322" s="83" t="s">
        <v>2621</v>
      </c>
      <c r="AA322" s="223"/>
      <c r="AB322" s="45"/>
      <c r="AC322" s="164"/>
      <c r="AD322" s="36"/>
      <c r="AE322" s="222" t="s">
        <v>49</v>
      </c>
      <c r="AF322" s="48" t="s">
        <v>41</v>
      </c>
      <c r="AG322" s="48" t="s">
        <v>41</v>
      </c>
      <c r="AH322" s="48" t="s">
        <v>41</v>
      </c>
      <c r="AI322" s="48" t="s">
        <v>49</v>
      </c>
      <c r="AJ322" s="48" t="s">
        <v>49</v>
      </c>
      <c r="AK322" s="49" t="s">
        <v>49</v>
      </c>
      <c r="AL322" s="48" t="s">
        <v>49</v>
      </c>
      <c r="AM322" s="62" t="s">
        <v>32</v>
      </c>
      <c r="AN322" s="62"/>
      <c r="AO322" s="59"/>
      <c r="AP322" s="10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1"/>
    </row>
    <row r="323" spans="1:53" x14ac:dyDescent="0.2">
      <c r="A323" s="33">
        <f t="shared" si="5"/>
        <v>318</v>
      </c>
      <c r="B323" s="34" t="s">
        <v>2622</v>
      </c>
      <c r="C323" s="35" t="s">
        <v>2623</v>
      </c>
      <c r="D323" s="36" t="s">
        <v>2624</v>
      </c>
      <c r="E323" s="334">
        <v>28292</v>
      </c>
      <c r="F323" s="36" t="s">
        <v>54</v>
      </c>
      <c r="G323" s="34" t="s">
        <v>2625</v>
      </c>
      <c r="H323" s="37" t="s">
        <v>73</v>
      </c>
      <c r="I323" s="37" t="s">
        <v>73</v>
      </c>
      <c r="J323" s="34" t="s">
        <v>1649</v>
      </c>
      <c r="K323" s="34" t="s">
        <v>1649</v>
      </c>
      <c r="L323" s="39" t="s">
        <v>42</v>
      </c>
      <c r="M323" s="99" t="s">
        <v>1496</v>
      </c>
      <c r="N323" s="41"/>
      <c r="O323" s="41"/>
      <c r="P323" s="41"/>
      <c r="Q323" s="41"/>
      <c r="R323" s="41" t="s">
        <v>2626</v>
      </c>
      <c r="S323" s="41"/>
      <c r="T323" s="41"/>
      <c r="U323" s="41"/>
      <c r="V323" s="41"/>
      <c r="W323" s="41"/>
      <c r="X323" s="41"/>
      <c r="Y323" s="42" t="s">
        <v>2627</v>
      </c>
      <c r="Z323" s="69" t="s">
        <v>2628</v>
      </c>
      <c r="AA323" s="44" t="s">
        <v>61</v>
      </c>
      <c r="AB323" s="45">
        <v>36641</v>
      </c>
      <c r="AC323" s="101" t="s">
        <v>30</v>
      </c>
      <c r="AD323" s="36" t="s">
        <v>26</v>
      </c>
      <c r="AE323" s="47" t="s">
        <v>49</v>
      </c>
      <c r="AF323" s="48" t="s">
        <v>49</v>
      </c>
      <c r="AG323" s="48" t="s">
        <v>49</v>
      </c>
      <c r="AH323" s="48" t="s">
        <v>49</v>
      </c>
      <c r="AI323" s="48" t="s">
        <v>49</v>
      </c>
      <c r="AJ323" s="48" t="s">
        <v>49</v>
      </c>
      <c r="AK323" s="49" t="s">
        <v>49</v>
      </c>
      <c r="AL323" s="48" t="s">
        <v>49</v>
      </c>
      <c r="AM323" s="62" t="s">
        <v>32</v>
      </c>
      <c r="AN323" s="62"/>
      <c r="AO323" s="59"/>
      <c r="AP323" s="10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1"/>
    </row>
    <row r="324" spans="1:53" x14ac:dyDescent="0.2">
      <c r="A324" s="33">
        <f t="shared" si="5"/>
        <v>319</v>
      </c>
      <c r="B324" s="34" t="s">
        <v>2629</v>
      </c>
      <c r="C324" s="35" t="s">
        <v>2630</v>
      </c>
      <c r="D324" s="36" t="s">
        <v>2631</v>
      </c>
      <c r="E324" s="334">
        <v>35615</v>
      </c>
      <c r="F324" s="36" t="s">
        <v>54</v>
      </c>
      <c r="G324" s="34" t="s">
        <v>2632</v>
      </c>
      <c r="H324" s="37" t="s">
        <v>73</v>
      </c>
      <c r="I324" s="37" t="s">
        <v>73</v>
      </c>
      <c r="J324" s="34" t="s">
        <v>2633</v>
      </c>
      <c r="K324" s="34" t="s">
        <v>41</v>
      </c>
      <c r="L324" s="39" t="s">
        <v>42</v>
      </c>
      <c r="M324" s="99" t="s">
        <v>1022</v>
      </c>
      <c r="N324" s="41" t="s">
        <v>179</v>
      </c>
      <c r="O324" s="41" t="s">
        <v>514</v>
      </c>
      <c r="P324" s="41"/>
      <c r="Q324" s="41"/>
      <c r="R324" s="41"/>
      <c r="S324" s="41"/>
      <c r="T324" s="41" t="s">
        <v>44</v>
      </c>
      <c r="U324" s="41"/>
      <c r="V324" s="41"/>
      <c r="W324" s="41"/>
      <c r="X324" s="41"/>
      <c r="Y324" s="42" t="s">
        <v>2634</v>
      </c>
      <c r="Z324" s="83" t="s">
        <v>2635</v>
      </c>
      <c r="AA324" s="44"/>
      <c r="AB324" s="45">
        <v>45642</v>
      </c>
      <c r="AC324" s="101"/>
      <c r="AD324" s="36"/>
      <c r="AE324" s="47" t="s">
        <v>49</v>
      </c>
      <c r="AF324" s="48" t="s">
        <v>41</v>
      </c>
      <c r="AG324" s="48" t="s">
        <v>41</v>
      </c>
      <c r="AH324" s="48" t="s">
        <v>49</v>
      </c>
      <c r="AI324" s="48" t="s">
        <v>49</v>
      </c>
      <c r="AJ324" s="48" t="s">
        <v>49</v>
      </c>
      <c r="AK324" s="49" t="s">
        <v>41</v>
      </c>
      <c r="AL324" s="48" t="s">
        <v>41</v>
      </c>
      <c r="AM324" s="62" t="s">
        <v>276</v>
      </c>
      <c r="AN324" s="62"/>
      <c r="AO324" s="59"/>
      <c r="AP324" s="10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1"/>
    </row>
    <row r="325" spans="1:53" ht="19.5" customHeight="1" x14ac:dyDescent="0.2">
      <c r="A325" s="33">
        <f t="shared" si="5"/>
        <v>320</v>
      </c>
      <c r="B325" s="34" t="s">
        <v>2636</v>
      </c>
      <c r="C325" s="35" t="s">
        <v>2637</v>
      </c>
      <c r="D325" s="36" t="s">
        <v>2638</v>
      </c>
      <c r="E325" s="334">
        <v>26047</v>
      </c>
      <c r="F325" s="36" t="s">
        <v>54</v>
      </c>
      <c r="G325" s="34" t="s">
        <v>2639</v>
      </c>
      <c r="H325" s="37" t="s">
        <v>73</v>
      </c>
      <c r="I325" s="37" t="s">
        <v>73</v>
      </c>
      <c r="J325" s="38" t="s">
        <v>2640</v>
      </c>
      <c r="K325" s="34"/>
      <c r="L325" s="39" t="s">
        <v>42</v>
      </c>
      <c r="M325" s="120">
        <v>42106</v>
      </c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2" t="s">
        <v>2641</v>
      </c>
      <c r="Z325" s="52" t="s">
        <v>2642</v>
      </c>
      <c r="AA325" s="211" t="s">
        <v>2643</v>
      </c>
      <c r="AB325" s="45">
        <v>44944</v>
      </c>
      <c r="AC325" s="101" t="s">
        <v>30</v>
      </c>
      <c r="AD325" s="36" t="s">
        <v>26</v>
      </c>
      <c r="AE325" s="47" t="s">
        <v>49</v>
      </c>
      <c r="AF325" s="48" t="s">
        <v>49</v>
      </c>
      <c r="AG325" s="48" t="s">
        <v>49</v>
      </c>
      <c r="AH325" s="48" t="s">
        <v>49</v>
      </c>
      <c r="AI325" s="48" t="s">
        <v>49</v>
      </c>
      <c r="AJ325" s="48" t="s">
        <v>49</v>
      </c>
      <c r="AK325" s="49" t="s">
        <v>49</v>
      </c>
      <c r="AL325" s="48" t="s">
        <v>49</v>
      </c>
      <c r="AM325" s="65" t="s">
        <v>32</v>
      </c>
      <c r="AN325" s="65"/>
      <c r="AO325" s="59"/>
      <c r="AP325" s="10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1"/>
    </row>
    <row r="326" spans="1:53" x14ac:dyDescent="0.2">
      <c r="A326" s="33">
        <f t="shared" si="5"/>
        <v>321</v>
      </c>
      <c r="B326" s="34" t="s">
        <v>2644</v>
      </c>
      <c r="C326" s="35" t="s">
        <v>2645</v>
      </c>
      <c r="D326" s="36" t="s">
        <v>2646</v>
      </c>
      <c r="E326" s="334">
        <v>34999</v>
      </c>
      <c r="F326" s="36" t="s">
        <v>36</v>
      </c>
      <c r="G326" s="34" t="s">
        <v>2647</v>
      </c>
      <c r="H326" s="37" t="s">
        <v>176</v>
      </c>
      <c r="I326" s="37" t="s">
        <v>39</v>
      </c>
      <c r="J326" s="38" t="s">
        <v>2648</v>
      </c>
      <c r="K326" s="34" t="s">
        <v>41</v>
      </c>
      <c r="L326" s="39" t="s">
        <v>42</v>
      </c>
      <c r="M326" s="120" t="s">
        <v>2649</v>
      </c>
      <c r="N326" s="56"/>
      <c r="O326" s="56"/>
      <c r="P326" s="56"/>
      <c r="Q326" s="56"/>
      <c r="R326" s="56"/>
      <c r="S326" s="56"/>
      <c r="T326" s="56"/>
      <c r="U326" s="56" t="s">
        <v>732</v>
      </c>
      <c r="V326" s="56"/>
      <c r="W326" s="56"/>
      <c r="X326" s="56"/>
      <c r="Y326" s="42" t="s">
        <v>2650</v>
      </c>
      <c r="Z326" s="58" t="s">
        <v>2651</v>
      </c>
      <c r="AA326" s="44"/>
      <c r="AB326" s="45" t="s">
        <v>47</v>
      </c>
      <c r="AC326" s="101"/>
      <c r="AD326" s="36" t="s">
        <v>26</v>
      </c>
      <c r="AE326" s="47" t="s">
        <v>49</v>
      </c>
      <c r="AF326" s="48" t="s">
        <v>49</v>
      </c>
      <c r="AG326" s="48" t="s">
        <v>49</v>
      </c>
      <c r="AH326" s="48" t="s">
        <v>49</v>
      </c>
      <c r="AI326" s="48" t="s">
        <v>49</v>
      </c>
      <c r="AJ326" s="48" t="s">
        <v>49</v>
      </c>
      <c r="AK326" s="49" t="s">
        <v>49</v>
      </c>
      <c r="AL326" s="48" t="s">
        <v>41</v>
      </c>
      <c r="AM326" s="65" t="s">
        <v>148</v>
      </c>
      <c r="AN326" s="65"/>
      <c r="AO326" s="59"/>
      <c r="AP326" s="10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1"/>
    </row>
    <row r="327" spans="1:53" x14ac:dyDescent="0.2">
      <c r="A327" s="33">
        <f t="shared" si="5"/>
        <v>322</v>
      </c>
      <c r="B327" s="34" t="s">
        <v>2652</v>
      </c>
      <c r="C327" s="35" t="s">
        <v>2653</v>
      </c>
      <c r="D327" s="73" t="s">
        <v>2654</v>
      </c>
      <c r="E327" s="73"/>
      <c r="F327" s="36" t="s">
        <v>54</v>
      </c>
      <c r="G327" s="98" t="s">
        <v>2655</v>
      </c>
      <c r="H327" s="37" t="s">
        <v>214</v>
      </c>
      <c r="I327" s="37" t="s">
        <v>205</v>
      </c>
      <c r="J327" s="34" t="s">
        <v>2656</v>
      </c>
      <c r="K327" s="34" t="s">
        <v>41</v>
      </c>
      <c r="L327" s="39" t="s">
        <v>42</v>
      </c>
      <c r="M327" s="99" t="s">
        <v>2657</v>
      </c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42" t="s">
        <v>2658</v>
      </c>
      <c r="Z327" s="58" t="s">
        <v>2659</v>
      </c>
      <c r="AA327" s="44" t="s">
        <v>61</v>
      </c>
      <c r="AB327" s="45">
        <v>37877</v>
      </c>
      <c r="AC327" s="101" t="s">
        <v>30</v>
      </c>
      <c r="AD327" s="73"/>
      <c r="AE327" s="47" t="s">
        <v>49</v>
      </c>
      <c r="AF327" s="48" t="s">
        <v>41</v>
      </c>
      <c r="AG327" s="48" t="s">
        <v>41</v>
      </c>
      <c r="AH327" s="48" t="s">
        <v>41</v>
      </c>
      <c r="AI327" s="48" t="s">
        <v>41</v>
      </c>
      <c r="AJ327" s="48" t="s">
        <v>41</v>
      </c>
      <c r="AK327" s="49" t="s">
        <v>41</v>
      </c>
      <c r="AL327" s="48" t="s">
        <v>41</v>
      </c>
      <c r="AM327" s="65" t="s">
        <v>4588</v>
      </c>
      <c r="AN327" s="65"/>
      <c r="AO327" s="59" t="s">
        <v>460</v>
      </c>
      <c r="AP327" s="117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1"/>
    </row>
    <row r="328" spans="1:53" x14ac:dyDescent="0.2">
      <c r="A328" s="33">
        <f t="shared" ref="A328:A392" si="6">+A327+1</f>
        <v>323</v>
      </c>
      <c r="B328" s="107" t="s">
        <v>2660</v>
      </c>
      <c r="C328" s="35" t="s">
        <v>2661</v>
      </c>
      <c r="D328" s="36" t="s">
        <v>2662</v>
      </c>
      <c r="E328" s="334">
        <v>31789</v>
      </c>
      <c r="F328" s="36" t="s">
        <v>54</v>
      </c>
      <c r="G328" s="87" t="s">
        <v>2663</v>
      </c>
      <c r="H328" s="37" t="s">
        <v>4658</v>
      </c>
      <c r="I328" s="37" t="s">
        <v>350</v>
      </c>
      <c r="J328" s="34" t="s">
        <v>2664</v>
      </c>
      <c r="K328" s="34"/>
      <c r="L328" s="39" t="s">
        <v>42</v>
      </c>
      <c r="M328" s="99" t="s">
        <v>2139</v>
      </c>
      <c r="N328" s="56"/>
      <c r="O328" s="56"/>
      <c r="P328" s="56"/>
      <c r="Q328" s="56"/>
      <c r="R328" s="56"/>
      <c r="S328" s="56"/>
      <c r="T328" s="56"/>
      <c r="U328" s="56" t="s">
        <v>732</v>
      </c>
      <c r="V328" s="56"/>
      <c r="W328" s="56"/>
      <c r="X328" s="56"/>
      <c r="Y328" s="42" t="s">
        <v>2665</v>
      </c>
      <c r="Z328" s="58" t="s">
        <v>2666</v>
      </c>
      <c r="AA328" s="224"/>
      <c r="AB328" s="45" t="s">
        <v>47</v>
      </c>
      <c r="AC328" s="101" t="s">
        <v>342</v>
      </c>
      <c r="AD328" s="36" t="s">
        <v>26</v>
      </c>
      <c r="AE328" s="47" t="s">
        <v>49</v>
      </c>
      <c r="AF328" s="48" t="s">
        <v>49</v>
      </c>
      <c r="AG328" s="48" t="s">
        <v>49</v>
      </c>
      <c r="AH328" s="48" t="s">
        <v>49</v>
      </c>
      <c r="AI328" s="48" t="s">
        <v>49</v>
      </c>
      <c r="AJ328" s="48" t="s">
        <v>49</v>
      </c>
      <c r="AK328" s="49" t="s">
        <v>49</v>
      </c>
      <c r="AL328" s="48" t="s">
        <v>49</v>
      </c>
      <c r="AM328" s="62" t="s">
        <v>32</v>
      </c>
      <c r="AN328" s="62"/>
      <c r="AO328" s="59"/>
      <c r="AP328" s="10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1"/>
    </row>
    <row r="329" spans="1:53" x14ac:dyDescent="0.2">
      <c r="A329" s="33">
        <f t="shared" si="6"/>
        <v>324</v>
      </c>
      <c r="B329" s="107" t="s">
        <v>2667</v>
      </c>
      <c r="C329" s="35" t="s">
        <v>2668</v>
      </c>
      <c r="D329" s="36" t="s">
        <v>2669</v>
      </c>
      <c r="E329" s="36"/>
      <c r="F329" s="36" t="s">
        <v>54</v>
      </c>
      <c r="G329" s="34" t="s">
        <v>2670</v>
      </c>
      <c r="H329" s="37" t="s">
        <v>73</v>
      </c>
      <c r="I329" s="37" t="s">
        <v>73</v>
      </c>
      <c r="J329" s="34" t="s">
        <v>2671</v>
      </c>
      <c r="K329" s="34"/>
      <c r="L329" s="39" t="s">
        <v>42</v>
      </c>
      <c r="M329" s="99" t="s">
        <v>2672</v>
      </c>
      <c r="N329" s="56"/>
      <c r="O329" s="56"/>
      <c r="P329" s="56"/>
      <c r="Q329" s="56"/>
      <c r="R329" s="56"/>
      <c r="S329" s="56"/>
      <c r="T329" s="56"/>
      <c r="U329" s="56" t="s">
        <v>44</v>
      </c>
      <c r="V329" s="56"/>
      <c r="W329" s="56"/>
      <c r="X329" s="56"/>
      <c r="Y329" s="42" t="s">
        <v>2673</v>
      </c>
      <c r="Z329" s="58" t="s">
        <v>2674</v>
      </c>
      <c r="AA329" s="44"/>
      <c r="AB329" s="45">
        <v>45642</v>
      </c>
      <c r="AC329" s="101"/>
      <c r="AD329" s="36"/>
      <c r="AE329" s="47" t="s">
        <v>49</v>
      </c>
      <c r="AF329" s="48" t="s">
        <v>41</v>
      </c>
      <c r="AG329" s="48" t="s">
        <v>41</v>
      </c>
      <c r="AH329" s="48" t="s">
        <v>41</v>
      </c>
      <c r="AI329" s="48" t="s">
        <v>49</v>
      </c>
      <c r="AJ329" s="48" t="s">
        <v>49</v>
      </c>
      <c r="AK329" s="49" t="s">
        <v>49</v>
      </c>
      <c r="AL329" s="48" t="s">
        <v>49</v>
      </c>
      <c r="AM329" s="62" t="s">
        <v>32</v>
      </c>
      <c r="AN329" s="62" t="s">
        <v>4681</v>
      </c>
      <c r="AO329" s="59"/>
      <c r="AP329" s="117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1"/>
    </row>
    <row r="330" spans="1:53" x14ac:dyDescent="0.2">
      <c r="A330" s="33">
        <f t="shared" si="6"/>
        <v>325</v>
      </c>
      <c r="B330" s="34" t="s">
        <v>2675</v>
      </c>
      <c r="C330" s="35" t="s">
        <v>2676</v>
      </c>
      <c r="D330" s="36" t="s">
        <v>2677</v>
      </c>
      <c r="E330" s="334">
        <v>21544</v>
      </c>
      <c r="F330" s="36" t="s">
        <v>54</v>
      </c>
      <c r="G330" s="34" t="s">
        <v>2678</v>
      </c>
      <c r="H330" s="37" t="s">
        <v>73</v>
      </c>
      <c r="I330" s="37" t="s">
        <v>73</v>
      </c>
      <c r="J330" s="34" t="s">
        <v>2679</v>
      </c>
      <c r="K330" s="34" t="s">
        <v>2680</v>
      </c>
      <c r="L330" s="39" t="s">
        <v>42</v>
      </c>
      <c r="M330" s="120">
        <v>35617</v>
      </c>
      <c r="N330" s="41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42" t="s">
        <v>2681</v>
      </c>
      <c r="Z330" s="58" t="s">
        <v>2682</v>
      </c>
      <c r="AA330" s="44" t="s">
        <v>61</v>
      </c>
      <c r="AB330" s="45">
        <v>36803</v>
      </c>
      <c r="AC330" s="101" t="s">
        <v>30</v>
      </c>
      <c r="AD330" s="36" t="s">
        <v>26</v>
      </c>
      <c r="AE330" s="47" t="s">
        <v>49</v>
      </c>
      <c r="AF330" s="48" t="s">
        <v>49</v>
      </c>
      <c r="AG330" s="48" t="s">
        <v>49</v>
      </c>
      <c r="AH330" s="48" t="s">
        <v>49</v>
      </c>
      <c r="AI330" s="48" t="s">
        <v>49</v>
      </c>
      <c r="AJ330" s="48" t="s">
        <v>49</v>
      </c>
      <c r="AK330" s="49" t="s">
        <v>49</v>
      </c>
      <c r="AL330" s="48" t="s">
        <v>49</v>
      </c>
      <c r="AM330" s="62" t="s">
        <v>32</v>
      </c>
      <c r="AN330" s="62"/>
      <c r="AO330" s="59"/>
      <c r="AP330" s="10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1"/>
    </row>
    <row r="331" spans="1:53" x14ac:dyDescent="0.2">
      <c r="A331" s="33">
        <f t="shared" si="6"/>
        <v>326</v>
      </c>
      <c r="B331" s="34" t="s">
        <v>2683</v>
      </c>
      <c r="C331" s="35" t="s">
        <v>2684</v>
      </c>
      <c r="D331" s="36" t="s">
        <v>2685</v>
      </c>
      <c r="E331" s="334">
        <v>28987</v>
      </c>
      <c r="F331" s="36" t="s">
        <v>54</v>
      </c>
      <c r="G331" s="34" t="s">
        <v>2686</v>
      </c>
      <c r="H331" s="37" t="s">
        <v>73</v>
      </c>
      <c r="I331" s="37" t="s">
        <v>73</v>
      </c>
      <c r="J331" s="34" t="s">
        <v>2687</v>
      </c>
      <c r="K331" s="34" t="s">
        <v>2688</v>
      </c>
      <c r="L331" s="39" t="s">
        <v>42</v>
      </c>
      <c r="M331" s="99" t="s">
        <v>273</v>
      </c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2" t="s">
        <v>2689</v>
      </c>
      <c r="Z331" s="52" t="s">
        <v>2690</v>
      </c>
      <c r="AA331" s="44" t="s">
        <v>2691</v>
      </c>
      <c r="AB331" s="45">
        <v>43200</v>
      </c>
      <c r="AC331" s="101" t="s">
        <v>30</v>
      </c>
      <c r="AD331" s="36" t="s">
        <v>26</v>
      </c>
      <c r="AE331" s="47" t="s">
        <v>49</v>
      </c>
      <c r="AF331" s="48" t="s">
        <v>49</v>
      </c>
      <c r="AG331" s="48" t="s">
        <v>49</v>
      </c>
      <c r="AH331" s="48" t="s">
        <v>49</v>
      </c>
      <c r="AI331" s="48" t="s">
        <v>49</v>
      </c>
      <c r="AJ331" s="48" t="s">
        <v>49</v>
      </c>
      <c r="AK331" s="49" t="s">
        <v>49</v>
      </c>
      <c r="AL331" s="48" t="s">
        <v>49</v>
      </c>
      <c r="AM331" s="62" t="s">
        <v>32</v>
      </c>
      <c r="AN331" s="62"/>
      <c r="AO331" s="59"/>
      <c r="AP331" s="10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1"/>
    </row>
    <row r="332" spans="1:53" x14ac:dyDescent="0.2">
      <c r="A332" s="33">
        <f t="shared" si="6"/>
        <v>327</v>
      </c>
      <c r="B332" s="34" t="s">
        <v>2692</v>
      </c>
      <c r="C332" s="35" t="s">
        <v>2693</v>
      </c>
      <c r="D332" s="36" t="s">
        <v>2694</v>
      </c>
      <c r="E332" s="334">
        <v>20326</v>
      </c>
      <c r="F332" s="36" t="s">
        <v>54</v>
      </c>
      <c r="G332" s="34" t="s">
        <v>2695</v>
      </c>
      <c r="H332" s="37" t="s">
        <v>73</v>
      </c>
      <c r="I332" s="37" t="s">
        <v>73</v>
      </c>
      <c r="J332" s="34" t="s">
        <v>2696</v>
      </c>
      <c r="K332" s="34" t="s">
        <v>2687</v>
      </c>
      <c r="L332" s="39" t="s">
        <v>42</v>
      </c>
      <c r="M332" s="120">
        <v>37715</v>
      </c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2" t="s">
        <v>2697</v>
      </c>
      <c r="Z332" s="43" t="s">
        <v>2698</v>
      </c>
      <c r="AA332" s="44" t="s">
        <v>61</v>
      </c>
      <c r="AB332" s="45">
        <v>37877</v>
      </c>
      <c r="AC332" s="101" t="s">
        <v>30</v>
      </c>
      <c r="AD332" s="36" t="s">
        <v>26</v>
      </c>
      <c r="AE332" s="47" t="s">
        <v>49</v>
      </c>
      <c r="AF332" s="48" t="s">
        <v>49</v>
      </c>
      <c r="AG332" s="48" t="s">
        <v>49</v>
      </c>
      <c r="AH332" s="48" t="s">
        <v>49</v>
      </c>
      <c r="AI332" s="48" t="s">
        <v>49</v>
      </c>
      <c r="AJ332" s="48" t="s">
        <v>49</v>
      </c>
      <c r="AK332" s="49" t="s">
        <v>49</v>
      </c>
      <c r="AL332" s="48" t="s">
        <v>49</v>
      </c>
      <c r="AM332" s="62" t="s">
        <v>32</v>
      </c>
      <c r="AN332" s="62"/>
      <c r="AO332" s="59"/>
      <c r="AP332" s="10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1"/>
    </row>
    <row r="333" spans="1:53" x14ac:dyDescent="0.2">
      <c r="A333" s="33">
        <f t="shared" si="6"/>
        <v>328</v>
      </c>
      <c r="B333" s="34" t="s">
        <v>2699</v>
      </c>
      <c r="C333" s="35" t="s">
        <v>2700</v>
      </c>
      <c r="D333" s="36" t="s">
        <v>2701</v>
      </c>
      <c r="E333" s="334">
        <v>36291</v>
      </c>
      <c r="F333" s="36" t="s">
        <v>54</v>
      </c>
      <c r="G333" s="34" t="s">
        <v>2702</v>
      </c>
      <c r="H333" s="37" t="s">
        <v>243</v>
      </c>
      <c r="I333" s="37" t="s">
        <v>205</v>
      </c>
      <c r="J333" s="38" t="s">
        <v>2703</v>
      </c>
      <c r="K333" s="34"/>
      <c r="L333" s="39" t="s">
        <v>42</v>
      </c>
      <c r="M333" s="120" t="s">
        <v>2704</v>
      </c>
      <c r="N333" s="41"/>
      <c r="O333" s="41"/>
      <c r="P333" s="41"/>
      <c r="Q333" s="41"/>
      <c r="R333" s="41"/>
      <c r="S333" s="41"/>
      <c r="T333" s="41" t="s">
        <v>44</v>
      </c>
      <c r="U333" s="41"/>
      <c r="V333" s="41"/>
      <c r="W333" s="41"/>
      <c r="X333" s="41"/>
      <c r="Y333" s="42" t="s">
        <v>2705</v>
      </c>
      <c r="Z333" s="43" t="s">
        <v>2706</v>
      </c>
      <c r="AA333" s="84" t="s">
        <v>2707</v>
      </c>
      <c r="AB333" s="45">
        <v>44650</v>
      </c>
      <c r="AC333" s="101" t="s">
        <v>30</v>
      </c>
      <c r="AD333" s="36"/>
      <c r="AE333" s="47" t="s">
        <v>49</v>
      </c>
      <c r="AF333" s="48" t="s">
        <v>41</v>
      </c>
      <c r="AG333" s="48" t="s">
        <v>41</v>
      </c>
      <c r="AH333" s="48" t="s">
        <v>49</v>
      </c>
      <c r="AI333" s="48" t="s">
        <v>49</v>
      </c>
      <c r="AJ333" s="48" t="s">
        <v>49</v>
      </c>
      <c r="AK333" s="49" t="s">
        <v>49</v>
      </c>
      <c r="AL333" s="48" t="s">
        <v>41</v>
      </c>
      <c r="AM333" s="62" t="s">
        <v>148</v>
      </c>
      <c r="AN333" s="62"/>
      <c r="AO333" s="59"/>
      <c r="AP333" s="10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1"/>
    </row>
    <row r="334" spans="1:53" x14ac:dyDescent="0.2">
      <c r="A334" s="33">
        <f t="shared" si="6"/>
        <v>329</v>
      </c>
      <c r="B334" s="34" t="s">
        <v>2708</v>
      </c>
      <c r="C334" s="35" t="s">
        <v>2709</v>
      </c>
      <c r="D334" s="36" t="s">
        <v>2710</v>
      </c>
      <c r="E334" s="334">
        <v>26101</v>
      </c>
      <c r="F334" s="36" t="s">
        <v>54</v>
      </c>
      <c r="G334" s="34" t="s">
        <v>2711</v>
      </c>
      <c r="H334" s="37" t="s">
        <v>323</v>
      </c>
      <c r="I334" s="37" t="s">
        <v>39</v>
      </c>
      <c r="J334" s="38" t="s">
        <v>2712</v>
      </c>
      <c r="K334" s="34" t="s">
        <v>41</v>
      </c>
      <c r="L334" s="39" t="s">
        <v>42</v>
      </c>
      <c r="M334" s="120">
        <v>45643</v>
      </c>
      <c r="N334" s="41"/>
      <c r="O334" s="41"/>
      <c r="P334" s="41"/>
      <c r="Q334" s="41"/>
      <c r="R334" s="41"/>
      <c r="S334" s="41"/>
      <c r="T334" s="41"/>
      <c r="U334" s="41"/>
      <c r="V334" s="41" t="s">
        <v>44</v>
      </c>
      <c r="W334" s="41"/>
      <c r="X334" s="41"/>
      <c r="Y334" s="38" t="s">
        <v>2713</v>
      </c>
      <c r="Z334" s="43" t="s">
        <v>2714</v>
      </c>
      <c r="AA334" s="144"/>
      <c r="AB334" s="45"/>
      <c r="AC334" s="101"/>
      <c r="AD334" s="36"/>
      <c r="AE334" s="47" t="s">
        <v>49</v>
      </c>
      <c r="AF334" s="48" t="s">
        <v>41</v>
      </c>
      <c r="AG334" s="48" t="s">
        <v>41</v>
      </c>
      <c r="AH334" s="48" t="s">
        <v>41</v>
      </c>
      <c r="AI334" s="48" t="s">
        <v>41</v>
      </c>
      <c r="AJ334" s="48" t="s">
        <v>49</v>
      </c>
      <c r="AK334" s="49" t="s">
        <v>49</v>
      </c>
      <c r="AL334" s="48" t="s">
        <v>41</v>
      </c>
      <c r="AM334" s="62" t="s">
        <v>148</v>
      </c>
      <c r="AN334" s="62"/>
      <c r="AO334" s="59"/>
      <c r="AP334" s="10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1"/>
    </row>
    <row r="335" spans="1:53" x14ac:dyDescent="0.2">
      <c r="A335" s="33">
        <f t="shared" si="6"/>
        <v>330</v>
      </c>
      <c r="B335" s="34" t="s">
        <v>2715</v>
      </c>
      <c r="C335" s="35" t="s">
        <v>2716</v>
      </c>
      <c r="D335" s="36" t="s">
        <v>2717</v>
      </c>
      <c r="E335" s="334">
        <v>34486</v>
      </c>
      <c r="F335" s="36" t="s">
        <v>36</v>
      </c>
      <c r="G335" s="34" t="s">
        <v>2718</v>
      </c>
      <c r="H335" s="37" t="s">
        <v>73</v>
      </c>
      <c r="I335" s="37" t="s">
        <v>73</v>
      </c>
      <c r="J335" s="34" t="s">
        <v>2719</v>
      </c>
      <c r="K335" s="34" t="s">
        <v>41</v>
      </c>
      <c r="L335" s="39" t="s">
        <v>42</v>
      </c>
      <c r="M335" s="99" t="s">
        <v>2720</v>
      </c>
      <c r="N335" s="56"/>
      <c r="O335" s="56"/>
      <c r="P335" s="56"/>
      <c r="Q335" s="56"/>
      <c r="R335" s="56"/>
      <c r="S335" s="56"/>
      <c r="T335" s="56" t="s">
        <v>732</v>
      </c>
      <c r="U335" s="56"/>
      <c r="V335" s="56"/>
      <c r="W335" s="56"/>
      <c r="X335" s="56"/>
      <c r="Y335" s="42" t="s">
        <v>2721</v>
      </c>
      <c r="Z335" s="52" t="s">
        <v>2722</v>
      </c>
      <c r="AA335" s="44"/>
      <c r="AB335" s="45" t="s">
        <v>47</v>
      </c>
      <c r="AC335" s="101"/>
      <c r="AD335" s="36" t="s">
        <v>26</v>
      </c>
      <c r="AE335" s="47" t="s">
        <v>49</v>
      </c>
      <c r="AF335" s="48" t="s">
        <v>49</v>
      </c>
      <c r="AG335" s="48" t="s">
        <v>49</v>
      </c>
      <c r="AH335" s="48" t="s">
        <v>49</v>
      </c>
      <c r="AI335" s="48" t="s">
        <v>49</v>
      </c>
      <c r="AJ335" s="48" t="s">
        <v>49</v>
      </c>
      <c r="AK335" s="49" t="s">
        <v>49</v>
      </c>
      <c r="AL335" s="48" t="s">
        <v>49</v>
      </c>
      <c r="AM335" s="65" t="s">
        <v>32</v>
      </c>
      <c r="AN335" s="65"/>
      <c r="AO335" s="59"/>
      <c r="AP335" s="10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1"/>
    </row>
    <row r="336" spans="1:53" x14ac:dyDescent="0.2">
      <c r="A336" s="33">
        <f t="shared" si="6"/>
        <v>331</v>
      </c>
      <c r="B336" s="34" t="s">
        <v>2723</v>
      </c>
      <c r="C336" s="35" t="s">
        <v>2724</v>
      </c>
      <c r="D336" s="36" t="s">
        <v>2725</v>
      </c>
      <c r="E336" s="36"/>
      <c r="F336" s="36" t="s">
        <v>54</v>
      </c>
      <c r="G336" s="34" t="s">
        <v>2726</v>
      </c>
      <c r="H336" s="37" t="s">
        <v>350</v>
      </c>
      <c r="I336" s="37" t="s">
        <v>350</v>
      </c>
      <c r="J336" s="38" t="s">
        <v>2727</v>
      </c>
      <c r="K336" s="34" t="s">
        <v>41</v>
      </c>
      <c r="L336" s="39" t="s">
        <v>42</v>
      </c>
      <c r="M336" s="120">
        <v>32513</v>
      </c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2" t="s">
        <v>2728</v>
      </c>
      <c r="Z336" s="58" t="s">
        <v>2729</v>
      </c>
      <c r="AA336" s="44" t="s">
        <v>61</v>
      </c>
      <c r="AB336" s="45">
        <v>37877</v>
      </c>
      <c r="AC336" s="101" t="s">
        <v>30</v>
      </c>
      <c r="AD336" s="36"/>
      <c r="AE336" s="47" t="s">
        <v>49</v>
      </c>
      <c r="AF336" s="48" t="s">
        <v>41</v>
      </c>
      <c r="AG336" s="48" t="s">
        <v>41</v>
      </c>
      <c r="AH336" s="48" t="s">
        <v>41</v>
      </c>
      <c r="AI336" s="48" t="s">
        <v>41</v>
      </c>
      <c r="AJ336" s="48" t="s">
        <v>41</v>
      </c>
      <c r="AK336" s="49" t="s">
        <v>41</v>
      </c>
      <c r="AL336" s="48" t="s">
        <v>41</v>
      </c>
      <c r="AM336" s="65" t="s">
        <v>4592</v>
      </c>
      <c r="AN336" s="65"/>
      <c r="AO336" s="59"/>
      <c r="AP336" s="10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1"/>
    </row>
    <row r="337" spans="1:53" x14ac:dyDescent="0.2">
      <c r="A337" s="33">
        <f t="shared" si="6"/>
        <v>332</v>
      </c>
      <c r="B337" s="34" t="s">
        <v>2730</v>
      </c>
      <c r="C337" s="35" t="s">
        <v>2731</v>
      </c>
      <c r="D337" s="36" t="s">
        <v>2732</v>
      </c>
      <c r="E337" s="334">
        <v>20852</v>
      </c>
      <c r="F337" s="36" t="s">
        <v>54</v>
      </c>
      <c r="G337" s="34" t="s">
        <v>2733</v>
      </c>
      <c r="H337" s="37" t="s">
        <v>73</v>
      </c>
      <c r="I337" s="37" t="s">
        <v>73</v>
      </c>
      <c r="J337" s="34" t="s">
        <v>2734</v>
      </c>
      <c r="K337" s="34" t="s">
        <v>41</v>
      </c>
      <c r="L337" s="39" t="s">
        <v>42</v>
      </c>
      <c r="M337" s="120">
        <v>33762</v>
      </c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2" t="s">
        <v>2735</v>
      </c>
      <c r="Z337" s="58" t="s">
        <v>2736</v>
      </c>
      <c r="AA337" s="44" t="s">
        <v>61</v>
      </c>
      <c r="AB337" s="45">
        <v>34597</v>
      </c>
      <c r="AC337" s="101" t="s">
        <v>30</v>
      </c>
      <c r="AD337" s="36" t="s">
        <v>26</v>
      </c>
      <c r="AE337" s="64" t="s">
        <v>120</v>
      </c>
      <c r="AF337" s="48" t="s">
        <v>120</v>
      </c>
      <c r="AG337" s="48" t="s">
        <v>120</v>
      </c>
      <c r="AH337" s="48" t="s">
        <v>120</v>
      </c>
      <c r="AI337" s="48" t="s">
        <v>120</v>
      </c>
      <c r="AJ337" s="48" t="s">
        <v>120</v>
      </c>
      <c r="AK337" s="49" t="s">
        <v>120</v>
      </c>
      <c r="AL337" s="48" t="s">
        <v>120</v>
      </c>
      <c r="AM337" s="62" t="s">
        <v>32</v>
      </c>
      <c r="AN337" s="62"/>
      <c r="AO337" s="59"/>
      <c r="AP337" s="10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1"/>
    </row>
    <row r="338" spans="1:53" x14ac:dyDescent="0.2">
      <c r="A338" s="33">
        <f t="shared" si="6"/>
        <v>333</v>
      </c>
      <c r="B338" s="34" t="s">
        <v>2737</v>
      </c>
      <c r="C338" s="35" t="s">
        <v>2738</v>
      </c>
      <c r="D338" s="36" t="s">
        <v>2739</v>
      </c>
      <c r="E338" s="334">
        <v>25437</v>
      </c>
      <c r="F338" s="36" t="s">
        <v>36</v>
      </c>
      <c r="G338" s="34" t="s">
        <v>2740</v>
      </c>
      <c r="H338" s="37" t="s">
        <v>243</v>
      </c>
      <c r="I338" s="37" t="s">
        <v>205</v>
      </c>
      <c r="J338" s="34" t="s">
        <v>2741</v>
      </c>
      <c r="K338" s="34" t="s">
        <v>41</v>
      </c>
      <c r="L338" s="39" t="s">
        <v>42</v>
      </c>
      <c r="M338" s="99" t="s">
        <v>2742</v>
      </c>
      <c r="N338" s="56" t="s">
        <v>179</v>
      </c>
      <c r="O338" s="56"/>
      <c r="P338" s="56"/>
      <c r="Q338" s="56"/>
      <c r="R338" s="56"/>
      <c r="S338" s="56"/>
      <c r="T338" s="56"/>
      <c r="U338" s="56"/>
      <c r="V338" s="56"/>
      <c r="W338" s="56" t="s">
        <v>732</v>
      </c>
      <c r="X338" s="56"/>
      <c r="Y338" s="42" t="s">
        <v>2743</v>
      </c>
      <c r="Z338" s="69" t="s">
        <v>2744</v>
      </c>
      <c r="AA338" s="44" t="s">
        <v>2745</v>
      </c>
      <c r="AB338" s="45">
        <v>41793</v>
      </c>
      <c r="AC338" s="101" t="s">
        <v>30</v>
      </c>
      <c r="AD338" s="36" t="s">
        <v>26</v>
      </c>
      <c r="AE338" s="47" t="s">
        <v>49</v>
      </c>
      <c r="AF338" s="48" t="s">
        <v>49</v>
      </c>
      <c r="AG338" s="48" t="s">
        <v>49</v>
      </c>
      <c r="AH338" s="48" t="s">
        <v>49</v>
      </c>
      <c r="AI338" s="48" t="s">
        <v>49</v>
      </c>
      <c r="AJ338" s="48" t="s">
        <v>49</v>
      </c>
      <c r="AK338" s="49" t="s">
        <v>49</v>
      </c>
      <c r="AL338" s="48" t="s">
        <v>49</v>
      </c>
      <c r="AM338" s="62" t="s">
        <v>32</v>
      </c>
      <c r="AN338" s="62"/>
      <c r="AO338" s="59"/>
      <c r="AP338" s="117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1"/>
    </row>
    <row r="339" spans="1:53" x14ac:dyDescent="0.2">
      <c r="A339" s="33">
        <f t="shared" si="6"/>
        <v>334</v>
      </c>
      <c r="B339" s="34" t="s">
        <v>2746</v>
      </c>
      <c r="C339" s="35" t="s">
        <v>2747</v>
      </c>
      <c r="D339" s="36" t="s">
        <v>2748</v>
      </c>
      <c r="E339" s="36"/>
      <c r="F339" s="36" t="s">
        <v>54</v>
      </c>
      <c r="G339" s="34" t="s">
        <v>2749</v>
      </c>
      <c r="H339" s="37" t="s">
        <v>73</v>
      </c>
      <c r="I339" s="37" t="s">
        <v>73</v>
      </c>
      <c r="J339" s="38" t="s">
        <v>2750</v>
      </c>
      <c r="K339" s="34" t="s">
        <v>41</v>
      </c>
      <c r="L339" s="39" t="s">
        <v>42</v>
      </c>
      <c r="M339" s="99" t="s">
        <v>2751</v>
      </c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42" t="s">
        <v>2752</v>
      </c>
      <c r="Z339" s="69" t="s">
        <v>2753</v>
      </c>
      <c r="AA339" s="44" t="s">
        <v>2754</v>
      </c>
      <c r="AB339" s="45">
        <v>44041</v>
      </c>
      <c r="AC339" s="101" t="s">
        <v>30</v>
      </c>
      <c r="AD339" s="36"/>
      <c r="AE339" s="47" t="s">
        <v>49</v>
      </c>
      <c r="AF339" s="48" t="s">
        <v>41</v>
      </c>
      <c r="AG339" s="48" t="s">
        <v>41</v>
      </c>
      <c r="AH339" s="48" t="s">
        <v>41</v>
      </c>
      <c r="AI339" s="48" t="s">
        <v>41</v>
      </c>
      <c r="AJ339" s="48" t="s">
        <v>41</v>
      </c>
      <c r="AK339" s="49" t="s">
        <v>41</v>
      </c>
      <c r="AL339" s="48" t="s">
        <v>41</v>
      </c>
      <c r="AM339" s="65" t="s">
        <v>4590</v>
      </c>
      <c r="AN339" s="65"/>
      <c r="AO339" s="59" t="s">
        <v>1230</v>
      </c>
      <c r="AP339" s="10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1"/>
    </row>
    <row r="340" spans="1:53" ht="18.75" customHeight="1" x14ac:dyDescent="0.2">
      <c r="A340" s="33">
        <f t="shared" si="6"/>
        <v>335</v>
      </c>
      <c r="B340" s="34" t="s">
        <v>2755</v>
      </c>
      <c r="C340" s="35" t="s">
        <v>2756</v>
      </c>
      <c r="D340" s="36" t="s">
        <v>2757</v>
      </c>
      <c r="E340" s="334">
        <v>27863</v>
      </c>
      <c r="F340" s="36" t="s">
        <v>54</v>
      </c>
      <c r="G340" s="34" t="s">
        <v>2758</v>
      </c>
      <c r="H340" s="37" t="s">
        <v>73</v>
      </c>
      <c r="I340" s="37" t="s">
        <v>73</v>
      </c>
      <c r="J340" s="38" t="s">
        <v>2759</v>
      </c>
      <c r="K340" s="34"/>
      <c r="L340" s="39" t="s">
        <v>42</v>
      </c>
      <c r="M340" s="99" t="s">
        <v>2760</v>
      </c>
      <c r="N340" s="56"/>
      <c r="O340" s="137"/>
      <c r="P340" s="137"/>
      <c r="Q340" s="137"/>
      <c r="R340" s="137"/>
      <c r="S340" s="137" t="s">
        <v>44</v>
      </c>
      <c r="T340" s="137"/>
      <c r="U340" s="137"/>
      <c r="V340" s="137"/>
      <c r="W340" s="137"/>
      <c r="X340" s="137"/>
      <c r="Y340" s="42" t="s">
        <v>2761</v>
      </c>
      <c r="Z340" s="58" t="s">
        <v>2762</v>
      </c>
      <c r="AA340" s="211" t="s">
        <v>2763</v>
      </c>
      <c r="AB340" s="45">
        <v>44944</v>
      </c>
      <c r="AC340" s="101" t="s">
        <v>30</v>
      </c>
      <c r="AD340" s="36"/>
      <c r="AE340" s="47" t="s">
        <v>49</v>
      </c>
      <c r="AF340" s="48" t="s">
        <v>41</v>
      </c>
      <c r="AG340" s="48" t="s">
        <v>49</v>
      </c>
      <c r="AH340" s="48" t="s">
        <v>49</v>
      </c>
      <c r="AI340" s="48" t="s">
        <v>49</v>
      </c>
      <c r="AJ340" s="48" t="s">
        <v>49</v>
      </c>
      <c r="AK340" s="49" t="s">
        <v>49</v>
      </c>
      <c r="AL340" s="48" t="s">
        <v>49</v>
      </c>
      <c r="AM340" s="62" t="s">
        <v>32</v>
      </c>
      <c r="AN340" s="62"/>
      <c r="AO340" s="59"/>
      <c r="AP340" s="10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1"/>
    </row>
    <row r="341" spans="1:53" ht="18.75" customHeight="1" x14ac:dyDescent="0.2">
      <c r="A341" s="33">
        <f t="shared" si="6"/>
        <v>336</v>
      </c>
      <c r="B341" s="34" t="s">
        <v>2764</v>
      </c>
      <c r="C341" s="35" t="s">
        <v>2765</v>
      </c>
      <c r="D341" s="36" t="s">
        <v>2766</v>
      </c>
      <c r="E341" s="36"/>
      <c r="F341" s="36" t="s">
        <v>54</v>
      </c>
      <c r="G341" s="34" t="s">
        <v>2767</v>
      </c>
      <c r="H341" s="37" t="s">
        <v>205</v>
      </c>
      <c r="I341" s="37" t="s">
        <v>205</v>
      </c>
      <c r="J341" s="34" t="s">
        <v>2768</v>
      </c>
      <c r="K341" s="34" t="s">
        <v>41</v>
      </c>
      <c r="L341" s="39" t="s">
        <v>42</v>
      </c>
      <c r="M341" s="99" t="s">
        <v>2769</v>
      </c>
      <c r="N341" s="56"/>
      <c r="O341" s="56"/>
      <c r="P341" s="56"/>
      <c r="Q341" s="56"/>
      <c r="R341" s="115"/>
      <c r="S341" s="115"/>
      <c r="T341" s="115"/>
      <c r="U341" s="56"/>
      <c r="V341" s="56"/>
      <c r="W341" s="56"/>
      <c r="X341" s="56"/>
      <c r="Y341" s="42" t="s">
        <v>2770</v>
      </c>
      <c r="Z341" s="58" t="s">
        <v>2771</v>
      </c>
      <c r="AA341" s="119" t="s">
        <v>61</v>
      </c>
      <c r="AB341" s="45">
        <v>40815</v>
      </c>
      <c r="AC341" s="101" t="s">
        <v>129</v>
      </c>
      <c r="AD341" s="36"/>
      <c r="AE341" s="47" t="s">
        <v>49</v>
      </c>
      <c r="AF341" s="48" t="s">
        <v>41</v>
      </c>
      <c r="AG341" s="48" t="s">
        <v>41</v>
      </c>
      <c r="AH341" s="48" t="s">
        <v>41</v>
      </c>
      <c r="AI341" s="48" t="s">
        <v>41</v>
      </c>
      <c r="AJ341" s="48" t="s">
        <v>41</v>
      </c>
      <c r="AK341" s="49" t="s">
        <v>41</v>
      </c>
      <c r="AL341" s="48" t="s">
        <v>41</v>
      </c>
      <c r="AM341" s="65" t="s">
        <v>4592</v>
      </c>
      <c r="AN341" s="65"/>
      <c r="AO341" s="59"/>
      <c r="AP341" s="10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1"/>
    </row>
    <row r="342" spans="1:53" ht="18.75" customHeight="1" x14ac:dyDescent="0.2">
      <c r="A342" s="33">
        <f t="shared" si="6"/>
        <v>337</v>
      </c>
      <c r="B342" s="34" t="s">
        <v>2772</v>
      </c>
      <c r="C342" s="35" t="s">
        <v>2773</v>
      </c>
      <c r="D342" s="36" t="s">
        <v>2774</v>
      </c>
      <c r="E342" s="334">
        <v>32152</v>
      </c>
      <c r="F342" s="36" t="s">
        <v>54</v>
      </c>
      <c r="G342" s="34" t="s">
        <v>2775</v>
      </c>
      <c r="H342" s="37" t="s">
        <v>73</v>
      </c>
      <c r="I342" s="37" t="s">
        <v>73</v>
      </c>
      <c r="J342" s="38" t="s">
        <v>2776</v>
      </c>
      <c r="K342" s="34" t="s">
        <v>41</v>
      </c>
      <c r="L342" s="39" t="s">
        <v>42</v>
      </c>
      <c r="M342" s="120">
        <v>44573</v>
      </c>
      <c r="N342" s="56"/>
      <c r="O342" s="56"/>
      <c r="P342" s="56"/>
      <c r="Q342" s="56"/>
      <c r="R342" s="115"/>
      <c r="S342" s="115"/>
      <c r="T342" s="115" t="s">
        <v>44</v>
      </c>
      <c r="U342" s="56"/>
      <c r="V342" s="56"/>
      <c r="W342" s="56"/>
      <c r="X342" s="56"/>
      <c r="Y342" s="42" t="s">
        <v>2777</v>
      </c>
      <c r="Z342" s="58" t="s">
        <v>2778</v>
      </c>
      <c r="AA342" s="211" t="s">
        <v>2779</v>
      </c>
      <c r="AB342" s="45">
        <v>44944</v>
      </c>
      <c r="AC342" s="101" t="s">
        <v>30</v>
      </c>
      <c r="AD342" s="36"/>
      <c r="AE342" s="47" t="s">
        <v>49</v>
      </c>
      <c r="AF342" s="48" t="s">
        <v>41</v>
      </c>
      <c r="AG342" s="48" t="s">
        <v>41</v>
      </c>
      <c r="AH342" s="48" t="s">
        <v>49</v>
      </c>
      <c r="AI342" s="48" t="s">
        <v>49</v>
      </c>
      <c r="AJ342" s="48" t="s">
        <v>49</v>
      </c>
      <c r="AK342" s="49" t="s">
        <v>49</v>
      </c>
      <c r="AL342" s="48" t="s">
        <v>49</v>
      </c>
      <c r="AM342" s="65" t="s">
        <v>32</v>
      </c>
      <c r="AN342" s="65"/>
      <c r="AO342" s="59"/>
      <c r="AP342" s="10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1"/>
    </row>
    <row r="343" spans="1:53" ht="19.5" customHeight="1" x14ac:dyDescent="0.2">
      <c r="A343" s="33">
        <f t="shared" si="6"/>
        <v>338</v>
      </c>
      <c r="B343" s="34" t="s">
        <v>2780</v>
      </c>
      <c r="C343" s="35" t="s">
        <v>2781</v>
      </c>
      <c r="D343" s="36" t="s">
        <v>2782</v>
      </c>
      <c r="E343" s="36"/>
      <c r="F343" s="36" t="s">
        <v>54</v>
      </c>
      <c r="G343" s="34" t="s">
        <v>2783</v>
      </c>
      <c r="H343" s="37" t="s">
        <v>205</v>
      </c>
      <c r="I343" s="37" t="s">
        <v>205</v>
      </c>
      <c r="J343" s="38" t="s">
        <v>2784</v>
      </c>
      <c r="K343" s="34"/>
      <c r="L343" s="39" t="s">
        <v>42</v>
      </c>
      <c r="M343" s="120">
        <v>44903</v>
      </c>
      <c r="N343" s="56"/>
      <c r="O343" s="56"/>
      <c r="P343" s="56"/>
      <c r="Q343" s="56"/>
      <c r="R343" s="115"/>
      <c r="S343" s="115"/>
      <c r="T343" s="115" t="s">
        <v>44</v>
      </c>
      <c r="U343" s="56"/>
      <c r="V343" s="56"/>
      <c r="W343" s="56"/>
      <c r="X343" s="56"/>
      <c r="Y343" s="42" t="s">
        <v>2785</v>
      </c>
      <c r="Z343" s="58" t="s">
        <v>2786</v>
      </c>
      <c r="AA343" s="211" t="s">
        <v>2787</v>
      </c>
      <c r="AB343" s="45">
        <v>44944</v>
      </c>
      <c r="AC343" s="101" t="s">
        <v>30</v>
      </c>
      <c r="AD343" s="36"/>
      <c r="AE343" s="47" t="s">
        <v>49</v>
      </c>
      <c r="AF343" s="48" t="s">
        <v>41</v>
      </c>
      <c r="AG343" s="48" t="s">
        <v>41</v>
      </c>
      <c r="AH343" s="48" t="s">
        <v>49</v>
      </c>
      <c r="AI343" s="48" t="s">
        <v>49</v>
      </c>
      <c r="AJ343" s="48" t="s">
        <v>49</v>
      </c>
      <c r="AK343" s="49" t="s">
        <v>49</v>
      </c>
      <c r="AL343" s="48" t="s">
        <v>49</v>
      </c>
      <c r="AM343" s="62" t="s">
        <v>32</v>
      </c>
      <c r="AN343" s="62" t="s">
        <v>4681</v>
      </c>
      <c r="AO343" s="59"/>
      <c r="AP343" s="10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1"/>
    </row>
    <row r="344" spans="1:53" ht="19.5" customHeight="1" x14ac:dyDescent="0.2">
      <c r="A344" s="33">
        <f t="shared" si="6"/>
        <v>339</v>
      </c>
      <c r="B344" s="34" t="s">
        <v>2788</v>
      </c>
      <c r="C344" s="35" t="s">
        <v>2789</v>
      </c>
      <c r="D344" s="36" t="s">
        <v>2790</v>
      </c>
      <c r="E344" s="334">
        <v>26760</v>
      </c>
      <c r="F344" s="36" t="s">
        <v>54</v>
      </c>
      <c r="G344" s="34" t="s">
        <v>2791</v>
      </c>
      <c r="H344" s="37" t="s">
        <v>73</v>
      </c>
      <c r="I344" s="37" t="s">
        <v>73</v>
      </c>
      <c r="J344" s="34" t="s">
        <v>1005</v>
      </c>
      <c r="K344" s="34"/>
      <c r="L344" s="39" t="s">
        <v>42</v>
      </c>
      <c r="M344" s="99" t="s">
        <v>2792</v>
      </c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42" t="s">
        <v>2793</v>
      </c>
      <c r="Z344" s="58" t="s">
        <v>2794</v>
      </c>
      <c r="AA344" s="44" t="s">
        <v>61</v>
      </c>
      <c r="AB344" s="45">
        <v>40876</v>
      </c>
      <c r="AC344" s="101" t="s">
        <v>30</v>
      </c>
      <c r="AD344" s="36" t="s">
        <v>26</v>
      </c>
      <c r="AE344" s="47" t="s">
        <v>49</v>
      </c>
      <c r="AF344" s="48" t="s">
        <v>49</v>
      </c>
      <c r="AG344" s="48" t="s">
        <v>49</v>
      </c>
      <c r="AH344" s="48" t="s">
        <v>49</v>
      </c>
      <c r="AI344" s="48" t="s">
        <v>49</v>
      </c>
      <c r="AJ344" s="48" t="s">
        <v>49</v>
      </c>
      <c r="AK344" s="49" t="s">
        <v>49</v>
      </c>
      <c r="AL344" s="48" t="s">
        <v>49</v>
      </c>
      <c r="AM344" s="62" t="s">
        <v>32</v>
      </c>
      <c r="AN344" s="62"/>
      <c r="AO344" s="59"/>
      <c r="AP344" s="10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1"/>
    </row>
    <row r="345" spans="1:53" ht="19.5" customHeight="1" x14ac:dyDescent="0.2">
      <c r="A345" s="33">
        <f t="shared" si="6"/>
        <v>340</v>
      </c>
      <c r="B345" s="34" t="s">
        <v>2795</v>
      </c>
      <c r="C345" s="35" t="s">
        <v>2796</v>
      </c>
      <c r="D345" s="36" t="s">
        <v>2797</v>
      </c>
      <c r="E345" s="334">
        <v>33613</v>
      </c>
      <c r="F345" s="36" t="s">
        <v>54</v>
      </c>
      <c r="G345" s="34" t="s">
        <v>2798</v>
      </c>
      <c r="H345" s="37" t="s">
        <v>73</v>
      </c>
      <c r="I345" s="37" t="s">
        <v>73</v>
      </c>
      <c r="J345" s="38" t="s">
        <v>2799</v>
      </c>
      <c r="K345" s="38" t="s">
        <v>2800</v>
      </c>
      <c r="L345" s="39" t="s">
        <v>42</v>
      </c>
      <c r="M345" s="99" t="s">
        <v>2493</v>
      </c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42" t="s">
        <v>2801</v>
      </c>
      <c r="Z345" s="58" t="s">
        <v>2802</v>
      </c>
      <c r="AA345" s="207" t="s">
        <v>2803</v>
      </c>
      <c r="AB345" s="45">
        <v>44944</v>
      </c>
      <c r="AC345" s="101" t="s">
        <v>30</v>
      </c>
      <c r="AD345" s="36" t="s">
        <v>26</v>
      </c>
      <c r="AE345" s="47" t="s">
        <v>49</v>
      </c>
      <c r="AF345" s="48" t="s">
        <v>49</v>
      </c>
      <c r="AG345" s="48" t="s">
        <v>49</v>
      </c>
      <c r="AH345" s="48" t="s">
        <v>49</v>
      </c>
      <c r="AI345" s="48" t="s">
        <v>49</v>
      </c>
      <c r="AJ345" s="48" t="s">
        <v>49</v>
      </c>
      <c r="AK345" s="49" t="s">
        <v>49</v>
      </c>
      <c r="AL345" s="48" t="s">
        <v>49</v>
      </c>
      <c r="AM345" s="62" t="s">
        <v>32</v>
      </c>
      <c r="AN345" s="62"/>
      <c r="AO345" s="59"/>
      <c r="AP345" s="10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1"/>
    </row>
    <row r="346" spans="1:53" x14ac:dyDescent="0.2">
      <c r="A346" s="33">
        <f t="shared" si="6"/>
        <v>341</v>
      </c>
      <c r="B346" s="34" t="s">
        <v>2804</v>
      </c>
      <c r="C346" s="35" t="s">
        <v>2805</v>
      </c>
      <c r="D346" s="36" t="s">
        <v>2806</v>
      </c>
      <c r="E346" s="334">
        <v>25915</v>
      </c>
      <c r="F346" s="36" t="s">
        <v>54</v>
      </c>
      <c r="G346" s="34" t="s">
        <v>2807</v>
      </c>
      <c r="H346" s="37" t="s">
        <v>323</v>
      </c>
      <c r="I346" s="37" t="s">
        <v>39</v>
      </c>
      <c r="J346" s="38" t="s">
        <v>2808</v>
      </c>
      <c r="K346" s="34" t="s">
        <v>41</v>
      </c>
      <c r="L346" s="39" t="s">
        <v>42</v>
      </c>
      <c r="M346" s="99" t="s">
        <v>1776</v>
      </c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42" t="s">
        <v>2809</v>
      </c>
      <c r="Z346" s="58" t="s">
        <v>2810</v>
      </c>
      <c r="AA346" s="44" t="s">
        <v>61</v>
      </c>
      <c r="AB346" s="45">
        <v>40876</v>
      </c>
      <c r="AC346" s="101" t="s">
        <v>30</v>
      </c>
      <c r="AD346" s="36" t="s">
        <v>26</v>
      </c>
      <c r="AE346" s="47" t="s">
        <v>49</v>
      </c>
      <c r="AF346" s="48" t="s">
        <v>49</v>
      </c>
      <c r="AG346" s="48" t="s">
        <v>49</v>
      </c>
      <c r="AH346" s="48" t="s">
        <v>49</v>
      </c>
      <c r="AI346" s="48" t="s">
        <v>49</v>
      </c>
      <c r="AJ346" s="48" t="s">
        <v>49</v>
      </c>
      <c r="AK346" s="49" t="s">
        <v>49</v>
      </c>
      <c r="AL346" s="48" t="s">
        <v>49</v>
      </c>
      <c r="AM346" s="62" t="s">
        <v>32</v>
      </c>
      <c r="AN346" s="62"/>
      <c r="AO346" s="59"/>
      <c r="AP346" s="10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1"/>
    </row>
    <row r="347" spans="1:53" x14ac:dyDescent="0.2">
      <c r="A347" s="33">
        <f t="shared" si="6"/>
        <v>342</v>
      </c>
      <c r="B347" s="34" t="s">
        <v>4704</v>
      </c>
      <c r="C347" s="35" t="s">
        <v>4705</v>
      </c>
      <c r="D347" s="36" t="s">
        <v>4706</v>
      </c>
      <c r="E347" s="36"/>
      <c r="F347" s="36" t="s">
        <v>54</v>
      </c>
      <c r="G347" s="34" t="s">
        <v>4707</v>
      </c>
      <c r="H347" s="37" t="s">
        <v>1417</v>
      </c>
      <c r="I347" s="37" t="s">
        <v>187</v>
      </c>
      <c r="J347" s="38" t="s">
        <v>41</v>
      </c>
      <c r="K347" s="34" t="s">
        <v>41</v>
      </c>
      <c r="L347" s="39" t="s">
        <v>42</v>
      </c>
      <c r="M347" s="120">
        <v>46153</v>
      </c>
      <c r="N347" s="56" t="s">
        <v>179</v>
      </c>
      <c r="O347" s="56" t="s">
        <v>179</v>
      </c>
      <c r="P347" s="56"/>
      <c r="Q347" s="56"/>
      <c r="R347" s="56" t="s">
        <v>4708</v>
      </c>
      <c r="S347" s="56"/>
      <c r="T347" s="56"/>
      <c r="U347" s="56"/>
      <c r="V347" s="56"/>
      <c r="W347" s="56"/>
      <c r="X347" s="56" t="s">
        <v>44</v>
      </c>
      <c r="Y347" s="42" t="s">
        <v>4709</v>
      </c>
      <c r="Z347" s="320" t="s">
        <v>4710</v>
      </c>
      <c r="AA347" s="44"/>
      <c r="AB347" s="45"/>
      <c r="AC347" s="101"/>
      <c r="AD347" s="36"/>
      <c r="AE347" s="47" t="s">
        <v>49</v>
      </c>
      <c r="AF347" s="48" t="s">
        <v>41</v>
      </c>
      <c r="AG347" s="48" t="s">
        <v>41</v>
      </c>
      <c r="AH347" s="48" t="s">
        <v>41</v>
      </c>
      <c r="AI347" s="48" t="s">
        <v>41</v>
      </c>
      <c r="AJ347" s="48" t="s">
        <v>41</v>
      </c>
      <c r="AK347" s="49" t="s">
        <v>41</v>
      </c>
      <c r="AL347" s="48" t="s">
        <v>49</v>
      </c>
      <c r="AM347" s="62" t="s">
        <v>32</v>
      </c>
      <c r="AN347" s="62" t="s">
        <v>4681</v>
      </c>
      <c r="AO347" s="59"/>
      <c r="AP347" s="10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1"/>
    </row>
    <row r="348" spans="1:53" x14ac:dyDescent="0.2">
      <c r="A348" s="33">
        <f t="shared" si="6"/>
        <v>343</v>
      </c>
      <c r="B348" s="107" t="s">
        <v>2811</v>
      </c>
      <c r="C348" s="35" t="s">
        <v>2812</v>
      </c>
      <c r="D348" s="36" t="s">
        <v>2813</v>
      </c>
      <c r="E348" s="334">
        <v>29712</v>
      </c>
      <c r="F348" s="36" t="s">
        <v>54</v>
      </c>
      <c r="G348" s="87" t="s">
        <v>2814</v>
      </c>
      <c r="H348" s="37" t="s">
        <v>73</v>
      </c>
      <c r="I348" s="37" t="s">
        <v>73</v>
      </c>
      <c r="J348" s="34" t="s">
        <v>2815</v>
      </c>
      <c r="K348" s="34" t="s">
        <v>2816</v>
      </c>
      <c r="L348" s="39" t="s">
        <v>42</v>
      </c>
      <c r="M348" s="99" t="s">
        <v>2817</v>
      </c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42" t="s">
        <v>2818</v>
      </c>
      <c r="Z348" s="58" t="s">
        <v>2819</v>
      </c>
      <c r="AA348" s="44" t="s">
        <v>61</v>
      </c>
      <c r="AB348" s="45">
        <v>40280</v>
      </c>
      <c r="AC348" s="101" t="s">
        <v>30</v>
      </c>
      <c r="AD348" s="36" t="s">
        <v>26</v>
      </c>
      <c r="AE348" s="47" t="s">
        <v>49</v>
      </c>
      <c r="AF348" s="48" t="s">
        <v>49</v>
      </c>
      <c r="AG348" s="48" t="s">
        <v>49</v>
      </c>
      <c r="AH348" s="48" t="s">
        <v>49</v>
      </c>
      <c r="AI348" s="48" t="s">
        <v>49</v>
      </c>
      <c r="AJ348" s="48" t="s">
        <v>49</v>
      </c>
      <c r="AK348" s="49" t="s">
        <v>49</v>
      </c>
      <c r="AL348" s="48" t="s">
        <v>49</v>
      </c>
      <c r="AM348" s="62" t="s">
        <v>32</v>
      </c>
      <c r="AN348" s="62"/>
      <c r="AO348" s="59"/>
      <c r="AP348" s="10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1"/>
    </row>
    <row r="349" spans="1:53" x14ac:dyDescent="0.2">
      <c r="A349" s="33">
        <f t="shared" si="6"/>
        <v>344</v>
      </c>
      <c r="B349" s="34" t="s">
        <v>2820</v>
      </c>
      <c r="C349" s="35" t="s">
        <v>2821</v>
      </c>
      <c r="D349" s="36" t="s">
        <v>2822</v>
      </c>
      <c r="E349" s="36"/>
      <c r="F349" s="36" t="s">
        <v>54</v>
      </c>
      <c r="G349" s="34" t="s">
        <v>2823</v>
      </c>
      <c r="H349" s="37" t="s">
        <v>73</v>
      </c>
      <c r="I349" s="37" t="s">
        <v>73</v>
      </c>
      <c r="J349" s="34" t="s">
        <v>2824</v>
      </c>
      <c r="K349" s="34" t="s">
        <v>2824</v>
      </c>
      <c r="L349" s="39" t="s">
        <v>42</v>
      </c>
      <c r="M349" s="120">
        <v>30353</v>
      </c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2" t="s">
        <v>2825</v>
      </c>
      <c r="Z349" s="58" t="s">
        <v>2826</v>
      </c>
      <c r="AA349" s="44" t="s">
        <v>61</v>
      </c>
      <c r="AB349" s="45">
        <v>40280</v>
      </c>
      <c r="AC349" s="101" t="s">
        <v>30</v>
      </c>
      <c r="AD349" s="36" t="s">
        <v>26</v>
      </c>
      <c r="AE349" s="61" t="s">
        <v>49</v>
      </c>
      <c r="AF349" s="48" t="s">
        <v>49</v>
      </c>
      <c r="AG349" s="48" t="s">
        <v>41</v>
      </c>
      <c r="AH349" s="48" t="s">
        <v>41</v>
      </c>
      <c r="AI349" s="48" t="s">
        <v>41</v>
      </c>
      <c r="AJ349" s="48" t="s">
        <v>41</v>
      </c>
      <c r="AK349" s="49" t="s">
        <v>41</v>
      </c>
      <c r="AL349" s="48" t="s">
        <v>41</v>
      </c>
      <c r="AM349" s="62" t="s">
        <v>4587</v>
      </c>
      <c r="AN349" s="62"/>
      <c r="AO349" s="59"/>
      <c r="AP349" s="117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1"/>
    </row>
    <row r="350" spans="1:53" x14ac:dyDescent="0.2">
      <c r="A350" s="33">
        <f t="shared" si="6"/>
        <v>345</v>
      </c>
      <c r="B350" s="34" t="s">
        <v>2827</v>
      </c>
      <c r="C350" s="35" t="s">
        <v>2828</v>
      </c>
      <c r="D350" s="36" t="s">
        <v>2829</v>
      </c>
      <c r="E350" s="334">
        <v>28660</v>
      </c>
      <c r="F350" s="36" t="s">
        <v>36</v>
      </c>
      <c r="G350" s="34" t="s">
        <v>2830</v>
      </c>
      <c r="H350" s="37" t="s">
        <v>377</v>
      </c>
      <c r="I350" s="37" t="s">
        <v>378</v>
      </c>
      <c r="J350" s="34">
        <v>89508121544</v>
      </c>
      <c r="K350" s="34" t="s">
        <v>41</v>
      </c>
      <c r="L350" s="39" t="s">
        <v>42</v>
      </c>
      <c r="M350" s="120">
        <v>44776</v>
      </c>
      <c r="N350" s="41"/>
      <c r="O350" s="41"/>
      <c r="P350" s="41"/>
      <c r="Q350" s="41"/>
      <c r="R350" s="41"/>
      <c r="S350" s="41"/>
      <c r="T350" s="41" t="s">
        <v>44</v>
      </c>
      <c r="U350" s="41"/>
      <c r="V350" s="41"/>
      <c r="W350" s="41"/>
      <c r="X350" s="41"/>
      <c r="Y350" s="42" t="s">
        <v>2831</v>
      </c>
      <c r="Z350" s="58" t="s">
        <v>2832</v>
      </c>
      <c r="AA350" s="84" t="s">
        <v>2833</v>
      </c>
      <c r="AB350" s="45">
        <v>44650</v>
      </c>
      <c r="AC350" s="101" t="s">
        <v>30</v>
      </c>
      <c r="AD350" s="36"/>
      <c r="AE350" s="61" t="s">
        <v>49</v>
      </c>
      <c r="AF350" s="48" t="s">
        <v>41</v>
      </c>
      <c r="AG350" s="48" t="s">
        <v>41</v>
      </c>
      <c r="AH350" s="48" t="s">
        <v>49</v>
      </c>
      <c r="AI350" s="48" t="s">
        <v>41</v>
      </c>
      <c r="AJ350" s="48" t="s">
        <v>41</v>
      </c>
      <c r="AK350" s="49" t="s">
        <v>41</v>
      </c>
      <c r="AL350" s="48" t="s">
        <v>41</v>
      </c>
      <c r="AM350" s="62" t="s">
        <v>139</v>
      </c>
      <c r="AN350" s="62"/>
      <c r="AO350" s="59"/>
      <c r="AP350" s="10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1"/>
    </row>
    <row r="351" spans="1:53" x14ac:dyDescent="0.2">
      <c r="A351" s="33">
        <f t="shared" si="6"/>
        <v>346</v>
      </c>
      <c r="B351" s="34" t="s">
        <v>2834</v>
      </c>
      <c r="C351" s="35" t="s">
        <v>2835</v>
      </c>
      <c r="D351" s="36" t="s">
        <v>2836</v>
      </c>
      <c r="E351" s="334">
        <v>30004</v>
      </c>
      <c r="F351" s="36" t="s">
        <v>54</v>
      </c>
      <c r="G351" s="34" t="s">
        <v>2837</v>
      </c>
      <c r="H351" s="37" t="s">
        <v>858</v>
      </c>
      <c r="I351" s="37" t="s">
        <v>57</v>
      </c>
      <c r="J351" s="38" t="s">
        <v>2838</v>
      </c>
      <c r="K351" s="34" t="s">
        <v>41</v>
      </c>
      <c r="L351" s="39" t="s">
        <v>42</v>
      </c>
      <c r="M351" s="120" t="s">
        <v>2839</v>
      </c>
      <c r="N351" s="41"/>
      <c r="O351" s="41"/>
      <c r="P351" s="41"/>
      <c r="Q351" s="41"/>
      <c r="R351" s="41"/>
      <c r="S351" s="41" t="s">
        <v>44</v>
      </c>
      <c r="T351" s="41"/>
      <c r="U351" s="41"/>
      <c r="V351" s="41"/>
      <c r="W351" s="41"/>
      <c r="X351" s="41"/>
      <c r="Y351" s="42" t="s">
        <v>2840</v>
      </c>
      <c r="Z351" s="58" t="s">
        <v>2841</v>
      </c>
      <c r="AA351" s="84" t="s">
        <v>2842</v>
      </c>
      <c r="AB351" s="45">
        <v>44650</v>
      </c>
      <c r="AC351" s="101" t="s">
        <v>30</v>
      </c>
      <c r="AD351" s="36"/>
      <c r="AE351" s="61" t="s">
        <v>49</v>
      </c>
      <c r="AF351" s="48" t="s">
        <v>41</v>
      </c>
      <c r="AG351" s="48" t="s">
        <v>41</v>
      </c>
      <c r="AH351" s="48" t="s">
        <v>49</v>
      </c>
      <c r="AI351" s="48" t="s">
        <v>49</v>
      </c>
      <c r="AJ351" s="48" t="s">
        <v>49</v>
      </c>
      <c r="AK351" s="49" t="s">
        <v>49</v>
      </c>
      <c r="AL351" s="48" t="s">
        <v>49</v>
      </c>
      <c r="AM351" s="65" t="s">
        <v>32</v>
      </c>
      <c r="AN351" s="65"/>
      <c r="AO351" s="59"/>
      <c r="AP351" s="117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1"/>
    </row>
    <row r="352" spans="1:53" x14ac:dyDescent="0.2">
      <c r="A352" s="33">
        <f t="shared" si="6"/>
        <v>347</v>
      </c>
      <c r="B352" s="34" t="s">
        <v>2843</v>
      </c>
      <c r="C352" s="35" t="s">
        <v>2844</v>
      </c>
      <c r="D352" s="36" t="s">
        <v>2845</v>
      </c>
      <c r="E352" s="334">
        <v>23268</v>
      </c>
      <c r="F352" s="36" t="s">
        <v>54</v>
      </c>
      <c r="G352" s="34" t="s">
        <v>2846</v>
      </c>
      <c r="H352" s="37" t="s">
        <v>252</v>
      </c>
      <c r="I352" s="37" t="s">
        <v>57</v>
      </c>
      <c r="J352" s="38" t="s">
        <v>2847</v>
      </c>
      <c r="K352" s="34" t="s">
        <v>41</v>
      </c>
      <c r="L352" s="39" t="s">
        <v>42</v>
      </c>
      <c r="M352" s="120">
        <v>37441</v>
      </c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2" t="s">
        <v>2848</v>
      </c>
      <c r="Z352" s="58" t="s">
        <v>2849</v>
      </c>
      <c r="AA352" s="44" t="s">
        <v>61</v>
      </c>
      <c r="AB352" s="45">
        <v>37877</v>
      </c>
      <c r="AC352" s="101" t="s">
        <v>30</v>
      </c>
      <c r="AD352" s="36" t="s">
        <v>26</v>
      </c>
      <c r="AE352" s="47" t="s">
        <v>49</v>
      </c>
      <c r="AF352" s="48" t="s">
        <v>49</v>
      </c>
      <c r="AG352" s="48" t="s">
        <v>49</v>
      </c>
      <c r="AH352" s="48" t="s">
        <v>49</v>
      </c>
      <c r="AI352" s="48" t="s">
        <v>49</v>
      </c>
      <c r="AJ352" s="48" t="s">
        <v>49</v>
      </c>
      <c r="AK352" s="49" t="s">
        <v>49</v>
      </c>
      <c r="AL352" s="48" t="s">
        <v>49</v>
      </c>
      <c r="AM352" s="62" t="s">
        <v>32</v>
      </c>
      <c r="AN352" s="62"/>
      <c r="AO352" s="59"/>
      <c r="AP352" s="117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1"/>
    </row>
    <row r="353" spans="1:53" x14ac:dyDescent="0.2">
      <c r="A353" s="33">
        <f t="shared" si="6"/>
        <v>348</v>
      </c>
      <c r="B353" s="34" t="s">
        <v>2850</v>
      </c>
      <c r="C353" s="35" t="s">
        <v>2851</v>
      </c>
      <c r="D353" s="36" t="s">
        <v>2852</v>
      </c>
      <c r="E353" s="334">
        <v>32986</v>
      </c>
      <c r="F353" s="36" t="s">
        <v>54</v>
      </c>
      <c r="G353" s="34" t="s">
        <v>2853</v>
      </c>
      <c r="H353" s="37" t="s">
        <v>176</v>
      </c>
      <c r="I353" s="37" t="s">
        <v>39</v>
      </c>
      <c r="J353" s="38" t="s">
        <v>2854</v>
      </c>
      <c r="K353" s="34" t="s">
        <v>41</v>
      </c>
      <c r="L353" s="39" t="s">
        <v>42</v>
      </c>
      <c r="M353" s="120">
        <v>45726</v>
      </c>
      <c r="N353" s="41"/>
      <c r="O353" s="41"/>
      <c r="P353" s="41"/>
      <c r="Q353" s="41"/>
      <c r="R353" s="41"/>
      <c r="S353" s="41"/>
      <c r="T353" s="41"/>
      <c r="U353" s="41"/>
      <c r="V353" s="41"/>
      <c r="W353" s="41" t="s">
        <v>44</v>
      </c>
      <c r="X353" s="41"/>
      <c r="Y353" s="38" t="s">
        <v>2855</v>
      </c>
      <c r="Z353" s="58" t="s">
        <v>2856</v>
      </c>
      <c r="AA353" s="44"/>
      <c r="AB353" s="45"/>
      <c r="AC353" s="101"/>
      <c r="AD353" s="36"/>
      <c r="AE353" s="47" t="s">
        <v>49</v>
      </c>
      <c r="AF353" s="48" t="s">
        <v>41</v>
      </c>
      <c r="AG353" s="48" t="s">
        <v>41</v>
      </c>
      <c r="AH353" s="48" t="s">
        <v>41</v>
      </c>
      <c r="AI353" s="48" t="s">
        <v>41</v>
      </c>
      <c r="AJ353" s="48" t="s">
        <v>41</v>
      </c>
      <c r="AK353" s="49" t="s">
        <v>49</v>
      </c>
      <c r="AL353" s="48" t="s">
        <v>49</v>
      </c>
      <c r="AM353" s="62" t="s">
        <v>32</v>
      </c>
      <c r="AN353" s="62"/>
      <c r="AO353" s="59"/>
      <c r="AP353" s="117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1"/>
    </row>
    <row r="354" spans="1:53" x14ac:dyDescent="0.2">
      <c r="A354" s="33">
        <f t="shared" si="6"/>
        <v>349</v>
      </c>
      <c r="B354" s="34" t="s">
        <v>2857</v>
      </c>
      <c r="C354" s="35" t="s">
        <v>2858</v>
      </c>
      <c r="D354" s="36" t="s">
        <v>2859</v>
      </c>
      <c r="E354" s="334">
        <v>25427</v>
      </c>
      <c r="F354" s="36" t="s">
        <v>54</v>
      </c>
      <c r="G354" s="34" t="s">
        <v>2860</v>
      </c>
      <c r="H354" s="37" t="s">
        <v>252</v>
      </c>
      <c r="I354" s="37" t="s">
        <v>57</v>
      </c>
      <c r="J354" s="34" t="s">
        <v>2861</v>
      </c>
      <c r="K354" s="34" t="s">
        <v>41</v>
      </c>
      <c r="L354" s="39" t="s">
        <v>42</v>
      </c>
      <c r="M354" s="120" t="s">
        <v>2862</v>
      </c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42" t="s">
        <v>2863</v>
      </c>
      <c r="Z354" s="43" t="s">
        <v>2864</v>
      </c>
      <c r="AA354" s="44" t="s">
        <v>61</v>
      </c>
      <c r="AB354" s="45">
        <v>40280</v>
      </c>
      <c r="AC354" s="101" t="s">
        <v>30</v>
      </c>
      <c r="AD354" s="36" t="s">
        <v>26</v>
      </c>
      <c r="AE354" s="47" t="s">
        <v>49</v>
      </c>
      <c r="AF354" s="48" t="s">
        <v>49</v>
      </c>
      <c r="AG354" s="48" t="s">
        <v>49</v>
      </c>
      <c r="AH354" s="48" t="s">
        <v>49</v>
      </c>
      <c r="AI354" s="48" t="s">
        <v>49</v>
      </c>
      <c r="AJ354" s="48" t="s">
        <v>49</v>
      </c>
      <c r="AK354" s="49" t="s">
        <v>49</v>
      </c>
      <c r="AL354" s="48" t="s">
        <v>49</v>
      </c>
      <c r="AM354" s="62" t="s">
        <v>32</v>
      </c>
      <c r="AN354" s="62"/>
      <c r="AO354" s="59"/>
      <c r="AP354" s="10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1"/>
    </row>
    <row r="355" spans="1:53" x14ac:dyDescent="0.2">
      <c r="A355" s="33">
        <f t="shared" si="6"/>
        <v>350</v>
      </c>
      <c r="B355" s="34" t="s">
        <v>2865</v>
      </c>
      <c r="C355" s="35" t="s">
        <v>2866</v>
      </c>
      <c r="D355" s="36" t="s">
        <v>2867</v>
      </c>
      <c r="E355" s="334">
        <v>26778</v>
      </c>
      <c r="F355" s="36" t="s">
        <v>54</v>
      </c>
      <c r="G355" s="34" t="s">
        <v>2868</v>
      </c>
      <c r="H355" s="37" t="s">
        <v>73</v>
      </c>
      <c r="I355" s="37" t="s">
        <v>73</v>
      </c>
      <c r="J355" s="139" t="s">
        <v>2869</v>
      </c>
      <c r="K355" s="34" t="s">
        <v>41</v>
      </c>
      <c r="L355" s="39" t="s">
        <v>42</v>
      </c>
      <c r="M355" s="99" t="s">
        <v>273</v>
      </c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2" t="s">
        <v>2870</v>
      </c>
      <c r="Z355" s="52" t="s">
        <v>2871</v>
      </c>
      <c r="AA355" s="119" t="s">
        <v>2872</v>
      </c>
      <c r="AB355" s="45">
        <v>41793</v>
      </c>
      <c r="AC355" s="101" t="s">
        <v>129</v>
      </c>
      <c r="AD355" s="36" t="s">
        <v>26</v>
      </c>
      <c r="AE355" s="47" t="s">
        <v>120</v>
      </c>
      <c r="AF355" s="48" t="s">
        <v>49</v>
      </c>
      <c r="AG355" s="48" t="s">
        <v>49</v>
      </c>
      <c r="AH355" s="48" t="s">
        <v>49</v>
      </c>
      <c r="AI355" s="48" t="s">
        <v>49</v>
      </c>
      <c r="AJ355" s="48" t="s">
        <v>49</v>
      </c>
      <c r="AK355" s="49" t="s">
        <v>49</v>
      </c>
      <c r="AL355" s="48" t="s">
        <v>120</v>
      </c>
      <c r="AM355" s="62" t="s">
        <v>32</v>
      </c>
      <c r="AN355" s="62"/>
      <c r="AO355" s="59"/>
      <c r="AP355" s="10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1"/>
    </row>
    <row r="356" spans="1:53" x14ac:dyDescent="0.2">
      <c r="A356" s="33">
        <f t="shared" si="6"/>
        <v>351</v>
      </c>
      <c r="B356" s="34" t="s">
        <v>2873</v>
      </c>
      <c r="C356" s="35" t="s">
        <v>2874</v>
      </c>
      <c r="D356" s="36" t="s">
        <v>2875</v>
      </c>
      <c r="E356" s="334">
        <v>31019</v>
      </c>
      <c r="F356" s="36" t="s">
        <v>54</v>
      </c>
      <c r="G356" s="34" t="s">
        <v>2876</v>
      </c>
      <c r="H356" s="37" t="s">
        <v>1285</v>
      </c>
      <c r="I356" s="37" t="s">
        <v>350</v>
      </c>
      <c r="J356" s="183" t="s">
        <v>2877</v>
      </c>
      <c r="K356" s="34" t="s">
        <v>41</v>
      </c>
      <c r="L356" s="39" t="s">
        <v>42</v>
      </c>
      <c r="M356" s="120" t="s">
        <v>1236</v>
      </c>
      <c r="N356" s="56"/>
      <c r="O356" s="56"/>
      <c r="P356" s="56"/>
      <c r="Q356" s="56"/>
      <c r="R356" s="56"/>
      <c r="S356" s="56"/>
      <c r="T356" s="56" t="s">
        <v>44</v>
      </c>
      <c r="U356" s="56"/>
      <c r="V356" s="56"/>
      <c r="W356" s="56"/>
      <c r="X356" s="56"/>
      <c r="Y356" s="42" t="s">
        <v>2878</v>
      </c>
      <c r="Z356" s="43" t="s">
        <v>2879</v>
      </c>
      <c r="AA356" s="121" t="s">
        <v>2880</v>
      </c>
      <c r="AB356" s="45">
        <v>44650</v>
      </c>
      <c r="AC356" s="101" t="s">
        <v>30</v>
      </c>
      <c r="AD356" s="36"/>
      <c r="AE356" s="47" t="s">
        <v>49</v>
      </c>
      <c r="AF356" s="48" t="s">
        <v>41</v>
      </c>
      <c r="AG356" s="48" t="s">
        <v>41</v>
      </c>
      <c r="AH356" s="48" t="s">
        <v>49</v>
      </c>
      <c r="AI356" s="48" t="s">
        <v>49</v>
      </c>
      <c r="AJ356" s="48" t="s">
        <v>49</v>
      </c>
      <c r="AK356" s="49" t="s">
        <v>49</v>
      </c>
      <c r="AL356" s="48" t="s">
        <v>49</v>
      </c>
      <c r="AM356" s="62" t="s">
        <v>32</v>
      </c>
      <c r="AN356" s="62"/>
      <c r="AO356" s="59"/>
      <c r="AP356" s="10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1"/>
    </row>
    <row r="357" spans="1:53" x14ac:dyDescent="0.2">
      <c r="A357" s="33">
        <f t="shared" si="6"/>
        <v>352</v>
      </c>
      <c r="B357" s="34" t="s">
        <v>2881</v>
      </c>
      <c r="C357" s="35" t="s">
        <v>2882</v>
      </c>
      <c r="D357" s="36" t="s">
        <v>2883</v>
      </c>
      <c r="E357" s="334">
        <v>25552</v>
      </c>
      <c r="F357" s="36" t="s">
        <v>54</v>
      </c>
      <c r="G357" s="34" t="s">
        <v>2884</v>
      </c>
      <c r="H357" s="37" t="s">
        <v>73</v>
      </c>
      <c r="I357" s="37" t="s">
        <v>73</v>
      </c>
      <c r="J357" s="201" t="s">
        <v>2885</v>
      </c>
      <c r="K357" s="34" t="s">
        <v>41</v>
      </c>
      <c r="L357" s="39" t="s">
        <v>42</v>
      </c>
      <c r="M357" s="120">
        <v>43962</v>
      </c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42" t="s">
        <v>2886</v>
      </c>
      <c r="Z357" s="58" t="s">
        <v>2887</v>
      </c>
      <c r="AA357" s="121" t="s">
        <v>2888</v>
      </c>
      <c r="AB357" s="45">
        <v>44650</v>
      </c>
      <c r="AC357" s="101" t="s">
        <v>30</v>
      </c>
      <c r="AD357" s="36" t="s">
        <v>26</v>
      </c>
      <c r="AE357" s="61" t="s">
        <v>49</v>
      </c>
      <c r="AF357" s="48" t="s">
        <v>49</v>
      </c>
      <c r="AG357" s="48" t="s">
        <v>49</v>
      </c>
      <c r="AH357" s="48" t="s">
        <v>49</v>
      </c>
      <c r="AI357" s="48" t="s">
        <v>49</v>
      </c>
      <c r="AJ357" s="48" t="s">
        <v>49</v>
      </c>
      <c r="AK357" s="49" t="s">
        <v>49</v>
      </c>
      <c r="AL357" s="48" t="s">
        <v>49</v>
      </c>
      <c r="AM357" s="65" t="s">
        <v>32</v>
      </c>
      <c r="AN357" s="65"/>
      <c r="AO357" s="225"/>
      <c r="AP357" s="10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1"/>
    </row>
    <row r="358" spans="1:53" x14ac:dyDescent="0.2">
      <c r="A358" s="33">
        <f t="shared" si="6"/>
        <v>353</v>
      </c>
      <c r="B358" s="34" t="s">
        <v>2889</v>
      </c>
      <c r="C358" s="35" t="s">
        <v>2890</v>
      </c>
      <c r="D358" s="36" t="s">
        <v>2891</v>
      </c>
      <c r="E358" s="334">
        <v>21161</v>
      </c>
      <c r="F358" s="36" t="s">
        <v>36</v>
      </c>
      <c r="G358" s="34" t="s">
        <v>2892</v>
      </c>
      <c r="H358" s="37" t="s">
        <v>323</v>
      </c>
      <c r="I358" s="37" t="s">
        <v>39</v>
      </c>
      <c r="J358" s="201" t="s">
        <v>2893</v>
      </c>
      <c r="K358" s="34" t="s">
        <v>41</v>
      </c>
      <c r="L358" s="39" t="s">
        <v>42</v>
      </c>
      <c r="M358" s="120">
        <v>41585</v>
      </c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42" t="s">
        <v>2894</v>
      </c>
      <c r="Z358" s="83" t="s">
        <v>2895</v>
      </c>
      <c r="AA358" s="119" t="s">
        <v>2896</v>
      </c>
      <c r="AB358" s="45">
        <v>41793</v>
      </c>
      <c r="AC358" s="101" t="s">
        <v>30</v>
      </c>
      <c r="AD358" s="36" t="s">
        <v>26</v>
      </c>
      <c r="AE358" s="47" t="s">
        <v>49</v>
      </c>
      <c r="AF358" s="48" t="s">
        <v>49</v>
      </c>
      <c r="AG358" s="48" t="s">
        <v>49</v>
      </c>
      <c r="AH358" s="48" t="s">
        <v>49</v>
      </c>
      <c r="AI358" s="48" t="s">
        <v>49</v>
      </c>
      <c r="AJ358" s="48" t="s">
        <v>49</v>
      </c>
      <c r="AK358" s="49" t="s">
        <v>49</v>
      </c>
      <c r="AL358" s="48" t="s">
        <v>49</v>
      </c>
      <c r="AM358" s="62" t="s">
        <v>32</v>
      </c>
      <c r="AN358" s="62"/>
      <c r="AO358" s="59"/>
      <c r="AP358" s="10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1"/>
    </row>
    <row r="359" spans="1:53" x14ac:dyDescent="0.2">
      <c r="A359" s="33">
        <f t="shared" si="6"/>
        <v>354</v>
      </c>
      <c r="B359" s="34" t="s">
        <v>2897</v>
      </c>
      <c r="C359" s="35" t="s">
        <v>2898</v>
      </c>
      <c r="D359" s="36" t="s">
        <v>2899</v>
      </c>
      <c r="E359" s="334">
        <v>29243</v>
      </c>
      <c r="F359" s="36" t="s">
        <v>54</v>
      </c>
      <c r="G359" s="226" t="s">
        <v>2900</v>
      </c>
      <c r="H359" s="37" t="s">
        <v>377</v>
      </c>
      <c r="I359" s="37" t="s">
        <v>378</v>
      </c>
      <c r="J359" s="34" t="s">
        <v>2901</v>
      </c>
      <c r="K359" s="34" t="s">
        <v>41</v>
      </c>
      <c r="L359" s="39" t="s">
        <v>42</v>
      </c>
      <c r="M359" s="99" t="s">
        <v>2902</v>
      </c>
      <c r="N359" s="115"/>
      <c r="O359" s="115"/>
      <c r="P359" s="115"/>
      <c r="Q359" s="115"/>
      <c r="R359" s="115"/>
      <c r="S359" s="115"/>
      <c r="T359" s="115"/>
      <c r="U359" s="56"/>
      <c r="V359" s="56"/>
      <c r="W359" s="56"/>
      <c r="X359" s="56"/>
      <c r="Y359" s="42" t="s">
        <v>2903</v>
      </c>
      <c r="Z359" s="58" t="s">
        <v>2904</v>
      </c>
      <c r="AA359" s="44" t="s">
        <v>61</v>
      </c>
      <c r="AB359" s="45">
        <v>40280</v>
      </c>
      <c r="AC359" s="101" t="s">
        <v>30</v>
      </c>
      <c r="AD359" s="36" t="s">
        <v>26</v>
      </c>
      <c r="AE359" s="47" t="s">
        <v>49</v>
      </c>
      <c r="AF359" s="48" t="s">
        <v>49</v>
      </c>
      <c r="AG359" s="48" t="s">
        <v>49</v>
      </c>
      <c r="AH359" s="48" t="s">
        <v>49</v>
      </c>
      <c r="AI359" s="48" t="s">
        <v>49</v>
      </c>
      <c r="AJ359" s="48" t="s">
        <v>49</v>
      </c>
      <c r="AK359" s="49" t="s">
        <v>49</v>
      </c>
      <c r="AL359" s="48" t="s">
        <v>49</v>
      </c>
      <c r="AM359" s="65" t="s">
        <v>32</v>
      </c>
      <c r="AN359" s="65"/>
      <c r="AO359" s="59"/>
      <c r="AP359" s="117"/>
      <c r="AQ359" s="32"/>
      <c r="AR359" s="32"/>
      <c r="AS359" s="32"/>
      <c r="AT359" s="32"/>
      <c r="AU359" s="32"/>
      <c r="AV359" s="32"/>
      <c r="AW359" s="32"/>
      <c r="AX359" s="32"/>
      <c r="AY359" s="32"/>
      <c r="AZ359" s="32"/>
      <c r="BA359" s="31"/>
    </row>
    <row r="360" spans="1:53" x14ac:dyDescent="0.2">
      <c r="A360" s="33">
        <f t="shared" si="6"/>
        <v>355</v>
      </c>
      <c r="B360" s="122" t="s">
        <v>2905</v>
      </c>
      <c r="C360" s="123" t="s">
        <v>2906</v>
      </c>
      <c r="D360" s="202" t="s">
        <v>2907</v>
      </c>
      <c r="E360" s="342">
        <v>29318</v>
      </c>
      <c r="F360" s="36" t="s">
        <v>54</v>
      </c>
      <c r="G360" s="125" t="s">
        <v>2908</v>
      </c>
      <c r="H360" s="126" t="s">
        <v>4605</v>
      </c>
      <c r="I360" s="126" t="s">
        <v>205</v>
      </c>
      <c r="J360" s="127" t="s">
        <v>2909</v>
      </c>
      <c r="K360" s="122" t="s">
        <v>41</v>
      </c>
      <c r="L360" s="128" t="s">
        <v>42</v>
      </c>
      <c r="M360" s="163" t="s">
        <v>2910</v>
      </c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42" t="s">
        <v>2911</v>
      </c>
      <c r="Z360" s="52" t="s">
        <v>2912</v>
      </c>
      <c r="AA360" s="44" t="s">
        <v>2913</v>
      </c>
      <c r="AB360" s="131">
        <v>42325</v>
      </c>
      <c r="AC360" s="164" t="s">
        <v>30</v>
      </c>
      <c r="AD360" s="36" t="s">
        <v>26</v>
      </c>
      <c r="AE360" s="133" t="s">
        <v>49</v>
      </c>
      <c r="AF360" s="48" t="s">
        <v>49</v>
      </c>
      <c r="AG360" s="48" t="s">
        <v>49</v>
      </c>
      <c r="AH360" s="48" t="s">
        <v>49</v>
      </c>
      <c r="AI360" s="48" t="s">
        <v>49</v>
      </c>
      <c r="AJ360" s="48" t="s">
        <v>49</v>
      </c>
      <c r="AK360" s="49" t="s">
        <v>49</v>
      </c>
      <c r="AL360" s="48" t="s">
        <v>49</v>
      </c>
      <c r="AM360" s="65" t="s">
        <v>32</v>
      </c>
      <c r="AN360" s="65"/>
      <c r="AO360" s="59"/>
      <c r="AP360" s="117"/>
      <c r="AQ360" s="32"/>
      <c r="AR360" s="32"/>
      <c r="AS360" s="32"/>
      <c r="AT360" s="32"/>
      <c r="AU360" s="32"/>
      <c r="AV360" s="32"/>
      <c r="AW360" s="32"/>
      <c r="AX360" s="32"/>
      <c r="AY360" s="32"/>
      <c r="AZ360" s="32"/>
      <c r="BA360" s="31"/>
    </row>
    <row r="361" spans="1:53" x14ac:dyDescent="0.2">
      <c r="A361" s="33">
        <f t="shared" si="6"/>
        <v>356</v>
      </c>
      <c r="B361" s="122" t="s">
        <v>2914</v>
      </c>
      <c r="C361" s="123" t="s">
        <v>2915</v>
      </c>
      <c r="D361" s="202" t="s">
        <v>2916</v>
      </c>
      <c r="E361" s="342">
        <v>24057</v>
      </c>
      <c r="F361" s="36" t="s">
        <v>54</v>
      </c>
      <c r="G361" s="122" t="s">
        <v>2917</v>
      </c>
      <c r="H361" s="126" t="s">
        <v>252</v>
      </c>
      <c r="I361" s="126" t="s">
        <v>57</v>
      </c>
      <c r="J361" s="122" t="s">
        <v>2918</v>
      </c>
      <c r="K361" s="122" t="s">
        <v>41</v>
      </c>
      <c r="L361" s="128" t="s">
        <v>42</v>
      </c>
      <c r="M361" s="163" t="s">
        <v>2437</v>
      </c>
      <c r="N361" s="130"/>
      <c r="O361" s="130"/>
      <c r="P361" s="130"/>
      <c r="Q361" s="130"/>
      <c r="R361" s="130"/>
      <c r="S361" s="130"/>
      <c r="T361" s="130"/>
      <c r="U361" s="130"/>
      <c r="V361" s="130" t="s">
        <v>732</v>
      </c>
      <c r="W361" s="130"/>
      <c r="X361" s="130"/>
      <c r="Y361" s="42" t="s">
        <v>2919</v>
      </c>
      <c r="Z361" s="52" t="s">
        <v>2920</v>
      </c>
      <c r="AA361" s="44" t="s">
        <v>61</v>
      </c>
      <c r="AB361" s="131">
        <v>40815</v>
      </c>
      <c r="AC361" s="164" t="s">
        <v>30</v>
      </c>
      <c r="AD361" s="36" t="s">
        <v>26</v>
      </c>
      <c r="AE361" s="133" t="s">
        <v>49</v>
      </c>
      <c r="AF361" s="48" t="s">
        <v>49</v>
      </c>
      <c r="AG361" s="48" t="s">
        <v>49</v>
      </c>
      <c r="AH361" s="48" t="s">
        <v>49</v>
      </c>
      <c r="AI361" s="48" t="s">
        <v>49</v>
      </c>
      <c r="AJ361" s="48" t="s">
        <v>49</v>
      </c>
      <c r="AK361" s="49" t="s">
        <v>49</v>
      </c>
      <c r="AL361" s="48" t="s">
        <v>49</v>
      </c>
      <c r="AM361" s="62" t="s">
        <v>32</v>
      </c>
      <c r="AN361" s="232"/>
      <c r="AO361" s="134"/>
      <c r="AP361" s="10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1"/>
    </row>
    <row r="362" spans="1:53" ht="18.75" customHeight="1" x14ac:dyDescent="0.2">
      <c r="A362" s="33">
        <f t="shared" si="6"/>
        <v>357</v>
      </c>
      <c r="B362" s="122" t="s">
        <v>2921</v>
      </c>
      <c r="C362" s="123" t="s">
        <v>2922</v>
      </c>
      <c r="D362" s="202" t="s">
        <v>2923</v>
      </c>
      <c r="E362" s="342">
        <v>34817</v>
      </c>
      <c r="F362" s="36" t="s">
        <v>54</v>
      </c>
      <c r="G362" s="122" t="s">
        <v>2924</v>
      </c>
      <c r="H362" s="126" t="s">
        <v>39</v>
      </c>
      <c r="I362" s="126" t="s">
        <v>39</v>
      </c>
      <c r="J362" s="122" t="s">
        <v>2925</v>
      </c>
      <c r="K362" s="122" t="s">
        <v>41</v>
      </c>
      <c r="L362" s="128" t="s">
        <v>42</v>
      </c>
      <c r="M362" s="163" t="s">
        <v>1218</v>
      </c>
      <c r="N362" s="130"/>
      <c r="O362" s="130"/>
      <c r="P362" s="130"/>
      <c r="Q362" s="130"/>
      <c r="R362" s="130"/>
      <c r="S362" s="130" t="s">
        <v>44</v>
      </c>
      <c r="T362" s="130"/>
      <c r="U362" s="130"/>
      <c r="V362" s="130"/>
      <c r="W362" s="130"/>
      <c r="X362" s="130"/>
      <c r="Y362" s="42" t="s">
        <v>2926</v>
      </c>
      <c r="Z362" s="43" t="s">
        <v>2927</v>
      </c>
      <c r="AA362" s="211" t="s">
        <v>2928</v>
      </c>
      <c r="AB362" s="45">
        <v>44944</v>
      </c>
      <c r="AC362" s="164" t="s">
        <v>30</v>
      </c>
      <c r="AD362" s="36"/>
      <c r="AE362" s="133" t="s">
        <v>49</v>
      </c>
      <c r="AF362" s="48" t="s">
        <v>41</v>
      </c>
      <c r="AG362" s="48" t="s">
        <v>49</v>
      </c>
      <c r="AH362" s="48" t="s">
        <v>49</v>
      </c>
      <c r="AI362" s="48" t="s">
        <v>49</v>
      </c>
      <c r="AJ362" s="48" t="s">
        <v>49</v>
      </c>
      <c r="AK362" s="49" t="s">
        <v>41</v>
      </c>
      <c r="AL362" s="48" t="s">
        <v>41</v>
      </c>
      <c r="AM362" s="62" t="s">
        <v>276</v>
      </c>
      <c r="AN362" s="232"/>
      <c r="AO362" s="134"/>
      <c r="AP362" s="10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1"/>
    </row>
    <row r="363" spans="1:53" x14ac:dyDescent="0.2">
      <c r="A363" s="33">
        <f t="shared" si="6"/>
        <v>358</v>
      </c>
      <c r="B363" s="34" t="s">
        <v>2929</v>
      </c>
      <c r="C363" s="35" t="s">
        <v>2930</v>
      </c>
      <c r="D363" s="36" t="s">
        <v>2931</v>
      </c>
      <c r="E363" s="342">
        <v>25996</v>
      </c>
      <c r="F363" s="36" t="s">
        <v>54</v>
      </c>
      <c r="G363" s="34" t="s">
        <v>2932</v>
      </c>
      <c r="H363" s="37" t="s">
        <v>73</v>
      </c>
      <c r="I363" s="37" t="s">
        <v>73</v>
      </c>
      <c r="J363" s="34" t="s">
        <v>2933</v>
      </c>
      <c r="K363" s="34" t="s">
        <v>2933</v>
      </c>
      <c r="L363" s="39" t="s">
        <v>42</v>
      </c>
      <c r="M363" s="120">
        <v>31054</v>
      </c>
      <c r="N363" s="41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42" t="s">
        <v>2934</v>
      </c>
      <c r="Z363" s="69" t="s">
        <v>2935</v>
      </c>
      <c r="AA363" s="44" t="s">
        <v>61</v>
      </c>
      <c r="AB363" s="45">
        <v>42325</v>
      </c>
      <c r="AC363" s="101" t="s">
        <v>30</v>
      </c>
      <c r="AD363" s="36" t="s">
        <v>26</v>
      </c>
      <c r="AE363" s="47" t="s">
        <v>49</v>
      </c>
      <c r="AF363" s="48" t="s">
        <v>49</v>
      </c>
      <c r="AG363" s="48" t="s">
        <v>49</v>
      </c>
      <c r="AH363" s="48" t="s">
        <v>49</v>
      </c>
      <c r="AI363" s="48" t="s">
        <v>49</v>
      </c>
      <c r="AJ363" s="48" t="s">
        <v>49</v>
      </c>
      <c r="AK363" s="49" t="s">
        <v>49</v>
      </c>
      <c r="AL363" s="48" t="s">
        <v>49</v>
      </c>
      <c r="AM363" s="62" t="s">
        <v>32</v>
      </c>
      <c r="AN363" s="62"/>
      <c r="AO363" s="59"/>
      <c r="AP363" s="10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1"/>
    </row>
    <row r="364" spans="1:53" x14ac:dyDescent="0.2">
      <c r="A364" s="33">
        <f t="shared" si="6"/>
        <v>359</v>
      </c>
      <c r="B364" s="34" t="s">
        <v>2936</v>
      </c>
      <c r="C364" s="35" t="s">
        <v>2937</v>
      </c>
      <c r="D364" s="36" t="s">
        <v>2938</v>
      </c>
      <c r="E364" s="334">
        <v>29402</v>
      </c>
      <c r="F364" s="36" t="s">
        <v>36</v>
      </c>
      <c r="G364" s="34" t="s">
        <v>2939</v>
      </c>
      <c r="H364" s="37" t="s">
        <v>39</v>
      </c>
      <c r="I364" s="37" t="s">
        <v>39</v>
      </c>
      <c r="J364" s="38" t="s">
        <v>2940</v>
      </c>
      <c r="K364" s="34" t="s">
        <v>41</v>
      </c>
      <c r="L364" s="39" t="s">
        <v>42</v>
      </c>
      <c r="M364" s="120" t="s">
        <v>2941</v>
      </c>
      <c r="N364" s="41"/>
      <c r="O364" s="41"/>
      <c r="P364" s="41"/>
      <c r="Q364" s="41"/>
      <c r="R364" s="112"/>
      <c r="S364" s="112" t="s">
        <v>44</v>
      </c>
      <c r="T364" s="112"/>
      <c r="U364" s="41"/>
      <c r="V364" s="41"/>
      <c r="W364" s="41"/>
      <c r="X364" s="41"/>
      <c r="Y364" s="42" t="s">
        <v>2942</v>
      </c>
      <c r="Z364" s="83" t="s">
        <v>2943</v>
      </c>
      <c r="AA364" s="84" t="s">
        <v>2944</v>
      </c>
      <c r="AB364" s="45">
        <v>44650</v>
      </c>
      <c r="AC364" s="101" t="s">
        <v>30</v>
      </c>
      <c r="AD364" s="36"/>
      <c r="AE364" s="47" t="s">
        <v>49</v>
      </c>
      <c r="AF364" s="48" t="s">
        <v>41</v>
      </c>
      <c r="AG364" s="48" t="s">
        <v>49</v>
      </c>
      <c r="AH364" s="48" t="s">
        <v>49</v>
      </c>
      <c r="AI364" s="48" t="s">
        <v>49</v>
      </c>
      <c r="AJ364" s="48" t="s">
        <v>49</v>
      </c>
      <c r="AK364" s="49" t="s">
        <v>49</v>
      </c>
      <c r="AL364" s="48" t="s">
        <v>49</v>
      </c>
      <c r="AM364" s="62" t="s">
        <v>32</v>
      </c>
      <c r="AN364" s="62"/>
      <c r="AO364" s="59"/>
      <c r="AP364" s="10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1"/>
    </row>
    <row r="365" spans="1:53" x14ac:dyDescent="0.2">
      <c r="A365" s="33">
        <f t="shared" si="6"/>
        <v>360</v>
      </c>
      <c r="B365" s="34" t="s">
        <v>4665</v>
      </c>
      <c r="C365" s="35" t="s">
        <v>4695</v>
      </c>
      <c r="D365" s="36" t="s">
        <v>4661</v>
      </c>
      <c r="E365" s="334">
        <v>35274</v>
      </c>
      <c r="F365" s="36" t="s">
        <v>54</v>
      </c>
      <c r="G365" s="34" t="s">
        <v>3349</v>
      </c>
      <c r="H365" s="37" t="s">
        <v>73</v>
      </c>
      <c r="I365" s="37" t="s">
        <v>73</v>
      </c>
      <c r="J365" s="183" t="s">
        <v>4662</v>
      </c>
      <c r="K365" s="34" t="s">
        <v>41</v>
      </c>
      <c r="L365" s="39" t="s">
        <v>42</v>
      </c>
      <c r="M365" s="120">
        <v>46120</v>
      </c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 t="s">
        <v>44</v>
      </c>
      <c r="Y365" s="183" t="s">
        <v>4666</v>
      </c>
      <c r="Z365" s="320" t="s">
        <v>4663</v>
      </c>
      <c r="AA365" s="144"/>
      <c r="AB365" s="45"/>
      <c r="AC365" s="101"/>
      <c r="AD365" s="36"/>
      <c r="AE365" s="47" t="s">
        <v>49</v>
      </c>
      <c r="AF365" s="48" t="s">
        <v>41</v>
      </c>
      <c r="AG365" s="48" t="s">
        <v>41</v>
      </c>
      <c r="AH365" s="48" t="s">
        <v>41</v>
      </c>
      <c r="AI365" s="48" t="s">
        <v>41</v>
      </c>
      <c r="AJ365" s="48" t="s">
        <v>41</v>
      </c>
      <c r="AK365" s="48" t="s">
        <v>41</v>
      </c>
      <c r="AL365" s="48" t="s">
        <v>49</v>
      </c>
      <c r="AM365" s="62" t="s">
        <v>32</v>
      </c>
      <c r="AN365" s="62"/>
      <c r="AO365" s="59"/>
      <c r="AP365" s="10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1"/>
    </row>
    <row r="366" spans="1:53" x14ac:dyDescent="0.2">
      <c r="A366" s="33">
        <f t="shared" si="6"/>
        <v>361</v>
      </c>
      <c r="B366" s="34" t="s">
        <v>2945</v>
      </c>
      <c r="C366" s="35" t="s">
        <v>2946</v>
      </c>
      <c r="D366" s="36" t="s">
        <v>2947</v>
      </c>
      <c r="E366" s="334">
        <v>30719</v>
      </c>
      <c r="F366" s="36" t="s">
        <v>54</v>
      </c>
      <c r="G366" s="34" t="s">
        <v>2948</v>
      </c>
      <c r="H366" s="37" t="s">
        <v>39</v>
      </c>
      <c r="I366" s="37" t="s">
        <v>39</v>
      </c>
      <c r="J366" s="107">
        <v>8562651324</v>
      </c>
      <c r="K366" s="34" t="s">
        <v>41</v>
      </c>
      <c r="L366" s="39" t="s">
        <v>42</v>
      </c>
      <c r="M366" s="99" t="s">
        <v>2742</v>
      </c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42" t="s">
        <v>2949</v>
      </c>
      <c r="Z366" s="52" t="s">
        <v>2950</v>
      </c>
      <c r="AA366" s="44" t="s">
        <v>2951</v>
      </c>
      <c r="AB366" s="45">
        <v>42935</v>
      </c>
      <c r="AC366" s="101" t="s">
        <v>30</v>
      </c>
      <c r="AD366" s="36" t="s">
        <v>26</v>
      </c>
      <c r="AE366" s="47" t="s">
        <v>49</v>
      </c>
      <c r="AF366" s="48" t="s">
        <v>49</v>
      </c>
      <c r="AG366" s="48" t="s">
        <v>49</v>
      </c>
      <c r="AH366" s="48" t="s">
        <v>49</v>
      </c>
      <c r="AI366" s="48" t="s">
        <v>49</v>
      </c>
      <c r="AJ366" s="48" t="s">
        <v>49</v>
      </c>
      <c r="AK366" s="49" t="s">
        <v>49</v>
      </c>
      <c r="AL366" s="48" t="s">
        <v>49</v>
      </c>
      <c r="AM366" s="62" t="s">
        <v>32</v>
      </c>
      <c r="AN366" s="62"/>
      <c r="AO366" s="59"/>
      <c r="AP366" s="10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1"/>
    </row>
    <row r="367" spans="1:53" x14ac:dyDescent="0.2">
      <c r="A367" s="33">
        <f t="shared" si="6"/>
        <v>362</v>
      </c>
      <c r="B367" s="34" t="s">
        <v>2952</v>
      </c>
      <c r="C367" s="35" t="s">
        <v>2953</v>
      </c>
      <c r="D367" s="36" t="s">
        <v>2954</v>
      </c>
      <c r="E367" s="334">
        <v>31372</v>
      </c>
      <c r="F367" s="36" t="s">
        <v>36</v>
      </c>
      <c r="G367" s="108" t="s">
        <v>2955</v>
      </c>
      <c r="H367" s="37" t="s">
        <v>73</v>
      </c>
      <c r="I367" s="37" t="s">
        <v>73</v>
      </c>
      <c r="J367" s="108" t="s">
        <v>2956</v>
      </c>
      <c r="K367" s="108" t="s">
        <v>41</v>
      </c>
      <c r="L367" s="39" t="s">
        <v>42</v>
      </c>
      <c r="M367" s="99" t="s">
        <v>2957</v>
      </c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42" t="s">
        <v>2958</v>
      </c>
      <c r="Z367" s="43" t="s">
        <v>2959</v>
      </c>
      <c r="AA367" s="43"/>
      <c r="AB367" s="43" t="s">
        <v>47</v>
      </c>
      <c r="AC367" s="101"/>
      <c r="AD367" s="36"/>
      <c r="AE367" s="47" t="s">
        <v>49</v>
      </c>
      <c r="AF367" s="48" t="s">
        <v>49</v>
      </c>
      <c r="AG367" s="48" t="s">
        <v>49</v>
      </c>
      <c r="AH367" s="48" t="s">
        <v>49</v>
      </c>
      <c r="AI367" s="48" t="s">
        <v>41</v>
      </c>
      <c r="AJ367" s="48" t="s">
        <v>41</v>
      </c>
      <c r="AK367" s="49" t="s">
        <v>41</v>
      </c>
      <c r="AL367" s="48" t="s">
        <v>41</v>
      </c>
      <c r="AM367" s="62" t="s">
        <v>139</v>
      </c>
      <c r="AN367" s="62"/>
      <c r="AO367" s="59"/>
      <c r="AP367" s="10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1"/>
    </row>
    <row r="368" spans="1:53" x14ac:dyDescent="0.2">
      <c r="A368" s="33">
        <f t="shared" si="6"/>
        <v>363</v>
      </c>
      <c r="B368" s="34" t="s">
        <v>2960</v>
      </c>
      <c r="C368" s="35" t="s">
        <v>2961</v>
      </c>
      <c r="D368" s="36" t="s">
        <v>2962</v>
      </c>
      <c r="E368" s="334">
        <v>32464</v>
      </c>
      <c r="F368" s="36" t="s">
        <v>36</v>
      </c>
      <c r="G368" s="34" t="s">
        <v>2963</v>
      </c>
      <c r="H368" s="37" t="s">
        <v>73</v>
      </c>
      <c r="I368" s="37" t="s">
        <v>73</v>
      </c>
      <c r="J368" s="38" t="s">
        <v>2964</v>
      </c>
      <c r="K368" s="34" t="s">
        <v>41</v>
      </c>
      <c r="L368" s="39" t="s">
        <v>42</v>
      </c>
      <c r="M368" s="120">
        <v>44812</v>
      </c>
      <c r="N368" s="56" t="s">
        <v>179</v>
      </c>
      <c r="O368" s="56" t="s">
        <v>179</v>
      </c>
      <c r="P368" s="56"/>
      <c r="Q368" s="56">
        <v>2</v>
      </c>
      <c r="R368" s="56"/>
      <c r="S368" s="56"/>
      <c r="T368" s="56" t="s">
        <v>44</v>
      </c>
      <c r="U368" s="56"/>
      <c r="V368" s="56"/>
      <c r="W368" s="56"/>
      <c r="X368" s="56"/>
      <c r="Y368" s="38" t="s">
        <v>2965</v>
      </c>
      <c r="Z368" s="43" t="s">
        <v>2966</v>
      </c>
      <c r="AA368" s="44"/>
      <c r="AB368" s="45"/>
      <c r="AC368" s="101"/>
      <c r="AD368" s="36"/>
      <c r="AE368" s="47" t="s">
        <v>49</v>
      </c>
      <c r="AF368" s="48" t="s">
        <v>41</v>
      </c>
      <c r="AG368" s="48" t="s">
        <v>41</v>
      </c>
      <c r="AH368" s="48" t="s">
        <v>49</v>
      </c>
      <c r="AI368" s="48" t="s">
        <v>49</v>
      </c>
      <c r="AJ368" s="48" t="s">
        <v>49</v>
      </c>
      <c r="AK368" s="49" t="s">
        <v>49</v>
      </c>
      <c r="AL368" s="48" t="s">
        <v>41</v>
      </c>
      <c r="AM368" s="62" t="s">
        <v>148</v>
      </c>
      <c r="AN368" s="62"/>
      <c r="AO368" s="59"/>
      <c r="AP368" s="10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1"/>
    </row>
    <row r="369" spans="1:53" x14ac:dyDescent="0.2">
      <c r="A369" s="33">
        <f t="shared" si="6"/>
        <v>364</v>
      </c>
      <c r="B369" s="34" t="s">
        <v>2967</v>
      </c>
      <c r="C369" s="35" t="s">
        <v>2968</v>
      </c>
      <c r="D369" s="36" t="s">
        <v>2969</v>
      </c>
      <c r="E369" s="334">
        <v>34158</v>
      </c>
      <c r="F369" s="36" t="s">
        <v>54</v>
      </c>
      <c r="G369" s="34" t="s">
        <v>2970</v>
      </c>
      <c r="H369" s="37" t="s">
        <v>73</v>
      </c>
      <c r="I369" s="37" t="s">
        <v>73</v>
      </c>
      <c r="J369" s="38" t="s">
        <v>2971</v>
      </c>
      <c r="K369" s="34" t="s">
        <v>41</v>
      </c>
      <c r="L369" s="39" t="s">
        <v>42</v>
      </c>
      <c r="M369" s="120">
        <v>43687</v>
      </c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42" t="s">
        <v>2972</v>
      </c>
      <c r="Z369" s="58" t="s">
        <v>2973</v>
      </c>
      <c r="AA369" s="44" t="s">
        <v>2974</v>
      </c>
      <c r="AB369" s="45">
        <v>44041</v>
      </c>
      <c r="AC369" s="101" t="s">
        <v>30</v>
      </c>
      <c r="AD369" s="36"/>
      <c r="AE369" s="47" t="s">
        <v>49</v>
      </c>
      <c r="AF369" s="48" t="s">
        <v>41</v>
      </c>
      <c r="AG369" s="48" t="s">
        <v>49</v>
      </c>
      <c r="AH369" s="48" t="s">
        <v>49</v>
      </c>
      <c r="AI369" s="48" t="s">
        <v>49</v>
      </c>
      <c r="AJ369" s="48" t="s">
        <v>49</v>
      </c>
      <c r="AK369" s="49" t="s">
        <v>49</v>
      </c>
      <c r="AL369" s="48" t="s">
        <v>49</v>
      </c>
      <c r="AM369" s="65" t="s">
        <v>32</v>
      </c>
      <c r="AN369" s="65"/>
      <c r="AO369" s="59"/>
      <c r="AP369" s="10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1"/>
    </row>
    <row r="370" spans="1:53" x14ac:dyDescent="0.2">
      <c r="A370" s="33">
        <f t="shared" si="6"/>
        <v>365</v>
      </c>
      <c r="B370" s="34" t="s">
        <v>2975</v>
      </c>
      <c r="C370" s="35" t="s">
        <v>2976</v>
      </c>
      <c r="D370" s="36" t="s">
        <v>2977</v>
      </c>
      <c r="E370" s="334">
        <v>27954</v>
      </c>
      <c r="F370" s="36" t="s">
        <v>54</v>
      </c>
      <c r="G370" s="34" t="s">
        <v>2978</v>
      </c>
      <c r="H370" s="37" t="s">
        <v>39</v>
      </c>
      <c r="I370" s="37" t="s">
        <v>39</v>
      </c>
      <c r="J370" s="34" t="s">
        <v>2979</v>
      </c>
      <c r="K370" s="34" t="s">
        <v>41</v>
      </c>
      <c r="L370" s="39" t="s">
        <v>42</v>
      </c>
      <c r="M370" s="99" t="s">
        <v>273</v>
      </c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42" t="s">
        <v>2980</v>
      </c>
      <c r="Z370" s="69" t="s">
        <v>2981</v>
      </c>
      <c r="AA370" s="44" t="s">
        <v>61</v>
      </c>
      <c r="AB370" s="45">
        <v>40280</v>
      </c>
      <c r="AC370" s="101" t="s">
        <v>30</v>
      </c>
      <c r="AD370" s="36" t="s">
        <v>26</v>
      </c>
      <c r="AE370" s="47" t="s">
        <v>49</v>
      </c>
      <c r="AF370" s="48" t="s">
        <v>49</v>
      </c>
      <c r="AG370" s="48" t="s">
        <v>49</v>
      </c>
      <c r="AH370" s="48" t="s">
        <v>49</v>
      </c>
      <c r="AI370" s="48" t="s">
        <v>49</v>
      </c>
      <c r="AJ370" s="48" t="s">
        <v>49</v>
      </c>
      <c r="AK370" s="49" t="s">
        <v>49</v>
      </c>
      <c r="AL370" s="48" t="s">
        <v>49</v>
      </c>
      <c r="AM370" s="62" t="s">
        <v>32</v>
      </c>
      <c r="AN370" s="62"/>
      <c r="AO370" s="59"/>
      <c r="AP370" s="10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1"/>
    </row>
    <row r="371" spans="1:53" x14ac:dyDescent="0.2">
      <c r="A371" s="33">
        <f t="shared" si="6"/>
        <v>366</v>
      </c>
      <c r="B371" s="34" t="s">
        <v>2982</v>
      </c>
      <c r="C371" s="35" t="s">
        <v>2983</v>
      </c>
      <c r="D371" s="36" t="s">
        <v>2984</v>
      </c>
      <c r="E371" s="334">
        <v>24539</v>
      </c>
      <c r="F371" s="36" t="s">
        <v>54</v>
      </c>
      <c r="G371" s="34" t="s">
        <v>2985</v>
      </c>
      <c r="H371" s="37" t="s">
        <v>73</v>
      </c>
      <c r="I371" s="37" t="s">
        <v>73</v>
      </c>
      <c r="J371" s="38" t="s">
        <v>2986</v>
      </c>
      <c r="K371" s="34" t="s">
        <v>41</v>
      </c>
      <c r="L371" s="39" t="s">
        <v>42</v>
      </c>
      <c r="M371" s="99" t="s">
        <v>2987</v>
      </c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42" t="s">
        <v>2988</v>
      </c>
      <c r="Z371" s="69" t="s">
        <v>2989</v>
      </c>
      <c r="AA371" s="44" t="s">
        <v>2990</v>
      </c>
      <c r="AB371" s="45">
        <v>43200</v>
      </c>
      <c r="AC371" s="101" t="s">
        <v>30</v>
      </c>
      <c r="AD371" s="36" t="s">
        <v>26</v>
      </c>
      <c r="AE371" s="47" t="s">
        <v>49</v>
      </c>
      <c r="AF371" s="48" t="s">
        <v>49</v>
      </c>
      <c r="AG371" s="48" t="s">
        <v>49</v>
      </c>
      <c r="AH371" s="48" t="s">
        <v>49</v>
      </c>
      <c r="AI371" s="48" t="s">
        <v>49</v>
      </c>
      <c r="AJ371" s="48" t="s">
        <v>49</v>
      </c>
      <c r="AK371" s="49" t="s">
        <v>49</v>
      </c>
      <c r="AL371" s="48" t="s">
        <v>49</v>
      </c>
      <c r="AM371" s="62" t="s">
        <v>32</v>
      </c>
      <c r="AN371" s="62"/>
      <c r="AO371" s="59"/>
      <c r="AP371" s="10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1"/>
    </row>
    <row r="372" spans="1:53" x14ac:dyDescent="0.2">
      <c r="A372" s="33">
        <f t="shared" si="6"/>
        <v>367</v>
      </c>
      <c r="B372" s="34" t="s">
        <v>2991</v>
      </c>
      <c r="C372" s="35" t="s">
        <v>2992</v>
      </c>
      <c r="D372" s="36" t="s">
        <v>2993</v>
      </c>
      <c r="E372" s="334">
        <v>34269</v>
      </c>
      <c r="F372" s="36" t="s">
        <v>54</v>
      </c>
      <c r="G372" s="34" t="s">
        <v>2994</v>
      </c>
      <c r="H372" s="37" t="s">
        <v>252</v>
      </c>
      <c r="I372" s="37" t="s">
        <v>57</v>
      </c>
      <c r="J372" s="38" t="s">
        <v>2995</v>
      </c>
      <c r="K372" s="34" t="s">
        <v>41</v>
      </c>
      <c r="L372" s="39" t="s">
        <v>42</v>
      </c>
      <c r="M372" s="120">
        <v>45330</v>
      </c>
      <c r="N372" s="115"/>
      <c r="O372" s="115"/>
      <c r="P372" s="115"/>
      <c r="Q372" s="115"/>
      <c r="R372" s="115"/>
      <c r="S372" s="115"/>
      <c r="T372" s="115"/>
      <c r="U372" s="56"/>
      <c r="V372" s="56" t="s">
        <v>44</v>
      </c>
      <c r="W372" s="56"/>
      <c r="X372" s="56"/>
      <c r="Y372" s="42" t="s">
        <v>2996</v>
      </c>
      <c r="Z372" s="58" t="s">
        <v>2997</v>
      </c>
      <c r="AA372" s="44"/>
      <c r="AB372" s="45"/>
      <c r="AC372" s="101"/>
      <c r="AD372" s="36"/>
      <c r="AE372" s="47" t="s">
        <v>49</v>
      </c>
      <c r="AF372" s="48" t="s">
        <v>41</v>
      </c>
      <c r="AG372" s="48" t="s">
        <v>41</v>
      </c>
      <c r="AH372" s="48" t="s">
        <v>41</v>
      </c>
      <c r="AI372" s="48" t="s">
        <v>41</v>
      </c>
      <c r="AJ372" s="48" t="s">
        <v>49</v>
      </c>
      <c r="AK372" s="49" t="s">
        <v>49</v>
      </c>
      <c r="AL372" s="48" t="s">
        <v>49</v>
      </c>
      <c r="AM372" s="62" t="s">
        <v>32</v>
      </c>
      <c r="AN372" s="62"/>
      <c r="AO372" s="59"/>
      <c r="AP372" s="10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1"/>
    </row>
    <row r="373" spans="1:53" ht="17.25" customHeight="1" x14ac:dyDescent="0.2">
      <c r="A373" s="33">
        <f t="shared" si="6"/>
        <v>368</v>
      </c>
      <c r="B373" s="34" t="s">
        <v>2998</v>
      </c>
      <c r="C373" s="35" t="s">
        <v>2999</v>
      </c>
      <c r="D373" s="36" t="s">
        <v>3000</v>
      </c>
      <c r="E373" s="334">
        <v>21438</v>
      </c>
      <c r="F373" s="36" t="s">
        <v>54</v>
      </c>
      <c r="G373" s="34" t="s">
        <v>3001</v>
      </c>
      <c r="H373" s="37" t="s">
        <v>398</v>
      </c>
      <c r="I373" s="37" t="s">
        <v>205</v>
      </c>
      <c r="J373" s="34" t="s">
        <v>3002</v>
      </c>
      <c r="K373" s="34" t="s">
        <v>41</v>
      </c>
      <c r="L373" s="39" t="s">
        <v>42</v>
      </c>
      <c r="M373" s="99" t="s">
        <v>3003</v>
      </c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42" t="s">
        <v>3004</v>
      </c>
      <c r="Z373" s="58" t="s">
        <v>3005</v>
      </c>
      <c r="AA373" s="44" t="s">
        <v>61</v>
      </c>
      <c r="AB373" s="45">
        <v>40278</v>
      </c>
      <c r="AC373" s="101" t="s">
        <v>30</v>
      </c>
      <c r="AD373" s="36" t="s">
        <v>26</v>
      </c>
      <c r="AE373" s="47" t="s">
        <v>49</v>
      </c>
      <c r="AF373" s="48" t="s">
        <v>49</v>
      </c>
      <c r="AG373" s="48" t="s">
        <v>49</v>
      </c>
      <c r="AH373" s="48" t="s">
        <v>49</v>
      </c>
      <c r="AI373" s="48" t="s">
        <v>49</v>
      </c>
      <c r="AJ373" s="48" t="s">
        <v>49</v>
      </c>
      <c r="AK373" s="49" t="s">
        <v>49</v>
      </c>
      <c r="AL373" s="48" t="s">
        <v>49</v>
      </c>
      <c r="AM373" s="65" t="s">
        <v>32</v>
      </c>
      <c r="AN373" s="65"/>
      <c r="AO373" s="103"/>
      <c r="AP373" s="10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1"/>
    </row>
    <row r="374" spans="1:53" ht="17.25" customHeight="1" x14ac:dyDescent="0.2">
      <c r="A374" s="33">
        <f t="shared" si="6"/>
        <v>369</v>
      </c>
      <c r="B374" s="34" t="s">
        <v>3006</v>
      </c>
      <c r="C374" s="35" t="s">
        <v>3007</v>
      </c>
      <c r="D374" s="36" t="s">
        <v>3008</v>
      </c>
      <c r="E374" s="36"/>
      <c r="F374" s="36" t="s">
        <v>54</v>
      </c>
      <c r="G374" s="226" t="s">
        <v>3009</v>
      </c>
      <c r="H374" s="37" t="s">
        <v>73</v>
      </c>
      <c r="I374" s="37" t="s">
        <v>73</v>
      </c>
      <c r="J374" s="34" t="s">
        <v>3010</v>
      </c>
      <c r="K374" s="34" t="s">
        <v>3011</v>
      </c>
      <c r="L374" s="39" t="s">
        <v>42</v>
      </c>
      <c r="M374" s="99" t="s">
        <v>3012</v>
      </c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42" t="s">
        <v>3013</v>
      </c>
      <c r="Z374" s="58" t="s">
        <v>3014</v>
      </c>
      <c r="AA374" s="119" t="s">
        <v>61</v>
      </c>
      <c r="AB374" s="45" t="s">
        <v>3015</v>
      </c>
      <c r="AC374" s="101" t="s">
        <v>30</v>
      </c>
      <c r="AD374" s="36"/>
      <c r="AE374" s="47" t="s">
        <v>49</v>
      </c>
      <c r="AF374" s="48" t="s">
        <v>41</v>
      </c>
      <c r="AG374" s="48" t="s">
        <v>41</v>
      </c>
      <c r="AH374" s="48" t="s">
        <v>41</v>
      </c>
      <c r="AI374" s="48" t="s">
        <v>41</v>
      </c>
      <c r="AJ374" s="48" t="s">
        <v>41</v>
      </c>
      <c r="AK374" s="49" t="s">
        <v>41</v>
      </c>
      <c r="AL374" s="48" t="s">
        <v>41</v>
      </c>
      <c r="AM374" s="65" t="s">
        <v>4588</v>
      </c>
      <c r="AN374" s="65"/>
      <c r="AO374" s="59"/>
      <c r="AP374" s="10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1"/>
    </row>
    <row r="375" spans="1:53" ht="17.25" customHeight="1" x14ac:dyDescent="0.2">
      <c r="A375" s="33">
        <f t="shared" si="6"/>
        <v>370</v>
      </c>
      <c r="B375" s="34" t="s">
        <v>3016</v>
      </c>
      <c r="C375" s="35" t="s">
        <v>3017</v>
      </c>
      <c r="D375" s="36" t="s">
        <v>3018</v>
      </c>
      <c r="E375" s="334">
        <v>34662</v>
      </c>
      <c r="F375" s="36" t="s">
        <v>36</v>
      </c>
      <c r="G375" s="226" t="s">
        <v>3019</v>
      </c>
      <c r="H375" s="37" t="s">
        <v>350</v>
      </c>
      <c r="I375" s="37" t="s">
        <v>350</v>
      </c>
      <c r="J375" s="38" t="s">
        <v>3020</v>
      </c>
      <c r="K375" s="34" t="s">
        <v>41</v>
      </c>
      <c r="L375" s="39" t="s">
        <v>42</v>
      </c>
      <c r="M375" s="120">
        <v>44573</v>
      </c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42" t="s">
        <v>3021</v>
      </c>
      <c r="Z375" s="58" t="s">
        <v>3022</v>
      </c>
      <c r="AA375" s="207" t="s">
        <v>3023</v>
      </c>
      <c r="AB375" s="45">
        <v>44944</v>
      </c>
      <c r="AC375" s="101" t="s">
        <v>30</v>
      </c>
      <c r="AD375" s="36"/>
      <c r="AE375" s="47" t="s">
        <v>49</v>
      </c>
      <c r="AF375" s="48" t="s">
        <v>41</v>
      </c>
      <c r="AG375" s="48" t="s">
        <v>41</v>
      </c>
      <c r="AH375" s="48" t="s">
        <v>49</v>
      </c>
      <c r="AI375" s="48" t="s">
        <v>49</v>
      </c>
      <c r="AJ375" s="48" t="s">
        <v>41</v>
      </c>
      <c r="AK375" s="49" t="s">
        <v>41</v>
      </c>
      <c r="AL375" s="48" t="s">
        <v>41</v>
      </c>
      <c r="AM375" s="65" t="s">
        <v>4589</v>
      </c>
      <c r="AN375" s="65"/>
      <c r="AO375" s="59"/>
      <c r="AP375" s="10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1"/>
    </row>
    <row r="376" spans="1:53" ht="17.25" customHeight="1" x14ac:dyDescent="0.2">
      <c r="A376" s="33">
        <f t="shared" si="6"/>
        <v>371</v>
      </c>
      <c r="B376" s="34" t="s">
        <v>3024</v>
      </c>
      <c r="C376" s="35" t="s">
        <v>3025</v>
      </c>
      <c r="D376" s="36" t="s">
        <v>3026</v>
      </c>
      <c r="E376" s="334">
        <v>22003</v>
      </c>
      <c r="F376" s="36" t="s">
        <v>54</v>
      </c>
      <c r="G376" s="34" t="s">
        <v>3027</v>
      </c>
      <c r="H376" s="37" t="s">
        <v>252</v>
      </c>
      <c r="I376" s="37" t="s">
        <v>57</v>
      </c>
      <c r="J376" s="34" t="s">
        <v>3028</v>
      </c>
      <c r="K376" s="34" t="s">
        <v>3028</v>
      </c>
      <c r="L376" s="39" t="s">
        <v>42</v>
      </c>
      <c r="M376" s="99" t="s">
        <v>3029</v>
      </c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2" t="s">
        <v>3030</v>
      </c>
      <c r="Z376" s="58" t="s">
        <v>3031</v>
      </c>
      <c r="AA376" s="119" t="s">
        <v>61</v>
      </c>
      <c r="AB376" s="45">
        <v>40815</v>
      </c>
      <c r="AC376" s="101" t="s">
        <v>30</v>
      </c>
      <c r="AD376" s="36" t="s">
        <v>26</v>
      </c>
      <c r="AE376" s="47" t="s">
        <v>49</v>
      </c>
      <c r="AF376" s="48" t="s">
        <v>49</v>
      </c>
      <c r="AG376" s="48" t="s">
        <v>49</v>
      </c>
      <c r="AH376" s="48" t="s">
        <v>49</v>
      </c>
      <c r="AI376" s="48" t="s">
        <v>49</v>
      </c>
      <c r="AJ376" s="48" t="s">
        <v>49</v>
      </c>
      <c r="AK376" s="49" t="s">
        <v>49</v>
      </c>
      <c r="AL376" s="48" t="s">
        <v>49</v>
      </c>
      <c r="AM376" s="62" t="s">
        <v>32</v>
      </c>
      <c r="AN376" s="62"/>
      <c r="AO376" s="59"/>
      <c r="AP376" s="10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1"/>
    </row>
    <row r="377" spans="1:53" x14ac:dyDescent="0.2">
      <c r="A377" s="33">
        <f t="shared" si="6"/>
        <v>372</v>
      </c>
      <c r="B377" s="34" t="s">
        <v>3032</v>
      </c>
      <c r="C377" s="35" t="s">
        <v>3033</v>
      </c>
      <c r="D377" s="36" t="s">
        <v>3034</v>
      </c>
      <c r="E377" s="334">
        <v>22836</v>
      </c>
      <c r="F377" s="36" t="s">
        <v>54</v>
      </c>
      <c r="G377" s="34" t="s">
        <v>3035</v>
      </c>
      <c r="H377" s="37" t="s">
        <v>747</v>
      </c>
      <c r="I377" s="37" t="s">
        <v>378</v>
      </c>
      <c r="J377" s="38" t="s">
        <v>3036</v>
      </c>
      <c r="K377" s="34" t="s">
        <v>41</v>
      </c>
      <c r="L377" s="39" t="s">
        <v>42</v>
      </c>
      <c r="M377" s="120">
        <v>45798</v>
      </c>
      <c r="N377" s="41"/>
      <c r="O377" s="41"/>
      <c r="P377" s="41"/>
      <c r="Q377" s="41"/>
      <c r="R377" s="41"/>
      <c r="S377" s="41"/>
      <c r="T377" s="41"/>
      <c r="U377" s="41"/>
      <c r="V377" s="41"/>
      <c r="W377" s="41" t="s">
        <v>44</v>
      </c>
      <c r="X377" s="41"/>
      <c r="Y377" s="38" t="s">
        <v>3037</v>
      </c>
      <c r="Z377" s="58" t="s">
        <v>3038</v>
      </c>
      <c r="AA377" s="224"/>
      <c r="AB377" s="45"/>
      <c r="AC377" s="101"/>
      <c r="AD377" s="36"/>
      <c r="AE377" s="47" t="s">
        <v>49</v>
      </c>
      <c r="AF377" s="48" t="s">
        <v>41</v>
      </c>
      <c r="AG377" s="48" t="s">
        <v>41</v>
      </c>
      <c r="AH377" s="48" t="s">
        <v>41</v>
      </c>
      <c r="AI377" s="48" t="s">
        <v>41</v>
      </c>
      <c r="AJ377" s="48" t="s">
        <v>41</v>
      </c>
      <c r="AK377" s="49" t="s">
        <v>49</v>
      </c>
      <c r="AL377" s="48" t="s">
        <v>49</v>
      </c>
      <c r="AM377" s="62" t="s">
        <v>32</v>
      </c>
      <c r="AN377" s="62"/>
      <c r="AO377" s="59"/>
      <c r="AP377" s="10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1"/>
    </row>
    <row r="378" spans="1:53" x14ac:dyDescent="0.2">
      <c r="A378" s="33">
        <f t="shared" si="6"/>
        <v>373</v>
      </c>
      <c r="B378" s="34" t="s">
        <v>3039</v>
      </c>
      <c r="C378" s="35" t="s">
        <v>3040</v>
      </c>
      <c r="D378" s="36" t="s">
        <v>3041</v>
      </c>
      <c r="E378" s="334">
        <v>32073</v>
      </c>
      <c r="F378" s="36" t="s">
        <v>36</v>
      </c>
      <c r="G378" s="87" t="s">
        <v>3042</v>
      </c>
      <c r="H378" s="37" t="s">
        <v>56</v>
      </c>
      <c r="I378" s="37" t="s">
        <v>57</v>
      </c>
      <c r="J378" s="183" t="s">
        <v>3043</v>
      </c>
      <c r="K378" s="34"/>
      <c r="L378" s="39" t="s">
        <v>42</v>
      </c>
      <c r="M378" s="99" t="s">
        <v>3044</v>
      </c>
      <c r="N378" s="41"/>
      <c r="O378" s="41"/>
      <c r="P378" s="41"/>
      <c r="Q378" s="41"/>
      <c r="R378" s="41"/>
      <c r="S378" s="41"/>
      <c r="T378" s="41" t="s">
        <v>44</v>
      </c>
      <c r="U378" s="41"/>
      <c r="V378" s="41"/>
      <c r="W378" s="41"/>
      <c r="X378" s="41"/>
      <c r="Y378" s="42" t="s">
        <v>3045</v>
      </c>
      <c r="Z378" s="58" t="s">
        <v>3046</v>
      </c>
      <c r="AA378" s="121" t="s">
        <v>3047</v>
      </c>
      <c r="AB378" s="45">
        <v>44650</v>
      </c>
      <c r="AC378" s="101" t="s">
        <v>30</v>
      </c>
      <c r="AD378" s="36"/>
      <c r="AE378" s="47" t="s">
        <v>49</v>
      </c>
      <c r="AF378" s="48" t="s">
        <v>41</v>
      </c>
      <c r="AG378" s="48" t="s">
        <v>41</v>
      </c>
      <c r="AH378" s="48" t="s">
        <v>49</v>
      </c>
      <c r="AI378" s="48" t="s">
        <v>49</v>
      </c>
      <c r="AJ378" s="48" t="s">
        <v>49</v>
      </c>
      <c r="AK378" s="49" t="s">
        <v>49</v>
      </c>
      <c r="AL378" s="48" t="s">
        <v>49</v>
      </c>
      <c r="AM378" s="62" t="s">
        <v>32</v>
      </c>
      <c r="AN378" s="62"/>
      <c r="AO378" s="59"/>
      <c r="AP378" s="10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1"/>
    </row>
    <row r="379" spans="1:53" x14ac:dyDescent="0.2">
      <c r="A379" s="33">
        <f t="shared" si="6"/>
        <v>374</v>
      </c>
      <c r="B379" s="52" t="s">
        <v>3048</v>
      </c>
      <c r="C379" s="150" t="s">
        <v>3049</v>
      </c>
      <c r="D379" s="73" t="s">
        <v>3050</v>
      </c>
      <c r="E379" s="335">
        <v>29058</v>
      </c>
      <c r="F379" s="36" t="s">
        <v>54</v>
      </c>
      <c r="G379" s="52" t="s">
        <v>3051</v>
      </c>
      <c r="H379" s="37" t="s">
        <v>456</v>
      </c>
      <c r="I379" s="37" t="s">
        <v>187</v>
      </c>
      <c r="J379" s="52" t="s">
        <v>3052</v>
      </c>
      <c r="K379" s="34" t="s">
        <v>41</v>
      </c>
      <c r="L379" s="39" t="s">
        <v>42</v>
      </c>
      <c r="M379" s="227" t="s">
        <v>3053</v>
      </c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42" t="s">
        <v>3054</v>
      </c>
      <c r="Z379" s="58" t="s">
        <v>3055</v>
      </c>
      <c r="AA379" s="44" t="s">
        <v>3056</v>
      </c>
      <c r="AB379" s="153">
        <v>43200</v>
      </c>
      <c r="AC379" s="101" t="s">
        <v>30</v>
      </c>
      <c r="AD379" s="73" t="s">
        <v>26</v>
      </c>
      <c r="AE379" s="47" t="s">
        <v>49</v>
      </c>
      <c r="AF379" s="48" t="s">
        <v>49</v>
      </c>
      <c r="AG379" s="48" t="s">
        <v>49</v>
      </c>
      <c r="AH379" s="48" t="s">
        <v>49</v>
      </c>
      <c r="AI379" s="48" t="s">
        <v>49</v>
      </c>
      <c r="AJ379" s="48" t="s">
        <v>49</v>
      </c>
      <c r="AK379" s="49" t="s">
        <v>49</v>
      </c>
      <c r="AL379" s="48" t="s">
        <v>49</v>
      </c>
      <c r="AM379" s="62" t="s">
        <v>32</v>
      </c>
      <c r="AN379" s="62"/>
      <c r="AO379" s="59"/>
      <c r="AP379" s="10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1"/>
    </row>
    <row r="380" spans="1:53" x14ac:dyDescent="0.2">
      <c r="A380" s="33">
        <f t="shared" si="6"/>
        <v>375</v>
      </c>
      <c r="B380" s="34" t="s">
        <v>3057</v>
      </c>
      <c r="C380" s="35" t="s">
        <v>3058</v>
      </c>
      <c r="D380" s="36" t="s">
        <v>3059</v>
      </c>
      <c r="E380" s="334">
        <v>27160</v>
      </c>
      <c r="F380" s="36" t="s">
        <v>54</v>
      </c>
      <c r="G380" s="34" t="s">
        <v>3060</v>
      </c>
      <c r="H380" s="37" t="s">
        <v>252</v>
      </c>
      <c r="I380" s="37" t="s">
        <v>57</v>
      </c>
      <c r="J380" s="34" t="s">
        <v>3061</v>
      </c>
      <c r="K380" s="34" t="s">
        <v>41</v>
      </c>
      <c r="L380" s="39" t="s">
        <v>42</v>
      </c>
      <c r="M380" s="99" t="s">
        <v>2437</v>
      </c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42" t="s">
        <v>1896</v>
      </c>
      <c r="Z380" s="58" t="s">
        <v>3062</v>
      </c>
      <c r="AA380" s="44" t="s">
        <v>61</v>
      </c>
      <c r="AB380" s="45">
        <v>40815</v>
      </c>
      <c r="AC380" s="101" t="s">
        <v>30</v>
      </c>
      <c r="AD380" s="36" t="s">
        <v>26</v>
      </c>
      <c r="AE380" s="47" t="s">
        <v>49</v>
      </c>
      <c r="AF380" s="48" t="s">
        <v>49</v>
      </c>
      <c r="AG380" s="48" t="s">
        <v>49</v>
      </c>
      <c r="AH380" s="48" t="s">
        <v>49</v>
      </c>
      <c r="AI380" s="48" t="s">
        <v>49</v>
      </c>
      <c r="AJ380" s="48" t="s">
        <v>49</v>
      </c>
      <c r="AK380" s="49" t="s">
        <v>49</v>
      </c>
      <c r="AL380" s="48" t="s">
        <v>49</v>
      </c>
      <c r="AM380" s="62" t="s">
        <v>32</v>
      </c>
      <c r="AN380" s="62"/>
      <c r="AO380" s="59"/>
      <c r="AP380" s="10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1"/>
    </row>
    <row r="381" spans="1:53" x14ac:dyDescent="0.2">
      <c r="A381" s="33">
        <f t="shared" si="6"/>
        <v>376</v>
      </c>
      <c r="B381" s="34" t="s">
        <v>3063</v>
      </c>
      <c r="C381" s="35" t="s">
        <v>3064</v>
      </c>
      <c r="D381" s="36" t="s">
        <v>3065</v>
      </c>
      <c r="E381" s="334">
        <v>25743</v>
      </c>
      <c r="F381" s="36" t="s">
        <v>54</v>
      </c>
      <c r="G381" s="34" t="s">
        <v>3066</v>
      </c>
      <c r="H381" s="37" t="s">
        <v>38</v>
      </c>
      <c r="I381" s="37" t="s">
        <v>39</v>
      </c>
      <c r="J381" s="38" t="s">
        <v>3067</v>
      </c>
      <c r="K381" s="34" t="s">
        <v>41</v>
      </c>
      <c r="L381" s="39" t="s">
        <v>42</v>
      </c>
      <c r="M381" s="99" t="s">
        <v>1869</v>
      </c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42" t="s">
        <v>3068</v>
      </c>
      <c r="Z381" s="52" t="s">
        <v>3069</v>
      </c>
      <c r="AA381" s="44" t="s">
        <v>61</v>
      </c>
      <c r="AB381" s="45">
        <v>39286</v>
      </c>
      <c r="AC381" s="101" t="s">
        <v>30</v>
      </c>
      <c r="AD381" s="36" t="s">
        <v>26</v>
      </c>
      <c r="AE381" s="47" t="s">
        <v>49</v>
      </c>
      <c r="AF381" s="48" t="s">
        <v>49</v>
      </c>
      <c r="AG381" s="48" t="s">
        <v>49</v>
      </c>
      <c r="AH381" s="48" t="s">
        <v>49</v>
      </c>
      <c r="AI381" s="48" t="s">
        <v>49</v>
      </c>
      <c r="AJ381" s="48" t="s">
        <v>49</v>
      </c>
      <c r="AK381" s="49" t="s">
        <v>49</v>
      </c>
      <c r="AL381" s="48" t="s">
        <v>49</v>
      </c>
      <c r="AM381" s="62" t="s">
        <v>32</v>
      </c>
      <c r="AN381" s="62"/>
      <c r="AO381" s="59"/>
      <c r="AP381" s="10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1"/>
    </row>
    <row r="382" spans="1:53" x14ac:dyDescent="0.2">
      <c r="A382" s="33">
        <f t="shared" si="6"/>
        <v>377</v>
      </c>
      <c r="B382" s="34" t="s">
        <v>3070</v>
      </c>
      <c r="C382" s="35" t="s">
        <v>3071</v>
      </c>
      <c r="D382" s="36" t="s">
        <v>3072</v>
      </c>
      <c r="E382" s="334"/>
      <c r="F382" s="36" t="s">
        <v>54</v>
      </c>
      <c r="G382" s="34" t="s">
        <v>3073</v>
      </c>
      <c r="H382" s="37" t="s">
        <v>4660</v>
      </c>
      <c r="I382" s="37" t="s">
        <v>39</v>
      </c>
      <c r="J382" s="34" t="s">
        <v>3074</v>
      </c>
      <c r="K382" s="34" t="s">
        <v>3075</v>
      </c>
      <c r="L382" s="39" t="s">
        <v>42</v>
      </c>
      <c r="M382" s="99" t="s">
        <v>3076</v>
      </c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42" t="s">
        <v>3077</v>
      </c>
      <c r="Z382" s="58" t="s">
        <v>3078</v>
      </c>
      <c r="AA382" s="44" t="s">
        <v>3079</v>
      </c>
      <c r="AB382" s="45">
        <v>42325</v>
      </c>
      <c r="AC382" s="101" t="s">
        <v>30</v>
      </c>
      <c r="AD382" s="36" t="s">
        <v>26</v>
      </c>
      <c r="AE382" s="47" t="s">
        <v>49</v>
      </c>
      <c r="AF382" s="48" t="s">
        <v>49</v>
      </c>
      <c r="AG382" s="48" t="s">
        <v>49</v>
      </c>
      <c r="AH382" s="48" t="s">
        <v>49</v>
      </c>
      <c r="AI382" s="48" t="s">
        <v>49</v>
      </c>
      <c r="AJ382" s="48" t="s">
        <v>49</v>
      </c>
      <c r="AK382" s="49" t="s">
        <v>49</v>
      </c>
      <c r="AL382" s="48" t="s">
        <v>49</v>
      </c>
      <c r="AM382" s="65" t="s">
        <v>32</v>
      </c>
      <c r="AN382" s="65" t="s">
        <v>4681</v>
      </c>
      <c r="AO382" s="59"/>
      <c r="AP382" s="10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1"/>
    </row>
    <row r="383" spans="1:53" x14ac:dyDescent="0.2">
      <c r="A383" s="33">
        <f t="shared" si="6"/>
        <v>378</v>
      </c>
      <c r="B383" s="34" t="s">
        <v>3080</v>
      </c>
      <c r="C383" s="35" t="s">
        <v>3081</v>
      </c>
      <c r="D383" s="36" t="s">
        <v>3082</v>
      </c>
      <c r="E383" s="334"/>
      <c r="F383" s="36" t="s">
        <v>36</v>
      </c>
      <c r="G383" s="34" t="s">
        <v>3083</v>
      </c>
      <c r="H383" s="37" t="s">
        <v>73</v>
      </c>
      <c r="I383" s="37" t="s">
        <v>73</v>
      </c>
      <c r="J383" s="34" t="s">
        <v>3084</v>
      </c>
      <c r="K383" s="34" t="s">
        <v>3084</v>
      </c>
      <c r="L383" s="39" t="s">
        <v>42</v>
      </c>
      <c r="M383" s="99" t="s">
        <v>3085</v>
      </c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2" t="s">
        <v>3086</v>
      </c>
      <c r="Z383" s="58" t="s">
        <v>3087</v>
      </c>
      <c r="AA383" s="44" t="s">
        <v>61</v>
      </c>
      <c r="AB383" s="45">
        <v>36641</v>
      </c>
      <c r="AC383" s="101" t="s">
        <v>30</v>
      </c>
      <c r="AD383" s="36"/>
      <c r="AE383" s="47" t="s">
        <v>49</v>
      </c>
      <c r="AF383" s="48" t="s">
        <v>41</v>
      </c>
      <c r="AG383" s="48" t="s">
        <v>41</v>
      </c>
      <c r="AH383" s="48" t="s">
        <v>41</v>
      </c>
      <c r="AI383" s="48" t="s">
        <v>41</v>
      </c>
      <c r="AJ383" s="48" t="s">
        <v>41</v>
      </c>
      <c r="AK383" s="49" t="s">
        <v>41</v>
      </c>
      <c r="AL383" s="48" t="s">
        <v>41</v>
      </c>
      <c r="AM383" s="65" t="s">
        <v>4592</v>
      </c>
      <c r="AN383" s="65"/>
      <c r="AO383" s="59" t="s">
        <v>3088</v>
      </c>
      <c r="AP383" s="10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1"/>
    </row>
    <row r="384" spans="1:53" x14ac:dyDescent="0.2">
      <c r="A384" s="33">
        <f t="shared" si="6"/>
        <v>379</v>
      </c>
      <c r="B384" s="34" t="s">
        <v>3089</v>
      </c>
      <c r="C384" s="35" t="s">
        <v>3090</v>
      </c>
      <c r="D384" s="73" t="s">
        <v>3091</v>
      </c>
      <c r="E384" s="73"/>
      <c r="F384" s="36" t="s">
        <v>54</v>
      </c>
      <c r="G384" s="98" t="s">
        <v>3092</v>
      </c>
      <c r="H384" s="37" t="s">
        <v>73</v>
      </c>
      <c r="I384" s="37" t="s">
        <v>73</v>
      </c>
      <c r="J384" s="34" t="s">
        <v>3093</v>
      </c>
      <c r="K384" s="34" t="s">
        <v>3093</v>
      </c>
      <c r="L384" s="39" t="s">
        <v>42</v>
      </c>
      <c r="M384" s="120">
        <v>30348</v>
      </c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2" t="s">
        <v>3094</v>
      </c>
      <c r="Z384" s="58" t="s">
        <v>3095</v>
      </c>
      <c r="AA384" s="44" t="s">
        <v>61</v>
      </c>
      <c r="AB384" s="45">
        <v>36641</v>
      </c>
      <c r="AC384" s="101" t="s">
        <v>30</v>
      </c>
      <c r="AD384" s="73"/>
      <c r="AE384" s="47" t="s">
        <v>49</v>
      </c>
      <c r="AF384" s="48" t="s">
        <v>41</v>
      </c>
      <c r="AG384" s="48" t="s">
        <v>41</v>
      </c>
      <c r="AH384" s="48" t="s">
        <v>41</v>
      </c>
      <c r="AI384" s="48" t="s">
        <v>41</v>
      </c>
      <c r="AJ384" s="48" t="s">
        <v>41</v>
      </c>
      <c r="AK384" s="49" t="s">
        <v>41</v>
      </c>
      <c r="AL384" s="48" t="s">
        <v>41</v>
      </c>
      <c r="AM384" s="65" t="s">
        <v>4591</v>
      </c>
      <c r="AN384" s="65"/>
      <c r="AO384" s="59" t="s">
        <v>2211</v>
      </c>
      <c r="AP384" s="10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1"/>
    </row>
    <row r="385" spans="1:53" x14ac:dyDescent="0.2">
      <c r="A385" s="33">
        <f t="shared" si="6"/>
        <v>380</v>
      </c>
      <c r="B385" s="72" t="s">
        <v>3096</v>
      </c>
      <c r="C385" s="35" t="s">
        <v>3097</v>
      </c>
      <c r="D385" s="154" t="s">
        <v>3098</v>
      </c>
      <c r="E385" s="334">
        <v>21926</v>
      </c>
      <c r="F385" s="36" t="s">
        <v>54</v>
      </c>
      <c r="G385" s="72" t="s">
        <v>3099</v>
      </c>
      <c r="H385" s="75" t="s">
        <v>73</v>
      </c>
      <c r="I385" s="75" t="s">
        <v>73</v>
      </c>
      <c r="J385" s="72" t="s">
        <v>3100</v>
      </c>
      <c r="K385" s="72" t="s">
        <v>41</v>
      </c>
      <c r="L385" s="77" t="s">
        <v>42</v>
      </c>
      <c r="M385" s="228" t="s">
        <v>59</v>
      </c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42" t="s">
        <v>3101</v>
      </c>
      <c r="Z385" s="58" t="s">
        <v>3102</v>
      </c>
      <c r="AA385" s="44" t="s">
        <v>3103</v>
      </c>
      <c r="AB385" s="45">
        <v>41793</v>
      </c>
      <c r="AC385" s="206" t="s">
        <v>30</v>
      </c>
      <c r="AD385" s="154" t="s">
        <v>26</v>
      </c>
      <c r="AE385" s="81" t="s">
        <v>49</v>
      </c>
      <c r="AF385" s="48" t="s">
        <v>49</v>
      </c>
      <c r="AG385" s="48" t="s">
        <v>49</v>
      </c>
      <c r="AH385" s="48" t="s">
        <v>49</v>
      </c>
      <c r="AI385" s="48" t="s">
        <v>49</v>
      </c>
      <c r="AJ385" s="48" t="s">
        <v>49</v>
      </c>
      <c r="AK385" s="49" t="s">
        <v>49</v>
      </c>
      <c r="AL385" s="48" t="s">
        <v>49</v>
      </c>
      <c r="AM385" s="62" t="s">
        <v>32</v>
      </c>
      <c r="AN385" s="62"/>
      <c r="AO385" s="59"/>
      <c r="AP385" s="10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1"/>
    </row>
    <row r="386" spans="1:53" x14ac:dyDescent="0.2">
      <c r="A386" s="33">
        <f t="shared" si="6"/>
        <v>381</v>
      </c>
      <c r="B386" s="34" t="s">
        <v>3104</v>
      </c>
      <c r="C386" s="35" t="s">
        <v>3105</v>
      </c>
      <c r="D386" s="36" t="s">
        <v>3106</v>
      </c>
      <c r="E386" s="334">
        <v>21470</v>
      </c>
      <c r="F386" s="36" t="s">
        <v>54</v>
      </c>
      <c r="G386" s="34" t="s">
        <v>3107</v>
      </c>
      <c r="H386" s="37" t="s">
        <v>73</v>
      </c>
      <c r="I386" s="37" t="s">
        <v>73</v>
      </c>
      <c r="J386" s="34" t="s">
        <v>3108</v>
      </c>
      <c r="K386" s="34" t="s">
        <v>41</v>
      </c>
      <c r="L386" s="39" t="s">
        <v>42</v>
      </c>
      <c r="M386" s="99" t="s">
        <v>3109</v>
      </c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2" t="s">
        <v>3110</v>
      </c>
      <c r="Z386" s="58" t="s">
        <v>3111</v>
      </c>
      <c r="AA386" s="44" t="s">
        <v>61</v>
      </c>
      <c r="AB386" s="45">
        <v>36641</v>
      </c>
      <c r="AC386" s="101" t="s">
        <v>30</v>
      </c>
      <c r="AD386" s="36" t="s">
        <v>26</v>
      </c>
      <c r="AE386" s="47" t="s">
        <v>49</v>
      </c>
      <c r="AF386" s="48" t="s">
        <v>49</v>
      </c>
      <c r="AG386" s="48" t="s">
        <v>49</v>
      </c>
      <c r="AH386" s="48" t="s">
        <v>49</v>
      </c>
      <c r="AI386" s="48" t="s">
        <v>49</v>
      </c>
      <c r="AJ386" s="48" t="s">
        <v>49</v>
      </c>
      <c r="AK386" s="49" t="s">
        <v>49</v>
      </c>
      <c r="AL386" s="48" t="s">
        <v>49</v>
      </c>
      <c r="AM386" s="62" t="s">
        <v>32</v>
      </c>
      <c r="AN386" s="62"/>
      <c r="AO386" s="59"/>
      <c r="AP386" s="10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1"/>
    </row>
    <row r="387" spans="1:53" x14ac:dyDescent="0.2">
      <c r="A387" s="33">
        <f t="shared" si="6"/>
        <v>382</v>
      </c>
      <c r="B387" s="34" t="s">
        <v>3112</v>
      </c>
      <c r="C387" s="35" t="s">
        <v>3113</v>
      </c>
      <c r="D387" s="36" t="s">
        <v>3114</v>
      </c>
      <c r="E387" s="334">
        <v>23994</v>
      </c>
      <c r="F387" s="36" t="s">
        <v>54</v>
      </c>
      <c r="G387" s="34" t="s">
        <v>3115</v>
      </c>
      <c r="H387" s="37" t="s">
        <v>73</v>
      </c>
      <c r="I387" s="37" t="s">
        <v>73</v>
      </c>
      <c r="J387" s="34" t="s">
        <v>3116</v>
      </c>
      <c r="K387" s="34" t="s">
        <v>3117</v>
      </c>
      <c r="L387" s="39" t="s">
        <v>42</v>
      </c>
      <c r="M387" s="99" t="s">
        <v>3118</v>
      </c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2" t="s">
        <v>3119</v>
      </c>
      <c r="Z387" s="58" t="s">
        <v>3120</v>
      </c>
      <c r="AA387" s="44" t="s">
        <v>61</v>
      </c>
      <c r="AB387" s="45">
        <v>36641</v>
      </c>
      <c r="AC387" s="101" t="s">
        <v>30</v>
      </c>
      <c r="AD387" s="36" t="s">
        <v>26</v>
      </c>
      <c r="AE387" s="61" t="s">
        <v>49</v>
      </c>
      <c r="AF387" s="48" t="s">
        <v>49</v>
      </c>
      <c r="AG387" s="48" t="s">
        <v>49</v>
      </c>
      <c r="AH387" s="48" t="s">
        <v>49</v>
      </c>
      <c r="AI387" s="48" t="s">
        <v>49</v>
      </c>
      <c r="AJ387" s="48" t="s">
        <v>49</v>
      </c>
      <c r="AK387" s="49" t="s">
        <v>49</v>
      </c>
      <c r="AL387" s="48" t="s">
        <v>49</v>
      </c>
      <c r="AM387" s="62" t="s">
        <v>32</v>
      </c>
      <c r="AN387" s="62"/>
      <c r="AO387" s="59"/>
      <c r="AP387" s="10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1"/>
    </row>
    <row r="388" spans="1:53" x14ac:dyDescent="0.2">
      <c r="A388" s="33">
        <f t="shared" si="6"/>
        <v>383</v>
      </c>
      <c r="B388" s="34" t="s">
        <v>3121</v>
      </c>
      <c r="C388" s="35" t="s">
        <v>3122</v>
      </c>
      <c r="D388" s="36" t="s">
        <v>3123</v>
      </c>
      <c r="E388" s="334">
        <v>26393</v>
      </c>
      <c r="F388" s="36" t="s">
        <v>54</v>
      </c>
      <c r="G388" s="34" t="s">
        <v>3124</v>
      </c>
      <c r="H388" s="37" t="s">
        <v>39</v>
      </c>
      <c r="I388" s="37" t="s">
        <v>39</v>
      </c>
      <c r="J388" s="34" t="s">
        <v>3125</v>
      </c>
      <c r="K388" s="34" t="s">
        <v>3126</v>
      </c>
      <c r="L388" s="39" t="s">
        <v>42</v>
      </c>
      <c r="M388" s="99" t="s">
        <v>1869</v>
      </c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2" t="s">
        <v>3127</v>
      </c>
      <c r="Z388" s="58" t="s">
        <v>3128</v>
      </c>
      <c r="AA388" s="44" t="s">
        <v>3129</v>
      </c>
      <c r="AB388" s="45">
        <v>42158</v>
      </c>
      <c r="AC388" s="101" t="s">
        <v>30</v>
      </c>
      <c r="AD388" s="36" t="s">
        <v>26</v>
      </c>
      <c r="AE388" s="47" t="s">
        <v>49</v>
      </c>
      <c r="AF388" s="48" t="s">
        <v>49</v>
      </c>
      <c r="AG388" s="48" t="s">
        <v>49</v>
      </c>
      <c r="AH388" s="48" t="s">
        <v>49</v>
      </c>
      <c r="AI388" s="48" t="s">
        <v>41</v>
      </c>
      <c r="AJ388" s="48" t="s">
        <v>41</v>
      </c>
      <c r="AK388" s="49" t="s">
        <v>41</v>
      </c>
      <c r="AL388" s="48" t="s">
        <v>41</v>
      </c>
      <c r="AM388" s="62" t="s">
        <v>139</v>
      </c>
      <c r="AN388" s="62"/>
      <c r="AO388" s="59"/>
      <c r="AP388" s="10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1"/>
    </row>
    <row r="389" spans="1:53" x14ac:dyDescent="0.2">
      <c r="A389" s="33">
        <f t="shared" si="6"/>
        <v>384</v>
      </c>
      <c r="B389" s="34" t="s">
        <v>3130</v>
      </c>
      <c r="C389" s="35" t="s">
        <v>3131</v>
      </c>
      <c r="D389" s="36" t="s">
        <v>3132</v>
      </c>
      <c r="E389" s="334">
        <v>31655</v>
      </c>
      <c r="F389" s="36" t="s">
        <v>54</v>
      </c>
      <c r="G389" s="34" t="s">
        <v>3133</v>
      </c>
      <c r="H389" s="37" t="s">
        <v>323</v>
      </c>
      <c r="I389" s="37" t="s">
        <v>39</v>
      </c>
      <c r="J389" s="38" t="s">
        <v>3134</v>
      </c>
      <c r="K389" s="34" t="s">
        <v>41</v>
      </c>
      <c r="L389" s="39" t="s">
        <v>42</v>
      </c>
      <c r="M389" s="120">
        <v>42249</v>
      </c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42" t="s">
        <v>3135</v>
      </c>
      <c r="Z389" s="52" t="s">
        <v>3136</v>
      </c>
      <c r="AA389" s="44" t="s">
        <v>3137</v>
      </c>
      <c r="AB389" s="45" t="s">
        <v>1130</v>
      </c>
      <c r="AC389" s="101" t="s">
        <v>30</v>
      </c>
      <c r="AD389" s="36" t="s">
        <v>26</v>
      </c>
      <c r="AE389" s="47" t="s">
        <v>49</v>
      </c>
      <c r="AF389" s="48" t="s">
        <v>49</v>
      </c>
      <c r="AG389" s="48" t="s">
        <v>49</v>
      </c>
      <c r="AH389" s="48" t="s">
        <v>49</v>
      </c>
      <c r="AI389" s="48" t="s">
        <v>49</v>
      </c>
      <c r="AJ389" s="48" t="s">
        <v>49</v>
      </c>
      <c r="AK389" s="49" t="s">
        <v>49</v>
      </c>
      <c r="AL389" s="48" t="s">
        <v>49</v>
      </c>
      <c r="AM389" s="62" t="s">
        <v>32</v>
      </c>
      <c r="AN389" s="62"/>
      <c r="AO389" s="59"/>
      <c r="AP389" s="102"/>
      <c r="AQ389" s="32"/>
      <c r="AR389" s="32"/>
      <c r="AS389" s="32"/>
      <c r="AT389" s="32"/>
      <c r="AU389" s="32"/>
      <c r="AV389" s="32"/>
      <c r="AW389" s="32"/>
      <c r="AX389" s="32"/>
      <c r="AY389" s="32"/>
      <c r="AZ389" s="32"/>
      <c r="BA389" s="31"/>
    </row>
    <row r="390" spans="1:53" x14ac:dyDescent="0.2">
      <c r="A390" s="33">
        <f t="shared" si="6"/>
        <v>385</v>
      </c>
      <c r="B390" s="34" t="s">
        <v>3138</v>
      </c>
      <c r="C390" s="35" t="s">
        <v>3139</v>
      </c>
      <c r="D390" s="36" t="s">
        <v>3140</v>
      </c>
      <c r="E390" s="334">
        <v>30833</v>
      </c>
      <c r="F390" s="36" t="s">
        <v>54</v>
      </c>
      <c r="G390" s="34" t="s">
        <v>3141</v>
      </c>
      <c r="H390" s="37" t="s">
        <v>38</v>
      </c>
      <c r="I390" s="37" t="s">
        <v>39</v>
      </c>
      <c r="J390" s="38" t="s">
        <v>3142</v>
      </c>
      <c r="K390" s="34" t="s">
        <v>41</v>
      </c>
      <c r="L390" s="39" t="s">
        <v>42</v>
      </c>
      <c r="M390" s="99" t="s">
        <v>3143</v>
      </c>
      <c r="N390" s="56"/>
      <c r="O390" s="56"/>
      <c r="P390" s="56"/>
      <c r="Q390" s="56"/>
      <c r="R390" s="56"/>
      <c r="S390" s="56"/>
      <c r="T390" s="56"/>
      <c r="U390" s="56"/>
      <c r="V390" s="56" t="s">
        <v>732</v>
      </c>
      <c r="W390" s="56"/>
      <c r="X390" s="56"/>
      <c r="Y390" s="42" t="s">
        <v>3144</v>
      </c>
      <c r="Z390" s="58" t="s">
        <v>3145</v>
      </c>
      <c r="AA390" s="44" t="s">
        <v>61</v>
      </c>
      <c r="AB390" s="45">
        <v>36641</v>
      </c>
      <c r="AC390" s="101" t="s">
        <v>30</v>
      </c>
      <c r="AD390" s="36" t="s">
        <v>26</v>
      </c>
      <c r="AE390" s="47" t="s">
        <v>49</v>
      </c>
      <c r="AF390" s="48" t="s">
        <v>49</v>
      </c>
      <c r="AG390" s="48" t="s">
        <v>49</v>
      </c>
      <c r="AH390" s="48" t="s">
        <v>49</v>
      </c>
      <c r="AI390" s="48" t="s">
        <v>49</v>
      </c>
      <c r="AJ390" s="48" t="s">
        <v>49</v>
      </c>
      <c r="AK390" s="49" t="s">
        <v>49</v>
      </c>
      <c r="AL390" s="48" t="s">
        <v>49</v>
      </c>
      <c r="AM390" s="62" t="s">
        <v>32</v>
      </c>
      <c r="AN390" s="62"/>
      <c r="AO390" s="59"/>
      <c r="AP390" s="102"/>
      <c r="AQ390" s="32"/>
      <c r="AR390" s="32"/>
      <c r="AS390" s="32"/>
      <c r="AT390" s="32"/>
      <c r="AU390" s="32"/>
      <c r="AV390" s="32"/>
      <c r="AW390" s="32"/>
      <c r="AX390" s="32"/>
      <c r="AY390" s="32"/>
      <c r="AZ390" s="32"/>
      <c r="BA390" s="31"/>
    </row>
    <row r="391" spans="1:53" x14ac:dyDescent="0.2">
      <c r="A391" s="33">
        <f t="shared" si="6"/>
        <v>386</v>
      </c>
      <c r="B391" s="34" t="s">
        <v>3146</v>
      </c>
      <c r="C391" s="35" t="s">
        <v>3147</v>
      </c>
      <c r="D391" s="36" t="s">
        <v>3148</v>
      </c>
      <c r="E391" s="334">
        <v>33910</v>
      </c>
      <c r="F391" s="36" t="s">
        <v>36</v>
      </c>
      <c r="G391" s="34" t="s">
        <v>3149</v>
      </c>
      <c r="H391" s="37" t="s">
        <v>205</v>
      </c>
      <c r="I391" s="37" t="s">
        <v>205</v>
      </c>
      <c r="J391" s="38" t="s">
        <v>3150</v>
      </c>
      <c r="K391" s="107" t="s">
        <v>41</v>
      </c>
      <c r="L391" s="39" t="s">
        <v>42</v>
      </c>
      <c r="M391" s="120">
        <v>45805</v>
      </c>
      <c r="N391" s="56" t="s">
        <v>179</v>
      </c>
      <c r="O391" s="56"/>
      <c r="P391" s="56"/>
      <c r="Q391" s="56"/>
      <c r="R391" s="56" t="s">
        <v>179</v>
      </c>
      <c r="S391" s="56"/>
      <c r="T391" s="56"/>
      <c r="U391" s="56"/>
      <c r="V391" s="56"/>
      <c r="W391" s="56" t="s">
        <v>44</v>
      </c>
      <c r="X391" s="56"/>
      <c r="Y391" s="38" t="s">
        <v>3151</v>
      </c>
      <c r="Z391" s="58" t="s">
        <v>3152</v>
      </c>
      <c r="AA391" s="44"/>
      <c r="AB391" s="45"/>
      <c r="AC391" s="101"/>
      <c r="AD391" s="36"/>
      <c r="AE391" s="47" t="s">
        <v>49</v>
      </c>
      <c r="AF391" s="48" t="s">
        <v>41</v>
      </c>
      <c r="AG391" s="48" t="s">
        <v>41</v>
      </c>
      <c r="AH391" s="48" t="s">
        <v>41</v>
      </c>
      <c r="AI391" s="48" t="s">
        <v>41</v>
      </c>
      <c r="AJ391" s="48" t="s">
        <v>41</v>
      </c>
      <c r="AK391" s="49" t="s">
        <v>49</v>
      </c>
      <c r="AL391" s="48" t="s">
        <v>41</v>
      </c>
      <c r="AM391" s="62" t="s">
        <v>148</v>
      </c>
      <c r="AN391" s="62"/>
      <c r="AO391" s="59"/>
      <c r="AP391" s="10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1"/>
    </row>
    <row r="392" spans="1:53" x14ac:dyDescent="0.2">
      <c r="A392" s="33">
        <f t="shared" si="6"/>
        <v>387</v>
      </c>
      <c r="B392" s="34" t="s">
        <v>3153</v>
      </c>
      <c r="C392" s="35" t="s">
        <v>3154</v>
      </c>
      <c r="D392" s="73" t="s">
        <v>3155</v>
      </c>
      <c r="E392" s="73"/>
      <c r="F392" s="36" t="s">
        <v>36</v>
      </c>
      <c r="G392" s="98" t="s">
        <v>3156</v>
      </c>
      <c r="H392" s="37" t="s">
        <v>1417</v>
      </c>
      <c r="I392" s="37" t="s">
        <v>187</v>
      </c>
      <c r="J392" s="34" t="s">
        <v>3157</v>
      </c>
      <c r="K392" s="107"/>
      <c r="L392" s="39" t="s">
        <v>42</v>
      </c>
      <c r="M392" s="99" t="s">
        <v>3158</v>
      </c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229" t="s">
        <v>3159</v>
      </c>
      <c r="Z392" s="58" t="s">
        <v>3160</v>
      </c>
      <c r="AA392" s="44" t="s">
        <v>3161</v>
      </c>
      <c r="AB392" s="45">
        <v>41793</v>
      </c>
      <c r="AC392" s="101" t="s">
        <v>30</v>
      </c>
      <c r="AD392" s="73" t="s">
        <v>26</v>
      </c>
      <c r="AE392" s="47" t="s">
        <v>49</v>
      </c>
      <c r="AF392" s="48" t="s">
        <v>49</v>
      </c>
      <c r="AG392" s="48" t="s">
        <v>41</v>
      </c>
      <c r="AH392" s="48" t="s">
        <v>41</v>
      </c>
      <c r="AI392" s="48" t="s">
        <v>41</v>
      </c>
      <c r="AJ392" s="48" t="s">
        <v>41</v>
      </c>
      <c r="AK392" s="49" t="s">
        <v>41</v>
      </c>
      <c r="AL392" s="48" t="s">
        <v>41</v>
      </c>
      <c r="AM392" s="62" t="s">
        <v>4587</v>
      </c>
      <c r="AN392" s="62"/>
      <c r="AO392" s="59"/>
      <c r="AP392" s="117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1"/>
    </row>
    <row r="393" spans="1:53" x14ac:dyDescent="0.2">
      <c r="A393" s="33">
        <f t="shared" ref="A393:A456" si="7">+A392+1</f>
        <v>388</v>
      </c>
      <c r="B393" s="34" t="s">
        <v>3162</v>
      </c>
      <c r="C393" s="35" t="s">
        <v>3163</v>
      </c>
      <c r="D393" s="73" t="s">
        <v>3164</v>
      </c>
      <c r="E393" s="335">
        <v>30172</v>
      </c>
      <c r="F393" s="36" t="s">
        <v>54</v>
      </c>
      <c r="G393" s="98" t="s">
        <v>3165</v>
      </c>
      <c r="H393" s="37" t="s">
        <v>73</v>
      </c>
      <c r="I393" s="37" t="s">
        <v>73</v>
      </c>
      <c r="J393" s="38" t="s">
        <v>3166</v>
      </c>
      <c r="K393" s="34"/>
      <c r="L393" s="39" t="s">
        <v>42</v>
      </c>
      <c r="M393" s="120">
        <v>45587</v>
      </c>
      <c r="N393" s="56"/>
      <c r="O393" s="56"/>
      <c r="P393" s="56"/>
      <c r="Q393" s="56"/>
      <c r="R393" s="56"/>
      <c r="S393" s="56"/>
      <c r="T393" s="56"/>
      <c r="U393" s="56"/>
      <c r="V393" s="56" t="s">
        <v>44</v>
      </c>
      <c r="W393" s="56"/>
      <c r="X393" s="56"/>
      <c r="Y393" s="38" t="s">
        <v>3167</v>
      </c>
      <c r="Z393" s="58" t="s">
        <v>3168</v>
      </c>
      <c r="AA393" s="44"/>
      <c r="AB393" s="45"/>
      <c r="AC393" s="101"/>
      <c r="AD393" s="73"/>
      <c r="AE393" s="64" t="s">
        <v>120</v>
      </c>
      <c r="AF393" s="48" t="s">
        <v>41</v>
      </c>
      <c r="AG393" s="48" t="s">
        <v>41</v>
      </c>
      <c r="AH393" s="48" t="s">
        <v>41</v>
      </c>
      <c r="AI393" s="48" t="s">
        <v>41</v>
      </c>
      <c r="AJ393" s="48" t="s">
        <v>41</v>
      </c>
      <c r="AK393" s="49" t="s">
        <v>120</v>
      </c>
      <c r="AL393" s="48" t="s">
        <v>49</v>
      </c>
      <c r="AM393" s="62" t="s">
        <v>32</v>
      </c>
      <c r="AN393" s="62"/>
      <c r="AO393" s="59"/>
      <c r="AP393" s="117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1"/>
    </row>
    <row r="394" spans="1:53" x14ac:dyDescent="0.2">
      <c r="A394" s="33">
        <f t="shared" si="7"/>
        <v>389</v>
      </c>
      <c r="B394" s="34" t="s">
        <v>3169</v>
      </c>
      <c r="C394" s="35" t="s">
        <v>3170</v>
      </c>
      <c r="D394" s="36" t="s">
        <v>3171</v>
      </c>
      <c r="E394" s="334">
        <v>20942</v>
      </c>
      <c r="F394" s="36" t="s">
        <v>54</v>
      </c>
      <c r="G394" s="34" t="s">
        <v>3172</v>
      </c>
      <c r="H394" s="37" t="s">
        <v>323</v>
      </c>
      <c r="I394" s="37" t="s">
        <v>39</v>
      </c>
      <c r="J394" s="38" t="s">
        <v>3173</v>
      </c>
      <c r="K394" s="34" t="s">
        <v>41</v>
      </c>
      <c r="L394" s="39" t="s">
        <v>42</v>
      </c>
      <c r="M394" s="99" t="s">
        <v>3174</v>
      </c>
      <c r="N394" s="56"/>
      <c r="O394" s="56"/>
      <c r="P394" s="56"/>
      <c r="Q394" s="56"/>
      <c r="R394" s="56"/>
      <c r="S394" s="56"/>
      <c r="T394" s="56"/>
      <c r="U394" s="56" t="s">
        <v>44</v>
      </c>
      <c r="V394" s="56"/>
      <c r="W394" s="56"/>
      <c r="X394" s="56"/>
      <c r="Y394" s="42" t="s">
        <v>3175</v>
      </c>
      <c r="Z394" s="83" t="s">
        <v>3176</v>
      </c>
      <c r="AA394" s="44"/>
      <c r="AB394" s="45">
        <v>45642</v>
      </c>
      <c r="AC394" s="101"/>
      <c r="AD394" s="36"/>
      <c r="AE394" s="47" t="s">
        <v>49</v>
      </c>
      <c r="AF394" s="48" t="s">
        <v>41</v>
      </c>
      <c r="AG394" s="48" t="s">
        <v>41</v>
      </c>
      <c r="AH394" s="48" t="s">
        <v>41</v>
      </c>
      <c r="AI394" s="48" t="s">
        <v>49</v>
      </c>
      <c r="AJ394" s="48" t="s">
        <v>49</v>
      </c>
      <c r="AK394" s="49" t="s">
        <v>49</v>
      </c>
      <c r="AL394" s="48" t="s">
        <v>49</v>
      </c>
      <c r="AM394" s="62" t="s">
        <v>32</v>
      </c>
      <c r="AN394" s="62"/>
      <c r="AO394" s="59"/>
      <c r="AP394" s="117"/>
      <c r="AQ394" s="32"/>
      <c r="AR394" s="32"/>
      <c r="AS394" s="32"/>
      <c r="AT394" s="32"/>
      <c r="AU394" s="32"/>
      <c r="AV394" s="32"/>
      <c r="AW394" s="32"/>
      <c r="AX394" s="32"/>
      <c r="AY394" s="32"/>
      <c r="AZ394" s="32"/>
      <c r="BA394" s="31"/>
    </row>
    <row r="395" spans="1:53" x14ac:dyDescent="0.2">
      <c r="A395" s="33">
        <f t="shared" si="7"/>
        <v>390</v>
      </c>
      <c r="B395" s="34" t="s">
        <v>3177</v>
      </c>
      <c r="C395" s="35" t="s">
        <v>3178</v>
      </c>
      <c r="D395" s="36" t="s">
        <v>3179</v>
      </c>
      <c r="E395" s="334">
        <v>27597</v>
      </c>
      <c r="F395" s="36" t="s">
        <v>54</v>
      </c>
      <c r="G395" s="87" t="s">
        <v>3180</v>
      </c>
      <c r="H395" s="37" t="s">
        <v>73</v>
      </c>
      <c r="I395" s="37" t="s">
        <v>73</v>
      </c>
      <c r="J395" s="38" t="s">
        <v>3181</v>
      </c>
      <c r="K395" s="113" t="s">
        <v>3182</v>
      </c>
      <c r="L395" s="39" t="s">
        <v>42</v>
      </c>
      <c r="M395" s="120">
        <v>34344</v>
      </c>
      <c r="N395" s="56"/>
      <c r="O395" s="56"/>
      <c r="P395" s="56"/>
      <c r="Q395" s="56"/>
      <c r="R395" s="56"/>
      <c r="S395" s="56"/>
      <c r="T395" s="56"/>
      <c r="U395" s="56" t="s">
        <v>732</v>
      </c>
      <c r="V395" s="56"/>
      <c r="W395" s="56"/>
      <c r="X395" s="56"/>
      <c r="Y395" s="42" t="s">
        <v>3183</v>
      </c>
      <c r="Z395" s="100" t="s">
        <v>3184</v>
      </c>
      <c r="AA395" s="44"/>
      <c r="AB395" s="45" t="s">
        <v>47</v>
      </c>
      <c r="AC395" s="101"/>
      <c r="AD395" s="36" t="s">
        <v>26</v>
      </c>
      <c r="AE395" s="47" t="s">
        <v>49</v>
      </c>
      <c r="AF395" s="48" t="s">
        <v>49</v>
      </c>
      <c r="AG395" s="48" t="s">
        <v>49</v>
      </c>
      <c r="AH395" s="48" t="s">
        <v>49</v>
      </c>
      <c r="AI395" s="48" t="s">
        <v>49</v>
      </c>
      <c r="AJ395" s="48" t="s">
        <v>49</v>
      </c>
      <c r="AK395" s="49" t="s">
        <v>49</v>
      </c>
      <c r="AL395" s="48" t="s">
        <v>49</v>
      </c>
      <c r="AM395" s="62" t="s">
        <v>32</v>
      </c>
      <c r="AN395" s="62"/>
      <c r="AO395" s="59"/>
      <c r="AP395" s="102"/>
      <c r="AQ395" s="32"/>
      <c r="AR395" s="32"/>
      <c r="AS395" s="32"/>
      <c r="AT395" s="32"/>
      <c r="AU395" s="32"/>
      <c r="AV395" s="32"/>
      <c r="AW395" s="32"/>
      <c r="AX395" s="32"/>
      <c r="AY395" s="32"/>
      <c r="AZ395" s="32"/>
      <c r="BA395" s="31"/>
    </row>
    <row r="396" spans="1:53" x14ac:dyDescent="0.2">
      <c r="A396" s="33">
        <f t="shared" si="7"/>
        <v>391</v>
      </c>
      <c r="B396" s="34" t="s">
        <v>3185</v>
      </c>
      <c r="C396" s="35" t="s">
        <v>3186</v>
      </c>
      <c r="D396" s="36" t="s">
        <v>3187</v>
      </c>
      <c r="E396" s="334">
        <v>27847</v>
      </c>
      <c r="F396" s="36" t="s">
        <v>54</v>
      </c>
      <c r="G396" s="34" t="s">
        <v>3188</v>
      </c>
      <c r="H396" s="37" t="s">
        <v>398</v>
      </c>
      <c r="I396" s="37" t="s">
        <v>205</v>
      </c>
      <c r="J396" s="38" t="s">
        <v>3189</v>
      </c>
      <c r="K396" s="38" t="s">
        <v>3190</v>
      </c>
      <c r="L396" s="39" t="s">
        <v>42</v>
      </c>
      <c r="M396" s="120">
        <v>42499</v>
      </c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42" t="s">
        <v>3191</v>
      </c>
      <c r="Z396" s="100" t="s">
        <v>3192</v>
      </c>
      <c r="AA396" s="44" t="s">
        <v>3193</v>
      </c>
      <c r="AB396" s="45">
        <v>42935</v>
      </c>
      <c r="AC396" s="101" t="s">
        <v>30</v>
      </c>
      <c r="AD396" s="36" t="s">
        <v>26</v>
      </c>
      <c r="AE396" s="47" t="s">
        <v>49</v>
      </c>
      <c r="AF396" s="48" t="s">
        <v>49</v>
      </c>
      <c r="AG396" s="48" t="s">
        <v>49</v>
      </c>
      <c r="AH396" s="48" t="s">
        <v>49</v>
      </c>
      <c r="AI396" s="48" t="s">
        <v>49</v>
      </c>
      <c r="AJ396" s="48" t="s">
        <v>41</v>
      </c>
      <c r="AK396" s="49" t="s">
        <v>41</v>
      </c>
      <c r="AL396" s="48" t="s">
        <v>41</v>
      </c>
      <c r="AM396" s="62" t="s">
        <v>4589</v>
      </c>
      <c r="AN396" s="62"/>
      <c r="AO396" s="59"/>
      <c r="AP396" s="10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1"/>
    </row>
    <row r="397" spans="1:53" x14ac:dyDescent="0.2">
      <c r="A397" s="33">
        <f t="shared" si="7"/>
        <v>392</v>
      </c>
      <c r="B397" s="34" t="s">
        <v>3194</v>
      </c>
      <c r="C397" s="35" t="s">
        <v>3195</v>
      </c>
      <c r="D397" s="36" t="s">
        <v>3196</v>
      </c>
      <c r="E397" s="36"/>
      <c r="F397" s="36" t="s">
        <v>54</v>
      </c>
      <c r="G397" s="108" t="s">
        <v>3197</v>
      </c>
      <c r="H397" s="37" t="s">
        <v>4658</v>
      </c>
      <c r="I397" s="37" t="s">
        <v>350</v>
      </c>
      <c r="J397" s="38" t="s">
        <v>3198</v>
      </c>
      <c r="K397" s="34" t="s">
        <v>41</v>
      </c>
      <c r="L397" s="39" t="s">
        <v>42</v>
      </c>
      <c r="M397" s="99" t="s">
        <v>1254</v>
      </c>
      <c r="N397" s="56" t="s">
        <v>179</v>
      </c>
      <c r="O397" s="56"/>
      <c r="P397" s="56"/>
      <c r="Q397" s="56">
        <v>5</v>
      </c>
      <c r="R397" s="56"/>
      <c r="S397" s="56"/>
      <c r="T397" s="56"/>
      <c r="U397" s="56"/>
      <c r="V397" s="56"/>
      <c r="W397" s="56"/>
      <c r="X397" s="56"/>
      <c r="Y397" s="42" t="s">
        <v>3199</v>
      </c>
      <c r="Z397" s="100" t="s">
        <v>3200</v>
      </c>
      <c r="AA397" s="44"/>
      <c r="AB397" s="45" t="s">
        <v>47</v>
      </c>
      <c r="AC397" s="101"/>
      <c r="AD397" s="36"/>
      <c r="AE397" s="47" t="s">
        <v>49</v>
      </c>
      <c r="AF397" s="48" t="s">
        <v>41</v>
      </c>
      <c r="AG397" s="48" t="s">
        <v>41</v>
      </c>
      <c r="AH397" s="48" t="s">
        <v>41</v>
      </c>
      <c r="AI397" s="48" t="s">
        <v>41</v>
      </c>
      <c r="AJ397" s="48" t="s">
        <v>41</v>
      </c>
      <c r="AK397" s="49" t="s">
        <v>41</v>
      </c>
      <c r="AL397" s="48" t="s">
        <v>41</v>
      </c>
      <c r="AM397" s="65" t="s">
        <v>4588</v>
      </c>
      <c r="AN397" s="65"/>
      <c r="AO397" s="59"/>
      <c r="AP397" s="10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1"/>
    </row>
    <row r="398" spans="1:53" x14ac:dyDescent="0.2">
      <c r="A398" s="33">
        <f t="shared" si="7"/>
        <v>393</v>
      </c>
      <c r="B398" s="34" t="s">
        <v>3201</v>
      </c>
      <c r="C398" s="35" t="s">
        <v>3202</v>
      </c>
      <c r="D398" s="73" t="s">
        <v>3203</v>
      </c>
      <c r="E398" s="335">
        <v>23870</v>
      </c>
      <c r="F398" s="36" t="s">
        <v>54</v>
      </c>
      <c r="G398" s="98" t="s">
        <v>3204</v>
      </c>
      <c r="H398" s="37" t="s">
        <v>252</v>
      </c>
      <c r="I398" s="37" t="s">
        <v>57</v>
      </c>
      <c r="J398" s="38" t="s">
        <v>3205</v>
      </c>
      <c r="K398" s="34"/>
      <c r="L398" s="39" t="s">
        <v>42</v>
      </c>
      <c r="M398" s="99" t="s">
        <v>3206</v>
      </c>
      <c r="N398" s="56"/>
      <c r="O398" s="56"/>
      <c r="P398" s="56"/>
      <c r="Q398" s="56"/>
      <c r="R398" s="56"/>
      <c r="S398" s="56"/>
      <c r="T398" s="56"/>
      <c r="U398" s="56" t="s">
        <v>44</v>
      </c>
      <c r="V398" s="56"/>
      <c r="W398" s="56"/>
      <c r="X398" s="56"/>
      <c r="Y398" s="42" t="s">
        <v>3207</v>
      </c>
      <c r="Z398" s="58" t="s">
        <v>3208</v>
      </c>
      <c r="AA398" s="58"/>
      <c r="AB398" s="45">
        <v>45644</v>
      </c>
      <c r="AC398" s="101" t="s">
        <v>30</v>
      </c>
      <c r="AD398" s="73"/>
      <c r="AE398" s="47" t="s">
        <v>49</v>
      </c>
      <c r="AF398" s="48" t="s">
        <v>41</v>
      </c>
      <c r="AG398" s="48" t="s">
        <v>41</v>
      </c>
      <c r="AH398" s="48" t="s">
        <v>41</v>
      </c>
      <c r="AI398" s="48" t="s">
        <v>49</v>
      </c>
      <c r="AJ398" s="48" t="s">
        <v>49</v>
      </c>
      <c r="AK398" s="49" t="s">
        <v>49</v>
      </c>
      <c r="AL398" s="48" t="s">
        <v>49</v>
      </c>
      <c r="AM398" s="65" t="s">
        <v>32</v>
      </c>
      <c r="AN398" s="65"/>
      <c r="AO398" s="59"/>
      <c r="AP398" s="117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1"/>
    </row>
    <row r="399" spans="1:53" x14ac:dyDescent="0.2">
      <c r="A399" s="33">
        <f t="shared" si="7"/>
        <v>394</v>
      </c>
      <c r="B399" s="34" t="s">
        <v>3209</v>
      </c>
      <c r="C399" s="35" t="s">
        <v>3210</v>
      </c>
      <c r="D399" s="36" t="s">
        <v>3211</v>
      </c>
      <c r="E399" s="334">
        <v>26131</v>
      </c>
      <c r="F399" s="36" t="s">
        <v>54</v>
      </c>
      <c r="G399" s="226" t="s">
        <v>3212</v>
      </c>
      <c r="H399" s="37" t="s">
        <v>4660</v>
      </c>
      <c r="I399" s="37" t="s">
        <v>39</v>
      </c>
      <c r="J399" s="38" t="s">
        <v>3213</v>
      </c>
      <c r="K399" s="34" t="s">
        <v>41</v>
      </c>
      <c r="L399" s="39" t="s">
        <v>42</v>
      </c>
      <c r="M399" s="99" t="s">
        <v>1119</v>
      </c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42" t="s">
        <v>3214</v>
      </c>
      <c r="Z399" s="69" t="s">
        <v>3215</v>
      </c>
      <c r="AA399" s="44" t="s">
        <v>61</v>
      </c>
      <c r="AB399" s="45">
        <v>40280</v>
      </c>
      <c r="AC399" s="101" t="s">
        <v>30</v>
      </c>
      <c r="AD399" s="36" t="s">
        <v>26</v>
      </c>
      <c r="AE399" s="47" t="s">
        <v>49</v>
      </c>
      <c r="AF399" s="48" t="s">
        <v>49</v>
      </c>
      <c r="AG399" s="48" t="s">
        <v>49</v>
      </c>
      <c r="AH399" s="48" t="s">
        <v>49</v>
      </c>
      <c r="AI399" s="48" t="s">
        <v>49</v>
      </c>
      <c r="AJ399" s="48" t="s">
        <v>49</v>
      </c>
      <c r="AK399" s="49" t="s">
        <v>49</v>
      </c>
      <c r="AL399" s="48" t="s">
        <v>49</v>
      </c>
      <c r="AM399" s="62" t="s">
        <v>32</v>
      </c>
      <c r="AN399" s="62"/>
      <c r="AO399" s="103"/>
      <c r="AP399" s="10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1"/>
    </row>
    <row r="400" spans="1:53" x14ac:dyDescent="0.2">
      <c r="A400" s="33">
        <f t="shared" si="7"/>
        <v>395</v>
      </c>
      <c r="B400" s="34" t="s">
        <v>3216</v>
      </c>
      <c r="C400" s="35" t="s">
        <v>3217</v>
      </c>
      <c r="D400" s="36" t="s">
        <v>3218</v>
      </c>
      <c r="E400" s="334">
        <v>27508</v>
      </c>
      <c r="F400" s="36" t="s">
        <v>54</v>
      </c>
      <c r="G400" s="34" t="s">
        <v>3219</v>
      </c>
      <c r="H400" s="37" t="s">
        <v>323</v>
      </c>
      <c r="I400" s="37" t="s">
        <v>39</v>
      </c>
      <c r="J400" s="34" t="s">
        <v>3220</v>
      </c>
      <c r="K400" s="34" t="s">
        <v>41</v>
      </c>
      <c r="L400" s="39" t="s">
        <v>42</v>
      </c>
      <c r="M400" s="99" t="s">
        <v>3003</v>
      </c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2" t="s">
        <v>3221</v>
      </c>
      <c r="Z400" s="69" t="s">
        <v>3222</v>
      </c>
      <c r="AA400" s="44" t="s">
        <v>61</v>
      </c>
      <c r="AB400" s="45">
        <v>36803</v>
      </c>
      <c r="AC400" s="101" t="s">
        <v>30</v>
      </c>
      <c r="AD400" s="36" t="s">
        <v>26</v>
      </c>
      <c r="AE400" s="47" t="s">
        <v>49</v>
      </c>
      <c r="AF400" s="48" t="s">
        <v>49</v>
      </c>
      <c r="AG400" s="48" t="s">
        <v>49</v>
      </c>
      <c r="AH400" s="48" t="s">
        <v>49</v>
      </c>
      <c r="AI400" s="48" t="s">
        <v>49</v>
      </c>
      <c r="AJ400" s="48" t="s">
        <v>49</v>
      </c>
      <c r="AK400" s="49" t="s">
        <v>49</v>
      </c>
      <c r="AL400" s="48" t="s">
        <v>49</v>
      </c>
      <c r="AM400" s="62" t="s">
        <v>32</v>
      </c>
      <c r="AN400" s="62"/>
      <c r="AO400" s="59"/>
      <c r="AP400" s="10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1"/>
    </row>
    <row r="401" spans="1:53" x14ac:dyDescent="0.2">
      <c r="A401" s="33">
        <f t="shared" si="7"/>
        <v>396</v>
      </c>
      <c r="B401" s="34" t="s">
        <v>3223</v>
      </c>
      <c r="C401" s="35" t="s">
        <v>3224</v>
      </c>
      <c r="D401" s="36" t="s">
        <v>3225</v>
      </c>
      <c r="E401" s="334">
        <v>25991</v>
      </c>
      <c r="F401" s="36" t="s">
        <v>54</v>
      </c>
      <c r="G401" s="34" t="s">
        <v>3226</v>
      </c>
      <c r="H401" s="37" t="s">
        <v>73</v>
      </c>
      <c r="I401" s="37" t="s">
        <v>73</v>
      </c>
      <c r="J401" s="34" t="s">
        <v>3227</v>
      </c>
      <c r="K401" s="34" t="s">
        <v>3227</v>
      </c>
      <c r="L401" s="39" t="s">
        <v>42</v>
      </c>
      <c r="M401" s="120">
        <v>36594</v>
      </c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2" t="s">
        <v>3228</v>
      </c>
      <c r="Z401" s="100" t="s">
        <v>3229</v>
      </c>
      <c r="AA401" s="44" t="s">
        <v>61</v>
      </c>
      <c r="AB401" s="45">
        <v>36803</v>
      </c>
      <c r="AC401" s="101" t="s">
        <v>30</v>
      </c>
      <c r="AD401" s="36" t="s">
        <v>26</v>
      </c>
      <c r="AE401" s="47" t="s">
        <v>49</v>
      </c>
      <c r="AF401" s="48" t="s">
        <v>49</v>
      </c>
      <c r="AG401" s="48" t="s">
        <v>49</v>
      </c>
      <c r="AH401" s="48" t="s">
        <v>49</v>
      </c>
      <c r="AI401" s="48" t="s">
        <v>49</v>
      </c>
      <c r="AJ401" s="48" t="s">
        <v>49</v>
      </c>
      <c r="AK401" s="49" t="s">
        <v>49</v>
      </c>
      <c r="AL401" s="48" t="s">
        <v>49</v>
      </c>
      <c r="AM401" s="62" t="s">
        <v>32</v>
      </c>
      <c r="AN401" s="62"/>
      <c r="AO401" s="59"/>
      <c r="AP401" s="10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1"/>
    </row>
    <row r="402" spans="1:53" x14ac:dyDescent="0.2">
      <c r="A402" s="33">
        <f t="shared" si="7"/>
        <v>397</v>
      </c>
      <c r="B402" s="34" t="s">
        <v>3230</v>
      </c>
      <c r="C402" s="35" t="s">
        <v>3231</v>
      </c>
      <c r="D402" s="36" t="s">
        <v>3232</v>
      </c>
      <c r="E402" s="334">
        <v>20374</v>
      </c>
      <c r="F402" s="36" t="s">
        <v>54</v>
      </c>
      <c r="G402" s="34" t="s">
        <v>3233</v>
      </c>
      <c r="H402" s="37" t="s">
        <v>73</v>
      </c>
      <c r="I402" s="37" t="s">
        <v>73</v>
      </c>
      <c r="J402" s="34" t="s">
        <v>1679</v>
      </c>
      <c r="K402" s="34" t="s">
        <v>1877</v>
      </c>
      <c r="L402" s="39" t="s">
        <v>42</v>
      </c>
      <c r="M402" s="99" t="s">
        <v>3234</v>
      </c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42" t="s">
        <v>3235</v>
      </c>
      <c r="Z402" s="58" t="s">
        <v>3236</v>
      </c>
      <c r="AA402" s="44" t="s">
        <v>61</v>
      </c>
      <c r="AB402" s="45">
        <v>36803</v>
      </c>
      <c r="AC402" s="101" t="s">
        <v>30</v>
      </c>
      <c r="AD402" s="36" t="s">
        <v>26</v>
      </c>
      <c r="AE402" s="64" t="s">
        <v>120</v>
      </c>
      <c r="AF402" s="48" t="s">
        <v>120</v>
      </c>
      <c r="AG402" s="48" t="s">
        <v>120</v>
      </c>
      <c r="AH402" s="48" t="s">
        <v>120</v>
      </c>
      <c r="AI402" s="48" t="s">
        <v>120</v>
      </c>
      <c r="AJ402" s="48" t="s">
        <v>120</v>
      </c>
      <c r="AK402" s="49" t="s">
        <v>120</v>
      </c>
      <c r="AL402" s="48" t="s">
        <v>120</v>
      </c>
      <c r="AM402" s="65" t="s">
        <v>32</v>
      </c>
      <c r="AN402" s="65"/>
      <c r="AO402" s="59"/>
      <c r="AP402" s="10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1"/>
    </row>
    <row r="403" spans="1:53" x14ac:dyDescent="0.2">
      <c r="A403" s="33">
        <f t="shared" si="7"/>
        <v>398</v>
      </c>
      <c r="B403" s="34" t="s">
        <v>3237</v>
      </c>
      <c r="C403" s="35" t="s">
        <v>3238</v>
      </c>
      <c r="D403" s="36" t="s">
        <v>4607</v>
      </c>
      <c r="E403" s="334">
        <v>36424</v>
      </c>
      <c r="F403" s="36" t="s">
        <v>54</v>
      </c>
      <c r="G403" s="34" t="s">
        <v>4608</v>
      </c>
      <c r="H403" s="37" t="s">
        <v>73</v>
      </c>
      <c r="I403" s="37" t="s">
        <v>73</v>
      </c>
      <c r="J403" s="42" t="s">
        <v>4610</v>
      </c>
      <c r="K403" s="34" t="s">
        <v>41</v>
      </c>
      <c r="L403" s="39" t="s">
        <v>42</v>
      </c>
      <c r="M403" s="120">
        <v>37202</v>
      </c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 t="s">
        <v>732</v>
      </c>
      <c r="Y403" s="42" t="s">
        <v>4609</v>
      </c>
      <c r="Z403" s="58" t="s">
        <v>3239</v>
      </c>
      <c r="AA403" s="44" t="s">
        <v>61</v>
      </c>
      <c r="AB403" s="45">
        <v>40280</v>
      </c>
      <c r="AC403" s="101" t="s">
        <v>30</v>
      </c>
      <c r="AD403" s="36" t="s">
        <v>26</v>
      </c>
      <c r="AE403" s="47" t="s">
        <v>49</v>
      </c>
      <c r="AF403" s="48" t="s">
        <v>49</v>
      </c>
      <c r="AG403" s="48" t="s">
        <v>49</v>
      </c>
      <c r="AH403" s="48" t="s">
        <v>49</v>
      </c>
      <c r="AI403" s="48" t="s">
        <v>49</v>
      </c>
      <c r="AJ403" s="48" t="s">
        <v>49</v>
      </c>
      <c r="AK403" s="49" t="s">
        <v>49</v>
      </c>
      <c r="AL403" s="48" t="s">
        <v>49</v>
      </c>
      <c r="AM403" s="62" t="s">
        <v>32</v>
      </c>
      <c r="AN403" s="62"/>
      <c r="AO403" s="59"/>
      <c r="AP403" s="10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1"/>
    </row>
    <row r="404" spans="1:53" x14ac:dyDescent="0.2">
      <c r="A404" s="33">
        <f t="shared" si="7"/>
        <v>399</v>
      </c>
      <c r="B404" s="34" t="s">
        <v>3240</v>
      </c>
      <c r="C404" s="35" t="s">
        <v>3241</v>
      </c>
      <c r="D404" s="36" t="s">
        <v>3242</v>
      </c>
      <c r="E404" s="334">
        <v>25943</v>
      </c>
      <c r="F404" s="36" t="s">
        <v>36</v>
      </c>
      <c r="G404" s="34" t="s">
        <v>3243</v>
      </c>
      <c r="H404" s="37" t="s">
        <v>73</v>
      </c>
      <c r="I404" s="37" t="s">
        <v>73</v>
      </c>
      <c r="J404" s="34" t="s">
        <v>3244</v>
      </c>
      <c r="K404" s="34" t="s">
        <v>41</v>
      </c>
      <c r="L404" s="39" t="s">
        <v>42</v>
      </c>
      <c r="M404" s="120">
        <v>36895</v>
      </c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2" t="s">
        <v>3245</v>
      </c>
      <c r="Z404" s="52" t="s">
        <v>3246</v>
      </c>
      <c r="AA404" s="44" t="s">
        <v>61</v>
      </c>
      <c r="AB404" s="45">
        <v>36803</v>
      </c>
      <c r="AC404" s="101" t="s">
        <v>30</v>
      </c>
      <c r="AD404" s="36" t="s">
        <v>26</v>
      </c>
      <c r="AE404" s="47" t="s">
        <v>49</v>
      </c>
      <c r="AF404" s="48" t="s">
        <v>49</v>
      </c>
      <c r="AG404" s="48" t="s">
        <v>49</v>
      </c>
      <c r="AH404" s="48" t="s">
        <v>49</v>
      </c>
      <c r="AI404" s="48" t="s">
        <v>49</v>
      </c>
      <c r="AJ404" s="48" t="s">
        <v>49</v>
      </c>
      <c r="AK404" s="49" t="s">
        <v>49</v>
      </c>
      <c r="AL404" s="48" t="s">
        <v>49</v>
      </c>
      <c r="AM404" s="65" t="s">
        <v>32</v>
      </c>
      <c r="AN404" s="65"/>
      <c r="AO404" s="59"/>
      <c r="AP404" s="10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1"/>
    </row>
    <row r="405" spans="1:53" x14ac:dyDescent="0.2">
      <c r="A405" s="33">
        <f t="shared" si="7"/>
        <v>400</v>
      </c>
      <c r="B405" s="34" t="s">
        <v>3247</v>
      </c>
      <c r="C405" s="35" t="s">
        <v>3248</v>
      </c>
      <c r="D405" s="73" t="s">
        <v>3249</v>
      </c>
      <c r="E405" s="73"/>
      <c r="F405" s="36" t="s">
        <v>54</v>
      </c>
      <c r="G405" s="98" t="s">
        <v>3250</v>
      </c>
      <c r="H405" s="37" t="s">
        <v>73</v>
      </c>
      <c r="I405" s="37" t="s">
        <v>73</v>
      </c>
      <c r="J405" s="34" t="s">
        <v>3251</v>
      </c>
      <c r="K405" s="34" t="s">
        <v>41</v>
      </c>
      <c r="L405" s="39" t="s">
        <v>42</v>
      </c>
      <c r="M405" s="120">
        <v>35681</v>
      </c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42" t="s">
        <v>3252</v>
      </c>
      <c r="Z405" s="58" t="s">
        <v>3253</v>
      </c>
      <c r="AA405" s="44" t="s">
        <v>3254</v>
      </c>
      <c r="AB405" s="45">
        <v>42325</v>
      </c>
      <c r="AC405" s="101" t="s">
        <v>30</v>
      </c>
      <c r="AD405" s="73"/>
      <c r="AE405" s="47" t="s">
        <v>49</v>
      </c>
      <c r="AF405" s="48" t="s">
        <v>41</v>
      </c>
      <c r="AG405" s="48" t="s">
        <v>41</v>
      </c>
      <c r="AH405" s="48" t="s">
        <v>41</v>
      </c>
      <c r="AI405" s="48" t="s">
        <v>41</v>
      </c>
      <c r="AJ405" s="48" t="s">
        <v>41</v>
      </c>
      <c r="AK405" s="49" t="s">
        <v>41</v>
      </c>
      <c r="AL405" s="48" t="s">
        <v>41</v>
      </c>
      <c r="AM405" s="65" t="s">
        <v>4590</v>
      </c>
      <c r="AN405" s="65"/>
      <c r="AO405" s="59"/>
      <c r="AP405" s="10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1"/>
    </row>
    <row r="406" spans="1:53" x14ac:dyDescent="0.2">
      <c r="A406" s="33">
        <f t="shared" si="7"/>
        <v>401</v>
      </c>
      <c r="B406" s="34" t="s">
        <v>3255</v>
      </c>
      <c r="C406" s="35" t="s">
        <v>3256</v>
      </c>
      <c r="D406" s="36" t="s">
        <v>3257</v>
      </c>
      <c r="E406" s="334">
        <v>26423</v>
      </c>
      <c r="F406" s="36" t="s">
        <v>36</v>
      </c>
      <c r="G406" s="34" t="s">
        <v>3258</v>
      </c>
      <c r="H406" s="37" t="s">
        <v>73</v>
      </c>
      <c r="I406" s="37" t="s">
        <v>73</v>
      </c>
      <c r="J406" s="34" t="s">
        <v>3259</v>
      </c>
      <c r="K406" s="34" t="s">
        <v>41</v>
      </c>
      <c r="L406" s="39" t="s">
        <v>42</v>
      </c>
      <c r="M406" s="120" t="s">
        <v>3260</v>
      </c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2" t="s">
        <v>3261</v>
      </c>
      <c r="Z406" s="58" t="s">
        <v>3262</v>
      </c>
      <c r="AA406" s="44" t="s">
        <v>3263</v>
      </c>
      <c r="AB406" s="45">
        <v>43200</v>
      </c>
      <c r="AC406" s="101" t="s">
        <v>30</v>
      </c>
      <c r="AD406" s="36" t="s">
        <v>26</v>
      </c>
      <c r="AE406" s="47" t="s">
        <v>49</v>
      </c>
      <c r="AF406" s="48" t="s">
        <v>49</v>
      </c>
      <c r="AG406" s="48" t="s">
        <v>49</v>
      </c>
      <c r="AH406" s="48" t="s">
        <v>49</v>
      </c>
      <c r="AI406" s="48" t="s">
        <v>49</v>
      </c>
      <c r="AJ406" s="48" t="s">
        <v>49</v>
      </c>
      <c r="AK406" s="49" t="s">
        <v>49</v>
      </c>
      <c r="AL406" s="48" t="s">
        <v>49</v>
      </c>
      <c r="AM406" s="65" t="s">
        <v>32</v>
      </c>
      <c r="AN406" s="65"/>
      <c r="AO406" s="59"/>
      <c r="AP406" s="10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1"/>
    </row>
    <row r="407" spans="1:53" x14ac:dyDescent="0.2">
      <c r="A407" s="33">
        <f t="shared" si="7"/>
        <v>402</v>
      </c>
      <c r="B407" s="34" t="s">
        <v>3264</v>
      </c>
      <c r="C407" s="35" t="s">
        <v>3265</v>
      </c>
      <c r="D407" s="36" t="s">
        <v>3266</v>
      </c>
      <c r="E407" s="36"/>
      <c r="F407" s="36" t="s">
        <v>54</v>
      </c>
      <c r="G407" s="34" t="s">
        <v>3267</v>
      </c>
      <c r="H407" s="37" t="s">
        <v>73</v>
      </c>
      <c r="I407" s="37" t="s">
        <v>73</v>
      </c>
      <c r="J407" s="38" t="s">
        <v>3268</v>
      </c>
      <c r="K407" s="34" t="s">
        <v>41</v>
      </c>
      <c r="L407" s="39" t="s">
        <v>42</v>
      </c>
      <c r="M407" s="120" t="s">
        <v>3269</v>
      </c>
      <c r="N407" s="41"/>
      <c r="O407" s="41"/>
      <c r="P407" s="41"/>
      <c r="Q407" s="41"/>
      <c r="R407" s="41"/>
      <c r="S407" s="41"/>
      <c r="T407" s="41"/>
      <c r="U407" s="41" t="s">
        <v>44</v>
      </c>
      <c r="V407" s="41"/>
      <c r="W407" s="41"/>
      <c r="X407" s="41"/>
      <c r="Y407" s="42" t="s">
        <v>3270</v>
      </c>
      <c r="Z407" s="83" t="s">
        <v>3271</v>
      </c>
      <c r="AA407" s="83"/>
      <c r="AB407" s="45">
        <v>45642</v>
      </c>
      <c r="AC407" s="101"/>
      <c r="AD407" s="36"/>
      <c r="AE407" s="47" t="s">
        <v>49</v>
      </c>
      <c r="AF407" s="48" t="s">
        <v>41</v>
      </c>
      <c r="AG407" s="48" t="s">
        <v>41</v>
      </c>
      <c r="AH407" s="48" t="s">
        <v>41</v>
      </c>
      <c r="AI407" s="48" t="s">
        <v>49</v>
      </c>
      <c r="AJ407" s="48" t="s">
        <v>49</v>
      </c>
      <c r="AK407" s="49" t="s">
        <v>49</v>
      </c>
      <c r="AL407" s="48" t="s">
        <v>49</v>
      </c>
      <c r="AM407" s="65" t="s">
        <v>32</v>
      </c>
      <c r="AN407" s="65" t="s">
        <v>4681</v>
      </c>
      <c r="AO407" s="59"/>
      <c r="AP407" s="10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1"/>
    </row>
    <row r="408" spans="1:53" x14ac:dyDescent="0.2">
      <c r="A408" s="33">
        <f t="shared" si="7"/>
        <v>403</v>
      </c>
      <c r="B408" s="34" t="s">
        <v>3272</v>
      </c>
      <c r="C408" s="35" t="s">
        <v>3273</v>
      </c>
      <c r="D408" s="36" t="s">
        <v>3274</v>
      </c>
      <c r="E408" s="334">
        <v>30908</v>
      </c>
      <c r="F408" s="36" t="s">
        <v>54</v>
      </c>
      <c r="G408" s="34" t="s">
        <v>3275</v>
      </c>
      <c r="H408" s="37" t="s">
        <v>73</v>
      </c>
      <c r="I408" s="37" t="s">
        <v>73</v>
      </c>
      <c r="J408" s="34" t="s">
        <v>3276</v>
      </c>
      <c r="K408" s="34" t="s">
        <v>41</v>
      </c>
      <c r="L408" s="39" t="s">
        <v>42</v>
      </c>
      <c r="M408" s="120">
        <v>35531</v>
      </c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42" t="s">
        <v>3277</v>
      </c>
      <c r="Z408" s="100" t="s">
        <v>3278</v>
      </c>
      <c r="AA408" s="44" t="s">
        <v>3279</v>
      </c>
      <c r="AB408" s="45">
        <v>42935</v>
      </c>
      <c r="AC408" s="101" t="s">
        <v>30</v>
      </c>
      <c r="AD408" s="36" t="s">
        <v>26</v>
      </c>
      <c r="AE408" s="64" t="s">
        <v>120</v>
      </c>
      <c r="AF408" s="48" t="s">
        <v>120</v>
      </c>
      <c r="AG408" s="48" t="s">
        <v>120</v>
      </c>
      <c r="AH408" s="48" t="s">
        <v>120</v>
      </c>
      <c r="AI408" s="48" t="s">
        <v>120</v>
      </c>
      <c r="AJ408" s="48" t="s">
        <v>120</v>
      </c>
      <c r="AK408" s="49" t="s">
        <v>120</v>
      </c>
      <c r="AL408" s="48" t="s">
        <v>120</v>
      </c>
      <c r="AM408" s="65" t="s">
        <v>32</v>
      </c>
      <c r="AN408" s="65"/>
      <c r="AO408" s="59"/>
      <c r="AP408" s="10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1"/>
    </row>
    <row r="409" spans="1:53" x14ac:dyDescent="0.2">
      <c r="A409" s="33">
        <f t="shared" si="7"/>
        <v>404</v>
      </c>
      <c r="B409" s="34" t="s">
        <v>3280</v>
      </c>
      <c r="C409" s="35" t="s">
        <v>3281</v>
      </c>
      <c r="D409" s="36" t="s">
        <v>3282</v>
      </c>
      <c r="E409" s="36"/>
      <c r="F409" s="36" t="s">
        <v>54</v>
      </c>
      <c r="G409" s="34" t="s">
        <v>3283</v>
      </c>
      <c r="H409" s="37" t="s">
        <v>73</v>
      </c>
      <c r="I409" s="37" t="s">
        <v>73</v>
      </c>
      <c r="J409" s="34" t="s">
        <v>3284</v>
      </c>
      <c r="K409" s="34" t="s">
        <v>41</v>
      </c>
      <c r="L409" s="39" t="s">
        <v>42</v>
      </c>
      <c r="M409" s="99" t="s">
        <v>3285</v>
      </c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42" t="s">
        <v>3286</v>
      </c>
      <c r="Z409" s="58" t="s">
        <v>3287</v>
      </c>
      <c r="AA409" s="44" t="s">
        <v>61</v>
      </c>
      <c r="AB409" s="45">
        <v>39286</v>
      </c>
      <c r="AC409" s="101" t="s">
        <v>30</v>
      </c>
      <c r="AD409" s="36"/>
      <c r="AE409" s="47" t="s">
        <v>49</v>
      </c>
      <c r="AF409" s="48" t="s">
        <v>41</v>
      </c>
      <c r="AG409" s="48" t="s">
        <v>41</v>
      </c>
      <c r="AH409" s="48" t="s">
        <v>41</v>
      </c>
      <c r="AI409" s="48" t="s">
        <v>41</v>
      </c>
      <c r="AJ409" s="48" t="s">
        <v>41</v>
      </c>
      <c r="AK409" s="49" t="s">
        <v>41</v>
      </c>
      <c r="AL409" s="48" t="s">
        <v>41</v>
      </c>
      <c r="AM409" s="65" t="s">
        <v>4588</v>
      </c>
      <c r="AN409" s="65"/>
      <c r="AO409" s="59"/>
      <c r="AP409" s="10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1"/>
    </row>
    <row r="410" spans="1:53" x14ac:dyDescent="0.2">
      <c r="A410" s="33">
        <f t="shared" si="7"/>
        <v>405</v>
      </c>
      <c r="B410" s="34" t="s">
        <v>3288</v>
      </c>
      <c r="C410" s="35" t="s">
        <v>3289</v>
      </c>
      <c r="D410" s="36" t="s">
        <v>3290</v>
      </c>
      <c r="E410" s="36"/>
      <c r="F410" s="36" t="s">
        <v>241</v>
      </c>
      <c r="G410" s="34" t="s">
        <v>3291</v>
      </c>
      <c r="H410" s="37" t="s">
        <v>73</v>
      </c>
      <c r="I410" s="37" t="s">
        <v>73</v>
      </c>
      <c r="J410" s="34" t="s">
        <v>3292</v>
      </c>
      <c r="K410" s="34" t="s">
        <v>41</v>
      </c>
      <c r="L410" s="39" t="s">
        <v>42</v>
      </c>
      <c r="M410" s="99" t="s">
        <v>3293</v>
      </c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2" t="s">
        <v>3294</v>
      </c>
      <c r="Z410" s="58" t="s">
        <v>3295</v>
      </c>
      <c r="AA410" s="44" t="s">
        <v>61</v>
      </c>
      <c r="AB410" s="45">
        <v>34597</v>
      </c>
      <c r="AC410" s="101" t="s">
        <v>129</v>
      </c>
      <c r="AD410" s="36" t="s">
        <v>26</v>
      </c>
      <c r="AE410" s="47" t="s">
        <v>49</v>
      </c>
      <c r="AF410" s="48" t="s">
        <v>49</v>
      </c>
      <c r="AG410" s="48" t="s">
        <v>41</v>
      </c>
      <c r="AH410" s="48" t="s">
        <v>41</v>
      </c>
      <c r="AI410" s="48" t="s">
        <v>41</v>
      </c>
      <c r="AJ410" s="48" t="s">
        <v>41</v>
      </c>
      <c r="AK410" s="49" t="s">
        <v>41</v>
      </c>
      <c r="AL410" s="48" t="s">
        <v>41</v>
      </c>
      <c r="AM410" s="62" t="s">
        <v>4587</v>
      </c>
      <c r="AN410" s="62"/>
      <c r="AO410" s="59"/>
      <c r="AP410" s="117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1"/>
    </row>
    <row r="411" spans="1:53" x14ac:dyDescent="0.2">
      <c r="A411" s="33">
        <f t="shared" si="7"/>
        <v>406</v>
      </c>
      <c r="B411" s="108" t="s">
        <v>3296</v>
      </c>
      <c r="C411" s="35" t="s">
        <v>3297</v>
      </c>
      <c r="D411" s="73" t="s">
        <v>3298</v>
      </c>
      <c r="E411" s="73"/>
      <c r="F411" s="36" t="s">
        <v>36</v>
      </c>
      <c r="G411" s="192" t="s">
        <v>3299</v>
      </c>
      <c r="H411" s="37" t="s">
        <v>398</v>
      </c>
      <c r="I411" s="37" t="s">
        <v>205</v>
      </c>
      <c r="J411" s="140" t="s">
        <v>3300</v>
      </c>
      <c r="K411" s="38" t="s">
        <v>41</v>
      </c>
      <c r="L411" s="39" t="s">
        <v>42</v>
      </c>
      <c r="M411" s="166" t="s">
        <v>3301</v>
      </c>
      <c r="N411" s="56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42" t="s">
        <v>3302</v>
      </c>
      <c r="Z411" s="58" t="s">
        <v>3303</v>
      </c>
      <c r="AA411" s="44" t="s">
        <v>3304</v>
      </c>
      <c r="AB411" s="45">
        <v>42325</v>
      </c>
      <c r="AC411" s="101" t="s">
        <v>30</v>
      </c>
      <c r="AD411" s="73" t="s">
        <v>26</v>
      </c>
      <c r="AE411" s="47" t="s">
        <v>49</v>
      </c>
      <c r="AF411" s="48" t="s">
        <v>49</v>
      </c>
      <c r="AG411" s="48" t="s">
        <v>49</v>
      </c>
      <c r="AH411" s="48" t="s">
        <v>49</v>
      </c>
      <c r="AI411" s="48" t="s">
        <v>49</v>
      </c>
      <c r="AJ411" s="48" t="s">
        <v>49</v>
      </c>
      <c r="AK411" s="49" t="s">
        <v>49</v>
      </c>
      <c r="AL411" s="48" t="s">
        <v>49</v>
      </c>
      <c r="AM411" s="65" t="s">
        <v>32</v>
      </c>
      <c r="AN411" s="65" t="s">
        <v>4681</v>
      </c>
      <c r="AO411" s="59"/>
      <c r="AP411" s="10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1"/>
    </row>
    <row r="412" spans="1:53" x14ac:dyDescent="0.2">
      <c r="A412" s="33">
        <f t="shared" si="7"/>
        <v>407</v>
      </c>
      <c r="B412" s="34" t="s">
        <v>3305</v>
      </c>
      <c r="C412" s="35" t="s">
        <v>3306</v>
      </c>
      <c r="D412" s="36" t="s">
        <v>3307</v>
      </c>
      <c r="E412" s="334">
        <v>25016</v>
      </c>
      <c r="F412" s="36" t="s">
        <v>54</v>
      </c>
      <c r="G412" s="34" t="s">
        <v>3308</v>
      </c>
      <c r="H412" s="37" t="s">
        <v>73</v>
      </c>
      <c r="I412" s="37" t="s">
        <v>73</v>
      </c>
      <c r="J412" s="34" t="s">
        <v>3309</v>
      </c>
      <c r="K412" s="34" t="s">
        <v>41</v>
      </c>
      <c r="L412" s="39" t="s">
        <v>42</v>
      </c>
      <c r="M412" s="120">
        <v>36895</v>
      </c>
      <c r="N412" s="41"/>
      <c r="O412" s="177"/>
      <c r="P412" s="112"/>
      <c r="Q412" s="177"/>
      <c r="R412" s="112"/>
      <c r="S412" s="112"/>
      <c r="T412" s="112"/>
      <c r="U412" s="177"/>
      <c r="V412" s="112"/>
      <c r="W412" s="41"/>
      <c r="X412" s="41"/>
      <c r="Y412" s="42" t="s">
        <v>3310</v>
      </c>
      <c r="Z412" s="52" t="s">
        <v>3311</v>
      </c>
      <c r="AA412" s="44" t="s">
        <v>61</v>
      </c>
      <c r="AB412" s="45">
        <v>39286</v>
      </c>
      <c r="AC412" s="101" t="s">
        <v>30</v>
      </c>
      <c r="AD412" s="36" t="s">
        <v>26</v>
      </c>
      <c r="AE412" s="61" t="s">
        <v>49</v>
      </c>
      <c r="AF412" s="48" t="s">
        <v>49</v>
      </c>
      <c r="AG412" s="48" t="s">
        <v>49</v>
      </c>
      <c r="AH412" s="48" t="s">
        <v>49</v>
      </c>
      <c r="AI412" s="48" t="s">
        <v>49</v>
      </c>
      <c r="AJ412" s="48" t="s">
        <v>49</v>
      </c>
      <c r="AK412" s="49" t="s">
        <v>49</v>
      </c>
      <c r="AL412" s="48" t="s">
        <v>49</v>
      </c>
      <c r="AM412" s="65" t="s">
        <v>32</v>
      </c>
      <c r="AN412" s="65"/>
      <c r="AO412" s="59"/>
      <c r="AP412" s="10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1"/>
    </row>
    <row r="413" spans="1:53" x14ac:dyDescent="0.2">
      <c r="A413" s="33">
        <f t="shared" si="7"/>
        <v>408</v>
      </c>
      <c r="B413" s="34" t="s">
        <v>3312</v>
      </c>
      <c r="C413" s="35" t="s">
        <v>3313</v>
      </c>
      <c r="D413" s="36" t="s">
        <v>3314</v>
      </c>
      <c r="E413" s="334">
        <v>26867</v>
      </c>
      <c r="F413" s="36" t="s">
        <v>54</v>
      </c>
      <c r="G413" s="87" t="s">
        <v>3315</v>
      </c>
      <c r="H413" s="37" t="s">
        <v>323</v>
      </c>
      <c r="I413" s="37" t="s">
        <v>39</v>
      </c>
      <c r="J413" s="34" t="s">
        <v>3316</v>
      </c>
      <c r="K413" s="34" t="s">
        <v>41</v>
      </c>
      <c r="L413" s="39" t="s">
        <v>42</v>
      </c>
      <c r="M413" s="120">
        <v>42254</v>
      </c>
      <c r="N413" s="56"/>
      <c r="O413" s="114"/>
      <c r="P413" s="115"/>
      <c r="Q413" s="114"/>
      <c r="R413" s="115"/>
      <c r="S413" s="115"/>
      <c r="T413" s="115"/>
      <c r="U413" s="114"/>
      <c r="V413" s="115"/>
      <c r="W413" s="56"/>
      <c r="X413" s="56"/>
      <c r="Y413" s="42" t="s">
        <v>3317</v>
      </c>
      <c r="Z413" s="100" t="s">
        <v>3318</v>
      </c>
      <c r="AA413" s="44" t="s">
        <v>3319</v>
      </c>
      <c r="AB413" s="45">
        <v>42325</v>
      </c>
      <c r="AC413" s="101" t="s">
        <v>30</v>
      </c>
      <c r="AD413" s="36" t="s">
        <v>26</v>
      </c>
      <c r="AE413" s="47" t="s">
        <v>49</v>
      </c>
      <c r="AF413" s="48" t="s">
        <v>49</v>
      </c>
      <c r="AG413" s="48" t="s">
        <v>49</v>
      </c>
      <c r="AH413" s="48" t="s">
        <v>49</v>
      </c>
      <c r="AI413" s="48" t="s">
        <v>49</v>
      </c>
      <c r="AJ413" s="48" t="s">
        <v>49</v>
      </c>
      <c r="AK413" s="49" t="s">
        <v>49</v>
      </c>
      <c r="AL413" s="48" t="s">
        <v>49</v>
      </c>
      <c r="AM413" s="62" t="s">
        <v>32</v>
      </c>
      <c r="AN413" s="62"/>
      <c r="AO413" s="59"/>
      <c r="AP413" s="10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1"/>
    </row>
    <row r="414" spans="1:53" x14ac:dyDescent="0.2">
      <c r="A414" s="33">
        <f t="shared" si="7"/>
        <v>409</v>
      </c>
      <c r="B414" s="34" t="s">
        <v>3320</v>
      </c>
      <c r="C414" s="35" t="s">
        <v>3321</v>
      </c>
      <c r="D414" s="109" t="s">
        <v>3322</v>
      </c>
      <c r="E414" s="336">
        <v>30008</v>
      </c>
      <c r="F414" s="36" t="s">
        <v>54</v>
      </c>
      <c r="G414" s="108" t="s">
        <v>3323</v>
      </c>
      <c r="H414" s="37" t="s">
        <v>413</v>
      </c>
      <c r="I414" s="37" t="s">
        <v>378</v>
      </c>
      <c r="J414" s="108" t="s">
        <v>3324</v>
      </c>
      <c r="K414" s="38" t="s">
        <v>3325</v>
      </c>
      <c r="L414" s="39" t="s">
        <v>42</v>
      </c>
      <c r="M414" s="120">
        <v>40004</v>
      </c>
      <c r="N414" s="41"/>
      <c r="O414" s="111"/>
      <c r="P414" s="112"/>
      <c r="Q414" s="111"/>
      <c r="R414" s="112"/>
      <c r="S414" s="112"/>
      <c r="T414" s="112"/>
      <c r="U414" s="230"/>
      <c r="V414" s="112"/>
      <c r="W414" s="41"/>
      <c r="X414" s="41"/>
      <c r="Y414" s="42" t="s">
        <v>3326</v>
      </c>
      <c r="Z414" s="52" t="s">
        <v>3327</v>
      </c>
      <c r="AA414" s="44" t="s">
        <v>61</v>
      </c>
      <c r="AB414" s="45">
        <v>39286</v>
      </c>
      <c r="AC414" s="101" t="s">
        <v>30</v>
      </c>
      <c r="AD414" s="36" t="s">
        <v>26</v>
      </c>
      <c r="AE414" s="47" t="s">
        <v>49</v>
      </c>
      <c r="AF414" s="48" t="s">
        <v>49</v>
      </c>
      <c r="AG414" s="48" t="s">
        <v>49</v>
      </c>
      <c r="AH414" s="48" t="s">
        <v>49</v>
      </c>
      <c r="AI414" s="48" t="s">
        <v>49</v>
      </c>
      <c r="AJ414" s="48" t="s">
        <v>49</v>
      </c>
      <c r="AK414" s="49" t="s">
        <v>49</v>
      </c>
      <c r="AL414" s="48" t="s">
        <v>49</v>
      </c>
      <c r="AM414" s="62" t="s">
        <v>32</v>
      </c>
      <c r="AN414" s="62"/>
      <c r="AO414" s="59"/>
      <c r="AP414" s="10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1"/>
    </row>
    <row r="415" spans="1:53" x14ac:dyDescent="0.2">
      <c r="A415" s="33">
        <f t="shared" si="7"/>
        <v>410</v>
      </c>
      <c r="B415" s="34" t="s">
        <v>3328</v>
      </c>
      <c r="C415" s="35" t="s">
        <v>3329</v>
      </c>
      <c r="D415" s="36" t="s">
        <v>3330</v>
      </c>
      <c r="E415" s="334">
        <v>21790</v>
      </c>
      <c r="F415" s="36" t="s">
        <v>54</v>
      </c>
      <c r="G415" s="34" t="s">
        <v>3331</v>
      </c>
      <c r="H415" s="37" t="s">
        <v>73</v>
      </c>
      <c r="I415" s="37" t="s">
        <v>73</v>
      </c>
      <c r="J415" s="34" t="s">
        <v>3332</v>
      </c>
      <c r="K415" s="34" t="s">
        <v>3333</v>
      </c>
      <c r="L415" s="39" t="s">
        <v>42</v>
      </c>
      <c r="M415" s="99" t="s">
        <v>3334</v>
      </c>
      <c r="N415" s="41"/>
      <c r="O415" s="41"/>
      <c r="P415" s="41"/>
      <c r="Q415" s="41"/>
      <c r="R415" s="112"/>
      <c r="S415" s="231"/>
      <c r="T415" s="112"/>
      <c r="U415" s="230"/>
      <c r="V415" s="112"/>
      <c r="W415" s="41"/>
      <c r="X415" s="41"/>
      <c r="Y415" s="42" t="s">
        <v>3335</v>
      </c>
      <c r="Z415" s="43" t="s">
        <v>3336</v>
      </c>
      <c r="AA415" s="44" t="s">
        <v>61</v>
      </c>
      <c r="AB415" s="45">
        <v>34597</v>
      </c>
      <c r="AC415" s="101" t="s">
        <v>30</v>
      </c>
      <c r="AD415" s="36" t="s">
        <v>26</v>
      </c>
      <c r="AE415" s="47" t="s">
        <v>49</v>
      </c>
      <c r="AF415" s="48" t="s">
        <v>49</v>
      </c>
      <c r="AG415" s="48" t="s">
        <v>49</v>
      </c>
      <c r="AH415" s="48" t="s">
        <v>49</v>
      </c>
      <c r="AI415" s="48" t="s">
        <v>49</v>
      </c>
      <c r="AJ415" s="48" t="s">
        <v>49</v>
      </c>
      <c r="AK415" s="49" t="s">
        <v>49</v>
      </c>
      <c r="AL415" s="48" t="s">
        <v>49</v>
      </c>
      <c r="AM415" s="65" t="s">
        <v>32</v>
      </c>
      <c r="AN415" s="65"/>
      <c r="AO415" s="59"/>
      <c r="AP415" s="10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1"/>
    </row>
    <row r="416" spans="1:53" x14ac:dyDescent="0.2">
      <c r="A416" s="33">
        <f t="shared" si="7"/>
        <v>411</v>
      </c>
      <c r="B416" s="34" t="s">
        <v>3337</v>
      </c>
      <c r="C416" s="35" t="s">
        <v>3338</v>
      </c>
      <c r="D416" s="36" t="s">
        <v>3339</v>
      </c>
      <c r="E416" s="334">
        <v>30626</v>
      </c>
      <c r="F416" s="36" t="s">
        <v>54</v>
      </c>
      <c r="G416" s="34" t="s">
        <v>3340</v>
      </c>
      <c r="H416" s="37" t="s">
        <v>73</v>
      </c>
      <c r="I416" s="37" t="s">
        <v>73</v>
      </c>
      <c r="J416" s="34" t="s">
        <v>3341</v>
      </c>
      <c r="K416" s="34" t="s">
        <v>41</v>
      </c>
      <c r="L416" s="39" t="s">
        <v>42</v>
      </c>
      <c r="M416" s="99" t="s">
        <v>3342</v>
      </c>
      <c r="N416" s="41"/>
      <c r="O416" s="41"/>
      <c r="P416" s="41"/>
      <c r="Q416" s="41"/>
      <c r="R416" s="112"/>
      <c r="S416" s="231"/>
      <c r="T416" s="112"/>
      <c r="U416" s="177"/>
      <c r="V416" s="112"/>
      <c r="W416" s="41"/>
      <c r="X416" s="41"/>
      <c r="Y416" s="42" t="s">
        <v>3343</v>
      </c>
      <c r="Z416" s="43" t="s">
        <v>3344</v>
      </c>
      <c r="AA416" s="84" t="s">
        <v>3345</v>
      </c>
      <c r="AB416" s="45">
        <v>44650</v>
      </c>
      <c r="AC416" s="101" t="s">
        <v>30</v>
      </c>
      <c r="AD416" s="36"/>
      <c r="AE416" s="47" t="s">
        <v>49</v>
      </c>
      <c r="AF416" s="48" t="s">
        <v>41</v>
      </c>
      <c r="AG416" s="48" t="s">
        <v>49</v>
      </c>
      <c r="AH416" s="48" t="s">
        <v>49</v>
      </c>
      <c r="AI416" s="48" t="s">
        <v>49</v>
      </c>
      <c r="AJ416" s="48" t="s">
        <v>49</v>
      </c>
      <c r="AK416" s="49" t="s">
        <v>49</v>
      </c>
      <c r="AL416" s="48" t="s">
        <v>49</v>
      </c>
      <c r="AM416" s="62" t="s">
        <v>32</v>
      </c>
      <c r="AN416" s="62"/>
      <c r="AO416" s="59"/>
      <c r="AP416" s="10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1"/>
    </row>
    <row r="417" spans="1:53" x14ac:dyDescent="0.2">
      <c r="A417" s="33">
        <f t="shared" si="7"/>
        <v>412</v>
      </c>
      <c r="B417" s="34" t="s">
        <v>3346</v>
      </c>
      <c r="C417" s="35" t="s">
        <v>3347</v>
      </c>
      <c r="D417" s="36" t="s">
        <v>3348</v>
      </c>
      <c r="E417" s="334">
        <v>34327</v>
      </c>
      <c r="F417" s="36" t="s">
        <v>54</v>
      </c>
      <c r="G417" s="34" t="s">
        <v>3349</v>
      </c>
      <c r="H417" s="37" t="s">
        <v>73</v>
      </c>
      <c r="I417" s="37" t="s">
        <v>73</v>
      </c>
      <c r="J417" s="38" t="s">
        <v>3350</v>
      </c>
      <c r="K417" s="34" t="s">
        <v>41</v>
      </c>
      <c r="L417" s="39" t="s">
        <v>42</v>
      </c>
      <c r="M417" s="99" t="s">
        <v>3351</v>
      </c>
      <c r="N417" s="41"/>
      <c r="O417" s="41"/>
      <c r="P417" s="41"/>
      <c r="Q417" s="41"/>
      <c r="R417" s="41"/>
      <c r="S417" s="41"/>
      <c r="T417" s="41"/>
      <c r="U417" s="177" t="s">
        <v>44</v>
      </c>
      <c r="V417" s="112" t="s">
        <v>732</v>
      </c>
      <c r="W417" s="41"/>
      <c r="X417" s="41"/>
      <c r="Y417" s="42" t="s">
        <v>3352</v>
      </c>
      <c r="Z417" s="55" t="s">
        <v>3353</v>
      </c>
      <c r="AA417" s="44"/>
      <c r="AB417" s="45">
        <v>45642</v>
      </c>
      <c r="AC417" s="101"/>
      <c r="AD417" s="36"/>
      <c r="AE417" s="47" t="s">
        <v>49</v>
      </c>
      <c r="AF417" s="48" t="s">
        <v>41</v>
      </c>
      <c r="AG417" s="48" t="s">
        <v>41</v>
      </c>
      <c r="AH417" s="48" t="s">
        <v>41</v>
      </c>
      <c r="AI417" s="48" t="s">
        <v>49</v>
      </c>
      <c r="AJ417" s="48" t="s">
        <v>49</v>
      </c>
      <c r="AK417" s="49" t="s">
        <v>41</v>
      </c>
      <c r="AL417" s="48" t="s">
        <v>41</v>
      </c>
      <c r="AM417" s="62" t="s">
        <v>276</v>
      </c>
      <c r="AN417" s="62"/>
      <c r="AO417" s="59"/>
      <c r="AP417" s="10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1"/>
    </row>
    <row r="418" spans="1:53" x14ac:dyDescent="0.2">
      <c r="A418" s="33">
        <f t="shared" si="7"/>
        <v>413</v>
      </c>
      <c r="B418" s="34" t="s">
        <v>3354</v>
      </c>
      <c r="C418" s="35" t="s">
        <v>3355</v>
      </c>
      <c r="D418" s="36" t="s">
        <v>3356</v>
      </c>
      <c r="E418" s="334">
        <v>23341</v>
      </c>
      <c r="F418" s="36" t="s">
        <v>54</v>
      </c>
      <c r="G418" s="34" t="s">
        <v>3357</v>
      </c>
      <c r="H418" s="37" t="s">
        <v>73</v>
      </c>
      <c r="I418" s="37" t="s">
        <v>73</v>
      </c>
      <c r="J418" s="34" t="s">
        <v>3358</v>
      </c>
      <c r="K418" s="34" t="s">
        <v>41</v>
      </c>
      <c r="L418" s="39" t="s">
        <v>42</v>
      </c>
      <c r="M418" s="120">
        <v>40399</v>
      </c>
      <c r="N418" s="41"/>
      <c r="O418" s="41"/>
      <c r="P418" s="41"/>
      <c r="Q418" s="41"/>
      <c r="R418" s="41"/>
      <c r="S418" s="41"/>
      <c r="T418" s="41"/>
      <c r="U418" s="177"/>
      <c r="V418" s="112"/>
      <c r="W418" s="112"/>
      <c r="X418" s="112"/>
      <c r="Y418" s="57" t="s">
        <v>3359</v>
      </c>
      <c r="Z418" s="69" t="s">
        <v>3360</v>
      </c>
      <c r="AA418" s="44" t="s">
        <v>3361</v>
      </c>
      <c r="AB418" s="45">
        <v>42936</v>
      </c>
      <c r="AC418" s="101" t="s">
        <v>30</v>
      </c>
      <c r="AD418" s="36" t="s">
        <v>26</v>
      </c>
      <c r="AE418" s="64" t="s">
        <v>120</v>
      </c>
      <c r="AF418" s="48" t="s">
        <v>120</v>
      </c>
      <c r="AG418" s="48" t="s">
        <v>120</v>
      </c>
      <c r="AH418" s="48" t="s">
        <v>120</v>
      </c>
      <c r="AI418" s="48" t="s">
        <v>41</v>
      </c>
      <c r="AJ418" s="48" t="s">
        <v>41</v>
      </c>
      <c r="AK418" s="49" t="s">
        <v>41</v>
      </c>
      <c r="AL418" s="48" t="s">
        <v>41</v>
      </c>
      <c r="AM418" s="62" t="s">
        <v>139</v>
      </c>
      <c r="AN418" s="62"/>
      <c r="AO418" s="59"/>
      <c r="AP418" s="10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1"/>
    </row>
    <row r="419" spans="1:53" x14ac:dyDescent="0.2">
      <c r="A419" s="33">
        <f t="shared" si="7"/>
        <v>414</v>
      </c>
      <c r="B419" s="34" t="s">
        <v>3362</v>
      </c>
      <c r="C419" s="35" t="s">
        <v>3363</v>
      </c>
      <c r="D419" s="36" t="s">
        <v>3364</v>
      </c>
      <c r="E419" s="334">
        <v>22352</v>
      </c>
      <c r="F419" s="36" t="s">
        <v>36</v>
      </c>
      <c r="G419" s="34" t="s">
        <v>3365</v>
      </c>
      <c r="H419" s="37" t="s">
        <v>73</v>
      </c>
      <c r="I419" s="37" t="s">
        <v>73</v>
      </c>
      <c r="J419" s="38" t="s">
        <v>3366</v>
      </c>
      <c r="K419" s="34" t="s">
        <v>41</v>
      </c>
      <c r="L419" s="39" t="s">
        <v>42</v>
      </c>
      <c r="M419" s="120">
        <v>43750</v>
      </c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42" t="s">
        <v>3367</v>
      </c>
      <c r="Z419" s="58" t="s">
        <v>3368</v>
      </c>
      <c r="AA419" s="44" t="s">
        <v>3369</v>
      </c>
      <c r="AB419" s="45">
        <v>44041</v>
      </c>
      <c r="AC419" s="101" t="s">
        <v>30</v>
      </c>
      <c r="AD419" s="36" t="s">
        <v>26</v>
      </c>
      <c r="AE419" s="47" t="s">
        <v>49</v>
      </c>
      <c r="AF419" s="48" t="s">
        <v>49</v>
      </c>
      <c r="AG419" s="48" t="s">
        <v>49</v>
      </c>
      <c r="AH419" s="48" t="s">
        <v>49</v>
      </c>
      <c r="AI419" s="48" t="s">
        <v>49</v>
      </c>
      <c r="AJ419" s="48" t="s">
        <v>49</v>
      </c>
      <c r="AK419" s="49" t="s">
        <v>49</v>
      </c>
      <c r="AL419" s="48" t="s">
        <v>49</v>
      </c>
      <c r="AM419" s="62" t="s">
        <v>32</v>
      </c>
      <c r="AN419" s="62"/>
      <c r="AO419" s="59"/>
      <c r="AP419" s="10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1"/>
    </row>
    <row r="420" spans="1:53" x14ac:dyDescent="0.2">
      <c r="A420" s="33">
        <f t="shared" si="7"/>
        <v>415</v>
      </c>
      <c r="B420" s="34" t="s">
        <v>3370</v>
      </c>
      <c r="C420" s="35" t="s">
        <v>3371</v>
      </c>
      <c r="D420" s="36" t="s">
        <v>3372</v>
      </c>
      <c r="E420" s="334">
        <v>22600</v>
      </c>
      <c r="F420" s="36" t="s">
        <v>54</v>
      </c>
      <c r="G420" s="34" t="s">
        <v>3373</v>
      </c>
      <c r="H420" s="37" t="s">
        <v>73</v>
      </c>
      <c r="I420" s="37" t="s">
        <v>73</v>
      </c>
      <c r="J420" s="34" t="s">
        <v>3374</v>
      </c>
      <c r="K420" s="34" t="s">
        <v>3375</v>
      </c>
      <c r="L420" s="39" t="s">
        <v>42</v>
      </c>
      <c r="M420" s="99" t="s">
        <v>3376</v>
      </c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2" t="s">
        <v>3377</v>
      </c>
      <c r="Z420" s="100" t="s">
        <v>3378</v>
      </c>
      <c r="AA420" s="44" t="s">
        <v>61</v>
      </c>
      <c r="AB420" s="45">
        <v>36641</v>
      </c>
      <c r="AC420" s="101" t="s">
        <v>30</v>
      </c>
      <c r="AD420" s="36" t="s">
        <v>26</v>
      </c>
      <c r="AE420" s="47" t="s">
        <v>49</v>
      </c>
      <c r="AF420" s="48" t="s">
        <v>49</v>
      </c>
      <c r="AG420" s="48" t="s">
        <v>49</v>
      </c>
      <c r="AH420" s="48" t="s">
        <v>49</v>
      </c>
      <c r="AI420" s="48" t="s">
        <v>49</v>
      </c>
      <c r="AJ420" s="48" t="s">
        <v>49</v>
      </c>
      <c r="AK420" s="49" t="s">
        <v>49</v>
      </c>
      <c r="AL420" s="48" t="s">
        <v>49</v>
      </c>
      <c r="AM420" s="65" t="s">
        <v>32</v>
      </c>
      <c r="AN420" s="65"/>
      <c r="AO420" s="59"/>
      <c r="AP420" s="10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1"/>
    </row>
    <row r="421" spans="1:53" x14ac:dyDescent="0.2">
      <c r="A421" s="33">
        <f t="shared" si="7"/>
        <v>416</v>
      </c>
      <c r="B421" s="34" t="s">
        <v>3379</v>
      </c>
      <c r="C421" s="35" t="s">
        <v>3380</v>
      </c>
      <c r="D421" s="36" t="s">
        <v>3381</v>
      </c>
      <c r="E421" s="334">
        <v>26351</v>
      </c>
      <c r="F421" s="36" t="s">
        <v>54</v>
      </c>
      <c r="G421" s="34" t="s">
        <v>3382</v>
      </c>
      <c r="H421" s="37" t="s">
        <v>456</v>
      </c>
      <c r="I421" s="37" t="s">
        <v>187</v>
      </c>
      <c r="J421" s="38" t="s">
        <v>3383</v>
      </c>
      <c r="K421" s="34" t="s">
        <v>41</v>
      </c>
      <c r="L421" s="39" t="s">
        <v>42</v>
      </c>
      <c r="M421" s="99" t="s">
        <v>3384</v>
      </c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7" t="s">
        <v>3385</v>
      </c>
      <c r="Z421" s="58" t="s">
        <v>3386</v>
      </c>
      <c r="AA421" s="44" t="s">
        <v>61</v>
      </c>
      <c r="AB421" s="45">
        <v>38593</v>
      </c>
      <c r="AC421" s="101" t="s">
        <v>30</v>
      </c>
      <c r="AD421" s="36" t="s">
        <v>26</v>
      </c>
      <c r="AE421" s="47" t="s">
        <v>49</v>
      </c>
      <c r="AF421" s="48" t="s">
        <v>49</v>
      </c>
      <c r="AG421" s="48" t="s">
        <v>49</v>
      </c>
      <c r="AH421" s="48" t="s">
        <v>49</v>
      </c>
      <c r="AI421" s="48" t="s">
        <v>49</v>
      </c>
      <c r="AJ421" s="48" t="s">
        <v>49</v>
      </c>
      <c r="AK421" s="49" t="s">
        <v>49</v>
      </c>
      <c r="AL421" s="48" t="s">
        <v>41</v>
      </c>
      <c r="AM421" s="65" t="s">
        <v>148</v>
      </c>
      <c r="AN421" s="65"/>
      <c r="AO421" s="59"/>
      <c r="AP421" s="10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1"/>
    </row>
    <row r="422" spans="1:53" x14ac:dyDescent="0.2">
      <c r="A422" s="33">
        <f t="shared" si="7"/>
        <v>417</v>
      </c>
      <c r="B422" s="34" t="s">
        <v>3387</v>
      </c>
      <c r="C422" s="35" t="s">
        <v>3388</v>
      </c>
      <c r="D422" s="36" t="s">
        <v>3389</v>
      </c>
      <c r="E422" s="334">
        <v>34720</v>
      </c>
      <c r="F422" s="36" t="s">
        <v>54</v>
      </c>
      <c r="G422" s="34" t="s">
        <v>3390</v>
      </c>
      <c r="H422" s="37" t="s">
        <v>176</v>
      </c>
      <c r="I422" s="37" t="s">
        <v>39</v>
      </c>
      <c r="J422" s="38" t="s">
        <v>3391</v>
      </c>
      <c r="K422" s="34"/>
      <c r="L422" s="39" t="s">
        <v>42</v>
      </c>
      <c r="M422" s="99" t="s">
        <v>3392</v>
      </c>
      <c r="N422" s="56"/>
      <c r="O422" s="56"/>
      <c r="P422" s="56"/>
      <c r="Q422" s="56"/>
      <c r="R422" s="56"/>
      <c r="S422" s="56"/>
      <c r="T422" s="56"/>
      <c r="U422" s="56" t="s">
        <v>44</v>
      </c>
      <c r="V422" s="56"/>
      <c r="W422" s="56"/>
      <c r="X422" s="56"/>
      <c r="Y422" s="42" t="s">
        <v>3393</v>
      </c>
      <c r="Z422" s="58" t="s">
        <v>3394</v>
      </c>
      <c r="AA422" s="44"/>
      <c r="AB422" s="45">
        <v>45642</v>
      </c>
      <c r="AC422" s="101"/>
      <c r="AD422" s="36"/>
      <c r="AE422" s="47" t="s">
        <v>49</v>
      </c>
      <c r="AF422" s="48" t="s">
        <v>41</v>
      </c>
      <c r="AG422" s="48" t="s">
        <v>41</v>
      </c>
      <c r="AH422" s="48" t="s">
        <v>41</v>
      </c>
      <c r="AI422" s="48" t="s">
        <v>49</v>
      </c>
      <c r="AJ422" s="48" t="s">
        <v>49</v>
      </c>
      <c r="AK422" s="49" t="s">
        <v>49</v>
      </c>
      <c r="AL422" s="48" t="s">
        <v>49</v>
      </c>
      <c r="AM422" s="62" t="s">
        <v>32</v>
      </c>
      <c r="AN422" s="62"/>
      <c r="AO422" s="59"/>
      <c r="AP422" s="10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1"/>
    </row>
    <row r="423" spans="1:53" x14ac:dyDescent="0.2">
      <c r="A423" s="33">
        <f t="shared" si="7"/>
        <v>418</v>
      </c>
      <c r="B423" s="34" t="s">
        <v>3395</v>
      </c>
      <c r="C423" s="35" t="s">
        <v>3396</v>
      </c>
      <c r="D423" s="36" t="s">
        <v>3397</v>
      </c>
      <c r="E423" s="334">
        <v>29508</v>
      </c>
      <c r="F423" s="36" t="s">
        <v>54</v>
      </c>
      <c r="G423" s="34" t="s">
        <v>3398</v>
      </c>
      <c r="H423" s="37" t="s">
        <v>73</v>
      </c>
      <c r="I423" s="37" t="s">
        <v>73</v>
      </c>
      <c r="J423" s="38" t="s">
        <v>3399</v>
      </c>
      <c r="K423" s="34" t="s">
        <v>41</v>
      </c>
      <c r="L423" s="39" t="s">
        <v>42</v>
      </c>
      <c r="M423" s="120">
        <v>45355</v>
      </c>
      <c r="N423" s="41"/>
      <c r="O423" s="94"/>
      <c r="P423" s="94"/>
      <c r="Q423" s="94"/>
      <c r="R423" s="94"/>
      <c r="S423" s="94"/>
      <c r="T423" s="94"/>
      <c r="U423" s="94"/>
      <c r="V423" s="94" t="s">
        <v>44</v>
      </c>
      <c r="W423" s="94"/>
      <c r="X423" s="94"/>
      <c r="Y423" s="54" t="s">
        <v>3400</v>
      </c>
      <c r="Z423" s="58" t="s">
        <v>3401</v>
      </c>
      <c r="AA423" s="44"/>
      <c r="AB423" s="45"/>
      <c r="AC423" s="101"/>
      <c r="AD423" s="36"/>
      <c r="AE423" s="61" t="s">
        <v>49</v>
      </c>
      <c r="AF423" s="48" t="s">
        <v>41</v>
      </c>
      <c r="AG423" s="48" t="s">
        <v>41</v>
      </c>
      <c r="AH423" s="48" t="s">
        <v>41</v>
      </c>
      <c r="AI423" s="48" t="s">
        <v>41</v>
      </c>
      <c r="AJ423" s="48" t="s">
        <v>49</v>
      </c>
      <c r="AK423" s="49" t="s">
        <v>41</v>
      </c>
      <c r="AL423" s="48" t="s">
        <v>41</v>
      </c>
      <c r="AM423" s="62" t="s">
        <v>276</v>
      </c>
      <c r="AN423" s="62"/>
      <c r="AO423" s="59"/>
      <c r="AP423" s="10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1"/>
    </row>
    <row r="424" spans="1:53" x14ac:dyDescent="0.2">
      <c r="A424" s="33">
        <f t="shared" si="7"/>
        <v>419</v>
      </c>
      <c r="B424" s="34" t="s">
        <v>3402</v>
      </c>
      <c r="C424" s="35" t="s">
        <v>3403</v>
      </c>
      <c r="D424" s="36" t="s">
        <v>3404</v>
      </c>
      <c r="E424" s="36"/>
      <c r="F424" s="36" t="s">
        <v>54</v>
      </c>
      <c r="G424" s="34" t="s">
        <v>3405</v>
      </c>
      <c r="H424" s="37" t="s">
        <v>38</v>
      </c>
      <c r="I424" s="37" t="s">
        <v>39</v>
      </c>
      <c r="J424" s="38" t="s">
        <v>3325</v>
      </c>
      <c r="K424" s="34" t="s">
        <v>41</v>
      </c>
      <c r="L424" s="39" t="s">
        <v>42</v>
      </c>
      <c r="M424" s="99" t="s">
        <v>1824</v>
      </c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42" t="s">
        <v>3406</v>
      </c>
      <c r="Z424" s="58" t="s">
        <v>3407</v>
      </c>
      <c r="AA424" s="44" t="s">
        <v>61</v>
      </c>
      <c r="AB424" s="45">
        <v>39288</v>
      </c>
      <c r="AC424" s="101" t="s">
        <v>30</v>
      </c>
      <c r="AD424" s="36" t="s">
        <v>26</v>
      </c>
      <c r="AE424" s="47" t="s">
        <v>49</v>
      </c>
      <c r="AF424" s="48" t="s">
        <v>49</v>
      </c>
      <c r="AG424" s="48" t="s">
        <v>41</v>
      </c>
      <c r="AH424" s="48" t="s">
        <v>41</v>
      </c>
      <c r="AI424" s="48" t="s">
        <v>41</v>
      </c>
      <c r="AJ424" s="48" t="s">
        <v>41</v>
      </c>
      <c r="AK424" s="49" t="s">
        <v>41</v>
      </c>
      <c r="AL424" s="48" t="s">
        <v>41</v>
      </c>
      <c r="AM424" s="62" t="s">
        <v>4587</v>
      </c>
      <c r="AN424" s="62"/>
      <c r="AO424" s="59"/>
      <c r="AP424" s="10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1"/>
    </row>
    <row r="425" spans="1:53" x14ac:dyDescent="0.2">
      <c r="A425" s="33">
        <f t="shared" si="7"/>
        <v>420</v>
      </c>
      <c r="B425" s="34" t="s">
        <v>3408</v>
      </c>
      <c r="C425" s="35" t="s">
        <v>3409</v>
      </c>
      <c r="D425" s="36" t="s">
        <v>3410</v>
      </c>
      <c r="E425" s="334">
        <v>29566</v>
      </c>
      <c r="F425" s="36" t="s">
        <v>54</v>
      </c>
      <c r="G425" s="34" t="s">
        <v>3411</v>
      </c>
      <c r="H425" s="37" t="s">
        <v>73</v>
      </c>
      <c r="I425" s="37" t="s">
        <v>73</v>
      </c>
      <c r="J425" s="34" t="s">
        <v>3412</v>
      </c>
      <c r="K425" s="34" t="s">
        <v>3413</v>
      </c>
      <c r="L425" s="39" t="s">
        <v>42</v>
      </c>
      <c r="M425" s="120">
        <v>34761</v>
      </c>
      <c r="N425" s="41"/>
      <c r="O425" s="41"/>
      <c r="P425" s="41"/>
      <c r="Q425" s="41"/>
      <c r="R425" s="41"/>
      <c r="S425" s="41"/>
      <c r="T425" s="41"/>
      <c r="U425" s="41"/>
      <c r="V425" s="41" t="s">
        <v>732</v>
      </c>
      <c r="W425" s="41"/>
      <c r="X425" s="41"/>
      <c r="Y425" s="42" t="s">
        <v>3414</v>
      </c>
      <c r="Z425" s="58" t="s">
        <v>3415</v>
      </c>
      <c r="AA425" s="44" t="s">
        <v>61</v>
      </c>
      <c r="AB425" s="45">
        <v>40815</v>
      </c>
      <c r="AC425" s="101" t="s">
        <v>30</v>
      </c>
      <c r="AD425" s="36" t="s">
        <v>26</v>
      </c>
      <c r="AE425" s="64" t="s">
        <v>120</v>
      </c>
      <c r="AF425" s="48" t="s">
        <v>120</v>
      </c>
      <c r="AG425" s="48" t="s">
        <v>120</v>
      </c>
      <c r="AH425" s="48" t="s">
        <v>120</v>
      </c>
      <c r="AI425" s="48" t="s">
        <v>120</v>
      </c>
      <c r="AJ425" s="48" t="s">
        <v>120</v>
      </c>
      <c r="AK425" s="49" t="s">
        <v>41</v>
      </c>
      <c r="AL425" s="48" t="s">
        <v>41</v>
      </c>
      <c r="AM425" s="62" t="s">
        <v>276</v>
      </c>
      <c r="AN425" s="62"/>
      <c r="AO425" s="59"/>
      <c r="AP425" s="10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1"/>
    </row>
    <row r="426" spans="1:53" x14ac:dyDescent="0.2">
      <c r="A426" s="33">
        <f t="shared" si="7"/>
        <v>421</v>
      </c>
      <c r="B426" s="34" t="s">
        <v>3416</v>
      </c>
      <c r="C426" s="35" t="s">
        <v>3417</v>
      </c>
      <c r="D426" s="36" t="s">
        <v>3418</v>
      </c>
      <c r="E426" s="334">
        <v>35424</v>
      </c>
      <c r="F426" s="36" t="s">
        <v>54</v>
      </c>
      <c r="G426" s="34" t="s">
        <v>3419</v>
      </c>
      <c r="H426" s="37" t="s">
        <v>176</v>
      </c>
      <c r="I426" s="37" t="s">
        <v>39</v>
      </c>
      <c r="J426" s="38" t="s">
        <v>3420</v>
      </c>
      <c r="K426" s="34" t="s">
        <v>41</v>
      </c>
      <c r="L426" s="39" t="s">
        <v>42</v>
      </c>
      <c r="M426" s="120">
        <v>45349</v>
      </c>
      <c r="N426" s="56"/>
      <c r="O426" s="56"/>
      <c r="P426" s="56"/>
      <c r="Q426" s="56"/>
      <c r="R426" s="56"/>
      <c r="S426" s="56"/>
      <c r="T426" s="56"/>
      <c r="U426" s="56"/>
      <c r="V426" s="56" t="s">
        <v>44</v>
      </c>
      <c r="W426" s="56"/>
      <c r="X426" s="56"/>
      <c r="Y426" s="54" t="s">
        <v>3421</v>
      </c>
      <c r="Z426" s="83" t="s">
        <v>3422</v>
      </c>
      <c r="AA426" s="119"/>
      <c r="AB426" s="45"/>
      <c r="AC426" s="101"/>
      <c r="AD426" s="36"/>
      <c r="AE426" s="47" t="s">
        <v>49</v>
      </c>
      <c r="AF426" s="48" t="s">
        <v>41</v>
      </c>
      <c r="AG426" s="48" t="s">
        <v>41</v>
      </c>
      <c r="AH426" s="48" t="s">
        <v>41</v>
      </c>
      <c r="AI426" s="48" t="s">
        <v>41</v>
      </c>
      <c r="AJ426" s="48" t="s">
        <v>49</v>
      </c>
      <c r="AK426" s="49" t="s">
        <v>41</v>
      </c>
      <c r="AL426" s="48" t="s">
        <v>41</v>
      </c>
      <c r="AM426" s="62" t="s">
        <v>276</v>
      </c>
      <c r="AN426" s="62"/>
      <c r="AO426" s="59"/>
      <c r="AP426" s="10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1"/>
    </row>
    <row r="427" spans="1:53" x14ac:dyDescent="0.2">
      <c r="A427" s="33">
        <f t="shared" si="7"/>
        <v>422</v>
      </c>
      <c r="B427" s="34" t="s">
        <v>3423</v>
      </c>
      <c r="C427" s="35" t="s">
        <v>3424</v>
      </c>
      <c r="D427" s="36" t="s">
        <v>3425</v>
      </c>
      <c r="E427" s="334">
        <v>30580</v>
      </c>
      <c r="F427" s="36" t="s">
        <v>54</v>
      </c>
      <c r="G427" s="34" t="s">
        <v>3426</v>
      </c>
      <c r="H427" s="37" t="s">
        <v>176</v>
      </c>
      <c r="I427" s="37" t="s">
        <v>39</v>
      </c>
      <c r="J427" s="38" t="s">
        <v>3427</v>
      </c>
      <c r="K427" s="34" t="s">
        <v>41</v>
      </c>
      <c r="L427" s="39" t="s">
        <v>42</v>
      </c>
      <c r="M427" s="99" t="s">
        <v>3428</v>
      </c>
      <c r="N427" s="115"/>
      <c r="O427" s="115"/>
      <c r="P427" s="115"/>
      <c r="Q427" s="115"/>
      <c r="R427" s="115"/>
      <c r="S427" s="115"/>
      <c r="T427" s="115"/>
      <c r="U427" s="56"/>
      <c r="V427" s="56"/>
      <c r="W427" s="56"/>
      <c r="X427" s="56"/>
      <c r="Y427" s="42" t="s">
        <v>3429</v>
      </c>
      <c r="Z427" s="58" t="s">
        <v>3430</v>
      </c>
      <c r="AA427" s="121" t="s">
        <v>3431</v>
      </c>
      <c r="AB427" s="45">
        <v>44650</v>
      </c>
      <c r="AC427" s="101" t="s">
        <v>30</v>
      </c>
      <c r="AD427" s="36" t="s">
        <v>26</v>
      </c>
      <c r="AE427" s="47" t="s">
        <v>49</v>
      </c>
      <c r="AF427" s="48" t="s">
        <v>49</v>
      </c>
      <c r="AG427" s="48" t="s">
        <v>49</v>
      </c>
      <c r="AH427" s="48" t="s">
        <v>49</v>
      </c>
      <c r="AI427" s="48" t="s">
        <v>49</v>
      </c>
      <c r="AJ427" s="48" t="s">
        <v>49</v>
      </c>
      <c r="AK427" s="49" t="s">
        <v>41</v>
      </c>
      <c r="AL427" s="48" t="s">
        <v>41</v>
      </c>
      <c r="AM427" s="62" t="s">
        <v>276</v>
      </c>
      <c r="AN427" s="62"/>
      <c r="AO427" s="59"/>
      <c r="AP427" s="10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1"/>
    </row>
    <row r="428" spans="1:53" x14ac:dyDescent="0.2">
      <c r="A428" s="33">
        <f t="shared" si="7"/>
        <v>423</v>
      </c>
      <c r="B428" s="34" t="s">
        <v>3432</v>
      </c>
      <c r="C428" s="35" t="s">
        <v>3433</v>
      </c>
      <c r="D428" s="36" t="s">
        <v>3434</v>
      </c>
      <c r="E428" s="334">
        <v>26517</v>
      </c>
      <c r="F428" s="36" t="s">
        <v>54</v>
      </c>
      <c r="G428" s="34" t="s">
        <v>3435</v>
      </c>
      <c r="H428" s="37" t="s">
        <v>205</v>
      </c>
      <c r="I428" s="37" t="s">
        <v>205</v>
      </c>
      <c r="J428" s="38" t="s">
        <v>3436</v>
      </c>
      <c r="K428" s="38" t="s">
        <v>3437</v>
      </c>
      <c r="L428" s="39" t="s">
        <v>42</v>
      </c>
      <c r="M428" s="99" t="s">
        <v>3438</v>
      </c>
      <c r="N428" s="115"/>
      <c r="O428" s="115"/>
      <c r="P428" s="115"/>
      <c r="Q428" s="115"/>
      <c r="R428" s="115"/>
      <c r="S428" s="115"/>
      <c r="T428" s="115"/>
      <c r="U428" s="56"/>
      <c r="V428" s="56"/>
      <c r="W428" s="56"/>
      <c r="X428" s="56"/>
      <c r="Y428" s="42" t="s">
        <v>3439</v>
      </c>
      <c r="Z428" s="58" t="s">
        <v>3440</v>
      </c>
      <c r="AA428" s="44" t="s">
        <v>3441</v>
      </c>
      <c r="AB428" s="45">
        <v>44041</v>
      </c>
      <c r="AC428" s="101" t="s">
        <v>30</v>
      </c>
      <c r="AD428" s="36" t="s">
        <v>26</v>
      </c>
      <c r="AE428" s="47" t="s">
        <v>49</v>
      </c>
      <c r="AF428" s="48" t="s">
        <v>49</v>
      </c>
      <c r="AG428" s="48" t="s">
        <v>49</v>
      </c>
      <c r="AH428" s="48" t="s">
        <v>49</v>
      </c>
      <c r="AI428" s="48" t="s">
        <v>49</v>
      </c>
      <c r="AJ428" s="48" t="s">
        <v>49</v>
      </c>
      <c r="AK428" s="49" t="s">
        <v>49</v>
      </c>
      <c r="AL428" s="48" t="s">
        <v>49</v>
      </c>
      <c r="AM428" s="62" t="s">
        <v>32</v>
      </c>
      <c r="AN428" s="62"/>
      <c r="AO428" s="59"/>
      <c r="AP428" s="117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1"/>
    </row>
    <row r="429" spans="1:53" x14ac:dyDescent="0.2">
      <c r="A429" s="33">
        <f t="shared" si="7"/>
        <v>424</v>
      </c>
      <c r="B429" s="34" t="s">
        <v>3442</v>
      </c>
      <c r="C429" s="35" t="s">
        <v>3443</v>
      </c>
      <c r="D429" s="36" t="s">
        <v>3444</v>
      </c>
      <c r="E429" s="334">
        <v>27643</v>
      </c>
      <c r="F429" s="36" t="s">
        <v>36</v>
      </c>
      <c r="G429" s="34" t="s">
        <v>3445</v>
      </c>
      <c r="H429" s="37" t="s">
        <v>243</v>
      </c>
      <c r="I429" s="37" t="s">
        <v>205</v>
      </c>
      <c r="J429" s="38" t="s">
        <v>3446</v>
      </c>
      <c r="K429" s="38" t="s">
        <v>41</v>
      </c>
      <c r="L429" s="39" t="s">
        <v>42</v>
      </c>
      <c r="M429" s="99" t="s">
        <v>3447</v>
      </c>
      <c r="N429" s="115"/>
      <c r="O429" s="115"/>
      <c r="P429" s="115"/>
      <c r="Q429" s="115"/>
      <c r="R429" s="115"/>
      <c r="S429" s="115"/>
      <c r="T429" s="115" t="s">
        <v>44</v>
      </c>
      <c r="U429" s="56"/>
      <c r="V429" s="56"/>
      <c r="W429" s="56"/>
      <c r="X429" s="56"/>
      <c r="Y429" s="42" t="s">
        <v>3448</v>
      </c>
      <c r="Z429" s="58" t="s">
        <v>3449</v>
      </c>
      <c r="AA429" s="58"/>
      <c r="AB429" s="223" t="s">
        <v>47</v>
      </c>
      <c r="AC429" s="101"/>
      <c r="AD429" s="36"/>
      <c r="AE429" s="47" t="s">
        <v>49</v>
      </c>
      <c r="AF429" s="48" t="s">
        <v>41</v>
      </c>
      <c r="AG429" s="48" t="s">
        <v>41</v>
      </c>
      <c r="AH429" s="48" t="s">
        <v>49</v>
      </c>
      <c r="AI429" s="48" t="s">
        <v>49</v>
      </c>
      <c r="AJ429" s="48" t="s">
        <v>49</v>
      </c>
      <c r="AK429" s="49" t="s">
        <v>49</v>
      </c>
      <c r="AL429" s="48" t="s">
        <v>41</v>
      </c>
      <c r="AM429" s="62" t="s">
        <v>148</v>
      </c>
      <c r="AN429" s="62"/>
      <c r="AO429" s="59"/>
      <c r="AP429" s="10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1"/>
    </row>
    <row r="430" spans="1:53" x14ac:dyDescent="0.2">
      <c r="A430" s="33">
        <f t="shared" si="7"/>
        <v>425</v>
      </c>
      <c r="B430" s="34" t="s">
        <v>3450</v>
      </c>
      <c r="C430" s="123" t="s">
        <v>3451</v>
      </c>
      <c r="D430" s="202" t="s">
        <v>3452</v>
      </c>
      <c r="E430" s="342">
        <v>27669</v>
      </c>
      <c r="F430" s="36" t="s">
        <v>54</v>
      </c>
      <c r="G430" s="34" t="s">
        <v>3453</v>
      </c>
      <c r="H430" s="126" t="s">
        <v>323</v>
      </c>
      <c r="I430" s="126" t="s">
        <v>39</v>
      </c>
      <c r="J430" s="34" t="s">
        <v>3454</v>
      </c>
      <c r="K430" s="34" t="s">
        <v>3455</v>
      </c>
      <c r="L430" s="128" t="s">
        <v>42</v>
      </c>
      <c r="M430" s="120">
        <v>37201</v>
      </c>
      <c r="N430" s="188"/>
      <c r="O430" s="188"/>
      <c r="P430" s="188"/>
      <c r="Q430" s="188"/>
      <c r="R430" s="188"/>
      <c r="S430" s="188"/>
      <c r="T430" s="188"/>
      <c r="U430" s="188"/>
      <c r="V430" s="188"/>
      <c r="W430" s="188"/>
      <c r="X430" s="188"/>
      <c r="Y430" s="42" t="s">
        <v>3456</v>
      </c>
      <c r="Z430" s="100" t="s">
        <v>3457</v>
      </c>
      <c r="AA430" s="119" t="s">
        <v>61</v>
      </c>
      <c r="AB430" s="131">
        <v>39286</v>
      </c>
      <c r="AC430" s="164" t="s">
        <v>30</v>
      </c>
      <c r="AD430" s="36" t="s">
        <v>26</v>
      </c>
      <c r="AE430" s="133" t="s">
        <v>49</v>
      </c>
      <c r="AF430" s="48" t="s">
        <v>49</v>
      </c>
      <c r="AG430" s="48" t="s">
        <v>49</v>
      </c>
      <c r="AH430" s="48" t="s">
        <v>49</v>
      </c>
      <c r="AI430" s="48" t="s">
        <v>49</v>
      </c>
      <c r="AJ430" s="48" t="s">
        <v>49</v>
      </c>
      <c r="AK430" s="49" t="s">
        <v>49</v>
      </c>
      <c r="AL430" s="48" t="s">
        <v>49</v>
      </c>
      <c r="AM430" s="62" t="s">
        <v>32</v>
      </c>
      <c r="AN430" s="232"/>
      <c r="AO430" s="134"/>
      <c r="AP430" s="10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1"/>
    </row>
    <row r="431" spans="1:53" x14ac:dyDescent="0.2">
      <c r="A431" s="33">
        <f t="shared" si="7"/>
        <v>426</v>
      </c>
      <c r="B431" s="34" t="s">
        <v>3458</v>
      </c>
      <c r="C431" s="123" t="s">
        <v>3459</v>
      </c>
      <c r="D431" s="202" t="s">
        <v>3460</v>
      </c>
      <c r="E431" s="202"/>
      <c r="F431" s="36" t="s">
        <v>54</v>
      </c>
      <c r="G431" s="34" t="s">
        <v>3461</v>
      </c>
      <c r="H431" s="126" t="s">
        <v>349</v>
      </c>
      <c r="I431" s="126" t="s">
        <v>350</v>
      </c>
      <c r="J431" s="38" t="s">
        <v>3462</v>
      </c>
      <c r="K431" s="34" t="s">
        <v>41</v>
      </c>
      <c r="L431" s="128" t="s">
        <v>42</v>
      </c>
      <c r="M431" s="163" t="s">
        <v>3463</v>
      </c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42" t="s">
        <v>3464</v>
      </c>
      <c r="Z431" s="58" t="s">
        <v>3465</v>
      </c>
      <c r="AA431" s="44" t="s">
        <v>3466</v>
      </c>
      <c r="AB431" s="131">
        <v>42935</v>
      </c>
      <c r="AC431" s="101" t="s">
        <v>30</v>
      </c>
      <c r="AD431" s="36" t="s">
        <v>26</v>
      </c>
      <c r="AE431" s="133" t="s">
        <v>49</v>
      </c>
      <c r="AF431" s="48" t="s">
        <v>49</v>
      </c>
      <c r="AG431" s="48" t="s">
        <v>41</v>
      </c>
      <c r="AH431" s="48" t="s">
        <v>41</v>
      </c>
      <c r="AI431" s="48" t="s">
        <v>41</v>
      </c>
      <c r="AJ431" s="48" t="s">
        <v>41</v>
      </c>
      <c r="AK431" s="49" t="s">
        <v>41</v>
      </c>
      <c r="AL431" s="48" t="s">
        <v>41</v>
      </c>
      <c r="AM431" s="232" t="s">
        <v>4587</v>
      </c>
      <c r="AN431" s="232"/>
      <c r="AO431" s="134"/>
      <c r="AP431" s="117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1"/>
    </row>
    <row r="432" spans="1:53" x14ac:dyDescent="0.2">
      <c r="A432" s="33">
        <f t="shared" si="7"/>
        <v>427</v>
      </c>
      <c r="B432" s="122" t="s">
        <v>3467</v>
      </c>
      <c r="C432" s="123" t="s">
        <v>3468</v>
      </c>
      <c r="D432" s="202" t="s">
        <v>3469</v>
      </c>
      <c r="E432" s="342">
        <v>33768</v>
      </c>
      <c r="F432" s="36" t="s">
        <v>54</v>
      </c>
      <c r="G432" s="122" t="s">
        <v>3470</v>
      </c>
      <c r="H432" s="126" t="s">
        <v>73</v>
      </c>
      <c r="I432" s="126" t="s">
        <v>73</v>
      </c>
      <c r="J432" s="127" t="s">
        <v>3471</v>
      </c>
      <c r="K432" s="122"/>
      <c r="L432" s="128" t="s">
        <v>42</v>
      </c>
      <c r="M432" s="163" t="s">
        <v>3472</v>
      </c>
      <c r="N432" s="130"/>
      <c r="O432" s="130"/>
      <c r="P432" s="130"/>
      <c r="Q432" s="130"/>
      <c r="R432" s="130"/>
      <c r="S432" s="130"/>
      <c r="T432" s="130" t="s">
        <v>44</v>
      </c>
      <c r="U432" s="130"/>
      <c r="V432" s="130"/>
      <c r="W432" s="130"/>
      <c r="X432" s="130"/>
      <c r="Y432" s="42" t="s">
        <v>3474</v>
      </c>
      <c r="Z432" s="58" t="s">
        <v>3475</v>
      </c>
      <c r="AA432" s="121" t="s">
        <v>3476</v>
      </c>
      <c r="AB432" s="45">
        <v>44650</v>
      </c>
      <c r="AC432" s="101" t="s">
        <v>30</v>
      </c>
      <c r="AD432" s="36"/>
      <c r="AE432" s="133" t="s">
        <v>49</v>
      </c>
      <c r="AF432" s="48" t="s">
        <v>41</v>
      </c>
      <c r="AG432" s="48" t="s">
        <v>41</v>
      </c>
      <c r="AH432" s="48" t="s">
        <v>49</v>
      </c>
      <c r="AI432" s="48" t="s">
        <v>49</v>
      </c>
      <c r="AJ432" s="48" t="s">
        <v>49</v>
      </c>
      <c r="AK432" s="49" t="s">
        <v>49</v>
      </c>
      <c r="AL432" s="48" t="s">
        <v>49</v>
      </c>
      <c r="AM432" s="65" t="s">
        <v>32</v>
      </c>
      <c r="AN432" s="325"/>
      <c r="AO432" s="134"/>
      <c r="AP432" s="117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1"/>
    </row>
    <row r="433" spans="1:53" x14ac:dyDescent="0.2">
      <c r="A433" s="33">
        <f t="shared" si="7"/>
        <v>428</v>
      </c>
      <c r="B433" s="34" t="s">
        <v>3477</v>
      </c>
      <c r="C433" s="35" t="s">
        <v>3478</v>
      </c>
      <c r="D433" s="36" t="s">
        <v>3479</v>
      </c>
      <c r="E433" s="36"/>
      <c r="F433" s="36" t="s">
        <v>36</v>
      </c>
      <c r="G433" s="34" t="s">
        <v>3480</v>
      </c>
      <c r="H433" s="37" t="s">
        <v>38</v>
      </c>
      <c r="I433" s="37" t="s">
        <v>39</v>
      </c>
      <c r="J433" s="38" t="s">
        <v>3481</v>
      </c>
      <c r="K433" s="34" t="s">
        <v>41</v>
      </c>
      <c r="L433" s="39" t="s">
        <v>42</v>
      </c>
      <c r="M433" s="120">
        <v>38295</v>
      </c>
      <c r="N433" s="56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42" t="s">
        <v>3482</v>
      </c>
      <c r="Z433" s="58" t="s">
        <v>3483</v>
      </c>
      <c r="AA433" s="44" t="s">
        <v>61</v>
      </c>
      <c r="AB433" s="45">
        <v>39286</v>
      </c>
      <c r="AC433" s="101" t="s">
        <v>30</v>
      </c>
      <c r="AD433" s="36"/>
      <c r="AE433" s="47" t="s">
        <v>49</v>
      </c>
      <c r="AF433" s="48" t="s">
        <v>41</v>
      </c>
      <c r="AG433" s="48" t="s">
        <v>41</v>
      </c>
      <c r="AH433" s="48" t="s">
        <v>41</v>
      </c>
      <c r="AI433" s="48" t="s">
        <v>41</v>
      </c>
      <c r="AJ433" s="48" t="s">
        <v>41</v>
      </c>
      <c r="AK433" s="49" t="s">
        <v>41</v>
      </c>
      <c r="AL433" s="48" t="s">
        <v>41</v>
      </c>
      <c r="AM433" s="65" t="s">
        <v>4588</v>
      </c>
      <c r="AN433" s="65"/>
      <c r="AO433" s="59" t="s">
        <v>451</v>
      </c>
      <c r="AP433" s="117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1"/>
    </row>
    <row r="434" spans="1:53" x14ac:dyDescent="0.2">
      <c r="A434" s="33">
        <f t="shared" si="7"/>
        <v>429</v>
      </c>
      <c r="B434" s="34" t="s">
        <v>3484</v>
      </c>
      <c r="C434" s="35" t="s">
        <v>3485</v>
      </c>
      <c r="D434" s="73" t="s">
        <v>3486</v>
      </c>
      <c r="E434" s="73"/>
      <c r="F434" s="36" t="s">
        <v>54</v>
      </c>
      <c r="G434" s="98" t="s">
        <v>3487</v>
      </c>
      <c r="H434" s="37" t="s">
        <v>747</v>
      </c>
      <c r="I434" s="37" t="s">
        <v>378</v>
      </c>
      <c r="J434" s="34" t="s">
        <v>3488</v>
      </c>
      <c r="K434" s="34" t="s">
        <v>41</v>
      </c>
      <c r="L434" s="39" t="s">
        <v>42</v>
      </c>
      <c r="M434" s="120" t="s">
        <v>3489</v>
      </c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2" t="s">
        <v>3490</v>
      </c>
      <c r="Z434" s="58" t="s">
        <v>3491</v>
      </c>
      <c r="AA434" s="44" t="s">
        <v>61</v>
      </c>
      <c r="AB434" s="45">
        <v>36641</v>
      </c>
      <c r="AC434" s="101" t="s">
        <v>30</v>
      </c>
      <c r="AD434" s="73"/>
      <c r="AE434" s="47" t="s">
        <v>49</v>
      </c>
      <c r="AF434" s="48" t="s">
        <v>41</v>
      </c>
      <c r="AG434" s="48" t="s">
        <v>41</v>
      </c>
      <c r="AH434" s="48" t="s">
        <v>41</v>
      </c>
      <c r="AI434" s="48" t="s">
        <v>41</v>
      </c>
      <c r="AJ434" s="48" t="s">
        <v>41</v>
      </c>
      <c r="AK434" s="49" t="s">
        <v>41</v>
      </c>
      <c r="AL434" s="48" t="s">
        <v>41</v>
      </c>
      <c r="AM434" s="65" t="s">
        <v>4588</v>
      </c>
      <c r="AN434" s="65"/>
      <c r="AO434" s="59" t="s">
        <v>192</v>
      </c>
      <c r="AP434" s="117"/>
      <c r="AQ434" s="32"/>
      <c r="AR434" s="32"/>
      <c r="AS434" s="32"/>
      <c r="AT434" s="32"/>
      <c r="AU434" s="32"/>
      <c r="AV434" s="32"/>
      <c r="AW434" s="32"/>
      <c r="AX434" s="32"/>
      <c r="AY434" s="32"/>
      <c r="AZ434" s="32"/>
      <c r="BA434" s="31"/>
    </row>
    <row r="435" spans="1:53" x14ac:dyDescent="0.2">
      <c r="A435" s="33">
        <f t="shared" si="7"/>
        <v>430</v>
      </c>
      <c r="B435" s="34" t="s">
        <v>3492</v>
      </c>
      <c r="C435" s="35" t="s">
        <v>3493</v>
      </c>
      <c r="D435" s="36" t="s">
        <v>3494</v>
      </c>
      <c r="E435" s="334">
        <v>26923</v>
      </c>
      <c r="F435" s="36" t="s">
        <v>36</v>
      </c>
      <c r="G435" s="34" t="s">
        <v>3495</v>
      </c>
      <c r="H435" s="37" t="s">
        <v>4660</v>
      </c>
      <c r="I435" s="37" t="s">
        <v>39</v>
      </c>
      <c r="J435" s="183" t="s">
        <v>3496</v>
      </c>
      <c r="K435" s="34" t="s">
        <v>41</v>
      </c>
      <c r="L435" s="39" t="s">
        <v>42</v>
      </c>
      <c r="M435" s="120" t="s">
        <v>3497</v>
      </c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2" t="s">
        <v>3498</v>
      </c>
      <c r="Z435" s="100" t="s">
        <v>3499</v>
      </c>
      <c r="AA435" s="44" t="s">
        <v>3500</v>
      </c>
      <c r="AB435" s="131">
        <v>44041</v>
      </c>
      <c r="AC435" s="101" t="s">
        <v>30</v>
      </c>
      <c r="AD435" s="36" t="s">
        <v>26</v>
      </c>
      <c r="AE435" s="47" t="s">
        <v>49</v>
      </c>
      <c r="AF435" s="48" t="s">
        <v>49</v>
      </c>
      <c r="AG435" s="48" t="s">
        <v>49</v>
      </c>
      <c r="AH435" s="48" t="s">
        <v>49</v>
      </c>
      <c r="AI435" s="48" t="s">
        <v>49</v>
      </c>
      <c r="AJ435" s="48" t="s">
        <v>49</v>
      </c>
      <c r="AK435" s="49" t="s">
        <v>49</v>
      </c>
      <c r="AL435" s="48" t="s">
        <v>49</v>
      </c>
      <c r="AM435" s="65" t="s">
        <v>32</v>
      </c>
      <c r="AN435" s="65"/>
      <c r="AO435" s="59"/>
      <c r="AP435" s="10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1"/>
    </row>
    <row r="436" spans="1:53" x14ac:dyDescent="0.2">
      <c r="A436" s="33">
        <f t="shared" si="7"/>
        <v>431</v>
      </c>
      <c r="B436" s="34" t="s">
        <v>3501</v>
      </c>
      <c r="C436" s="35" t="s">
        <v>3502</v>
      </c>
      <c r="D436" s="73" t="s">
        <v>3503</v>
      </c>
      <c r="E436" s="335">
        <v>27527</v>
      </c>
      <c r="F436" s="36" t="s">
        <v>54</v>
      </c>
      <c r="G436" s="226" t="s">
        <v>3504</v>
      </c>
      <c r="H436" s="37" t="s">
        <v>73</v>
      </c>
      <c r="I436" s="37" t="s">
        <v>73</v>
      </c>
      <c r="J436" s="108" t="s">
        <v>3505</v>
      </c>
      <c r="K436" s="34" t="s">
        <v>41</v>
      </c>
      <c r="L436" s="39" t="s">
        <v>42</v>
      </c>
      <c r="M436" s="99" t="s">
        <v>3506</v>
      </c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42" t="s">
        <v>3507</v>
      </c>
      <c r="Z436" s="58" t="s">
        <v>3508</v>
      </c>
      <c r="AA436" s="44" t="s">
        <v>61</v>
      </c>
      <c r="AB436" s="45">
        <v>38593</v>
      </c>
      <c r="AC436" s="101" t="s">
        <v>30</v>
      </c>
      <c r="AD436" s="73" t="s">
        <v>26</v>
      </c>
      <c r="AE436" s="47" t="s">
        <v>49</v>
      </c>
      <c r="AF436" s="48" t="s">
        <v>49</v>
      </c>
      <c r="AG436" s="48" t="s">
        <v>49</v>
      </c>
      <c r="AH436" s="48" t="s">
        <v>49</v>
      </c>
      <c r="AI436" s="48" t="s">
        <v>49</v>
      </c>
      <c r="AJ436" s="48" t="s">
        <v>49</v>
      </c>
      <c r="AK436" s="49" t="s">
        <v>49</v>
      </c>
      <c r="AL436" s="48" t="s">
        <v>49</v>
      </c>
      <c r="AM436" s="62" t="s">
        <v>32</v>
      </c>
      <c r="AN436" s="62"/>
      <c r="AO436" s="59"/>
      <c r="AP436" s="117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1"/>
    </row>
    <row r="437" spans="1:53" x14ac:dyDescent="0.2">
      <c r="A437" s="33">
        <f t="shared" si="7"/>
        <v>432</v>
      </c>
      <c r="B437" s="34" t="s">
        <v>3509</v>
      </c>
      <c r="C437" s="35" t="s">
        <v>3510</v>
      </c>
      <c r="D437" s="36" t="s">
        <v>3511</v>
      </c>
      <c r="E437" s="334">
        <v>30760</v>
      </c>
      <c r="F437" s="36" t="s">
        <v>54</v>
      </c>
      <c r="G437" s="34" t="s">
        <v>3512</v>
      </c>
      <c r="H437" s="37" t="s">
        <v>243</v>
      </c>
      <c r="I437" s="37" t="s">
        <v>205</v>
      </c>
      <c r="J437" s="34" t="s">
        <v>3513</v>
      </c>
      <c r="K437" s="34" t="s">
        <v>3514</v>
      </c>
      <c r="L437" s="39" t="s">
        <v>42</v>
      </c>
      <c r="M437" s="99" t="s">
        <v>3515</v>
      </c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2" t="s">
        <v>3516</v>
      </c>
      <c r="Z437" s="43" t="s">
        <v>3517</v>
      </c>
      <c r="AA437" s="44" t="s">
        <v>61</v>
      </c>
      <c r="AB437" s="45">
        <v>40280</v>
      </c>
      <c r="AC437" s="101" t="s">
        <v>30</v>
      </c>
      <c r="AD437" s="36" t="s">
        <v>26</v>
      </c>
      <c r="AE437" s="47" t="s">
        <v>49</v>
      </c>
      <c r="AF437" s="48" t="s">
        <v>49</v>
      </c>
      <c r="AG437" s="48" t="s">
        <v>49</v>
      </c>
      <c r="AH437" s="48" t="s">
        <v>49</v>
      </c>
      <c r="AI437" s="48" t="s">
        <v>49</v>
      </c>
      <c r="AJ437" s="48" t="s">
        <v>49</v>
      </c>
      <c r="AK437" s="49" t="s">
        <v>49</v>
      </c>
      <c r="AL437" s="48" t="s">
        <v>49</v>
      </c>
      <c r="AM437" s="65" t="s">
        <v>32</v>
      </c>
      <c r="AN437" s="65"/>
      <c r="AO437" s="59"/>
      <c r="AP437" s="117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1"/>
    </row>
    <row r="438" spans="1:53" x14ac:dyDescent="0.2">
      <c r="A438" s="33">
        <f t="shared" si="7"/>
        <v>433</v>
      </c>
      <c r="B438" s="34" t="s">
        <v>3518</v>
      </c>
      <c r="C438" s="35" t="s">
        <v>3519</v>
      </c>
      <c r="D438" s="36" t="s">
        <v>3520</v>
      </c>
      <c r="E438" s="36"/>
      <c r="F438" s="36" t="s">
        <v>54</v>
      </c>
      <c r="G438" s="34" t="s">
        <v>3521</v>
      </c>
      <c r="H438" s="37" t="s">
        <v>39</v>
      </c>
      <c r="I438" s="37" t="s">
        <v>39</v>
      </c>
      <c r="J438" s="34" t="s">
        <v>3522</v>
      </c>
      <c r="K438" s="34" t="s">
        <v>3523</v>
      </c>
      <c r="L438" s="39" t="s">
        <v>42</v>
      </c>
      <c r="M438" s="120">
        <v>33918</v>
      </c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2" t="s">
        <v>3524</v>
      </c>
      <c r="Z438" s="58" t="s">
        <v>3525</v>
      </c>
      <c r="AA438" s="44" t="s">
        <v>61</v>
      </c>
      <c r="AB438" s="131">
        <v>39286</v>
      </c>
      <c r="AC438" s="101" t="s">
        <v>30</v>
      </c>
      <c r="AD438" s="36"/>
      <c r="AE438" s="47" t="s">
        <v>49</v>
      </c>
      <c r="AF438" s="48" t="s">
        <v>41</v>
      </c>
      <c r="AG438" s="48" t="s">
        <v>41</v>
      </c>
      <c r="AH438" s="48" t="s">
        <v>41</v>
      </c>
      <c r="AI438" s="48" t="s">
        <v>41</v>
      </c>
      <c r="AJ438" s="48" t="s">
        <v>41</v>
      </c>
      <c r="AK438" s="49" t="s">
        <v>41</v>
      </c>
      <c r="AL438" s="48" t="s">
        <v>41</v>
      </c>
      <c r="AM438" s="65" t="s">
        <v>4591</v>
      </c>
      <c r="AN438" s="65"/>
      <c r="AO438" s="59" t="s">
        <v>1230</v>
      </c>
      <c r="AP438" s="10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1"/>
    </row>
    <row r="439" spans="1:53" x14ac:dyDescent="0.2">
      <c r="A439" s="33">
        <f t="shared" si="7"/>
        <v>434</v>
      </c>
      <c r="B439" s="34" t="s">
        <v>3526</v>
      </c>
      <c r="C439" s="35" t="s">
        <v>3527</v>
      </c>
      <c r="D439" s="36" t="s">
        <v>3528</v>
      </c>
      <c r="E439" s="334">
        <v>27427</v>
      </c>
      <c r="F439" s="36" t="s">
        <v>54</v>
      </c>
      <c r="G439" s="34" t="s">
        <v>3529</v>
      </c>
      <c r="H439" s="37" t="s">
        <v>73</v>
      </c>
      <c r="I439" s="37" t="s">
        <v>73</v>
      </c>
      <c r="J439" s="34" t="s">
        <v>3530</v>
      </c>
      <c r="K439" s="34" t="s">
        <v>3531</v>
      </c>
      <c r="L439" s="39" t="s">
        <v>42</v>
      </c>
      <c r="M439" s="120" t="s">
        <v>2817</v>
      </c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2" t="s">
        <v>3532</v>
      </c>
      <c r="Z439" s="83" t="s">
        <v>3533</v>
      </c>
      <c r="AA439" s="44" t="s">
        <v>61</v>
      </c>
      <c r="AB439" s="45">
        <v>40280</v>
      </c>
      <c r="AC439" s="101" t="s">
        <v>30</v>
      </c>
      <c r="AD439" s="36" t="s">
        <v>26</v>
      </c>
      <c r="AE439" s="47" t="s">
        <v>49</v>
      </c>
      <c r="AF439" s="48" t="s">
        <v>49</v>
      </c>
      <c r="AG439" s="48" t="s">
        <v>49</v>
      </c>
      <c r="AH439" s="48" t="s">
        <v>49</v>
      </c>
      <c r="AI439" s="48" t="s">
        <v>49</v>
      </c>
      <c r="AJ439" s="48" t="s">
        <v>49</v>
      </c>
      <c r="AK439" s="49" t="s">
        <v>49</v>
      </c>
      <c r="AL439" s="48" t="s">
        <v>41</v>
      </c>
      <c r="AM439" s="62" t="s">
        <v>148</v>
      </c>
      <c r="AN439" s="62"/>
      <c r="AO439" s="59"/>
      <c r="AP439" s="10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1"/>
    </row>
    <row r="440" spans="1:53" x14ac:dyDescent="0.2">
      <c r="A440" s="33">
        <f t="shared" si="7"/>
        <v>435</v>
      </c>
      <c r="B440" s="34" t="s">
        <v>3534</v>
      </c>
      <c r="C440" s="35" t="s">
        <v>3535</v>
      </c>
      <c r="D440" s="36" t="s">
        <v>3536</v>
      </c>
      <c r="E440" s="334">
        <v>34682</v>
      </c>
      <c r="F440" s="36" t="s">
        <v>54</v>
      </c>
      <c r="G440" s="34" t="s">
        <v>3537</v>
      </c>
      <c r="H440" s="37" t="s">
        <v>4605</v>
      </c>
      <c r="I440" s="37" t="s">
        <v>205</v>
      </c>
      <c r="J440" s="38" t="s">
        <v>3538</v>
      </c>
      <c r="K440" s="34" t="s">
        <v>41</v>
      </c>
      <c r="L440" s="39" t="s">
        <v>42</v>
      </c>
      <c r="M440" s="120">
        <v>44167</v>
      </c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2" t="s">
        <v>3539</v>
      </c>
      <c r="Z440" s="43" t="s">
        <v>3540</v>
      </c>
      <c r="AA440" s="44" t="s">
        <v>2487</v>
      </c>
      <c r="AB440" s="45">
        <v>44041</v>
      </c>
      <c r="AC440" s="101" t="s">
        <v>30</v>
      </c>
      <c r="AD440" s="36" t="s">
        <v>26</v>
      </c>
      <c r="AE440" s="47" t="s">
        <v>49</v>
      </c>
      <c r="AF440" s="48" t="s">
        <v>49</v>
      </c>
      <c r="AG440" s="48" t="s">
        <v>49</v>
      </c>
      <c r="AH440" s="48" t="s">
        <v>49</v>
      </c>
      <c r="AI440" s="48" t="s">
        <v>49</v>
      </c>
      <c r="AJ440" s="48" t="s">
        <v>49</v>
      </c>
      <c r="AK440" s="49" t="s">
        <v>49</v>
      </c>
      <c r="AL440" s="48" t="s">
        <v>49</v>
      </c>
      <c r="AM440" s="62" t="s">
        <v>32</v>
      </c>
      <c r="AN440" s="62"/>
      <c r="AO440" s="59"/>
      <c r="AP440" s="10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1"/>
    </row>
    <row r="441" spans="1:53" x14ac:dyDescent="0.2">
      <c r="A441" s="33">
        <f t="shared" si="7"/>
        <v>436</v>
      </c>
      <c r="B441" s="34" t="s">
        <v>3541</v>
      </c>
      <c r="C441" s="35" t="s">
        <v>3542</v>
      </c>
      <c r="D441" s="36" t="s">
        <v>3543</v>
      </c>
      <c r="E441" s="334">
        <v>29886</v>
      </c>
      <c r="F441" s="36" t="s">
        <v>36</v>
      </c>
      <c r="G441" s="87" t="s">
        <v>3544</v>
      </c>
      <c r="H441" s="37" t="s">
        <v>252</v>
      </c>
      <c r="I441" s="37" t="s">
        <v>57</v>
      </c>
      <c r="J441" s="34" t="s">
        <v>3545</v>
      </c>
      <c r="K441" s="107" t="s">
        <v>41</v>
      </c>
      <c r="L441" s="39" t="s">
        <v>42</v>
      </c>
      <c r="M441" s="120">
        <v>37381</v>
      </c>
      <c r="N441" s="41"/>
      <c r="O441" s="41"/>
      <c r="P441" s="41"/>
      <c r="Q441" s="41"/>
      <c r="R441" s="41"/>
      <c r="S441" s="41"/>
      <c r="T441" s="41"/>
      <c r="U441" s="41"/>
      <c r="V441" s="41" t="s">
        <v>732</v>
      </c>
      <c r="W441" s="41"/>
      <c r="X441" s="41"/>
      <c r="Y441" s="42" t="s">
        <v>3547</v>
      </c>
      <c r="Z441" s="58" t="s">
        <v>3548</v>
      </c>
      <c r="AA441" s="44"/>
      <c r="AB441" s="45" t="s">
        <v>47</v>
      </c>
      <c r="AC441" s="101"/>
      <c r="AD441" s="36" t="s">
        <v>26</v>
      </c>
      <c r="AE441" s="47" t="s">
        <v>49</v>
      </c>
      <c r="AF441" s="48" t="s">
        <v>49</v>
      </c>
      <c r="AG441" s="48" t="s">
        <v>49</v>
      </c>
      <c r="AH441" s="48" t="s">
        <v>49</v>
      </c>
      <c r="AI441" s="48" t="s">
        <v>49</v>
      </c>
      <c r="AJ441" s="48" t="s">
        <v>49</v>
      </c>
      <c r="AK441" s="49" t="s">
        <v>41</v>
      </c>
      <c r="AL441" s="48" t="s">
        <v>41</v>
      </c>
      <c r="AM441" s="62" t="s">
        <v>276</v>
      </c>
      <c r="AN441" s="62"/>
      <c r="AO441" s="59"/>
      <c r="AP441" s="10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1"/>
    </row>
    <row r="442" spans="1:53" x14ac:dyDescent="0.2">
      <c r="A442" s="33">
        <f t="shared" si="7"/>
        <v>437</v>
      </c>
      <c r="B442" s="34" t="s">
        <v>3549</v>
      </c>
      <c r="C442" s="35" t="s">
        <v>3550</v>
      </c>
      <c r="D442" s="36" t="s">
        <v>3551</v>
      </c>
      <c r="E442" s="334">
        <v>29061</v>
      </c>
      <c r="F442" s="36" t="s">
        <v>54</v>
      </c>
      <c r="G442" s="34" t="s">
        <v>3552</v>
      </c>
      <c r="H442" s="37" t="s">
        <v>73</v>
      </c>
      <c r="I442" s="37" t="s">
        <v>73</v>
      </c>
      <c r="J442" s="107" t="s">
        <v>3553</v>
      </c>
      <c r="K442" s="34" t="s">
        <v>3554</v>
      </c>
      <c r="L442" s="39" t="s">
        <v>42</v>
      </c>
      <c r="M442" s="120">
        <v>35952</v>
      </c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42" t="s">
        <v>3555</v>
      </c>
      <c r="Z442" s="52" t="s">
        <v>3556</v>
      </c>
      <c r="AA442" s="44" t="s">
        <v>3557</v>
      </c>
      <c r="AB442" s="45">
        <v>44041</v>
      </c>
      <c r="AC442" s="101" t="s">
        <v>30</v>
      </c>
      <c r="AD442" s="36" t="s">
        <v>26</v>
      </c>
      <c r="AE442" s="47" t="s">
        <v>49</v>
      </c>
      <c r="AF442" s="48" t="s">
        <v>49</v>
      </c>
      <c r="AG442" s="48" t="s">
        <v>49</v>
      </c>
      <c r="AH442" s="48" t="s">
        <v>49</v>
      </c>
      <c r="AI442" s="48" t="s">
        <v>49</v>
      </c>
      <c r="AJ442" s="48" t="s">
        <v>49</v>
      </c>
      <c r="AK442" s="49" t="s">
        <v>49</v>
      </c>
      <c r="AL442" s="48" t="s">
        <v>49</v>
      </c>
      <c r="AM442" s="62" t="s">
        <v>32</v>
      </c>
      <c r="AN442" s="62"/>
      <c r="AO442" s="59"/>
      <c r="AP442" s="10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1"/>
    </row>
    <row r="443" spans="1:53" ht="15" customHeight="1" x14ac:dyDescent="0.2">
      <c r="A443" s="33">
        <f t="shared" si="7"/>
        <v>438</v>
      </c>
      <c r="B443" s="34" t="s">
        <v>3558</v>
      </c>
      <c r="C443" s="35" t="s">
        <v>3559</v>
      </c>
      <c r="D443" s="36" t="s">
        <v>3560</v>
      </c>
      <c r="E443" s="36"/>
      <c r="F443" s="36" t="s">
        <v>54</v>
      </c>
      <c r="G443" s="226" t="s">
        <v>3561</v>
      </c>
      <c r="H443" s="37" t="s">
        <v>186</v>
      </c>
      <c r="I443" s="37" t="s">
        <v>187</v>
      </c>
      <c r="J443" s="136" t="s">
        <v>3562</v>
      </c>
      <c r="K443" s="34" t="s">
        <v>41</v>
      </c>
      <c r="L443" s="39" t="s">
        <v>42</v>
      </c>
      <c r="M443" s="99" t="s">
        <v>3563</v>
      </c>
      <c r="N443" s="41"/>
      <c r="O443" s="41"/>
      <c r="P443" s="41"/>
      <c r="Q443" s="41"/>
      <c r="R443" s="41"/>
      <c r="S443" s="41"/>
      <c r="T443" s="41" t="s">
        <v>44</v>
      </c>
      <c r="U443" s="41"/>
      <c r="V443" s="41"/>
      <c r="W443" s="41"/>
      <c r="X443" s="41"/>
      <c r="Y443" s="42" t="s">
        <v>3564</v>
      </c>
      <c r="Z443" s="43" t="s">
        <v>3565</v>
      </c>
      <c r="AA443" s="211" t="s">
        <v>3566</v>
      </c>
      <c r="AB443" s="45">
        <v>44944</v>
      </c>
      <c r="AC443" s="101" t="s">
        <v>30</v>
      </c>
      <c r="AD443" s="36"/>
      <c r="AE443" s="47" t="s">
        <v>49</v>
      </c>
      <c r="AF443" s="48" t="s">
        <v>41</v>
      </c>
      <c r="AG443" s="48" t="s">
        <v>41</v>
      </c>
      <c r="AH443" s="48" t="s">
        <v>49</v>
      </c>
      <c r="AI443" s="48" t="s">
        <v>41</v>
      </c>
      <c r="AJ443" s="48" t="s">
        <v>41</v>
      </c>
      <c r="AK443" s="49" t="s">
        <v>41</v>
      </c>
      <c r="AL443" s="48" t="s">
        <v>41</v>
      </c>
      <c r="AM443" s="62" t="s">
        <v>139</v>
      </c>
      <c r="AN443" s="62"/>
      <c r="AO443" s="59"/>
      <c r="AP443" s="10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1"/>
    </row>
    <row r="444" spans="1:53" ht="15" customHeight="1" x14ac:dyDescent="0.2">
      <c r="A444" s="33">
        <f t="shared" si="7"/>
        <v>439</v>
      </c>
      <c r="B444" s="34" t="s">
        <v>3567</v>
      </c>
      <c r="C444" s="35" t="s">
        <v>3568</v>
      </c>
      <c r="D444" s="36" t="s">
        <v>3569</v>
      </c>
      <c r="E444" s="36"/>
      <c r="F444" s="36" t="s">
        <v>54</v>
      </c>
      <c r="G444" s="226" t="s">
        <v>3570</v>
      </c>
      <c r="H444" s="37" t="s">
        <v>360</v>
      </c>
      <c r="I444" s="37" t="s">
        <v>350</v>
      </c>
      <c r="J444" s="140" t="s">
        <v>3571</v>
      </c>
      <c r="K444" s="34" t="s">
        <v>41</v>
      </c>
      <c r="L444" s="39" t="s">
        <v>42</v>
      </c>
      <c r="M444" s="99" t="s">
        <v>1409</v>
      </c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2" t="s">
        <v>3572</v>
      </c>
      <c r="Z444" s="52" t="s">
        <v>3573</v>
      </c>
      <c r="AA444" s="119" t="s">
        <v>61</v>
      </c>
      <c r="AB444" s="45">
        <v>40280</v>
      </c>
      <c r="AC444" s="101" t="s">
        <v>30</v>
      </c>
      <c r="AD444" s="36" t="s">
        <v>26</v>
      </c>
      <c r="AE444" s="47" t="s">
        <v>49</v>
      </c>
      <c r="AF444" s="48" t="s">
        <v>49</v>
      </c>
      <c r="AG444" s="48" t="s">
        <v>41</v>
      </c>
      <c r="AH444" s="48" t="s">
        <v>41</v>
      </c>
      <c r="AI444" s="48" t="s">
        <v>41</v>
      </c>
      <c r="AJ444" s="48" t="s">
        <v>41</v>
      </c>
      <c r="AK444" s="49" t="s">
        <v>41</v>
      </c>
      <c r="AL444" s="48" t="s">
        <v>41</v>
      </c>
      <c r="AM444" s="62" t="s">
        <v>4587</v>
      </c>
      <c r="AN444" s="62"/>
      <c r="AO444" s="59"/>
      <c r="AP444" s="10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1"/>
    </row>
    <row r="445" spans="1:53" ht="15" customHeight="1" x14ac:dyDescent="0.2">
      <c r="A445" s="33">
        <f t="shared" si="7"/>
        <v>440</v>
      </c>
      <c r="B445" s="34" t="s">
        <v>3574</v>
      </c>
      <c r="C445" s="35" t="s">
        <v>3575</v>
      </c>
      <c r="D445" s="36" t="s">
        <v>3576</v>
      </c>
      <c r="E445" s="334">
        <v>33356</v>
      </c>
      <c r="F445" s="36" t="s">
        <v>36</v>
      </c>
      <c r="G445" s="226" t="s">
        <v>3577</v>
      </c>
      <c r="H445" s="37" t="s">
        <v>252</v>
      </c>
      <c r="I445" s="37" t="s">
        <v>57</v>
      </c>
      <c r="J445" s="140" t="s">
        <v>3578</v>
      </c>
      <c r="K445" s="34"/>
      <c r="L445" s="39" t="s">
        <v>42</v>
      </c>
      <c r="M445" s="120">
        <v>45699</v>
      </c>
      <c r="N445" s="41"/>
      <c r="O445" s="41"/>
      <c r="P445" s="41"/>
      <c r="Q445" s="41"/>
      <c r="R445" s="41"/>
      <c r="S445" s="41"/>
      <c r="T445" s="41"/>
      <c r="U445" s="41"/>
      <c r="V445" s="41"/>
      <c r="W445" s="41" t="s">
        <v>44</v>
      </c>
      <c r="X445" s="41"/>
      <c r="Y445" s="140" t="s">
        <v>3579</v>
      </c>
      <c r="Z445" s="43" t="s">
        <v>3580</v>
      </c>
      <c r="AA445" s="119"/>
      <c r="AB445" s="45"/>
      <c r="AC445" s="101"/>
      <c r="AD445" s="36"/>
      <c r="AE445" s="47" t="s">
        <v>49</v>
      </c>
      <c r="AF445" s="48" t="s">
        <v>41</v>
      </c>
      <c r="AG445" s="48" t="s">
        <v>41</v>
      </c>
      <c r="AH445" s="48" t="s">
        <v>41</v>
      </c>
      <c r="AI445" s="48" t="s">
        <v>41</v>
      </c>
      <c r="AJ445" s="48" t="s">
        <v>41</v>
      </c>
      <c r="AK445" s="49" t="s">
        <v>49</v>
      </c>
      <c r="AL445" s="48" t="s">
        <v>49</v>
      </c>
      <c r="AM445" s="62" t="s">
        <v>32</v>
      </c>
      <c r="AN445" s="62"/>
      <c r="AO445" s="59"/>
      <c r="AP445" s="10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1"/>
    </row>
    <row r="446" spans="1:53" ht="15" customHeight="1" x14ac:dyDescent="0.2">
      <c r="A446" s="33">
        <f t="shared" si="7"/>
        <v>441</v>
      </c>
      <c r="B446" s="34" t="s">
        <v>3581</v>
      </c>
      <c r="C446" s="35" t="s">
        <v>3582</v>
      </c>
      <c r="D446" s="36" t="s">
        <v>3583</v>
      </c>
      <c r="E446" s="334">
        <v>36387</v>
      </c>
      <c r="F446" s="36" t="s">
        <v>54</v>
      </c>
      <c r="G446" s="226" t="s">
        <v>3584</v>
      </c>
      <c r="H446" s="37" t="s">
        <v>377</v>
      </c>
      <c r="I446" s="37" t="s">
        <v>378</v>
      </c>
      <c r="J446" s="140" t="s">
        <v>3585</v>
      </c>
      <c r="K446" s="34" t="s">
        <v>41</v>
      </c>
      <c r="L446" s="39" t="s">
        <v>42</v>
      </c>
      <c r="M446" s="99" t="s">
        <v>3586</v>
      </c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42" t="s">
        <v>3587</v>
      </c>
      <c r="Z446" s="52" t="s">
        <v>3588</v>
      </c>
      <c r="AA446" s="211" t="s">
        <v>3589</v>
      </c>
      <c r="AB446" s="45">
        <v>44944</v>
      </c>
      <c r="AC446" s="101" t="s">
        <v>30</v>
      </c>
      <c r="AD446" s="36" t="s">
        <v>26</v>
      </c>
      <c r="AE446" s="47" t="s">
        <v>49</v>
      </c>
      <c r="AF446" s="48" t="s">
        <v>49</v>
      </c>
      <c r="AG446" s="48" t="s">
        <v>49</v>
      </c>
      <c r="AH446" s="48" t="s">
        <v>49</v>
      </c>
      <c r="AI446" s="48" t="s">
        <v>49</v>
      </c>
      <c r="AJ446" s="48" t="s">
        <v>49</v>
      </c>
      <c r="AK446" s="49" t="s">
        <v>49</v>
      </c>
      <c r="AL446" s="48" t="s">
        <v>41</v>
      </c>
      <c r="AM446" s="62" t="s">
        <v>148</v>
      </c>
      <c r="AN446" s="62"/>
      <c r="AO446" s="59"/>
      <c r="AP446" s="10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1"/>
    </row>
    <row r="447" spans="1:53" ht="15" customHeight="1" x14ac:dyDescent="0.2">
      <c r="A447" s="33">
        <f t="shared" si="7"/>
        <v>442</v>
      </c>
      <c r="B447" s="34" t="s">
        <v>3590</v>
      </c>
      <c r="C447" s="35" t="s">
        <v>3591</v>
      </c>
      <c r="D447" s="36" t="s">
        <v>3592</v>
      </c>
      <c r="E447" s="334">
        <v>30607</v>
      </c>
      <c r="F447" s="36" t="s">
        <v>36</v>
      </c>
      <c r="G447" s="226" t="s">
        <v>3593</v>
      </c>
      <c r="H447" s="37" t="s">
        <v>1354</v>
      </c>
      <c r="I447" s="37" t="s">
        <v>57</v>
      </c>
      <c r="J447" s="140" t="s">
        <v>3594</v>
      </c>
      <c r="K447" s="34" t="s">
        <v>41</v>
      </c>
      <c r="L447" s="39" t="s">
        <v>42</v>
      </c>
      <c r="M447" s="120">
        <v>44689</v>
      </c>
      <c r="N447" s="115"/>
      <c r="O447" s="115"/>
      <c r="P447" s="115"/>
      <c r="Q447" s="115"/>
      <c r="R447" s="115"/>
      <c r="S447" s="115"/>
      <c r="T447" s="115" t="s">
        <v>44</v>
      </c>
      <c r="U447" s="56"/>
      <c r="V447" s="56"/>
      <c r="W447" s="56"/>
      <c r="X447" s="56"/>
      <c r="Y447" s="42" t="s">
        <v>3595</v>
      </c>
      <c r="Z447" s="43" t="s">
        <v>3596</v>
      </c>
      <c r="AA447" s="207" t="s">
        <v>3597</v>
      </c>
      <c r="AB447" s="45">
        <v>44944</v>
      </c>
      <c r="AC447" s="101" t="s">
        <v>30</v>
      </c>
      <c r="AD447" s="36"/>
      <c r="AE447" s="47" t="s">
        <v>49</v>
      </c>
      <c r="AF447" s="48" t="s">
        <v>41</v>
      </c>
      <c r="AG447" s="48" t="s">
        <v>41</v>
      </c>
      <c r="AH447" s="48" t="s">
        <v>49</v>
      </c>
      <c r="AI447" s="48" t="s">
        <v>49</v>
      </c>
      <c r="AJ447" s="48" t="s">
        <v>49</v>
      </c>
      <c r="AK447" s="49" t="s">
        <v>49</v>
      </c>
      <c r="AL447" s="48" t="s">
        <v>49</v>
      </c>
      <c r="AM447" s="62" t="s">
        <v>32</v>
      </c>
      <c r="AN447" s="62"/>
      <c r="AO447" s="59"/>
      <c r="AP447" s="10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1"/>
    </row>
    <row r="448" spans="1:53" ht="15" customHeight="1" x14ac:dyDescent="0.2">
      <c r="A448" s="33">
        <f t="shared" si="7"/>
        <v>443</v>
      </c>
      <c r="B448" s="122" t="s">
        <v>3598</v>
      </c>
      <c r="C448" s="123" t="s">
        <v>3599</v>
      </c>
      <c r="D448" s="202" t="s">
        <v>3600</v>
      </c>
      <c r="E448" s="342">
        <v>24890</v>
      </c>
      <c r="F448" s="36" t="s">
        <v>54</v>
      </c>
      <c r="G448" s="122" t="s">
        <v>3601</v>
      </c>
      <c r="H448" s="126" t="s">
        <v>323</v>
      </c>
      <c r="I448" s="126" t="s">
        <v>39</v>
      </c>
      <c r="J448" s="122" t="s">
        <v>3602</v>
      </c>
      <c r="K448" s="122" t="s">
        <v>41</v>
      </c>
      <c r="L448" s="128" t="s">
        <v>42</v>
      </c>
      <c r="M448" s="163" t="s">
        <v>3603</v>
      </c>
      <c r="N448" s="112"/>
      <c r="O448" s="112"/>
      <c r="P448" s="112"/>
      <c r="Q448" s="112"/>
      <c r="R448" s="112"/>
      <c r="S448" s="112"/>
      <c r="T448" s="112"/>
      <c r="U448" s="41"/>
      <c r="V448" s="41"/>
      <c r="W448" s="41"/>
      <c r="X448" s="41"/>
      <c r="Y448" s="42" t="s">
        <v>3604</v>
      </c>
      <c r="Z448" s="52" t="s">
        <v>3605</v>
      </c>
      <c r="AA448" s="233" t="s">
        <v>61</v>
      </c>
      <c r="AB448" s="45">
        <v>40280</v>
      </c>
      <c r="AC448" s="164" t="s">
        <v>30</v>
      </c>
      <c r="AD448" s="36" t="s">
        <v>26</v>
      </c>
      <c r="AE448" s="133" t="s">
        <v>49</v>
      </c>
      <c r="AF448" s="48" t="s">
        <v>49</v>
      </c>
      <c r="AG448" s="48" t="s">
        <v>49</v>
      </c>
      <c r="AH448" s="48" t="s">
        <v>49</v>
      </c>
      <c r="AI448" s="48" t="s">
        <v>49</v>
      </c>
      <c r="AJ448" s="48" t="s">
        <v>49</v>
      </c>
      <c r="AK448" s="49" t="s">
        <v>49</v>
      </c>
      <c r="AL448" s="48" t="s">
        <v>49</v>
      </c>
      <c r="AM448" s="62" t="s">
        <v>32</v>
      </c>
      <c r="AN448" s="232"/>
      <c r="AO448" s="134"/>
      <c r="AP448" s="10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1"/>
    </row>
    <row r="449" spans="1:53" ht="15" customHeight="1" x14ac:dyDescent="0.2">
      <c r="A449" s="33">
        <f t="shared" si="7"/>
        <v>444</v>
      </c>
      <c r="B449" s="122" t="s">
        <v>3606</v>
      </c>
      <c r="C449" s="123" t="s">
        <v>3607</v>
      </c>
      <c r="D449" s="202" t="s">
        <v>3608</v>
      </c>
      <c r="E449" s="342">
        <v>21715</v>
      </c>
      <c r="F449" s="36" t="s">
        <v>54</v>
      </c>
      <c r="G449" s="122" t="s">
        <v>3609</v>
      </c>
      <c r="H449" s="126" t="s">
        <v>747</v>
      </c>
      <c r="I449" s="126" t="s">
        <v>378</v>
      </c>
      <c r="J449" s="122" t="s">
        <v>3610</v>
      </c>
      <c r="K449" s="122" t="s">
        <v>3611</v>
      </c>
      <c r="L449" s="128" t="s">
        <v>42</v>
      </c>
      <c r="M449" s="163" t="s">
        <v>3612</v>
      </c>
      <c r="N449" s="41"/>
      <c r="O449" s="188"/>
      <c r="P449" s="188"/>
      <c r="Q449" s="188"/>
      <c r="R449" s="188"/>
      <c r="S449" s="188"/>
      <c r="T449" s="188"/>
      <c r="U449" s="188"/>
      <c r="V449" s="188"/>
      <c r="W449" s="188"/>
      <c r="X449" s="188"/>
      <c r="Y449" s="42" t="s">
        <v>3613</v>
      </c>
      <c r="Z449" s="52" t="s">
        <v>3614</v>
      </c>
      <c r="AA449" s="44" t="s">
        <v>61</v>
      </c>
      <c r="AB449" s="45">
        <v>38593</v>
      </c>
      <c r="AC449" s="164" t="s">
        <v>30</v>
      </c>
      <c r="AD449" s="36" t="s">
        <v>26</v>
      </c>
      <c r="AE449" s="133" t="s">
        <v>49</v>
      </c>
      <c r="AF449" s="48" t="s">
        <v>49</v>
      </c>
      <c r="AG449" s="48" t="s">
        <v>49</v>
      </c>
      <c r="AH449" s="48" t="s">
        <v>49</v>
      </c>
      <c r="AI449" s="48" t="s">
        <v>49</v>
      </c>
      <c r="AJ449" s="48" t="s">
        <v>49</v>
      </c>
      <c r="AK449" s="49" t="s">
        <v>49</v>
      </c>
      <c r="AL449" s="48" t="s">
        <v>49</v>
      </c>
      <c r="AM449" s="62" t="s">
        <v>32</v>
      </c>
      <c r="AN449" s="232"/>
      <c r="AO449" s="134"/>
      <c r="AP449" s="10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1"/>
    </row>
    <row r="450" spans="1:53" ht="15" customHeight="1" x14ac:dyDescent="0.2">
      <c r="A450" s="33">
        <f t="shared" si="7"/>
        <v>445</v>
      </c>
      <c r="B450" s="34" t="s">
        <v>3615</v>
      </c>
      <c r="C450" s="35" t="s">
        <v>3616</v>
      </c>
      <c r="D450" s="36" t="s">
        <v>3617</v>
      </c>
      <c r="E450" s="334">
        <v>27157</v>
      </c>
      <c r="F450" s="36" t="s">
        <v>54</v>
      </c>
      <c r="G450" s="34" t="s">
        <v>3618</v>
      </c>
      <c r="H450" s="37" t="s">
        <v>186</v>
      </c>
      <c r="I450" s="37" t="s">
        <v>187</v>
      </c>
      <c r="J450" s="34" t="s">
        <v>3619</v>
      </c>
      <c r="K450" s="122" t="s">
        <v>41</v>
      </c>
      <c r="L450" s="39" t="s">
        <v>42</v>
      </c>
      <c r="M450" s="99" t="s">
        <v>3158</v>
      </c>
      <c r="N450" s="56"/>
      <c r="O450" s="137"/>
      <c r="P450" s="137"/>
      <c r="Q450" s="137"/>
      <c r="R450" s="137"/>
      <c r="S450" s="137"/>
      <c r="T450" s="137"/>
      <c r="U450" s="137" t="s">
        <v>732</v>
      </c>
      <c r="V450" s="137"/>
      <c r="W450" s="137"/>
      <c r="X450" s="137"/>
      <c r="Y450" s="42" t="s">
        <v>3620</v>
      </c>
      <c r="Z450" s="58" t="s">
        <v>3621</v>
      </c>
      <c r="AA450" s="44"/>
      <c r="AB450" s="45">
        <v>45642</v>
      </c>
      <c r="AC450" s="101"/>
      <c r="AD450" s="36" t="s">
        <v>26</v>
      </c>
      <c r="AE450" s="47" t="s">
        <v>49</v>
      </c>
      <c r="AF450" s="48" t="s">
        <v>49</v>
      </c>
      <c r="AG450" s="48" t="s">
        <v>49</v>
      </c>
      <c r="AH450" s="48" t="s">
        <v>49</v>
      </c>
      <c r="AI450" s="48" t="s">
        <v>49</v>
      </c>
      <c r="AJ450" s="48" t="s">
        <v>49</v>
      </c>
      <c r="AK450" s="49" t="s">
        <v>49</v>
      </c>
      <c r="AL450" s="48" t="s">
        <v>49</v>
      </c>
      <c r="AM450" s="62" t="s">
        <v>32</v>
      </c>
      <c r="AN450" s="62"/>
      <c r="AO450" s="59"/>
      <c r="AP450" s="10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1"/>
    </row>
    <row r="451" spans="1:53" ht="15" customHeight="1" x14ac:dyDescent="0.2">
      <c r="A451" s="33">
        <f t="shared" si="7"/>
        <v>446</v>
      </c>
      <c r="B451" s="34" t="s">
        <v>3622</v>
      </c>
      <c r="C451" s="35" t="s">
        <v>3623</v>
      </c>
      <c r="D451" s="36" t="s">
        <v>3624</v>
      </c>
      <c r="E451" s="334">
        <v>33030</v>
      </c>
      <c r="F451" s="36" t="s">
        <v>54</v>
      </c>
      <c r="G451" s="34" t="s">
        <v>3625</v>
      </c>
      <c r="H451" s="37" t="s">
        <v>858</v>
      </c>
      <c r="I451" s="37" t="s">
        <v>57</v>
      </c>
      <c r="J451" s="34" t="s">
        <v>3626</v>
      </c>
      <c r="K451" s="34" t="s">
        <v>41</v>
      </c>
      <c r="L451" s="39" t="s">
        <v>42</v>
      </c>
      <c r="M451" s="120">
        <v>31057</v>
      </c>
      <c r="N451" s="56"/>
      <c r="O451" s="114"/>
      <c r="P451" s="115"/>
      <c r="Q451" s="114"/>
      <c r="R451" s="115"/>
      <c r="S451" s="115"/>
      <c r="T451" s="114"/>
      <c r="U451" s="115"/>
      <c r="V451" s="115"/>
      <c r="W451" s="115"/>
      <c r="X451" s="115"/>
      <c r="Y451" s="57" t="s">
        <v>3627</v>
      </c>
      <c r="Z451" s="43" t="s">
        <v>3628</v>
      </c>
      <c r="AA451" s="44" t="s">
        <v>3629</v>
      </c>
      <c r="AB451" s="45">
        <v>42325</v>
      </c>
      <c r="AC451" s="101" t="s">
        <v>30</v>
      </c>
      <c r="AD451" s="36" t="s">
        <v>26</v>
      </c>
      <c r="AE451" s="47" t="s">
        <v>49</v>
      </c>
      <c r="AF451" s="48" t="s">
        <v>49</v>
      </c>
      <c r="AG451" s="48" t="s">
        <v>49</v>
      </c>
      <c r="AH451" s="48" t="s">
        <v>49</v>
      </c>
      <c r="AI451" s="48" t="s">
        <v>49</v>
      </c>
      <c r="AJ451" s="48" t="s">
        <v>49</v>
      </c>
      <c r="AK451" s="49" t="s">
        <v>49</v>
      </c>
      <c r="AL451" s="48" t="s">
        <v>49</v>
      </c>
      <c r="AM451" s="65" t="s">
        <v>32</v>
      </c>
      <c r="AN451" s="65"/>
      <c r="AO451" s="59"/>
      <c r="AP451" s="10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1"/>
    </row>
    <row r="452" spans="1:53" ht="15" customHeight="1" x14ac:dyDescent="0.2">
      <c r="A452" s="33">
        <f t="shared" si="7"/>
        <v>447</v>
      </c>
      <c r="B452" s="34" t="s">
        <v>3630</v>
      </c>
      <c r="C452" s="35" t="s">
        <v>3631</v>
      </c>
      <c r="D452" s="36" t="s">
        <v>3632</v>
      </c>
      <c r="E452" s="334">
        <v>24162</v>
      </c>
      <c r="F452" s="36" t="s">
        <v>241</v>
      </c>
      <c r="G452" s="34" t="s">
        <v>3633</v>
      </c>
      <c r="H452" s="37" t="s">
        <v>858</v>
      </c>
      <c r="I452" s="37" t="s">
        <v>57</v>
      </c>
      <c r="J452" s="34" t="s">
        <v>3634</v>
      </c>
      <c r="K452" s="38" t="s">
        <v>3635</v>
      </c>
      <c r="L452" s="39" t="s">
        <v>42</v>
      </c>
      <c r="M452" s="99" t="s">
        <v>3636</v>
      </c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2" t="s">
        <v>3637</v>
      </c>
      <c r="Z452" s="83" t="s">
        <v>3638</v>
      </c>
      <c r="AA452" s="44" t="s">
        <v>61</v>
      </c>
      <c r="AB452" s="131">
        <v>36803</v>
      </c>
      <c r="AC452" s="101" t="s">
        <v>30</v>
      </c>
      <c r="AD452" s="36" t="s">
        <v>26</v>
      </c>
      <c r="AE452" s="47" t="s">
        <v>49</v>
      </c>
      <c r="AF452" s="48" t="s">
        <v>49</v>
      </c>
      <c r="AG452" s="48" t="s">
        <v>49</v>
      </c>
      <c r="AH452" s="48" t="s">
        <v>49</v>
      </c>
      <c r="AI452" s="48" t="s">
        <v>49</v>
      </c>
      <c r="AJ452" s="48" t="s">
        <v>49</v>
      </c>
      <c r="AK452" s="49" t="s">
        <v>49</v>
      </c>
      <c r="AL452" s="48" t="s">
        <v>49</v>
      </c>
      <c r="AM452" s="62" t="s">
        <v>32</v>
      </c>
      <c r="AN452" s="62"/>
      <c r="AO452" s="59"/>
      <c r="AP452" s="10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1"/>
    </row>
    <row r="453" spans="1:53" ht="15" customHeight="1" x14ac:dyDescent="0.2">
      <c r="A453" s="33">
        <f t="shared" si="7"/>
        <v>448</v>
      </c>
      <c r="B453" s="34" t="s">
        <v>3639</v>
      </c>
      <c r="C453" s="35" t="s">
        <v>3640</v>
      </c>
      <c r="D453" s="36" t="s">
        <v>3641</v>
      </c>
      <c r="E453" s="334">
        <v>25620</v>
      </c>
      <c r="F453" s="36" t="s">
        <v>54</v>
      </c>
      <c r="G453" s="34" t="s">
        <v>3642</v>
      </c>
      <c r="H453" s="37" t="s">
        <v>73</v>
      </c>
      <c r="I453" s="37" t="s">
        <v>73</v>
      </c>
      <c r="J453" s="34" t="s">
        <v>3643</v>
      </c>
      <c r="K453" s="34" t="s">
        <v>3644</v>
      </c>
      <c r="L453" s="39" t="s">
        <v>42</v>
      </c>
      <c r="M453" s="99" t="s">
        <v>3645</v>
      </c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42" t="s">
        <v>3646</v>
      </c>
      <c r="Z453" s="100" t="s">
        <v>3647</v>
      </c>
      <c r="AA453" s="44" t="s">
        <v>61</v>
      </c>
      <c r="AB453" s="45">
        <v>38593</v>
      </c>
      <c r="AC453" s="101" t="s">
        <v>30</v>
      </c>
      <c r="AD453" s="36" t="s">
        <v>26</v>
      </c>
      <c r="AE453" s="47" t="s">
        <v>49</v>
      </c>
      <c r="AF453" s="48" t="s">
        <v>49</v>
      </c>
      <c r="AG453" s="48" t="s">
        <v>49</v>
      </c>
      <c r="AH453" s="48" t="s">
        <v>49</v>
      </c>
      <c r="AI453" s="48" t="s">
        <v>41</v>
      </c>
      <c r="AJ453" s="48" t="s">
        <v>41</v>
      </c>
      <c r="AK453" s="49" t="s">
        <v>41</v>
      </c>
      <c r="AL453" s="48" t="s">
        <v>41</v>
      </c>
      <c r="AM453" s="62" t="s">
        <v>139</v>
      </c>
      <c r="AN453" s="62"/>
      <c r="AO453" s="59"/>
      <c r="AP453" s="10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1"/>
    </row>
    <row r="454" spans="1:53" ht="15" customHeight="1" x14ac:dyDescent="0.2">
      <c r="A454" s="33">
        <f t="shared" si="7"/>
        <v>449</v>
      </c>
      <c r="B454" s="34" t="s">
        <v>3648</v>
      </c>
      <c r="C454" s="35" t="s">
        <v>3649</v>
      </c>
      <c r="D454" s="36" t="s">
        <v>3650</v>
      </c>
      <c r="E454" s="334">
        <v>29820</v>
      </c>
      <c r="F454" s="36" t="s">
        <v>54</v>
      </c>
      <c r="G454" s="34" t="s">
        <v>3651</v>
      </c>
      <c r="H454" s="37" t="s">
        <v>205</v>
      </c>
      <c r="I454" s="37" t="s">
        <v>205</v>
      </c>
      <c r="J454" s="38" t="s">
        <v>3652</v>
      </c>
      <c r="K454" s="34" t="s">
        <v>41</v>
      </c>
      <c r="L454" s="39" t="s">
        <v>42</v>
      </c>
      <c r="M454" s="120">
        <v>45803</v>
      </c>
      <c r="N454" s="56"/>
      <c r="O454" s="56"/>
      <c r="P454" s="56"/>
      <c r="Q454" s="56"/>
      <c r="R454" s="56"/>
      <c r="S454" s="56"/>
      <c r="T454" s="56"/>
      <c r="U454" s="56"/>
      <c r="V454" s="56"/>
      <c r="W454" s="56" t="s">
        <v>44</v>
      </c>
      <c r="X454" s="56"/>
      <c r="Y454" s="38" t="s">
        <v>3653</v>
      </c>
      <c r="Z454" s="146" t="s">
        <v>3654</v>
      </c>
      <c r="AA454" s="224"/>
      <c r="AB454" s="45"/>
      <c r="AC454" s="101"/>
      <c r="AD454" s="36"/>
      <c r="AE454" s="47" t="s">
        <v>49</v>
      </c>
      <c r="AF454" s="48" t="s">
        <v>41</v>
      </c>
      <c r="AG454" s="48" t="s">
        <v>41</v>
      </c>
      <c r="AH454" s="48" t="s">
        <v>41</v>
      </c>
      <c r="AI454" s="48" t="s">
        <v>41</v>
      </c>
      <c r="AJ454" s="48" t="s">
        <v>41</v>
      </c>
      <c r="AK454" s="49" t="s">
        <v>49</v>
      </c>
      <c r="AL454" s="48" t="s">
        <v>41</v>
      </c>
      <c r="AM454" s="62" t="s">
        <v>148</v>
      </c>
      <c r="AN454" s="62"/>
      <c r="AO454" s="59"/>
      <c r="AP454" s="10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1"/>
    </row>
    <row r="455" spans="1:53" ht="15" customHeight="1" x14ac:dyDescent="0.2">
      <c r="A455" s="33">
        <f t="shared" si="7"/>
        <v>450</v>
      </c>
      <c r="B455" s="34" t="s">
        <v>3655</v>
      </c>
      <c r="C455" s="35" t="s">
        <v>3656</v>
      </c>
      <c r="D455" s="36" t="s">
        <v>3657</v>
      </c>
      <c r="E455" s="334">
        <v>19677</v>
      </c>
      <c r="F455" s="36" t="s">
        <v>54</v>
      </c>
      <c r="G455" s="34" t="s">
        <v>3658</v>
      </c>
      <c r="H455" s="37" t="s">
        <v>1285</v>
      </c>
      <c r="I455" s="37" t="s">
        <v>350</v>
      </c>
      <c r="J455" s="34" t="s">
        <v>3659</v>
      </c>
      <c r="K455" s="34" t="s">
        <v>41</v>
      </c>
      <c r="L455" s="39" t="s">
        <v>42</v>
      </c>
      <c r="M455" s="120">
        <v>36739</v>
      </c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2" t="s">
        <v>3660</v>
      </c>
      <c r="Z455" s="52" t="s">
        <v>3661</v>
      </c>
      <c r="AA455" s="119" t="s">
        <v>61</v>
      </c>
      <c r="AB455" s="45">
        <v>40280</v>
      </c>
      <c r="AC455" s="101" t="s">
        <v>30</v>
      </c>
      <c r="AD455" s="36" t="s">
        <v>26</v>
      </c>
      <c r="AE455" s="47" t="s">
        <v>49</v>
      </c>
      <c r="AF455" s="48" t="s">
        <v>49</v>
      </c>
      <c r="AG455" s="48" t="s">
        <v>49</v>
      </c>
      <c r="AH455" s="48" t="s">
        <v>49</v>
      </c>
      <c r="AI455" s="48" t="s">
        <v>49</v>
      </c>
      <c r="AJ455" s="48" t="s">
        <v>49</v>
      </c>
      <c r="AK455" s="49" t="s">
        <v>49</v>
      </c>
      <c r="AL455" s="48" t="s">
        <v>49</v>
      </c>
      <c r="AM455" s="62" t="s">
        <v>32</v>
      </c>
      <c r="AN455" s="62"/>
      <c r="AO455" s="59"/>
      <c r="AP455" s="10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1"/>
    </row>
    <row r="456" spans="1:53" ht="15" customHeight="1" x14ac:dyDescent="0.2">
      <c r="A456" s="33">
        <f t="shared" si="7"/>
        <v>451</v>
      </c>
      <c r="B456" s="34" t="s">
        <v>3662</v>
      </c>
      <c r="C456" s="35" t="s">
        <v>3663</v>
      </c>
      <c r="D456" s="36" t="s">
        <v>3664</v>
      </c>
      <c r="E456" s="334">
        <v>33722</v>
      </c>
      <c r="F456" s="36" t="s">
        <v>54</v>
      </c>
      <c r="G456" s="34" t="s">
        <v>3665</v>
      </c>
      <c r="H456" s="37" t="s">
        <v>4658</v>
      </c>
      <c r="I456" s="37" t="s">
        <v>350</v>
      </c>
      <c r="J456" s="38" t="s">
        <v>3666</v>
      </c>
      <c r="K456" s="34" t="s">
        <v>41</v>
      </c>
      <c r="L456" s="39" t="s">
        <v>42</v>
      </c>
      <c r="M456" s="120" t="s">
        <v>3667</v>
      </c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2" t="s">
        <v>3668</v>
      </c>
      <c r="Z456" s="43" t="s">
        <v>3669</v>
      </c>
      <c r="AA456" s="84" t="s">
        <v>3670</v>
      </c>
      <c r="AB456" s="45">
        <v>44650</v>
      </c>
      <c r="AC456" s="101" t="s">
        <v>30</v>
      </c>
      <c r="AD456" s="36" t="s">
        <v>26</v>
      </c>
      <c r="AE456" s="47" t="s">
        <v>49</v>
      </c>
      <c r="AF456" s="48" t="s">
        <v>49</v>
      </c>
      <c r="AG456" s="48" t="s">
        <v>49</v>
      </c>
      <c r="AH456" s="48" t="s">
        <v>49</v>
      </c>
      <c r="AI456" s="48" t="s">
        <v>41</v>
      </c>
      <c r="AJ456" s="48" t="s">
        <v>41</v>
      </c>
      <c r="AK456" s="49" t="s">
        <v>41</v>
      </c>
      <c r="AL456" s="48" t="s">
        <v>41</v>
      </c>
      <c r="AM456" s="62" t="s">
        <v>139</v>
      </c>
      <c r="AN456" s="62"/>
      <c r="AO456" s="59"/>
      <c r="AP456" s="10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1"/>
    </row>
    <row r="457" spans="1:53" ht="15" customHeight="1" x14ac:dyDescent="0.2">
      <c r="A457" s="33">
        <f t="shared" ref="A457:A520" si="8">+A456+1</f>
        <v>452</v>
      </c>
      <c r="B457" s="34" t="s">
        <v>3671</v>
      </c>
      <c r="C457" s="35" t="s">
        <v>3672</v>
      </c>
      <c r="D457" s="36" t="s">
        <v>3673</v>
      </c>
      <c r="E457" s="334">
        <v>31484</v>
      </c>
      <c r="F457" s="36" t="s">
        <v>54</v>
      </c>
      <c r="G457" s="34" t="s">
        <v>3674</v>
      </c>
      <c r="H457" s="37" t="s">
        <v>73</v>
      </c>
      <c r="I457" s="37" t="s">
        <v>73</v>
      </c>
      <c r="J457" s="38" t="s">
        <v>3675</v>
      </c>
      <c r="K457" s="34" t="s">
        <v>41</v>
      </c>
      <c r="L457" s="39" t="s">
        <v>42</v>
      </c>
      <c r="M457" s="120">
        <v>44844</v>
      </c>
      <c r="N457" s="41"/>
      <c r="O457" s="94"/>
      <c r="P457" s="94"/>
      <c r="Q457" s="94"/>
      <c r="R457" s="94"/>
      <c r="S457" s="94"/>
      <c r="T457" s="94" t="s">
        <v>44</v>
      </c>
      <c r="U457" s="94"/>
      <c r="V457" s="94"/>
      <c r="W457" s="94"/>
      <c r="X457" s="94"/>
      <c r="Y457" s="42" t="s">
        <v>3676</v>
      </c>
      <c r="Z457" s="43" t="s">
        <v>3677</v>
      </c>
      <c r="AA457" s="207" t="s">
        <v>3678</v>
      </c>
      <c r="AB457" s="45">
        <v>44944</v>
      </c>
      <c r="AC457" s="101" t="s">
        <v>30</v>
      </c>
      <c r="AD457" s="36"/>
      <c r="AE457" s="47" t="s">
        <v>49</v>
      </c>
      <c r="AF457" s="48" t="s">
        <v>41</v>
      </c>
      <c r="AG457" s="48" t="s">
        <v>41</v>
      </c>
      <c r="AH457" s="48" t="s">
        <v>49</v>
      </c>
      <c r="AI457" s="48" t="s">
        <v>49</v>
      </c>
      <c r="AJ457" s="48" t="s">
        <v>49</v>
      </c>
      <c r="AK457" s="49" t="s">
        <v>41</v>
      </c>
      <c r="AL457" s="48" t="s">
        <v>41</v>
      </c>
      <c r="AM457" s="62" t="s">
        <v>276</v>
      </c>
      <c r="AN457" s="62"/>
      <c r="AO457" s="59"/>
      <c r="AP457" s="10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1"/>
    </row>
    <row r="458" spans="1:53" x14ac:dyDescent="0.2">
      <c r="A458" s="33">
        <f t="shared" si="8"/>
        <v>453</v>
      </c>
      <c r="B458" s="34" t="s">
        <v>3679</v>
      </c>
      <c r="C458" s="35" t="s">
        <v>3680</v>
      </c>
      <c r="D458" s="36" t="s">
        <v>3681</v>
      </c>
      <c r="E458" s="334">
        <v>29356</v>
      </c>
      <c r="F458" s="36" t="s">
        <v>54</v>
      </c>
      <c r="G458" s="34" t="s">
        <v>3682</v>
      </c>
      <c r="H458" s="37" t="s">
        <v>73</v>
      </c>
      <c r="I458" s="37" t="s">
        <v>73</v>
      </c>
      <c r="J458" s="34" t="s">
        <v>3683</v>
      </c>
      <c r="K458" s="34" t="s">
        <v>3683</v>
      </c>
      <c r="L458" s="39" t="s">
        <v>42</v>
      </c>
      <c r="M458" s="120" t="s">
        <v>3684</v>
      </c>
      <c r="N458" s="41"/>
      <c r="O458" s="41"/>
      <c r="P458" s="41"/>
      <c r="Q458" s="41"/>
      <c r="R458" s="112"/>
      <c r="S458" s="41"/>
      <c r="T458" s="41"/>
      <c r="U458" s="41"/>
      <c r="V458" s="41"/>
      <c r="W458" s="41"/>
      <c r="X458" s="41"/>
      <c r="Y458" s="42" t="s">
        <v>3685</v>
      </c>
      <c r="Z458" s="58" t="s">
        <v>3686</v>
      </c>
      <c r="AA458" s="84" t="s">
        <v>3687</v>
      </c>
      <c r="AB458" s="45">
        <v>44650</v>
      </c>
      <c r="AC458" s="101" t="s">
        <v>30</v>
      </c>
      <c r="AD458" s="36" t="s">
        <v>26</v>
      </c>
      <c r="AE458" s="61" t="s">
        <v>49</v>
      </c>
      <c r="AF458" s="48" t="s">
        <v>49</v>
      </c>
      <c r="AG458" s="48" t="s">
        <v>49</v>
      </c>
      <c r="AH458" s="48" t="s">
        <v>49</v>
      </c>
      <c r="AI458" s="48" t="s">
        <v>49</v>
      </c>
      <c r="AJ458" s="48" t="s">
        <v>49</v>
      </c>
      <c r="AK458" s="49" t="s">
        <v>49</v>
      </c>
      <c r="AL458" s="48" t="s">
        <v>49</v>
      </c>
      <c r="AM458" s="62" t="s">
        <v>32</v>
      </c>
      <c r="AN458" s="62"/>
      <c r="AO458" s="59"/>
      <c r="AP458" s="10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1"/>
    </row>
    <row r="459" spans="1:53" x14ac:dyDescent="0.2">
      <c r="A459" s="33">
        <f t="shared" si="8"/>
        <v>454</v>
      </c>
      <c r="B459" s="34" t="s">
        <v>3688</v>
      </c>
      <c r="C459" s="35" t="s">
        <v>3689</v>
      </c>
      <c r="D459" s="36" t="s">
        <v>3690</v>
      </c>
      <c r="E459" s="334">
        <v>30523</v>
      </c>
      <c r="F459" s="36" t="s">
        <v>36</v>
      </c>
      <c r="G459" s="34" t="s">
        <v>3552</v>
      </c>
      <c r="H459" s="37" t="s">
        <v>73</v>
      </c>
      <c r="I459" s="37" t="s">
        <v>73</v>
      </c>
      <c r="J459" s="34" t="s">
        <v>3553</v>
      </c>
      <c r="K459" s="34" t="s">
        <v>3691</v>
      </c>
      <c r="L459" s="39" t="s">
        <v>42</v>
      </c>
      <c r="M459" s="120">
        <v>30353</v>
      </c>
      <c r="N459" s="41"/>
      <c r="O459" s="41"/>
      <c r="P459" s="41"/>
      <c r="Q459" s="41"/>
      <c r="R459" s="41"/>
      <c r="S459" s="41"/>
      <c r="T459" s="41"/>
      <c r="U459" s="41"/>
      <c r="V459" s="41" t="s">
        <v>732</v>
      </c>
      <c r="W459" s="41"/>
      <c r="X459" s="41"/>
      <c r="Y459" s="42" t="s">
        <v>3692</v>
      </c>
      <c r="Z459" s="58" t="s">
        <v>3693</v>
      </c>
      <c r="AA459" s="44" t="s">
        <v>61</v>
      </c>
      <c r="AB459" s="45">
        <v>40815</v>
      </c>
      <c r="AC459" s="101" t="s">
        <v>30</v>
      </c>
      <c r="AD459" s="36" t="s">
        <v>26</v>
      </c>
      <c r="AE459" s="64" t="s">
        <v>120</v>
      </c>
      <c r="AF459" s="48" t="s">
        <v>120</v>
      </c>
      <c r="AG459" s="48" t="s">
        <v>130</v>
      </c>
      <c r="AH459" s="48" t="s">
        <v>120</v>
      </c>
      <c r="AI459" s="48" t="s">
        <v>120</v>
      </c>
      <c r="AJ459" s="48" t="s">
        <v>120</v>
      </c>
      <c r="AK459" s="49" t="s">
        <v>120</v>
      </c>
      <c r="AL459" s="48" t="s">
        <v>120</v>
      </c>
      <c r="AM459" s="62" t="s">
        <v>32</v>
      </c>
      <c r="AN459" s="62"/>
      <c r="AO459" s="59"/>
      <c r="AP459" s="10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1"/>
    </row>
    <row r="460" spans="1:53" x14ac:dyDescent="0.2">
      <c r="A460" s="33">
        <f t="shared" si="8"/>
        <v>455</v>
      </c>
      <c r="B460" s="34" t="s">
        <v>3694</v>
      </c>
      <c r="C460" s="35" t="s">
        <v>3695</v>
      </c>
      <c r="D460" s="36" t="s">
        <v>3696</v>
      </c>
      <c r="E460" s="334">
        <v>25385</v>
      </c>
      <c r="F460" s="36" t="s">
        <v>54</v>
      </c>
      <c r="G460" s="34" t="s">
        <v>3697</v>
      </c>
      <c r="H460" s="37" t="s">
        <v>39</v>
      </c>
      <c r="I460" s="37" t="s">
        <v>39</v>
      </c>
      <c r="J460" s="34" t="s">
        <v>3698</v>
      </c>
      <c r="K460" s="34" t="s">
        <v>3699</v>
      </c>
      <c r="L460" s="39" t="s">
        <v>42</v>
      </c>
      <c r="M460" s="120">
        <v>37439</v>
      </c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2" t="s">
        <v>3700</v>
      </c>
      <c r="Z460" s="58" t="s">
        <v>3701</v>
      </c>
      <c r="AA460" s="44" t="s">
        <v>61</v>
      </c>
      <c r="AB460" s="45">
        <v>37877</v>
      </c>
      <c r="AC460" s="101" t="s">
        <v>30</v>
      </c>
      <c r="AD460" s="36" t="s">
        <v>26</v>
      </c>
      <c r="AE460" s="47" t="s">
        <v>49</v>
      </c>
      <c r="AF460" s="48" t="s">
        <v>49</v>
      </c>
      <c r="AG460" s="48" t="s">
        <v>49</v>
      </c>
      <c r="AH460" s="48" t="s">
        <v>49</v>
      </c>
      <c r="AI460" s="48" t="s">
        <v>49</v>
      </c>
      <c r="AJ460" s="48" t="s">
        <v>49</v>
      </c>
      <c r="AK460" s="49" t="s">
        <v>41</v>
      </c>
      <c r="AL460" s="48" t="s">
        <v>41</v>
      </c>
      <c r="AM460" s="62" t="s">
        <v>276</v>
      </c>
      <c r="AN460" s="62"/>
      <c r="AO460" s="59"/>
      <c r="AP460" s="10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1"/>
    </row>
    <row r="461" spans="1:53" x14ac:dyDescent="0.2">
      <c r="A461" s="33">
        <f t="shared" si="8"/>
        <v>456</v>
      </c>
      <c r="B461" s="34" t="s">
        <v>3702</v>
      </c>
      <c r="C461" s="35" t="s">
        <v>3703</v>
      </c>
      <c r="D461" s="36" t="s">
        <v>3704</v>
      </c>
      <c r="E461" s="36"/>
      <c r="F461" s="36" t="s">
        <v>54</v>
      </c>
      <c r="G461" s="34" t="s">
        <v>3705</v>
      </c>
      <c r="H461" s="37" t="s">
        <v>73</v>
      </c>
      <c r="I461" s="37" t="s">
        <v>73</v>
      </c>
      <c r="J461" s="34" t="s">
        <v>3292</v>
      </c>
      <c r="K461" s="34" t="s">
        <v>41</v>
      </c>
      <c r="L461" s="39" t="s">
        <v>42</v>
      </c>
      <c r="M461" s="99" t="s">
        <v>3706</v>
      </c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2" t="s">
        <v>3707</v>
      </c>
      <c r="Z461" s="58" t="s">
        <v>3708</v>
      </c>
      <c r="AA461" s="119" t="s">
        <v>61</v>
      </c>
      <c r="AB461" s="45">
        <v>34597</v>
      </c>
      <c r="AC461" s="101" t="s">
        <v>30</v>
      </c>
      <c r="AD461" s="36"/>
      <c r="AE461" s="47" t="s">
        <v>49</v>
      </c>
      <c r="AF461" s="48" t="s">
        <v>41</v>
      </c>
      <c r="AG461" s="48" t="s">
        <v>41</v>
      </c>
      <c r="AH461" s="48" t="s">
        <v>41</v>
      </c>
      <c r="AI461" s="48" t="s">
        <v>41</v>
      </c>
      <c r="AJ461" s="48" t="s">
        <v>41</v>
      </c>
      <c r="AK461" s="49" t="s">
        <v>41</v>
      </c>
      <c r="AL461" s="48" t="s">
        <v>41</v>
      </c>
      <c r="AM461" s="65" t="s">
        <v>4588</v>
      </c>
      <c r="AN461" s="65"/>
      <c r="AO461" s="59"/>
      <c r="AP461" s="117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1"/>
    </row>
    <row r="462" spans="1:53" x14ac:dyDescent="0.2">
      <c r="A462" s="33">
        <f t="shared" si="8"/>
        <v>457</v>
      </c>
      <c r="B462" s="34" t="s">
        <v>3709</v>
      </c>
      <c r="C462" s="35" t="s">
        <v>3710</v>
      </c>
      <c r="D462" s="36" t="s">
        <v>3711</v>
      </c>
      <c r="E462" s="36"/>
      <c r="F462" s="36" t="s">
        <v>54</v>
      </c>
      <c r="G462" s="34" t="s">
        <v>3712</v>
      </c>
      <c r="H462" s="37" t="s">
        <v>528</v>
      </c>
      <c r="I462" s="37" t="s">
        <v>57</v>
      </c>
      <c r="J462" s="38" t="s">
        <v>3713</v>
      </c>
      <c r="K462" s="34" t="s">
        <v>41</v>
      </c>
      <c r="L462" s="39" t="s">
        <v>42</v>
      </c>
      <c r="M462" s="120">
        <v>44409</v>
      </c>
      <c r="N462" s="41"/>
      <c r="O462" s="41"/>
      <c r="P462" s="41"/>
      <c r="Q462" s="41"/>
      <c r="R462" s="112"/>
      <c r="S462" s="41" t="s">
        <v>44</v>
      </c>
      <c r="T462" s="41"/>
      <c r="U462" s="41"/>
      <c r="V462" s="41"/>
      <c r="W462" s="41"/>
      <c r="X462" s="41"/>
      <c r="Y462" s="42" t="s">
        <v>3714</v>
      </c>
      <c r="Z462" s="58" t="s">
        <v>3715</v>
      </c>
      <c r="AA462" s="144" t="s">
        <v>3716</v>
      </c>
      <c r="AB462" s="45">
        <v>44650</v>
      </c>
      <c r="AC462" s="101" t="s">
        <v>30</v>
      </c>
      <c r="AD462" s="36"/>
      <c r="AE462" s="47" t="s">
        <v>49</v>
      </c>
      <c r="AF462" s="48" t="s">
        <v>41</v>
      </c>
      <c r="AG462" s="48" t="s">
        <v>49</v>
      </c>
      <c r="AH462" s="48" t="s">
        <v>41</v>
      </c>
      <c r="AI462" s="48" t="s">
        <v>41</v>
      </c>
      <c r="AJ462" s="48" t="s">
        <v>41</v>
      </c>
      <c r="AK462" s="49" t="s">
        <v>41</v>
      </c>
      <c r="AL462" s="48" t="s">
        <v>41</v>
      </c>
      <c r="AM462" s="62" t="s">
        <v>110</v>
      </c>
      <c r="AN462" s="62"/>
      <c r="AO462" s="59"/>
      <c r="AP462" s="117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1"/>
    </row>
    <row r="463" spans="1:53" x14ac:dyDescent="0.2">
      <c r="A463" s="33">
        <f t="shared" si="8"/>
        <v>458</v>
      </c>
      <c r="B463" s="34" t="s">
        <v>3717</v>
      </c>
      <c r="C463" s="35" t="s">
        <v>3718</v>
      </c>
      <c r="D463" s="36" t="s">
        <v>3719</v>
      </c>
      <c r="E463" s="334">
        <v>25792</v>
      </c>
      <c r="F463" s="36" t="s">
        <v>54</v>
      </c>
      <c r="G463" s="34" t="s">
        <v>3720</v>
      </c>
      <c r="H463" s="37" t="s">
        <v>1285</v>
      </c>
      <c r="I463" s="37" t="s">
        <v>350</v>
      </c>
      <c r="J463" s="34" t="s">
        <v>3721</v>
      </c>
      <c r="K463" s="34" t="s">
        <v>41</v>
      </c>
      <c r="L463" s="39" t="s">
        <v>42</v>
      </c>
      <c r="M463" s="99" t="s">
        <v>3722</v>
      </c>
      <c r="N463" s="56"/>
      <c r="O463" s="186"/>
      <c r="P463" s="186"/>
      <c r="Q463" s="186"/>
      <c r="R463" s="115"/>
      <c r="S463" s="115"/>
      <c r="T463" s="115"/>
      <c r="U463" s="56"/>
      <c r="V463" s="56"/>
      <c r="W463" s="56"/>
      <c r="X463" s="56"/>
      <c r="Y463" s="42" t="s">
        <v>3723</v>
      </c>
      <c r="Z463" s="69" t="s">
        <v>3724</v>
      </c>
      <c r="AA463" s="44" t="s">
        <v>61</v>
      </c>
      <c r="AB463" s="45">
        <v>36803</v>
      </c>
      <c r="AC463" s="101" t="s">
        <v>30</v>
      </c>
      <c r="AD463" s="36" t="s">
        <v>26</v>
      </c>
      <c r="AE463" s="47" t="s">
        <v>49</v>
      </c>
      <c r="AF463" s="48" t="s">
        <v>49</v>
      </c>
      <c r="AG463" s="48" t="s">
        <v>49</v>
      </c>
      <c r="AH463" s="48" t="s">
        <v>49</v>
      </c>
      <c r="AI463" s="48" t="s">
        <v>49</v>
      </c>
      <c r="AJ463" s="48" t="s">
        <v>49</v>
      </c>
      <c r="AK463" s="49" t="s">
        <v>49</v>
      </c>
      <c r="AL463" s="48" t="s">
        <v>49</v>
      </c>
      <c r="AM463" s="62" t="s">
        <v>32</v>
      </c>
      <c r="AN463" s="62"/>
      <c r="AO463" s="59"/>
      <c r="AP463" s="10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1"/>
    </row>
    <row r="464" spans="1:53" x14ac:dyDescent="0.2">
      <c r="A464" s="33">
        <f t="shared" si="8"/>
        <v>459</v>
      </c>
      <c r="B464" s="34" t="s">
        <v>3725</v>
      </c>
      <c r="C464" s="35" t="s">
        <v>3726</v>
      </c>
      <c r="D464" s="36" t="s">
        <v>3727</v>
      </c>
      <c r="E464" s="334">
        <v>29470</v>
      </c>
      <c r="F464" s="36" t="s">
        <v>36</v>
      </c>
      <c r="G464" s="34" t="s">
        <v>3728</v>
      </c>
      <c r="H464" s="37" t="s">
        <v>73</v>
      </c>
      <c r="I464" s="37" t="s">
        <v>73</v>
      </c>
      <c r="J464" s="34" t="s">
        <v>3729</v>
      </c>
      <c r="K464" s="34" t="s">
        <v>41</v>
      </c>
      <c r="L464" s="39" t="s">
        <v>42</v>
      </c>
      <c r="M464" s="120">
        <v>35106</v>
      </c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42" t="s">
        <v>3730</v>
      </c>
      <c r="Z464" s="52" t="s">
        <v>3731</v>
      </c>
      <c r="AA464" s="44" t="s">
        <v>3732</v>
      </c>
      <c r="AB464" s="45">
        <v>42325</v>
      </c>
      <c r="AC464" s="101" t="s">
        <v>30</v>
      </c>
      <c r="AD464" s="36" t="s">
        <v>26</v>
      </c>
      <c r="AE464" s="47" t="s">
        <v>49</v>
      </c>
      <c r="AF464" s="48" t="s">
        <v>49</v>
      </c>
      <c r="AG464" s="48" t="s">
        <v>49</v>
      </c>
      <c r="AH464" s="48" t="s">
        <v>49</v>
      </c>
      <c r="AI464" s="48" t="s">
        <v>49</v>
      </c>
      <c r="AJ464" s="48" t="s">
        <v>49</v>
      </c>
      <c r="AK464" s="49" t="s">
        <v>49</v>
      </c>
      <c r="AL464" s="48" t="s">
        <v>49</v>
      </c>
      <c r="AM464" s="62" t="s">
        <v>32</v>
      </c>
      <c r="AN464" s="62"/>
      <c r="AO464" s="59"/>
      <c r="AP464" s="10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1"/>
    </row>
    <row r="465" spans="1:53" x14ac:dyDescent="0.2">
      <c r="A465" s="33">
        <f t="shared" si="8"/>
        <v>460</v>
      </c>
      <c r="B465" s="34" t="s">
        <v>3733</v>
      </c>
      <c r="C465" s="35" t="s">
        <v>3734</v>
      </c>
      <c r="D465" s="36" t="s">
        <v>3735</v>
      </c>
      <c r="E465" s="334">
        <v>24904</v>
      </c>
      <c r="F465" s="36" t="s">
        <v>54</v>
      </c>
      <c r="G465" s="34" t="s">
        <v>3736</v>
      </c>
      <c r="H465" s="37" t="s">
        <v>73</v>
      </c>
      <c r="I465" s="37" t="s">
        <v>73</v>
      </c>
      <c r="J465" s="34" t="s">
        <v>3737</v>
      </c>
      <c r="K465" s="34" t="s">
        <v>41</v>
      </c>
      <c r="L465" s="39" t="s">
        <v>42</v>
      </c>
      <c r="M465" s="120">
        <v>43807</v>
      </c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42" t="s">
        <v>3738</v>
      </c>
      <c r="Z465" s="58" t="s">
        <v>3739</v>
      </c>
      <c r="AA465" s="44" t="s">
        <v>3740</v>
      </c>
      <c r="AB465" s="45">
        <v>42325</v>
      </c>
      <c r="AC465" s="101" t="s">
        <v>30</v>
      </c>
      <c r="AD465" s="36" t="s">
        <v>26</v>
      </c>
      <c r="AE465" s="47" t="s">
        <v>49</v>
      </c>
      <c r="AF465" s="48" t="s">
        <v>49</v>
      </c>
      <c r="AG465" s="48" t="s">
        <v>49</v>
      </c>
      <c r="AH465" s="48" t="s">
        <v>49</v>
      </c>
      <c r="AI465" s="48" t="s">
        <v>49</v>
      </c>
      <c r="AJ465" s="48" t="s">
        <v>49</v>
      </c>
      <c r="AK465" s="49" t="s">
        <v>49</v>
      </c>
      <c r="AL465" s="48" t="s">
        <v>49</v>
      </c>
      <c r="AM465" s="62" t="s">
        <v>32</v>
      </c>
      <c r="AN465" s="62"/>
      <c r="AO465" s="59"/>
      <c r="AP465" s="10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1"/>
    </row>
    <row r="466" spans="1:53" x14ac:dyDescent="0.2">
      <c r="A466" s="33">
        <f t="shared" si="8"/>
        <v>461</v>
      </c>
      <c r="B466" s="34" t="s">
        <v>3741</v>
      </c>
      <c r="C466" s="35" t="s">
        <v>3742</v>
      </c>
      <c r="D466" s="36" t="s">
        <v>3743</v>
      </c>
      <c r="E466" s="334">
        <v>29257</v>
      </c>
      <c r="F466" s="36" t="s">
        <v>36</v>
      </c>
      <c r="G466" s="34" t="s">
        <v>3744</v>
      </c>
      <c r="H466" s="37" t="s">
        <v>73</v>
      </c>
      <c r="I466" s="37" t="s">
        <v>73</v>
      </c>
      <c r="J466" s="34" t="s">
        <v>3745</v>
      </c>
      <c r="K466" s="34" t="s">
        <v>3746</v>
      </c>
      <c r="L466" s="39" t="s">
        <v>42</v>
      </c>
      <c r="M466" s="99" t="s">
        <v>3747</v>
      </c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42" t="s">
        <v>3748</v>
      </c>
      <c r="Z466" s="69" t="s">
        <v>3749</v>
      </c>
      <c r="AA466" s="44" t="s">
        <v>61</v>
      </c>
      <c r="AB466" s="45">
        <v>42325</v>
      </c>
      <c r="AC466" s="101" t="s">
        <v>30</v>
      </c>
      <c r="AD466" s="36" t="s">
        <v>26</v>
      </c>
      <c r="AE466" s="64" t="s">
        <v>120</v>
      </c>
      <c r="AF466" s="48" t="s">
        <v>120</v>
      </c>
      <c r="AG466" s="48" t="s">
        <v>120</v>
      </c>
      <c r="AH466" s="48" t="s">
        <v>120</v>
      </c>
      <c r="AI466" s="48" t="s">
        <v>120</v>
      </c>
      <c r="AJ466" s="48" t="s">
        <v>120</v>
      </c>
      <c r="AK466" s="49" t="s">
        <v>120</v>
      </c>
      <c r="AL466" s="48" t="s">
        <v>120</v>
      </c>
      <c r="AM466" s="65" t="s">
        <v>32</v>
      </c>
      <c r="AN466" s="65"/>
      <c r="AO466" s="59"/>
      <c r="AP466" s="10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1"/>
    </row>
    <row r="467" spans="1:53" x14ac:dyDescent="0.2">
      <c r="A467" s="33">
        <f t="shared" si="8"/>
        <v>462</v>
      </c>
      <c r="B467" s="34" t="s">
        <v>3750</v>
      </c>
      <c r="C467" s="35" t="s">
        <v>3751</v>
      </c>
      <c r="D467" s="36" t="s">
        <v>3752</v>
      </c>
      <c r="E467" s="334">
        <v>19791</v>
      </c>
      <c r="F467" s="36" t="s">
        <v>54</v>
      </c>
      <c r="G467" s="34" t="s">
        <v>3753</v>
      </c>
      <c r="H467" s="37" t="s">
        <v>73</v>
      </c>
      <c r="I467" s="37" t="s">
        <v>73</v>
      </c>
      <c r="J467" s="34" t="s">
        <v>3754</v>
      </c>
      <c r="K467" s="38" t="s">
        <v>3755</v>
      </c>
      <c r="L467" s="39" t="s">
        <v>42</v>
      </c>
      <c r="M467" s="120">
        <v>34430</v>
      </c>
      <c r="N467" s="41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42" t="s">
        <v>3756</v>
      </c>
      <c r="Z467" s="69" t="s">
        <v>3757</v>
      </c>
      <c r="AA467" s="44" t="s">
        <v>61</v>
      </c>
      <c r="AB467" s="45">
        <v>34597</v>
      </c>
      <c r="AC467" s="101" t="s">
        <v>30</v>
      </c>
      <c r="AD467" s="36" t="s">
        <v>26</v>
      </c>
      <c r="AE467" s="47" t="s">
        <v>49</v>
      </c>
      <c r="AF467" s="48" t="s">
        <v>49</v>
      </c>
      <c r="AG467" s="48" t="s">
        <v>49</v>
      </c>
      <c r="AH467" s="48" t="s">
        <v>49</v>
      </c>
      <c r="AI467" s="48" t="s">
        <v>41</v>
      </c>
      <c r="AJ467" s="48" t="s">
        <v>41</v>
      </c>
      <c r="AK467" s="49" t="s">
        <v>41</v>
      </c>
      <c r="AL467" s="48" t="s">
        <v>41</v>
      </c>
      <c r="AM467" s="62" t="s">
        <v>139</v>
      </c>
      <c r="AN467" s="62"/>
      <c r="AO467" s="59"/>
      <c r="AP467" s="10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1"/>
    </row>
    <row r="468" spans="1:53" x14ac:dyDescent="0.2">
      <c r="A468" s="33">
        <f t="shared" si="8"/>
        <v>463</v>
      </c>
      <c r="B468" s="34" t="s">
        <v>3758</v>
      </c>
      <c r="C468" s="35" t="s">
        <v>3759</v>
      </c>
      <c r="D468" s="36" t="s">
        <v>3760</v>
      </c>
      <c r="E468" s="334">
        <v>36370</v>
      </c>
      <c r="F468" s="36" t="s">
        <v>54</v>
      </c>
      <c r="G468" s="34" t="s">
        <v>3761</v>
      </c>
      <c r="H468" s="37" t="s">
        <v>323</v>
      </c>
      <c r="I468" s="37" t="s">
        <v>39</v>
      </c>
      <c r="J468" s="38" t="s">
        <v>3762</v>
      </c>
      <c r="K468" s="38"/>
      <c r="L468" s="39" t="s">
        <v>42</v>
      </c>
      <c r="M468" s="120">
        <v>45357</v>
      </c>
      <c r="N468" s="41"/>
      <c r="O468" s="41"/>
      <c r="P468" s="41"/>
      <c r="Q468" s="41"/>
      <c r="R468" s="41"/>
      <c r="S468" s="41"/>
      <c r="T468" s="41"/>
      <c r="U468" s="41"/>
      <c r="V468" s="41" t="s">
        <v>44</v>
      </c>
      <c r="W468" s="41"/>
      <c r="X468" s="41"/>
      <c r="Y468" s="54" t="s">
        <v>3763</v>
      </c>
      <c r="Z468" s="58" t="s">
        <v>3764</v>
      </c>
      <c r="AA468" s="44"/>
      <c r="AB468" s="45"/>
      <c r="AC468" s="101"/>
      <c r="AD468" s="36"/>
      <c r="AE468" s="47" t="s">
        <v>49</v>
      </c>
      <c r="AF468" s="48" t="s">
        <v>41</v>
      </c>
      <c r="AG468" s="48" t="s">
        <v>41</v>
      </c>
      <c r="AH468" s="48" t="s">
        <v>41</v>
      </c>
      <c r="AI468" s="48" t="s">
        <v>41</v>
      </c>
      <c r="AJ468" s="48" t="s">
        <v>49</v>
      </c>
      <c r="AK468" s="49" t="s">
        <v>49</v>
      </c>
      <c r="AL468" s="48" t="s">
        <v>49</v>
      </c>
      <c r="AM468" s="65" t="s">
        <v>32</v>
      </c>
      <c r="AN468" s="65"/>
      <c r="AO468" s="103"/>
      <c r="AP468" s="10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1"/>
    </row>
    <row r="469" spans="1:53" x14ac:dyDescent="0.2">
      <c r="A469" s="33">
        <f t="shared" si="8"/>
        <v>464</v>
      </c>
      <c r="B469" s="34" t="s">
        <v>3765</v>
      </c>
      <c r="C469" s="35" t="s">
        <v>3766</v>
      </c>
      <c r="D469" s="36" t="s">
        <v>3767</v>
      </c>
      <c r="E469" s="36"/>
      <c r="F469" s="36" t="s">
        <v>54</v>
      </c>
      <c r="G469" s="34" t="s">
        <v>3768</v>
      </c>
      <c r="H469" s="37" t="s">
        <v>1417</v>
      </c>
      <c r="I469" s="37" t="s">
        <v>187</v>
      </c>
      <c r="J469" s="38" t="s">
        <v>3769</v>
      </c>
      <c r="K469" s="34" t="s">
        <v>41</v>
      </c>
      <c r="L469" s="39" t="s">
        <v>42</v>
      </c>
      <c r="M469" s="120">
        <v>42562</v>
      </c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7" t="s">
        <v>3770</v>
      </c>
      <c r="Z469" s="58" t="s">
        <v>3771</v>
      </c>
      <c r="AA469" s="44" t="s">
        <v>3772</v>
      </c>
      <c r="AB469" s="45">
        <v>44041</v>
      </c>
      <c r="AC469" s="101" t="s">
        <v>30</v>
      </c>
      <c r="AD469" s="36" t="s">
        <v>26</v>
      </c>
      <c r="AE469" s="47" t="s">
        <v>49</v>
      </c>
      <c r="AF469" s="48" t="s">
        <v>49</v>
      </c>
      <c r="AG469" s="48" t="s">
        <v>41</v>
      </c>
      <c r="AH469" s="48" t="s">
        <v>41</v>
      </c>
      <c r="AI469" s="48" t="s">
        <v>41</v>
      </c>
      <c r="AJ469" s="48" t="s">
        <v>41</v>
      </c>
      <c r="AK469" s="49" t="s">
        <v>41</v>
      </c>
      <c r="AL469" s="48" t="s">
        <v>41</v>
      </c>
      <c r="AM469" s="62" t="s">
        <v>4587</v>
      </c>
      <c r="AN469" s="62"/>
      <c r="AO469" s="59"/>
      <c r="AP469" s="10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1"/>
    </row>
    <row r="470" spans="1:53" x14ac:dyDescent="0.2">
      <c r="A470" s="33">
        <f t="shared" si="8"/>
        <v>465</v>
      </c>
      <c r="B470" s="34" t="s">
        <v>3773</v>
      </c>
      <c r="C470" s="35" t="s">
        <v>3774</v>
      </c>
      <c r="D470" s="36" t="s">
        <v>3775</v>
      </c>
      <c r="E470" s="334">
        <v>32991</v>
      </c>
      <c r="F470" s="36" t="s">
        <v>54</v>
      </c>
      <c r="G470" s="34" t="s">
        <v>3776</v>
      </c>
      <c r="H470" s="37" t="s">
        <v>1417</v>
      </c>
      <c r="I470" s="37" t="s">
        <v>187</v>
      </c>
      <c r="J470" s="38" t="s">
        <v>3777</v>
      </c>
      <c r="K470" s="34" t="s">
        <v>41</v>
      </c>
      <c r="L470" s="39" t="s">
        <v>42</v>
      </c>
      <c r="M470" s="120">
        <v>43227</v>
      </c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42" t="s">
        <v>3778</v>
      </c>
      <c r="Z470" s="69" t="s">
        <v>3779</v>
      </c>
      <c r="AA470" s="44" t="s">
        <v>3780</v>
      </c>
      <c r="AB470" s="45">
        <v>44041</v>
      </c>
      <c r="AC470" s="101" t="s">
        <v>30</v>
      </c>
      <c r="AD470" s="36" t="s">
        <v>26</v>
      </c>
      <c r="AE470" s="47" t="s">
        <v>49</v>
      </c>
      <c r="AF470" s="48" t="s">
        <v>49</v>
      </c>
      <c r="AG470" s="48" t="s">
        <v>49</v>
      </c>
      <c r="AH470" s="48" t="s">
        <v>49</v>
      </c>
      <c r="AI470" s="48" t="s">
        <v>49</v>
      </c>
      <c r="AJ470" s="48" t="s">
        <v>49</v>
      </c>
      <c r="AK470" s="49" t="s">
        <v>49</v>
      </c>
      <c r="AL470" s="48" t="s">
        <v>49</v>
      </c>
      <c r="AM470" s="62" t="s">
        <v>32</v>
      </c>
      <c r="AN470" s="62" t="s">
        <v>4681</v>
      </c>
      <c r="AO470" s="59"/>
      <c r="AP470" s="117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1"/>
    </row>
    <row r="471" spans="1:53" ht="15" customHeight="1" x14ac:dyDescent="0.2">
      <c r="A471" s="33">
        <f t="shared" si="8"/>
        <v>466</v>
      </c>
      <c r="B471" s="34" t="s">
        <v>3781</v>
      </c>
      <c r="C471" s="35" t="s">
        <v>3782</v>
      </c>
      <c r="D471" s="36" t="s">
        <v>3783</v>
      </c>
      <c r="E471" s="334">
        <v>29248</v>
      </c>
      <c r="F471" s="36" t="s">
        <v>54</v>
      </c>
      <c r="G471" s="34" t="s">
        <v>3784</v>
      </c>
      <c r="H471" s="37" t="s">
        <v>323</v>
      </c>
      <c r="I471" s="37" t="s">
        <v>39</v>
      </c>
      <c r="J471" s="38" t="s">
        <v>3785</v>
      </c>
      <c r="K471" s="34" t="s">
        <v>41</v>
      </c>
      <c r="L471" s="39" t="s">
        <v>42</v>
      </c>
      <c r="M471" s="120" t="s">
        <v>3786</v>
      </c>
      <c r="N471" s="56"/>
      <c r="O471" s="56"/>
      <c r="P471" s="56"/>
      <c r="Q471" s="56"/>
      <c r="R471" s="56"/>
      <c r="S471" s="56" t="s">
        <v>44</v>
      </c>
      <c r="T471" s="56"/>
      <c r="U471" s="56"/>
      <c r="V471" s="56"/>
      <c r="W471" s="56"/>
      <c r="X471" s="56"/>
      <c r="Y471" s="42" t="s">
        <v>3787</v>
      </c>
      <c r="Z471" s="58" t="s">
        <v>3788</v>
      </c>
      <c r="AA471" s="207" t="s">
        <v>3789</v>
      </c>
      <c r="AB471" s="45">
        <v>44944</v>
      </c>
      <c r="AC471" s="101" t="s">
        <v>30</v>
      </c>
      <c r="AD471" s="36"/>
      <c r="AE471" s="47" t="s">
        <v>49</v>
      </c>
      <c r="AF471" s="48" t="s">
        <v>41</v>
      </c>
      <c r="AG471" s="48" t="s">
        <v>49</v>
      </c>
      <c r="AH471" s="48" t="s">
        <v>49</v>
      </c>
      <c r="AI471" s="48" t="s">
        <v>49</v>
      </c>
      <c r="AJ471" s="48" t="s">
        <v>49</v>
      </c>
      <c r="AK471" s="49" t="s">
        <v>49</v>
      </c>
      <c r="AL471" s="48" t="s">
        <v>49</v>
      </c>
      <c r="AM471" s="65" t="s">
        <v>32</v>
      </c>
      <c r="AN471" s="65"/>
      <c r="AO471" s="59"/>
      <c r="AP471" s="10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1"/>
    </row>
    <row r="472" spans="1:53" ht="15" customHeight="1" x14ac:dyDescent="0.2">
      <c r="A472" s="33">
        <f t="shared" si="8"/>
        <v>467</v>
      </c>
      <c r="B472" s="34" t="s">
        <v>4622</v>
      </c>
      <c r="C472" s="35" t="s">
        <v>3791</v>
      </c>
      <c r="D472" s="36" t="s">
        <v>4623</v>
      </c>
      <c r="E472" s="334">
        <v>35342</v>
      </c>
      <c r="F472" s="36" t="s">
        <v>54</v>
      </c>
      <c r="G472" s="34" t="s">
        <v>4621</v>
      </c>
      <c r="H472" s="37" t="s">
        <v>252</v>
      </c>
      <c r="I472" s="37" t="s">
        <v>57</v>
      </c>
      <c r="J472" s="34" t="s">
        <v>3794</v>
      </c>
      <c r="K472" s="34" t="s">
        <v>41</v>
      </c>
      <c r="L472" s="39" t="s">
        <v>42</v>
      </c>
      <c r="M472" s="120">
        <v>30353</v>
      </c>
      <c r="N472" s="41"/>
      <c r="O472" s="41"/>
      <c r="P472" s="41"/>
      <c r="Q472" s="41"/>
      <c r="R472" s="41"/>
      <c r="S472" s="41"/>
      <c r="T472" s="41"/>
      <c r="U472" s="41" t="s">
        <v>732</v>
      </c>
      <c r="V472" s="41"/>
      <c r="W472" s="41"/>
      <c r="X472" s="41"/>
      <c r="Y472" s="42" t="s">
        <v>3795</v>
      </c>
      <c r="Z472" s="43" t="s">
        <v>3796</v>
      </c>
      <c r="AA472" s="119" t="s">
        <v>61</v>
      </c>
      <c r="AB472" s="45">
        <v>34597</v>
      </c>
      <c r="AC472" s="101" t="s">
        <v>30</v>
      </c>
      <c r="AD472" s="36" t="s">
        <v>26</v>
      </c>
      <c r="AE472" s="47" t="s">
        <v>49</v>
      </c>
      <c r="AF472" s="48" t="s">
        <v>49</v>
      </c>
      <c r="AG472" s="48" t="s">
        <v>49</v>
      </c>
      <c r="AH472" s="48" t="s">
        <v>49</v>
      </c>
      <c r="AI472" s="48" t="s">
        <v>49</v>
      </c>
      <c r="AJ472" s="48" t="s">
        <v>49</v>
      </c>
      <c r="AK472" s="49" t="s">
        <v>49</v>
      </c>
      <c r="AL472" s="48" t="s">
        <v>49</v>
      </c>
      <c r="AM472" s="65" t="s">
        <v>32</v>
      </c>
      <c r="AN472" s="65"/>
      <c r="AO472" s="59"/>
      <c r="AP472" s="10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1"/>
    </row>
    <row r="473" spans="1:53" ht="15" customHeight="1" x14ac:dyDescent="0.2">
      <c r="A473" s="33">
        <f t="shared" si="8"/>
        <v>468</v>
      </c>
      <c r="B473" s="34" t="s">
        <v>3797</v>
      </c>
      <c r="C473" s="35" t="s">
        <v>3798</v>
      </c>
      <c r="D473" s="36" t="s">
        <v>3799</v>
      </c>
      <c r="E473" s="334">
        <v>33374</v>
      </c>
      <c r="F473" s="36" t="s">
        <v>54</v>
      </c>
      <c r="G473" s="34" t="s">
        <v>3800</v>
      </c>
      <c r="H473" s="37" t="s">
        <v>73</v>
      </c>
      <c r="I473" s="37" t="s">
        <v>73</v>
      </c>
      <c r="J473" s="34" t="s">
        <v>3801</v>
      </c>
      <c r="K473" s="38" t="s">
        <v>41</v>
      </c>
      <c r="L473" s="39" t="s">
        <v>42</v>
      </c>
      <c r="M473" s="120">
        <v>33795</v>
      </c>
      <c r="N473" s="56" t="s">
        <v>179</v>
      </c>
      <c r="O473" s="56" t="s">
        <v>341</v>
      </c>
      <c r="P473" s="56" t="s">
        <v>1878</v>
      </c>
      <c r="Q473" s="56"/>
      <c r="R473" s="56"/>
      <c r="S473" s="56"/>
      <c r="T473" s="56"/>
      <c r="U473" s="56"/>
      <c r="V473" s="56" t="s">
        <v>732</v>
      </c>
      <c r="W473" s="56"/>
      <c r="X473" s="56"/>
      <c r="Y473" s="42" t="s">
        <v>3802</v>
      </c>
      <c r="Z473" s="69" t="s">
        <v>3803</v>
      </c>
      <c r="AA473" s="44" t="s">
        <v>3804</v>
      </c>
      <c r="AB473" s="45">
        <v>44041</v>
      </c>
      <c r="AC473" s="101" t="s">
        <v>30</v>
      </c>
      <c r="AD473" s="36" t="s">
        <v>26</v>
      </c>
      <c r="AE473" s="47" t="s">
        <v>49</v>
      </c>
      <c r="AF473" s="48" t="s">
        <v>49</v>
      </c>
      <c r="AG473" s="48" t="s">
        <v>49</v>
      </c>
      <c r="AH473" s="48" t="s">
        <v>49</v>
      </c>
      <c r="AI473" s="48" t="s">
        <v>49</v>
      </c>
      <c r="AJ473" s="48" t="s">
        <v>49</v>
      </c>
      <c r="AK473" s="49" t="s">
        <v>41</v>
      </c>
      <c r="AL473" s="48" t="s">
        <v>41</v>
      </c>
      <c r="AM473" s="62" t="s">
        <v>276</v>
      </c>
      <c r="AN473" s="62"/>
      <c r="AO473" s="59"/>
      <c r="AP473" s="10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1"/>
    </row>
    <row r="474" spans="1:53" ht="15" customHeight="1" x14ac:dyDescent="0.2">
      <c r="A474" s="33">
        <f t="shared" si="8"/>
        <v>469</v>
      </c>
      <c r="B474" s="34" t="s">
        <v>3805</v>
      </c>
      <c r="C474" s="35" t="s">
        <v>3806</v>
      </c>
      <c r="D474" s="174" t="s">
        <v>3807</v>
      </c>
      <c r="E474" s="341">
        <v>28083</v>
      </c>
      <c r="F474" s="36" t="s">
        <v>54</v>
      </c>
      <c r="G474" s="34" t="s">
        <v>3808</v>
      </c>
      <c r="H474" s="37" t="s">
        <v>73</v>
      </c>
      <c r="I474" s="37" t="s">
        <v>73</v>
      </c>
      <c r="J474" s="38" t="s">
        <v>3809</v>
      </c>
      <c r="K474" s="38" t="s">
        <v>41</v>
      </c>
      <c r="L474" s="39" t="s">
        <v>42</v>
      </c>
      <c r="M474" s="120" t="s">
        <v>3810</v>
      </c>
      <c r="N474" s="56"/>
      <c r="O474" s="56"/>
      <c r="P474" s="56"/>
      <c r="Q474" s="56"/>
      <c r="R474" s="56"/>
      <c r="S474" s="56" t="s">
        <v>44</v>
      </c>
      <c r="T474" s="56"/>
      <c r="U474" s="56"/>
      <c r="V474" s="56" t="s">
        <v>732</v>
      </c>
      <c r="W474" s="56"/>
      <c r="X474" s="56"/>
      <c r="Y474" s="42" t="s">
        <v>3811</v>
      </c>
      <c r="Z474" s="58" t="s">
        <v>3812</v>
      </c>
      <c r="AA474" s="121"/>
      <c r="AB474" s="45"/>
      <c r="AC474" s="101"/>
      <c r="AD474" s="36"/>
      <c r="AE474" s="47" t="s">
        <v>49</v>
      </c>
      <c r="AF474" s="48" t="s">
        <v>41</v>
      </c>
      <c r="AG474" s="48" t="s">
        <v>49</v>
      </c>
      <c r="AH474" s="48" t="s">
        <v>49</v>
      </c>
      <c r="AI474" s="48" t="s">
        <v>49</v>
      </c>
      <c r="AJ474" s="48" t="s">
        <v>49</v>
      </c>
      <c r="AK474" s="49" t="s">
        <v>49</v>
      </c>
      <c r="AL474" s="48" t="s">
        <v>49</v>
      </c>
      <c r="AM474" s="62" t="s">
        <v>32</v>
      </c>
      <c r="AN474" s="62"/>
      <c r="AO474" s="59"/>
      <c r="AP474" s="102"/>
      <c r="AQ474" s="32"/>
      <c r="AR474" s="32"/>
      <c r="AS474" s="32"/>
      <c r="AT474" s="32"/>
      <c r="AU474" s="32"/>
      <c r="AV474" s="32"/>
      <c r="AW474" s="32"/>
      <c r="AX474" s="32"/>
      <c r="AY474" s="32"/>
      <c r="AZ474" s="32"/>
      <c r="BA474" s="31"/>
    </row>
    <row r="475" spans="1:53" ht="15" customHeight="1" x14ac:dyDescent="0.2">
      <c r="A475" s="33">
        <f t="shared" si="8"/>
        <v>470</v>
      </c>
      <c r="B475" s="34" t="s">
        <v>3813</v>
      </c>
      <c r="C475" s="35" t="s">
        <v>3814</v>
      </c>
      <c r="D475" s="104" t="s">
        <v>3815</v>
      </c>
      <c r="E475" s="334">
        <v>18881</v>
      </c>
      <c r="F475" s="36" t="s">
        <v>54</v>
      </c>
      <c r="G475" s="34" t="s">
        <v>3816</v>
      </c>
      <c r="H475" s="37" t="s">
        <v>73</v>
      </c>
      <c r="I475" s="37" t="s">
        <v>73</v>
      </c>
      <c r="J475" s="34" t="s">
        <v>3746</v>
      </c>
      <c r="K475" s="34" t="s">
        <v>41</v>
      </c>
      <c r="L475" s="39" t="s">
        <v>42</v>
      </c>
      <c r="M475" s="99" t="s">
        <v>3817</v>
      </c>
      <c r="N475" s="56"/>
      <c r="O475" s="56"/>
      <c r="P475" s="56"/>
      <c r="Q475" s="56"/>
      <c r="R475" s="56"/>
      <c r="S475" s="56"/>
      <c r="T475" s="56"/>
      <c r="U475" s="56" t="s">
        <v>732</v>
      </c>
      <c r="V475" s="56"/>
      <c r="W475" s="56"/>
      <c r="X475" s="56"/>
      <c r="Y475" s="42" t="s">
        <v>3818</v>
      </c>
      <c r="Z475" s="52" t="s">
        <v>3819</v>
      </c>
      <c r="AA475" s="119"/>
      <c r="AB475" s="45">
        <v>45642</v>
      </c>
      <c r="AC475" s="101"/>
      <c r="AD475" s="36" t="s">
        <v>26</v>
      </c>
      <c r="AE475" s="47" t="s">
        <v>49</v>
      </c>
      <c r="AF475" s="48" t="s">
        <v>49</v>
      </c>
      <c r="AG475" s="48" t="s">
        <v>49</v>
      </c>
      <c r="AH475" s="48" t="s">
        <v>49</v>
      </c>
      <c r="AI475" s="48" t="s">
        <v>49</v>
      </c>
      <c r="AJ475" s="48" t="s">
        <v>49</v>
      </c>
      <c r="AK475" s="49" t="s">
        <v>49</v>
      </c>
      <c r="AL475" s="48" t="s">
        <v>49</v>
      </c>
      <c r="AM475" s="65" t="s">
        <v>32</v>
      </c>
      <c r="AN475" s="65"/>
      <c r="AO475" s="59"/>
      <c r="AP475" s="102"/>
      <c r="AQ475" s="32"/>
      <c r="AR475" s="32"/>
      <c r="AS475" s="32"/>
      <c r="AT475" s="32"/>
      <c r="AU475" s="32"/>
      <c r="AV475" s="32"/>
      <c r="AW475" s="32"/>
      <c r="AX475" s="32"/>
      <c r="AY475" s="32"/>
      <c r="AZ475" s="32"/>
      <c r="BA475" s="31"/>
    </row>
    <row r="476" spans="1:53" ht="15" customHeight="1" x14ac:dyDescent="0.2">
      <c r="A476" s="33">
        <f t="shared" si="8"/>
        <v>471</v>
      </c>
      <c r="B476" s="34" t="s">
        <v>3820</v>
      </c>
      <c r="C476" s="35" t="s">
        <v>3821</v>
      </c>
      <c r="D476" s="36" t="s">
        <v>3822</v>
      </c>
      <c r="E476" s="334">
        <v>33391</v>
      </c>
      <c r="F476" s="36" t="s">
        <v>54</v>
      </c>
      <c r="G476" s="34" t="s">
        <v>3808</v>
      </c>
      <c r="H476" s="37" t="s">
        <v>73</v>
      </c>
      <c r="I476" s="37" t="s">
        <v>73</v>
      </c>
      <c r="J476" s="34" t="s">
        <v>3823</v>
      </c>
      <c r="K476" s="34" t="s">
        <v>41</v>
      </c>
      <c r="L476" s="39" t="s">
        <v>42</v>
      </c>
      <c r="M476" s="99" t="s">
        <v>3824</v>
      </c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42" t="s">
        <v>3825</v>
      </c>
      <c r="Z476" s="58" t="s">
        <v>3826</v>
      </c>
      <c r="AA476" s="44" t="s">
        <v>3827</v>
      </c>
      <c r="AB476" s="45">
        <v>44041</v>
      </c>
      <c r="AC476" s="101" t="s">
        <v>30</v>
      </c>
      <c r="AD476" s="36" t="s">
        <v>26</v>
      </c>
      <c r="AE476" s="47" t="s">
        <v>49</v>
      </c>
      <c r="AF476" s="48" t="s">
        <v>49</v>
      </c>
      <c r="AG476" s="48" t="s">
        <v>49</v>
      </c>
      <c r="AH476" s="48" t="s">
        <v>49</v>
      </c>
      <c r="AI476" s="48" t="s">
        <v>49</v>
      </c>
      <c r="AJ476" s="48" t="s">
        <v>49</v>
      </c>
      <c r="AK476" s="49" t="s">
        <v>49</v>
      </c>
      <c r="AL476" s="48" t="s">
        <v>49</v>
      </c>
      <c r="AM476" s="62" t="s">
        <v>32</v>
      </c>
      <c r="AN476" s="62"/>
      <c r="AO476" s="59"/>
      <c r="AP476" s="10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1"/>
    </row>
    <row r="477" spans="1:53" ht="15" customHeight="1" x14ac:dyDescent="0.2">
      <c r="A477" s="33">
        <f t="shared" si="8"/>
        <v>472</v>
      </c>
      <c r="B477" s="34" t="s">
        <v>3828</v>
      </c>
      <c r="C477" s="35" t="s">
        <v>3829</v>
      </c>
      <c r="D477" s="36" t="s">
        <v>3830</v>
      </c>
      <c r="E477" s="334">
        <v>30664</v>
      </c>
      <c r="F477" s="36" t="s">
        <v>54</v>
      </c>
      <c r="G477" s="34" t="s">
        <v>3831</v>
      </c>
      <c r="H477" s="37" t="s">
        <v>176</v>
      </c>
      <c r="I477" s="37" t="s">
        <v>39</v>
      </c>
      <c r="J477" s="38" t="s">
        <v>3832</v>
      </c>
      <c r="K477" s="34" t="s">
        <v>41</v>
      </c>
      <c r="L477" s="39" t="s">
        <v>42</v>
      </c>
      <c r="M477" s="99" t="s">
        <v>3833</v>
      </c>
      <c r="N477" s="56"/>
      <c r="O477" s="56"/>
      <c r="P477" s="56"/>
      <c r="Q477" s="56"/>
      <c r="R477" s="56"/>
      <c r="S477" s="56"/>
      <c r="T477" s="56"/>
      <c r="U477" s="56" t="s">
        <v>732</v>
      </c>
      <c r="V477" s="56"/>
      <c r="W477" s="56"/>
      <c r="X477" s="56"/>
      <c r="Y477" s="42" t="s">
        <v>3834</v>
      </c>
      <c r="Z477" s="58" t="s">
        <v>3835</v>
      </c>
      <c r="AA477" s="58"/>
      <c r="AB477" s="58" t="s">
        <v>47</v>
      </c>
      <c r="AC477" s="101"/>
      <c r="AD477" s="36" t="s">
        <v>26</v>
      </c>
      <c r="AE477" s="47" t="s">
        <v>49</v>
      </c>
      <c r="AF477" s="48" t="s">
        <v>49</v>
      </c>
      <c r="AG477" s="48" t="s">
        <v>49</v>
      </c>
      <c r="AH477" s="48" t="s">
        <v>49</v>
      </c>
      <c r="AI477" s="48" t="s">
        <v>49</v>
      </c>
      <c r="AJ477" s="48" t="s">
        <v>41</v>
      </c>
      <c r="AK477" s="49" t="s">
        <v>41</v>
      </c>
      <c r="AL477" s="48" t="s">
        <v>41</v>
      </c>
      <c r="AM477" s="62" t="s">
        <v>4589</v>
      </c>
      <c r="AN477" s="62"/>
      <c r="AO477" s="59"/>
      <c r="AP477" s="10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1"/>
    </row>
    <row r="478" spans="1:53" ht="15" customHeight="1" x14ac:dyDescent="0.2">
      <c r="A478" s="33">
        <f t="shared" si="8"/>
        <v>473</v>
      </c>
      <c r="B478" s="34" t="s">
        <v>3836</v>
      </c>
      <c r="C478" s="35" t="s">
        <v>3837</v>
      </c>
      <c r="D478" s="36" t="s">
        <v>3838</v>
      </c>
      <c r="E478" s="334">
        <v>30463</v>
      </c>
      <c r="F478" s="36" t="s">
        <v>54</v>
      </c>
      <c r="G478" s="34" t="s">
        <v>3839</v>
      </c>
      <c r="H478" s="37" t="s">
        <v>252</v>
      </c>
      <c r="I478" s="37" t="s">
        <v>57</v>
      </c>
      <c r="J478" s="38" t="s">
        <v>3840</v>
      </c>
      <c r="K478" s="34" t="s">
        <v>41</v>
      </c>
      <c r="L478" s="39" t="s">
        <v>42</v>
      </c>
      <c r="M478" s="120">
        <v>45322</v>
      </c>
      <c r="N478" s="41"/>
      <c r="O478" s="41"/>
      <c r="P478" s="41"/>
      <c r="Q478" s="41"/>
      <c r="R478" s="41"/>
      <c r="S478" s="41"/>
      <c r="T478" s="41"/>
      <c r="U478" s="41"/>
      <c r="V478" s="41" t="s">
        <v>44</v>
      </c>
      <c r="W478" s="41"/>
      <c r="X478" s="41"/>
      <c r="Y478" s="42" t="s">
        <v>3841</v>
      </c>
      <c r="Z478" s="58" t="s">
        <v>3842</v>
      </c>
      <c r="AA478" s="121"/>
      <c r="AB478" s="45"/>
      <c r="AC478" s="101"/>
      <c r="AD478" s="36"/>
      <c r="AE478" s="47" t="s">
        <v>49</v>
      </c>
      <c r="AF478" s="48" t="s">
        <v>41</v>
      </c>
      <c r="AG478" s="48" t="s">
        <v>41</v>
      </c>
      <c r="AH478" s="48" t="s">
        <v>41</v>
      </c>
      <c r="AI478" s="48" t="s">
        <v>41</v>
      </c>
      <c r="AJ478" s="48" t="s">
        <v>49</v>
      </c>
      <c r="AK478" s="49" t="s">
        <v>49</v>
      </c>
      <c r="AL478" s="48" t="s">
        <v>49</v>
      </c>
      <c r="AM478" s="65" t="s">
        <v>32</v>
      </c>
      <c r="AN478" s="65"/>
      <c r="AO478" s="59"/>
      <c r="AP478" s="117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1"/>
    </row>
    <row r="479" spans="1:53" ht="15" customHeight="1" x14ac:dyDescent="0.2">
      <c r="A479" s="33">
        <f t="shared" si="8"/>
        <v>474</v>
      </c>
      <c r="B479" s="34" t="s">
        <v>3843</v>
      </c>
      <c r="C479" s="35" t="s">
        <v>3844</v>
      </c>
      <c r="D479" s="36" t="s">
        <v>3845</v>
      </c>
      <c r="E479" s="36"/>
      <c r="F479" s="36" t="s">
        <v>54</v>
      </c>
      <c r="G479" s="34" t="s">
        <v>3846</v>
      </c>
      <c r="H479" s="37" t="s">
        <v>360</v>
      </c>
      <c r="I479" s="37" t="s">
        <v>350</v>
      </c>
      <c r="J479" s="34" t="s">
        <v>3847</v>
      </c>
      <c r="K479" s="34"/>
      <c r="L479" s="39" t="s">
        <v>42</v>
      </c>
      <c r="M479" s="99" t="s">
        <v>3848</v>
      </c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2" t="s">
        <v>3849</v>
      </c>
      <c r="Z479" s="52" t="s">
        <v>3850</v>
      </c>
      <c r="AA479" s="44" t="s">
        <v>61</v>
      </c>
      <c r="AB479" s="45">
        <v>37877</v>
      </c>
      <c r="AC479" s="101" t="s">
        <v>30</v>
      </c>
      <c r="AD479" s="36"/>
      <c r="AE479" s="47" t="s">
        <v>49</v>
      </c>
      <c r="AF479" s="48" t="s">
        <v>41</v>
      </c>
      <c r="AG479" s="48" t="s">
        <v>41</v>
      </c>
      <c r="AH479" s="48" t="s">
        <v>41</v>
      </c>
      <c r="AI479" s="48" t="s">
        <v>41</v>
      </c>
      <c r="AJ479" s="48" t="s">
        <v>41</v>
      </c>
      <c r="AK479" s="49" t="s">
        <v>41</v>
      </c>
      <c r="AL479" s="48" t="s">
        <v>41</v>
      </c>
      <c r="AM479" s="65" t="s">
        <v>4590</v>
      </c>
      <c r="AN479" s="65"/>
      <c r="AO479" s="59" t="s">
        <v>3851</v>
      </c>
      <c r="AP479" s="117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1"/>
    </row>
    <row r="480" spans="1:53" ht="15" customHeight="1" x14ac:dyDescent="0.2">
      <c r="A480" s="33">
        <f t="shared" si="8"/>
        <v>475</v>
      </c>
      <c r="B480" s="34" t="s">
        <v>3852</v>
      </c>
      <c r="C480" s="35" t="s">
        <v>3853</v>
      </c>
      <c r="D480" s="36" t="s">
        <v>3854</v>
      </c>
      <c r="E480" s="334">
        <v>25154</v>
      </c>
      <c r="F480" s="36" t="s">
        <v>54</v>
      </c>
      <c r="G480" s="34" t="s">
        <v>3855</v>
      </c>
      <c r="H480" s="37" t="s">
        <v>73</v>
      </c>
      <c r="I480" s="37" t="s">
        <v>73</v>
      </c>
      <c r="J480" s="34" t="s">
        <v>3856</v>
      </c>
      <c r="K480" s="34" t="s">
        <v>41</v>
      </c>
      <c r="L480" s="39" t="s">
        <v>42</v>
      </c>
      <c r="M480" s="99" t="s">
        <v>3857</v>
      </c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42" t="s">
        <v>3858</v>
      </c>
      <c r="Z480" s="52" t="s">
        <v>3859</v>
      </c>
      <c r="AA480" s="44" t="s">
        <v>61</v>
      </c>
      <c r="AB480" s="45">
        <v>38593</v>
      </c>
      <c r="AC480" s="101" t="s">
        <v>30</v>
      </c>
      <c r="AD480" s="36" t="s">
        <v>26</v>
      </c>
      <c r="AE480" s="47" t="s">
        <v>49</v>
      </c>
      <c r="AF480" s="48" t="s">
        <v>49</v>
      </c>
      <c r="AG480" s="48" t="s">
        <v>49</v>
      </c>
      <c r="AH480" s="48" t="s">
        <v>49</v>
      </c>
      <c r="AI480" s="48" t="s">
        <v>49</v>
      </c>
      <c r="AJ480" s="48" t="s">
        <v>41</v>
      </c>
      <c r="AK480" s="49" t="s">
        <v>41</v>
      </c>
      <c r="AL480" s="48" t="s">
        <v>41</v>
      </c>
      <c r="AM480" s="62" t="s">
        <v>4589</v>
      </c>
      <c r="AN480" s="62"/>
      <c r="AO480" s="59"/>
      <c r="AP480" s="10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1"/>
    </row>
    <row r="481" spans="1:53" ht="15" customHeight="1" x14ac:dyDescent="0.2">
      <c r="A481" s="33">
        <f t="shared" si="8"/>
        <v>476</v>
      </c>
      <c r="B481" s="34" t="s">
        <v>3860</v>
      </c>
      <c r="C481" s="35" t="s">
        <v>3861</v>
      </c>
      <c r="D481" s="36" t="s">
        <v>3862</v>
      </c>
      <c r="E481" s="334">
        <v>31148</v>
      </c>
      <c r="F481" s="36" t="s">
        <v>54</v>
      </c>
      <c r="G481" s="34" t="s">
        <v>3863</v>
      </c>
      <c r="H481" s="37" t="s">
        <v>176</v>
      </c>
      <c r="I481" s="37" t="s">
        <v>39</v>
      </c>
      <c r="J481" s="34" t="s">
        <v>3864</v>
      </c>
      <c r="K481" s="34" t="s">
        <v>41</v>
      </c>
      <c r="L481" s="39" t="s">
        <v>42</v>
      </c>
      <c r="M481" s="99" t="s">
        <v>3865</v>
      </c>
      <c r="N481" s="56" t="s">
        <v>179</v>
      </c>
      <c r="O481" s="56" t="s">
        <v>179</v>
      </c>
      <c r="P481" s="56"/>
      <c r="Q481" s="56">
        <v>2</v>
      </c>
      <c r="R481" s="56"/>
      <c r="S481" s="56"/>
      <c r="T481" s="56"/>
      <c r="U481" s="56" t="s">
        <v>732</v>
      </c>
      <c r="V481" s="56"/>
      <c r="W481" s="56"/>
      <c r="X481" s="56"/>
      <c r="Y481" s="57" t="s">
        <v>3866</v>
      </c>
      <c r="Z481" s="55" t="s">
        <v>3867</v>
      </c>
      <c r="AA481" s="224" t="s">
        <v>3868</v>
      </c>
      <c r="AB481" s="45">
        <v>42325</v>
      </c>
      <c r="AC481" s="101" t="s">
        <v>30</v>
      </c>
      <c r="AD481" s="36" t="s">
        <v>26</v>
      </c>
      <c r="AE481" s="47" t="s">
        <v>49</v>
      </c>
      <c r="AF481" s="48" t="s">
        <v>49</v>
      </c>
      <c r="AG481" s="48" t="s">
        <v>49</v>
      </c>
      <c r="AH481" s="48" t="s">
        <v>49</v>
      </c>
      <c r="AI481" s="48" t="s">
        <v>49</v>
      </c>
      <c r="AJ481" s="48" t="s">
        <v>49</v>
      </c>
      <c r="AK481" s="49" t="s">
        <v>41</v>
      </c>
      <c r="AL481" s="48" t="s">
        <v>41</v>
      </c>
      <c r="AM481" s="62" t="s">
        <v>276</v>
      </c>
      <c r="AN481" s="62"/>
      <c r="AO481" s="59"/>
      <c r="AP481" s="10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1"/>
    </row>
    <row r="482" spans="1:53" ht="15" customHeight="1" x14ac:dyDescent="0.2">
      <c r="A482" s="33">
        <f t="shared" si="8"/>
        <v>477</v>
      </c>
      <c r="B482" s="34" t="s">
        <v>3869</v>
      </c>
      <c r="C482" s="35" t="s">
        <v>3870</v>
      </c>
      <c r="D482" s="36" t="s">
        <v>3871</v>
      </c>
      <c r="E482" s="334">
        <v>36011</v>
      </c>
      <c r="F482" s="36" t="s">
        <v>54</v>
      </c>
      <c r="G482" s="34" t="s">
        <v>3872</v>
      </c>
      <c r="H482" s="37" t="s">
        <v>252</v>
      </c>
      <c r="I482" s="37" t="s">
        <v>57</v>
      </c>
      <c r="J482" s="38" t="s">
        <v>3873</v>
      </c>
      <c r="K482" s="34" t="s">
        <v>41</v>
      </c>
      <c r="L482" s="39" t="s">
        <v>42</v>
      </c>
      <c r="M482" s="120">
        <v>45322</v>
      </c>
      <c r="N482" s="56"/>
      <c r="O482" s="56"/>
      <c r="P482" s="56"/>
      <c r="Q482" s="56"/>
      <c r="R482" s="56"/>
      <c r="S482" s="56"/>
      <c r="T482" s="56"/>
      <c r="U482" s="56"/>
      <c r="V482" s="56" t="s">
        <v>44</v>
      </c>
      <c r="W482" s="56"/>
      <c r="X482" s="56"/>
      <c r="Y482" s="54" t="s">
        <v>3874</v>
      </c>
      <c r="Z482" s="43" t="s">
        <v>3875</v>
      </c>
      <c r="AA482" s="119"/>
      <c r="AB482" s="45"/>
      <c r="AC482" s="101"/>
      <c r="AD482" s="36"/>
      <c r="AE482" s="47" t="s">
        <v>49</v>
      </c>
      <c r="AF482" s="48" t="s">
        <v>41</v>
      </c>
      <c r="AG482" s="48" t="s">
        <v>41</v>
      </c>
      <c r="AH482" s="48" t="s">
        <v>41</v>
      </c>
      <c r="AI482" s="48" t="s">
        <v>41</v>
      </c>
      <c r="AJ482" s="48" t="s">
        <v>49</v>
      </c>
      <c r="AK482" s="49" t="s">
        <v>49</v>
      </c>
      <c r="AL482" s="48" t="s">
        <v>49</v>
      </c>
      <c r="AM482" s="62" t="s">
        <v>32</v>
      </c>
      <c r="AN482" s="62"/>
      <c r="AO482" s="59"/>
      <c r="AP482" s="10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1"/>
    </row>
    <row r="483" spans="1:53" ht="15" customHeight="1" x14ac:dyDescent="0.2">
      <c r="A483" s="33">
        <f t="shared" si="8"/>
        <v>478</v>
      </c>
      <c r="B483" s="34" t="s">
        <v>3876</v>
      </c>
      <c r="C483" s="35" t="s">
        <v>3877</v>
      </c>
      <c r="D483" s="36" t="s">
        <v>3878</v>
      </c>
      <c r="E483" s="334">
        <v>29259</v>
      </c>
      <c r="F483" s="36" t="s">
        <v>54</v>
      </c>
      <c r="G483" s="34" t="s">
        <v>3879</v>
      </c>
      <c r="H483" s="37" t="s">
        <v>176</v>
      </c>
      <c r="I483" s="37" t="s">
        <v>39</v>
      </c>
      <c r="J483" s="34" t="s">
        <v>3864</v>
      </c>
      <c r="K483" s="34" t="s">
        <v>41</v>
      </c>
      <c r="L483" s="39" t="s">
        <v>42</v>
      </c>
      <c r="M483" s="99" t="s">
        <v>3865</v>
      </c>
      <c r="N483" s="56"/>
      <c r="O483" s="56"/>
      <c r="P483" s="56"/>
      <c r="Q483" s="56"/>
      <c r="R483" s="56"/>
      <c r="S483" s="56"/>
      <c r="T483" s="56"/>
      <c r="U483" s="56" t="s">
        <v>44</v>
      </c>
      <c r="V483" s="56"/>
      <c r="W483" s="56"/>
      <c r="X483" s="56"/>
      <c r="Y483" s="42" t="s">
        <v>3880</v>
      </c>
      <c r="Z483" s="43" t="s">
        <v>3881</v>
      </c>
      <c r="AA483" s="207" t="s">
        <v>3882</v>
      </c>
      <c r="AB483" s="45">
        <v>44944</v>
      </c>
      <c r="AC483" s="101" t="s">
        <v>30</v>
      </c>
      <c r="AD483" s="36"/>
      <c r="AE483" s="47" t="s">
        <v>49</v>
      </c>
      <c r="AF483" s="48" t="s">
        <v>41</v>
      </c>
      <c r="AG483" s="48" t="s">
        <v>41</v>
      </c>
      <c r="AH483" s="48" t="s">
        <v>41</v>
      </c>
      <c r="AI483" s="48" t="s">
        <v>49</v>
      </c>
      <c r="AJ483" s="48" t="s">
        <v>49</v>
      </c>
      <c r="AK483" s="49" t="s">
        <v>49</v>
      </c>
      <c r="AL483" s="48" t="s">
        <v>49</v>
      </c>
      <c r="AM483" s="62" t="s">
        <v>32</v>
      </c>
      <c r="AN483" s="62"/>
      <c r="AO483" s="59"/>
      <c r="AP483" s="10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1"/>
    </row>
    <row r="484" spans="1:53" x14ac:dyDescent="0.2">
      <c r="A484" s="33">
        <f t="shared" si="8"/>
        <v>479</v>
      </c>
      <c r="B484" s="34" t="s">
        <v>3883</v>
      </c>
      <c r="C484" s="35" t="s">
        <v>3884</v>
      </c>
      <c r="D484" s="36" t="s">
        <v>3885</v>
      </c>
      <c r="E484" s="334">
        <v>25342</v>
      </c>
      <c r="F484" s="36" t="s">
        <v>36</v>
      </c>
      <c r="G484" s="34" t="s">
        <v>3886</v>
      </c>
      <c r="H484" s="37" t="s">
        <v>73</v>
      </c>
      <c r="I484" s="37" t="s">
        <v>73</v>
      </c>
      <c r="J484" s="38" t="s">
        <v>3887</v>
      </c>
      <c r="K484" s="38" t="s">
        <v>41</v>
      </c>
      <c r="L484" s="39" t="s">
        <v>42</v>
      </c>
      <c r="M484" s="120" t="s">
        <v>3888</v>
      </c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42" t="s">
        <v>3889</v>
      </c>
      <c r="Z484" s="58" t="s">
        <v>3890</v>
      </c>
      <c r="AA484" s="119" t="s">
        <v>3891</v>
      </c>
      <c r="AB484" s="45">
        <v>43200</v>
      </c>
      <c r="AC484" s="101" t="s">
        <v>30</v>
      </c>
      <c r="AD484" s="36" t="s">
        <v>26</v>
      </c>
      <c r="AE484" s="64" t="s">
        <v>120</v>
      </c>
      <c r="AF484" s="48" t="s">
        <v>120</v>
      </c>
      <c r="AG484" s="48" t="s">
        <v>120</v>
      </c>
      <c r="AH484" s="48" t="s">
        <v>120</v>
      </c>
      <c r="AI484" s="48" t="s">
        <v>120</v>
      </c>
      <c r="AJ484" s="48" t="s">
        <v>120</v>
      </c>
      <c r="AK484" s="49" t="s">
        <v>120</v>
      </c>
      <c r="AL484" s="48" t="s">
        <v>120</v>
      </c>
      <c r="AM484" s="62" t="s">
        <v>32</v>
      </c>
      <c r="AN484" s="62"/>
      <c r="AO484" s="59"/>
      <c r="AP484" s="102"/>
      <c r="AQ484" s="32"/>
      <c r="AR484" s="32"/>
      <c r="AS484" s="32"/>
      <c r="AT484" s="32"/>
      <c r="AU484" s="32"/>
      <c r="AV484" s="32"/>
      <c r="AW484" s="220"/>
      <c r="AX484" s="220"/>
      <c r="AY484" s="220"/>
      <c r="AZ484" s="220"/>
      <c r="BA484" s="31"/>
    </row>
    <row r="485" spans="1:53" x14ac:dyDescent="0.2">
      <c r="A485" s="33">
        <f t="shared" si="8"/>
        <v>480</v>
      </c>
      <c r="B485" s="34" t="s">
        <v>3892</v>
      </c>
      <c r="C485" s="35" t="s">
        <v>3893</v>
      </c>
      <c r="D485" s="36" t="s">
        <v>3894</v>
      </c>
      <c r="E485" s="334">
        <v>28600</v>
      </c>
      <c r="F485" s="36" t="s">
        <v>36</v>
      </c>
      <c r="G485" s="34" t="s">
        <v>3895</v>
      </c>
      <c r="H485" s="37" t="s">
        <v>73</v>
      </c>
      <c r="I485" s="37" t="s">
        <v>73</v>
      </c>
      <c r="J485" s="38" t="s">
        <v>3896</v>
      </c>
      <c r="K485" s="38" t="s">
        <v>41</v>
      </c>
      <c r="L485" s="39" t="s">
        <v>42</v>
      </c>
      <c r="M485" s="120" t="s">
        <v>3897</v>
      </c>
      <c r="N485" s="56"/>
      <c r="O485" s="56"/>
      <c r="P485" s="56"/>
      <c r="Q485" s="56"/>
      <c r="R485" s="56"/>
      <c r="S485" s="56" t="s">
        <v>44</v>
      </c>
      <c r="T485" s="56"/>
      <c r="U485" s="56"/>
      <c r="V485" s="56"/>
      <c r="W485" s="56"/>
      <c r="X485" s="56"/>
      <c r="Y485" s="42" t="s">
        <v>3898</v>
      </c>
      <c r="Z485" s="83" t="s">
        <v>3899</v>
      </c>
      <c r="AA485" s="121" t="s">
        <v>3900</v>
      </c>
      <c r="AB485" s="45">
        <v>44650</v>
      </c>
      <c r="AC485" s="101" t="s">
        <v>30</v>
      </c>
      <c r="AD485" s="36"/>
      <c r="AE485" s="61" t="s">
        <v>49</v>
      </c>
      <c r="AF485" s="48" t="s">
        <v>41</v>
      </c>
      <c r="AG485" s="48" t="s">
        <v>49</v>
      </c>
      <c r="AH485" s="48" t="s">
        <v>49</v>
      </c>
      <c r="AI485" s="48" t="s">
        <v>49</v>
      </c>
      <c r="AJ485" s="48" t="s">
        <v>41</v>
      </c>
      <c r="AK485" s="49" t="s">
        <v>41</v>
      </c>
      <c r="AL485" s="48" t="s">
        <v>41</v>
      </c>
      <c r="AM485" s="62" t="s">
        <v>4589</v>
      </c>
      <c r="AN485" s="62"/>
      <c r="AO485" s="59"/>
      <c r="AP485" s="117"/>
      <c r="AQ485" s="32"/>
      <c r="AR485" s="32"/>
      <c r="AS485" s="32"/>
      <c r="AT485" s="32"/>
      <c r="AU485" s="32"/>
      <c r="AV485" s="32"/>
      <c r="AW485" s="220"/>
      <c r="AX485" s="220"/>
      <c r="AY485" s="220"/>
      <c r="AZ485" s="220"/>
      <c r="BA485" s="31"/>
    </row>
    <row r="486" spans="1:53" x14ac:dyDescent="0.2">
      <c r="A486" s="33">
        <f t="shared" si="8"/>
        <v>481</v>
      </c>
      <c r="B486" s="34" t="s">
        <v>3901</v>
      </c>
      <c r="C486" s="35" t="s">
        <v>3902</v>
      </c>
      <c r="D486" s="36" t="s">
        <v>3903</v>
      </c>
      <c r="E486" s="334">
        <v>19552</v>
      </c>
      <c r="F486" s="36" t="s">
        <v>54</v>
      </c>
      <c r="G486" s="34" t="s">
        <v>3904</v>
      </c>
      <c r="H486" s="37" t="s">
        <v>73</v>
      </c>
      <c r="I486" s="37" t="s">
        <v>73</v>
      </c>
      <c r="J486" s="34" t="s">
        <v>3905</v>
      </c>
      <c r="K486" s="34" t="s">
        <v>3906</v>
      </c>
      <c r="L486" s="39" t="s">
        <v>42</v>
      </c>
      <c r="M486" s="120">
        <v>30353</v>
      </c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2" t="s">
        <v>3907</v>
      </c>
      <c r="Z486" s="52" t="s">
        <v>3908</v>
      </c>
      <c r="AA486" s="44" t="s">
        <v>61</v>
      </c>
      <c r="AB486" s="45">
        <v>34597</v>
      </c>
      <c r="AC486" s="101" t="s">
        <v>30</v>
      </c>
      <c r="AD486" s="36" t="s">
        <v>26</v>
      </c>
      <c r="AE486" s="47" t="s">
        <v>49</v>
      </c>
      <c r="AF486" s="48" t="s">
        <v>49</v>
      </c>
      <c r="AG486" s="48" t="s">
        <v>49</v>
      </c>
      <c r="AH486" s="48" t="s">
        <v>49</v>
      </c>
      <c r="AI486" s="48" t="s">
        <v>49</v>
      </c>
      <c r="AJ486" s="48" t="s">
        <v>49</v>
      </c>
      <c r="AK486" s="49" t="s">
        <v>49</v>
      </c>
      <c r="AL486" s="48" t="s">
        <v>49</v>
      </c>
      <c r="AM486" s="65" t="s">
        <v>32</v>
      </c>
      <c r="AN486" s="65"/>
      <c r="AO486" s="59"/>
      <c r="AP486" s="102"/>
      <c r="AQ486" s="32"/>
      <c r="AR486" s="32"/>
      <c r="AS486" s="32"/>
      <c r="AT486" s="32"/>
      <c r="AU486" s="32"/>
      <c r="AV486" s="32"/>
      <c r="AW486" s="234"/>
      <c r="AX486" s="234"/>
      <c r="AY486" s="234"/>
      <c r="AZ486" s="234"/>
      <c r="BA486" s="31"/>
    </row>
    <row r="487" spans="1:53" x14ac:dyDescent="0.2">
      <c r="A487" s="33">
        <f t="shared" si="8"/>
        <v>482</v>
      </c>
      <c r="B487" s="34" t="s">
        <v>3909</v>
      </c>
      <c r="C487" s="35" t="s">
        <v>3910</v>
      </c>
      <c r="D487" s="36" t="s">
        <v>3911</v>
      </c>
      <c r="E487" s="334">
        <v>32548</v>
      </c>
      <c r="F487" s="36" t="s">
        <v>36</v>
      </c>
      <c r="G487" s="34" t="s">
        <v>3912</v>
      </c>
      <c r="H487" s="37" t="s">
        <v>360</v>
      </c>
      <c r="I487" s="37" t="s">
        <v>350</v>
      </c>
      <c r="J487" s="38" t="s">
        <v>3913</v>
      </c>
      <c r="K487" s="38" t="s">
        <v>41</v>
      </c>
      <c r="L487" s="39" t="s">
        <v>42</v>
      </c>
      <c r="M487" s="120">
        <v>42499</v>
      </c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2" t="s">
        <v>3914</v>
      </c>
      <c r="Z487" s="69" t="s">
        <v>3915</v>
      </c>
      <c r="AA487" s="119" t="s">
        <v>3916</v>
      </c>
      <c r="AB487" s="45">
        <v>42935</v>
      </c>
      <c r="AC487" s="101" t="s">
        <v>30</v>
      </c>
      <c r="AD487" s="36" t="s">
        <v>26</v>
      </c>
      <c r="AE487" s="47" t="s">
        <v>49</v>
      </c>
      <c r="AF487" s="48" t="s">
        <v>49</v>
      </c>
      <c r="AG487" s="48" t="s">
        <v>49</v>
      </c>
      <c r="AH487" s="48" t="s">
        <v>49</v>
      </c>
      <c r="AI487" s="48" t="s">
        <v>49</v>
      </c>
      <c r="AJ487" s="48" t="s">
        <v>49</v>
      </c>
      <c r="AK487" s="49" t="s">
        <v>49</v>
      </c>
      <c r="AL487" s="48" t="s">
        <v>49</v>
      </c>
      <c r="AM487" s="62" t="s">
        <v>32</v>
      </c>
      <c r="AN487" s="62"/>
      <c r="AO487" s="59"/>
      <c r="AP487" s="10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1"/>
    </row>
    <row r="488" spans="1:53" ht="20.25" customHeight="1" x14ac:dyDescent="0.2">
      <c r="A488" s="33">
        <f t="shared" si="8"/>
        <v>483</v>
      </c>
      <c r="B488" s="34" t="s">
        <v>3917</v>
      </c>
      <c r="C488" s="35" t="s">
        <v>3918</v>
      </c>
      <c r="D488" s="36" t="s">
        <v>3919</v>
      </c>
      <c r="E488" s="334">
        <v>28541</v>
      </c>
      <c r="F488" s="36" t="s">
        <v>54</v>
      </c>
      <c r="G488" s="34" t="s">
        <v>3920</v>
      </c>
      <c r="H488" s="37" t="s">
        <v>73</v>
      </c>
      <c r="I488" s="37" t="s">
        <v>73</v>
      </c>
      <c r="J488" s="34" t="s">
        <v>3921</v>
      </c>
      <c r="K488" s="34" t="s">
        <v>3921</v>
      </c>
      <c r="L488" s="39" t="s">
        <v>42</v>
      </c>
      <c r="M488" s="120" t="s">
        <v>3922</v>
      </c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42" t="s">
        <v>3923</v>
      </c>
      <c r="Z488" s="58" t="s">
        <v>3924</v>
      </c>
      <c r="AA488" s="207" t="s">
        <v>3925</v>
      </c>
      <c r="AB488" s="45">
        <v>44944</v>
      </c>
      <c r="AC488" s="101" t="s">
        <v>30</v>
      </c>
      <c r="AD488" s="36" t="s">
        <v>26</v>
      </c>
      <c r="AE488" s="47" t="s">
        <v>49</v>
      </c>
      <c r="AF488" s="48" t="s">
        <v>49</v>
      </c>
      <c r="AG488" s="48" t="s">
        <v>49</v>
      </c>
      <c r="AH488" s="48" t="s">
        <v>49</v>
      </c>
      <c r="AI488" s="48" t="s">
        <v>49</v>
      </c>
      <c r="AJ488" s="48" t="s">
        <v>49</v>
      </c>
      <c r="AK488" s="49" t="s">
        <v>49</v>
      </c>
      <c r="AL488" s="48" t="s">
        <v>49</v>
      </c>
      <c r="AM488" s="62" t="s">
        <v>32</v>
      </c>
      <c r="AN488" s="62"/>
      <c r="AO488" s="59"/>
      <c r="AP488" s="10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1"/>
    </row>
    <row r="489" spans="1:53" x14ac:dyDescent="0.2">
      <c r="A489" s="33">
        <f t="shared" si="8"/>
        <v>484</v>
      </c>
      <c r="B489" s="34" t="s">
        <v>3926</v>
      </c>
      <c r="C489" s="35" t="s">
        <v>3927</v>
      </c>
      <c r="D489" s="36" t="s">
        <v>3928</v>
      </c>
      <c r="E489" s="334">
        <v>25890</v>
      </c>
      <c r="F489" s="36" t="s">
        <v>36</v>
      </c>
      <c r="G489" s="34" t="s">
        <v>3929</v>
      </c>
      <c r="H489" s="37" t="s">
        <v>73</v>
      </c>
      <c r="I489" s="37" t="s">
        <v>73</v>
      </c>
      <c r="J489" s="34" t="s">
        <v>3930</v>
      </c>
      <c r="K489" s="34" t="s">
        <v>3931</v>
      </c>
      <c r="L489" s="39" t="s">
        <v>42</v>
      </c>
      <c r="M489" s="99" t="s">
        <v>3932</v>
      </c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42" t="s">
        <v>3933</v>
      </c>
      <c r="Z489" s="52" t="s">
        <v>3934</v>
      </c>
      <c r="AA489" s="44" t="s">
        <v>3935</v>
      </c>
      <c r="AB489" s="45">
        <v>42935</v>
      </c>
      <c r="AC489" s="101" t="s">
        <v>30</v>
      </c>
      <c r="AD489" s="36" t="s">
        <v>26</v>
      </c>
      <c r="AE489" s="64" t="s">
        <v>120</v>
      </c>
      <c r="AF489" s="48" t="s">
        <v>120</v>
      </c>
      <c r="AG489" s="48" t="s">
        <v>120</v>
      </c>
      <c r="AH489" s="48" t="s">
        <v>120</v>
      </c>
      <c r="AI489" s="48" t="s">
        <v>120</v>
      </c>
      <c r="AJ489" s="48" t="s">
        <v>120</v>
      </c>
      <c r="AK489" s="49" t="s">
        <v>120</v>
      </c>
      <c r="AL489" s="48" t="s">
        <v>120</v>
      </c>
      <c r="AM489" s="62" t="s">
        <v>32</v>
      </c>
      <c r="AN489" s="62"/>
      <c r="AO489" s="59"/>
      <c r="AP489" s="10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1"/>
    </row>
    <row r="490" spans="1:53" x14ac:dyDescent="0.2">
      <c r="A490" s="33">
        <f t="shared" si="8"/>
        <v>485</v>
      </c>
      <c r="B490" s="34" t="s">
        <v>3936</v>
      </c>
      <c r="C490" s="35" t="s">
        <v>3937</v>
      </c>
      <c r="D490" s="36" t="s">
        <v>2845</v>
      </c>
      <c r="E490" s="334">
        <v>26135</v>
      </c>
      <c r="F490" s="36" t="s">
        <v>54</v>
      </c>
      <c r="G490" s="34" t="s">
        <v>3938</v>
      </c>
      <c r="H490" s="37" t="s">
        <v>73</v>
      </c>
      <c r="I490" s="37" t="s">
        <v>73</v>
      </c>
      <c r="J490" s="34" t="s">
        <v>3939</v>
      </c>
      <c r="K490" s="34" t="s">
        <v>3940</v>
      </c>
      <c r="L490" s="39" t="s">
        <v>42</v>
      </c>
      <c r="M490" s="159" t="s">
        <v>3941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42" t="s">
        <v>3942</v>
      </c>
      <c r="Z490" s="52" t="s">
        <v>3943</v>
      </c>
      <c r="AA490" s="44" t="s">
        <v>3944</v>
      </c>
      <c r="AB490" s="45">
        <v>42935</v>
      </c>
      <c r="AC490" s="160" t="s">
        <v>30</v>
      </c>
      <c r="AD490" s="36" t="s">
        <v>26</v>
      </c>
      <c r="AE490" s="47" t="s">
        <v>49</v>
      </c>
      <c r="AF490" s="48" t="s">
        <v>49</v>
      </c>
      <c r="AG490" s="48" t="s">
        <v>49</v>
      </c>
      <c r="AH490" s="48" t="s">
        <v>49</v>
      </c>
      <c r="AI490" s="48" t="s">
        <v>49</v>
      </c>
      <c r="AJ490" s="48" t="s">
        <v>49</v>
      </c>
      <c r="AK490" s="49" t="s">
        <v>41</v>
      </c>
      <c r="AL490" s="48" t="s">
        <v>41</v>
      </c>
      <c r="AM490" s="62" t="s">
        <v>276</v>
      </c>
      <c r="AN490" s="62"/>
      <c r="AO490" s="59"/>
      <c r="AP490" s="10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1"/>
    </row>
    <row r="491" spans="1:53" x14ac:dyDescent="0.2">
      <c r="A491" s="33">
        <f t="shared" si="8"/>
        <v>486</v>
      </c>
      <c r="B491" s="34" t="s">
        <v>3945</v>
      </c>
      <c r="C491" s="35" t="s">
        <v>3946</v>
      </c>
      <c r="D491" s="73" t="s">
        <v>3947</v>
      </c>
      <c r="E491" s="73"/>
      <c r="F491" s="36" t="s">
        <v>54</v>
      </c>
      <c r="G491" s="98" t="s">
        <v>3948</v>
      </c>
      <c r="H491" s="37" t="s">
        <v>73</v>
      </c>
      <c r="I491" s="37" t="s">
        <v>73</v>
      </c>
      <c r="J491" s="38" t="s">
        <v>3949</v>
      </c>
      <c r="K491" s="38" t="s">
        <v>41</v>
      </c>
      <c r="L491" s="39" t="s">
        <v>42</v>
      </c>
      <c r="M491" s="235" t="s">
        <v>3950</v>
      </c>
      <c r="N491" s="68"/>
      <c r="O491" s="68"/>
      <c r="P491" s="68"/>
      <c r="Q491" s="68"/>
      <c r="R491" s="68"/>
      <c r="S491" s="68" t="s">
        <v>44</v>
      </c>
      <c r="T491" s="68"/>
      <c r="U491" s="68"/>
      <c r="V491" s="68"/>
      <c r="W491" s="68"/>
      <c r="X491" s="68"/>
      <c r="Y491" s="42" t="s">
        <v>3951</v>
      </c>
      <c r="Z491" s="58" t="s">
        <v>3952</v>
      </c>
      <c r="AA491" s="84" t="s">
        <v>3953</v>
      </c>
      <c r="AB491" s="45">
        <v>44650</v>
      </c>
      <c r="AC491" s="160" t="s">
        <v>30</v>
      </c>
      <c r="AD491" s="73"/>
      <c r="AE491" s="47" t="s">
        <v>49</v>
      </c>
      <c r="AF491" s="48" t="s">
        <v>41</v>
      </c>
      <c r="AG491" s="48" t="s">
        <v>49</v>
      </c>
      <c r="AH491" s="48" t="s">
        <v>41</v>
      </c>
      <c r="AI491" s="48" t="s">
        <v>41</v>
      </c>
      <c r="AJ491" s="48" t="s">
        <v>41</v>
      </c>
      <c r="AK491" s="49" t="s">
        <v>41</v>
      </c>
      <c r="AL491" s="48" t="s">
        <v>41</v>
      </c>
      <c r="AM491" s="62" t="s">
        <v>110</v>
      </c>
      <c r="AN491" s="62"/>
      <c r="AO491" s="59"/>
      <c r="AP491" s="10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1"/>
    </row>
    <row r="492" spans="1:53" x14ac:dyDescent="0.2">
      <c r="A492" s="33">
        <f t="shared" si="8"/>
        <v>487</v>
      </c>
      <c r="B492" s="34" t="s">
        <v>3954</v>
      </c>
      <c r="C492" s="35" t="s">
        <v>3955</v>
      </c>
      <c r="D492" s="73" t="s">
        <v>3956</v>
      </c>
      <c r="E492" s="73"/>
      <c r="F492" s="36" t="s">
        <v>54</v>
      </c>
      <c r="G492" s="98" t="s">
        <v>3957</v>
      </c>
      <c r="H492" s="37" t="s">
        <v>73</v>
      </c>
      <c r="I492" s="37" t="s">
        <v>73</v>
      </c>
      <c r="J492" s="38" t="s">
        <v>3958</v>
      </c>
      <c r="K492" s="38" t="s">
        <v>41</v>
      </c>
      <c r="L492" s="39" t="s">
        <v>42</v>
      </c>
      <c r="M492" s="159" t="s">
        <v>3959</v>
      </c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42" t="s">
        <v>3960</v>
      </c>
      <c r="Z492" s="58" t="s">
        <v>3961</v>
      </c>
      <c r="AA492" s="119" t="s">
        <v>3962</v>
      </c>
      <c r="AB492" s="45">
        <v>42325</v>
      </c>
      <c r="AC492" s="160" t="s">
        <v>30</v>
      </c>
      <c r="AD492" s="73"/>
      <c r="AE492" s="47" t="s">
        <v>49</v>
      </c>
      <c r="AF492" s="48" t="s">
        <v>41</v>
      </c>
      <c r="AG492" s="48" t="s">
        <v>41</v>
      </c>
      <c r="AH492" s="48" t="s">
        <v>41</v>
      </c>
      <c r="AI492" s="48" t="s">
        <v>41</v>
      </c>
      <c r="AJ492" s="48" t="s">
        <v>41</v>
      </c>
      <c r="AK492" s="49" t="s">
        <v>41</v>
      </c>
      <c r="AL492" s="48" t="s">
        <v>41</v>
      </c>
      <c r="AM492" s="65" t="s">
        <v>4588</v>
      </c>
      <c r="AN492" s="65"/>
      <c r="AO492" s="59"/>
      <c r="AP492" s="102"/>
      <c r="AQ492" s="32"/>
      <c r="AR492" s="32"/>
      <c r="AS492" s="32"/>
      <c r="AT492" s="32"/>
      <c r="AU492" s="32"/>
      <c r="AV492" s="32"/>
      <c r="AW492" s="32"/>
      <c r="AX492" s="32"/>
      <c r="AY492" s="32"/>
      <c r="AZ492" s="32"/>
      <c r="BA492" s="31"/>
    </row>
    <row r="493" spans="1:53" x14ac:dyDescent="0.2">
      <c r="A493" s="33">
        <f t="shared" si="8"/>
        <v>488</v>
      </c>
      <c r="B493" s="34" t="s">
        <v>3963</v>
      </c>
      <c r="C493" s="35" t="s">
        <v>3964</v>
      </c>
      <c r="D493" s="36" t="s">
        <v>3965</v>
      </c>
      <c r="E493" s="334">
        <v>27938</v>
      </c>
      <c r="F493" s="36" t="s">
        <v>54</v>
      </c>
      <c r="G493" s="98" t="s">
        <v>3966</v>
      </c>
      <c r="H493" s="37" t="s">
        <v>1354</v>
      </c>
      <c r="I493" s="37" t="s">
        <v>57</v>
      </c>
      <c r="J493" s="38" t="s">
        <v>3967</v>
      </c>
      <c r="K493" s="38" t="s">
        <v>41</v>
      </c>
      <c r="L493" s="39" t="s">
        <v>42</v>
      </c>
      <c r="M493" s="161">
        <v>44198</v>
      </c>
      <c r="N493" s="68"/>
      <c r="O493" s="68"/>
      <c r="P493" s="68"/>
      <c r="Q493" s="68"/>
      <c r="R493" s="68"/>
      <c r="S493" s="68" t="s">
        <v>44</v>
      </c>
      <c r="T493" s="68"/>
      <c r="U493" s="68"/>
      <c r="V493" s="68"/>
      <c r="W493" s="68"/>
      <c r="X493" s="68"/>
      <c r="Y493" s="42" t="s">
        <v>3968</v>
      </c>
      <c r="Z493" s="58" t="s">
        <v>3969</v>
      </c>
      <c r="AA493" s="121" t="s">
        <v>3970</v>
      </c>
      <c r="AB493" s="45">
        <v>44650</v>
      </c>
      <c r="AC493" s="160" t="s">
        <v>30</v>
      </c>
      <c r="AD493" s="73"/>
      <c r="AE493" s="47" t="s">
        <v>49</v>
      </c>
      <c r="AF493" s="48" t="s">
        <v>41</v>
      </c>
      <c r="AG493" s="48" t="s">
        <v>49</v>
      </c>
      <c r="AH493" s="48" t="s">
        <v>49</v>
      </c>
      <c r="AI493" s="48" t="s">
        <v>49</v>
      </c>
      <c r="AJ493" s="48" t="s">
        <v>49</v>
      </c>
      <c r="AK493" s="49" t="s">
        <v>49</v>
      </c>
      <c r="AL493" s="48" t="s">
        <v>49</v>
      </c>
      <c r="AM493" s="62" t="s">
        <v>32</v>
      </c>
      <c r="AN493" s="62"/>
      <c r="AO493" s="59"/>
      <c r="AP493" s="102"/>
      <c r="AQ493" s="32"/>
      <c r="AR493" s="32"/>
      <c r="AS493" s="32"/>
      <c r="AT493" s="32"/>
      <c r="AU493" s="32"/>
      <c r="AV493" s="32"/>
      <c r="AW493" s="32"/>
      <c r="AX493" s="32"/>
      <c r="AY493" s="32"/>
      <c r="AZ493" s="32"/>
      <c r="BA493" s="31"/>
    </row>
    <row r="494" spans="1:53" x14ac:dyDescent="0.2">
      <c r="A494" s="33">
        <f t="shared" si="8"/>
        <v>489</v>
      </c>
      <c r="B494" s="34" t="s">
        <v>3971</v>
      </c>
      <c r="C494" s="35" t="s">
        <v>3972</v>
      </c>
      <c r="D494" s="36" t="s">
        <v>3973</v>
      </c>
      <c r="E494" s="334">
        <v>33571</v>
      </c>
      <c r="F494" s="36" t="s">
        <v>54</v>
      </c>
      <c r="G494" s="98" t="s">
        <v>3974</v>
      </c>
      <c r="H494" s="37" t="s">
        <v>377</v>
      </c>
      <c r="I494" s="37" t="s">
        <v>378</v>
      </c>
      <c r="J494" s="38" t="s">
        <v>3975</v>
      </c>
      <c r="K494" s="38" t="s">
        <v>41</v>
      </c>
      <c r="L494" s="39" t="s">
        <v>42</v>
      </c>
      <c r="M494" s="120" t="s">
        <v>3976</v>
      </c>
      <c r="N494" s="56"/>
      <c r="O494" s="56"/>
      <c r="P494" s="56"/>
      <c r="Q494" s="56"/>
      <c r="R494" s="56"/>
      <c r="S494" s="56"/>
      <c r="T494" s="56"/>
      <c r="U494" s="56" t="s">
        <v>44</v>
      </c>
      <c r="V494" s="56"/>
      <c r="W494" s="56"/>
      <c r="X494" s="56"/>
      <c r="Y494" s="42" t="s">
        <v>3977</v>
      </c>
      <c r="Z494" s="58" t="s">
        <v>3978</v>
      </c>
      <c r="AA494" s="58"/>
      <c r="AB494" s="45">
        <v>45642</v>
      </c>
      <c r="AC494" s="101"/>
      <c r="AD494" s="73"/>
      <c r="AE494" s="47" t="s">
        <v>49</v>
      </c>
      <c r="AF494" s="48" t="s">
        <v>41</v>
      </c>
      <c r="AG494" s="48" t="s">
        <v>41</v>
      </c>
      <c r="AH494" s="48" t="s">
        <v>41</v>
      </c>
      <c r="AI494" s="48" t="s">
        <v>49</v>
      </c>
      <c r="AJ494" s="48" t="s">
        <v>49</v>
      </c>
      <c r="AK494" s="49" t="s">
        <v>49</v>
      </c>
      <c r="AL494" s="48" t="s">
        <v>41</v>
      </c>
      <c r="AM494" s="62" t="s">
        <v>148</v>
      </c>
      <c r="AN494" s="62"/>
      <c r="AO494" s="59"/>
      <c r="AP494" s="10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1"/>
    </row>
    <row r="495" spans="1:53" x14ac:dyDescent="0.2">
      <c r="A495" s="33">
        <f t="shared" si="8"/>
        <v>490</v>
      </c>
      <c r="B495" s="34" t="s">
        <v>3979</v>
      </c>
      <c r="C495" s="35" t="s">
        <v>3980</v>
      </c>
      <c r="D495" s="36" t="s">
        <v>3981</v>
      </c>
      <c r="E495" s="36"/>
      <c r="F495" s="36" t="s">
        <v>54</v>
      </c>
      <c r="G495" s="34" t="s">
        <v>3982</v>
      </c>
      <c r="H495" s="37" t="s">
        <v>73</v>
      </c>
      <c r="I495" s="37" t="s">
        <v>73</v>
      </c>
      <c r="J495" s="34" t="s">
        <v>3983</v>
      </c>
      <c r="K495" s="236" t="s">
        <v>3984</v>
      </c>
      <c r="L495" s="39" t="s">
        <v>42</v>
      </c>
      <c r="M495" s="99" t="s">
        <v>3985</v>
      </c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42" t="s">
        <v>3986</v>
      </c>
      <c r="Z495" s="43" t="s">
        <v>3987</v>
      </c>
      <c r="AA495" s="119" t="s">
        <v>3988</v>
      </c>
      <c r="AB495" s="45">
        <v>41793</v>
      </c>
      <c r="AC495" s="101" t="s">
        <v>30</v>
      </c>
      <c r="AD495" s="36" t="s">
        <v>26</v>
      </c>
      <c r="AE495" s="47" t="s">
        <v>49</v>
      </c>
      <c r="AF495" s="48" t="s">
        <v>49</v>
      </c>
      <c r="AG495" s="48" t="s">
        <v>49</v>
      </c>
      <c r="AH495" s="48" t="s">
        <v>49</v>
      </c>
      <c r="AI495" s="48" t="s">
        <v>41</v>
      </c>
      <c r="AJ495" s="48" t="s">
        <v>41</v>
      </c>
      <c r="AK495" s="49" t="s">
        <v>41</v>
      </c>
      <c r="AL495" s="48" t="s">
        <v>41</v>
      </c>
      <c r="AM495" s="62" t="s">
        <v>139</v>
      </c>
      <c r="AN495" s="62"/>
      <c r="AO495" s="59"/>
      <c r="AP495" s="10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1"/>
    </row>
    <row r="496" spans="1:53" x14ac:dyDescent="0.2">
      <c r="A496" s="33">
        <f t="shared" si="8"/>
        <v>491</v>
      </c>
      <c r="B496" s="34" t="s">
        <v>3989</v>
      </c>
      <c r="C496" s="35" t="s">
        <v>3990</v>
      </c>
      <c r="D496" s="36" t="s">
        <v>3991</v>
      </c>
      <c r="E496" s="334">
        <v>28929</v>
      </c>
      <c r="F496" s="36" t="s">
        <v>54</v>
      </c>
      <c r="G496" s="98" t="s">
        <v>3992</v>
      </c>
      <c r="H496" s="37" t="s">
        <v>4605</v>
      </c>
      <c r="I496" s="37" t="s">
        <v>205</v>
      </c>
      <c r="J496" s="38" t="s">
        <v>3993</v>
      </c>
      <c r="K496" s="34" t="s">
        <v>41</v>
      </c>
      <c r="L496" s="39" t="s">
        <v>42</v>
      </c>
      <c r="M496" s="99" t="s">
        <v>3994</v>
      </c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42" t="s">
        <v>3995</v>
      </c>
      <c r="Z496" s="52" t="s">
        <v>3996</v>
      </c>
      <c r="AA496" s="44" t="s">
        <v>3997</v>
      </c>
      <c r="AB496" s="45">
        <v>41793</v>
      </c>
      <c r="AC496" s="101" t="s">
        <v>30</v>
      </c>
      <c r="AD496" s="36" t="s">
        <v>26</v>
      </c>
      <c r="AE496" s="47" t="s">
        <v>49</v>
      </c>
      <c r="AF496" s="48" t="s">
        <v>49</v>
      </c>
      <c r="AG496" s="48" t="s">
        <v>49</v>
      </c>
      <c r="AH496" s="48" t="s">
        <v>49</v>
      </c>
      <c r="AI496" s="48" t="s">
        <v>49</v>
      </c>
      <c r="AJ496" s="48" t="s">
        <v>49</v>
      </c>
      <c r="AK496" s="49" t="s">
        <v>41</v>
      </c>
      <c r="AL496" s="48" t="s">
        <v>41</v>
      </c>
      <c r="AM496" s="62" t="s">
        <v>276</v>
      </c>
      <c r="AN496" s="62"/>
      <c r="AO496" s="59"/>
      <c r="AP496" s="10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1"/>
    </row>
    <row r="497" spans="1:53" x14ac:dyDescent="0.2">
      <c r="A497" s="33">
        <f t="shared" si="8"/>
        <v>492</v>
      </c>
      <c r="B497" s="34" t="s">
        <v>3998</v>
      </c>
      <c r="C497" s="35" t="s">
        <v>3999</v>
      </c>
      <c r="D497" s="36" t="s">
        <v>4000</v>
      </c>
      <c r="E497" s="334">
        <v>24567</v>
      </c>
      <c r="F497" s="36" t="s">
        <v>54</v>
      </c>
      <c r="G497" s="98" t="s">
        <v>4001</v>
      </c>
      <c r="H497" s="37" t="s">
        <v>73</v>
      </c>
      <c r="I497" s="37" t="s">
        <v>73</v>
      </c>
      <c r="J497" s="38" t="s">
        <v>4002</v>
      </c>
      <c r="K497" s="107" t="s">
        <v>41</v>
      </c>
      <c r="L497" s="39" t="s">
        <v>42</v>
      </c>
      <c r="M497" s="99" t="s">
        <v>4003</v>
      </c>
      <c r="N497" s="56"/>
      <c r="O497" s="56"/>
      <c r="P497" s="56"/>
      <c r="Q497" s="56"/>
      <c r="R497" s="56"/>
      <c r="S497" s="56"/>
      <c r="T497" s="56" t="s">
        <v>44</v>
      </c>
      <c r="U497" s="56"/>
      <c r="V497" s="56"/>
      <c r="W497" s="56"/>
      <c r="X497" s="56"/>
      <c r="Y497" s="42" t="s">
        <v>4004</v>
      </c>
      <c r="Z497" s="43" t="s">
        <v>4005</v>
      </c>
      <c r="AA497" s="121" t="s">
        <v>4006</v>
      </c>
      <c r="AB497" s="45">
        <v>44650</v>
      </c>
      <c r="AC497" s="101" t="s">
        <v>30</v>
      </c>
      <c r="AD497" s="36"/>
      <c r="AE497" s="47" t="s">
        <v>49</v>
      </c>
      <c r="AF497" s="48" t="s">
        <v>41</v>
      </c>
      <c r="AG497" s="48" t="s">
        <v>41</v>
      </c>
      <c r="AH497" s="48" t="s">
        <v>49</v>
      </c>
      <c r="AI497" s="48" t="s">
        <v>49</v>
      </c>
      <c r="AJ497" s="48" t="s">
        <v>49</v>
      </c>
      <c r="AK497" s="49" t="s">
        <v>49</v>
      </c>
      <c r="AL497" s="48" t="s">
        <v>49</v>
      </c>
      <c r="AM497" s="65" t="s">
        <v>32</v>
      </c>
      <c r="AN497" s="65"/>
      <c r="AO497" s="59"/>
      <c r="AP497" s="10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1"/>
    </row>
    <row r="498" spans="1:53" x14ac:dyDescent="0.2">
      <c r="A498" s="33">
        <f t="shared" si="8"/>
        <v>493</v>
      </c>
      <c r="B498" s="34" t="s">
        <v>4007</v>
      </c>
      <c r="C498" s="35" t="s">
        <v>4008</v>
      </c>
      <c r="D498" s="73" t="s">
        <v>4009</v>
      </c>
      <c r="E498" s="335">
        <v>35233</v>
      </c>
      <c r="F498" s="36" t="s">
        <v>54</v>
      </c>
      <c r="G498" s="98" t="s">
        <v>4010</v>
      </c>
      <c r="H498" s="37" t="s">
        <v>73</v>
      </c>
      <c r="I498" s="37" t="s">
        <v>73</v>
      </c>
      <c r="J498" s="34" t="s">
        <v>4011</v>
      </c>
      <c r="K498" s="34" t="s">
        <v>41</v>
      </c>
      <c r="L498" s="39" t="s">
        <v>42</v>
      </c>
      <c r="M498" s="163" t="s">
        <v>4012</v>
      </c>
      <c r="N498" s="130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42" t="s">
        <v>4013</v>
      </c>
      <c r="Z498" s="52" t="s">
        <v>4014</v>
      </c>
      <c r="AA498" s="44" t="s">
        <v>4015</v>
      </c>
      <c r="AB498" s="45">
        <v>42935</v>
      </c>
      <c r="AC498" s="164" t="s">
        <v>30</v>
      </c>
      <c r="AD498" s="73" t="s">
        <v>26</v>
      </c>
      <c r="AE498" s="47" t="s">
        <v>49</v>
      </c>
      <c r="AF498" s="48" t="s">
        <v>49</v>
      </c>
      <c r="AG498" s="48" t="s">
        <v>49</v>
      </c>
      <c r="AH498" s="48" t="s">
        <v>49</v>
      </c>
      <c r="AI498" s="48" t="s">
        <v>49</v>
      </c>
      <c r="AJ498" s="48" t="s">
        <v>49</v>
      </c>
      <c r="AK498" s="49" t="s">
        <v>49</v>
      </c>
      <c r="AL498" s="48" t="s">
        <v>41</v>
      </c>
      <c r="AM498" s="62" t="s">
        <v>148</v>
      </c>
      <c r="AN498" s="62"/>
      <c r="AO498" s="59"/>
      <c r="AP498" s="10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1"/>
    </row>
    <row r="499" spans="1:53" x14ac:dyDescent="0.2">
      <c r="A499" s="33">
        <f t="shared" si="8"/>
        <v>494</v>
      </c>
      <c r="B499" s="34" t="s">
        <v>4016</v>
      </c>
      <c r="C499" s="35" t="s">
        <v>4017</v>
      </c>
      <c r="D499" s="73" t="s">
        <v>4018</v>
      </c>
      <c r="E499" s="73"/>
      <c r="F499" s="36" t="s">
        <v>36</v>
      </c>
      <c r="G499" s="34" t="s">
        <v>4019</v>
      </c>
      <c r="H499" s="37" t="s">
        <v>4605</v>
      </c>
      <c r="I499" s="37" t="s">
        <v>205</v>
      </c>
      <c r="J499" s="34" t="s">
        <v>4020</v>
      </c>
      <c r="K499" s="34" t="s">
        <v>4021</v>
      </c>
      <c r="L499" s="39" t="s">
        <v>42</v>
      </c>
      <c r="M499" s="165">
        <v>40706</v>
      </c>
      <c r="N499" s="188"/>
      <c r="O499" s="112"/>
      <c r="P499" s="112"/>
      <c r="Q499" s="112"/>
      <c r="R499" s="112"/>
      <c r="S499" s="41"/>
      <c r="T499" s="41"/>
      <c r="U499" s="41"/>
      <c r="V499" s="41"/>
      <c r="W499" s="41"/>
      <c r="X499" s="41"/>
      <c r="Y499" s="57" t="s">
        <v>4022</v>
      </c>
      <c r="Z499" s="58" t="s">
        <v>4023</v>
      </c>
      <c r="AA499" s="44" t="s">
        <v>4024</v>
      </c>
      <c r="AB499" s="45">
        <v>41793</v>
      </c>
      <c r="AC499" s="164" t="s">
        <v>30</v>
      </c>
      <c r="AD499" s="73"/>
      <c r="AE499" s="47" t="s">
        <v>49</v>
      </c>
      <c r="AF499" s="48" t="s">
        <v>41</v>
      </c>
      <c r="AG499" s="48" t="s">
        <v>41</v>
      </c>
      <c r="AH499" s="48" t="s">
        <v>41</v>
      </c>
      <c r="AI499" s="48" t="s">
        <v>41</v>
      </c>
      <c r="AJ499" s="48" t="s">
        <v>41</v>
      </c>
      <c r="AK499" s="49" t="s">
        <v>41</v>
      </c>
      <c r="AL499" s="48" t="s">
        <v>41</v>
      </c>
      <c r="AM499" s="65" t="s">
        <v>4588</v>
      </c>
      <c r="AN499" s="65"/>
      <c r="AO499" s="59"/>
      <c r="AP499" s="117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1"/>
    </row>
    <row r="500" spans="1:53" x14ac:dyDescent="0.2">
      <c r="A500" s="33">
        <f t="shared" si="8"/>
        <v>495</v>
      </c>
      <c r="B500" s="34" t="s">
        <v>4025</v>
      </c>
      <c r="C500" s="35" t="s">
        <v>4026</v>
      </c>
      <c r="D500" s="73" t="s">
        <v>4027</v>
      </c>
      <c r="E500" s="335">
        <v>34938</v>
      </c>
      <c r="F500" s="36" t="s">
        <v>54</v>
      </c>
      <c r="G500" s="34" t="s">
        <v>4028</v>
      </c>
      <c r="H500" s="37" t="s">
        <v>360</v>
      </c>
      <c r="I500" s="37" t="s">
        <v>350</v>
      </c>
      <c r="J500" s="38" t="s">
        <v>4029</v>
      </c>
      <c r="K500" s="34" t="s">
        <v>41</v>
      </c>
      <c r="L500" s="39" t="s">
        <v>42</v>
      </c>
      <c r="M500" s="120" t="s">
        <v>4030</v>
      </c>
      <c r="N500" s="41"/>
      <c r="O500" s="41"/>
      <c r="P500" s="41"/>
      <c r="Q500" s="41"/>
      <c r="R500" s="41"/>
      <c r="S500" s="41"/>
      <c r="T500" s="41"/>
      <c r="U500" s="41" t="s">
        <v>44</v>
      </c>
      <c r="V500" s="41"/>
      <c r="W500" s="41"/>
      <c r="X500" s="41"/>
      <c r="Y500" s="54" t="s">
        <v>4031</v>
      </c>
      <c r="Z500" s="58" t="s">
        <v>4032</v>
      </c>
      <c r="AA500" s="44"/>
      <c r="AB500" s="45">
        <v>45642</v>
      </c>
      <c r="AC500" s="101"/>
      <c r="AD500" s="73"/>
      <c r="AE500" s="47" t="s">
        <v>49</v>
      </c>
      <c r="AF500" s="48" t="s">
        <v>41</v>
      </c>
      <c r="AG500" s="48" t="s">
        <v>41</v>
      </c>
      <c r="AH500" s="48" t="s">
        <v>41</v>
      </c>
      <c r="AI500" s="48" t="s">
        <v>49</v>
      </c>
      <c r="AJ500" s="48" t="s">
        <v>49</v>
      </c>
      <c r="AK500" s="49" t="s">
        <v>49</v>
      </c>
      <c r="AL500" s="48" t="s">
        <v>49</v>
      </c>
      <c r="AM500" s="62" t="s">
        <v>32</v>
      </c>
      <c r="AN500" s="62"/>
      <c r="AO500" s="59"/>
      <c r="AP500" s="10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1"/>
    </row>
    <row r="501" spans="1:53" x14ac:dyDescent="0.2">
      <c r="A501" s="33">
        <f t="shared" si="8"/>
        <v>496</v>
      </c>
      <c r="B501" s="34" t="s">
        <v>4033</v>
      </c>
      <c r="C501" s="35" t="s">
        <v>4034</v>
      </c>
      <c r="D501" s="36" t="s">
        <v>4035</v>
      </c>
      <c r="E501" s="334">
        <v>27998</v>
      </c>
      <c r="F501" s="36" t="s">
        <v>54</v>
      </c>
      <c r="G501" s="34" t="s">
        <v>4036</v>
      </c>
      <c r="H501" s="37" t="s">
        <v>39</v>
      </c>
      <c r="I501" s="37" t="s">
        <v>39</v>
      </c>
      <c r="J501" s="34" t="s">
        <v>4037</v>
      </c>
      <c r="K501" s="38" t="s">
        <v>4038</v>
      </c>
      <c r="L501" s="39" t="s">
        <v>42</v>
      </c>
      <c r="M501" s="120">
        <v>41924</v>
      </c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42" t="s">
        <v>4039</v>
      </c>
      <c r="Z501" s="83" t="s">
        <v>4040</v>
      </c>
      <c r="AA501" s="44" t="s">
        <v>4041</v>
      </c>
      <c r="AB501" s="45">
        <v>42325</v>
      </c>
      <c r="AC501" s="101" t="s">
        <v>30</v>
      </c>
      <c r="AD501" s="36" t="s">
        <v>26</v>
      </c>
      <c r="AE501" s="47" t="s">
        <v>49</v>
      </c>
      <c r="AF501" s="48" t="s">
        <v>49</v>
      </c>
      <c r="AG501" s="48" t="s">
        <v>49</v>
      </c>
      <c r="AH501" s="48" t="s">
        <v>49</v>
      </c>
      <c r="AI501" s="48" t="s">
        <v>49</v>
      </c>
      <c r="AJ501" s="48" t="s">
        <v>49</v>
      </c>
      <c r="AK501" s="49" t="s">
        <v>49</v>
      </c>
      <c r="AL501" s="48" t="s">
        <v>49</v>
      </c>
      <c r="AM501" s="62" t="s">
        <v>32</v>
      </c>
      <c r="AN501" s="62"/>
      <c r="AO501" s="59"/>
      <c r="AP501" s="10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1"/>
    </row>
    <row r="502" spans="1:53" x14ac:dyDescent="0.2">
      <c r="A502" s="33">
        <f t="shared" si="8"/>
        <v>497</v>
      </c>
      <c r="B502" s="34" t="s">
        <v>4042</v>
      </c>
      <c r="C502" s="35" t="s">
        <v>4043</v>
      </c>
      <c r="D502" s="36" t="s">
        <v>4044</v>
      </c>
      <c r="E502" s="334">
        <v>28636</v>
      </c>
      <c r="F502" s="36" t="s">
        <v>54</v>
      </c>
      <c r="G502" s="34" t="s">
        <v>4045</v>
      </c>
      <c r="H502" s="37" t="s">
        <v>73</v>
      </c>
      <c r="I502" s="37" t="s">
        <v>73</v>
      </c>
      <c r="J502" s="34" t="s">
        <v>3939</v>
      </c>
      <c r="K502" s="34" t="s">
        <v>4046</v>
      </c>
      <c r="L502" s="39" t="s">
        <v>42</v>
      </c>
      <c r="M502" s="120">
        <v>34761</v>
      </c>
      <c r="N502" s="41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42" t="s">
        <v>4047</v>
      </c>
      <c r="Z502" s="69" t="s">
        <v>4048</v>
      </c>
      <c r="AA502" s="44" t="s">
        <v>4049</v>
      </c>
      <c r="AB502" s="45">
        <v>42325</v>
      </c>
      <c r="AC502" s="101" t="s">
        <v>30</v>
      </c>
      <c r="AD502" s="36" t="s">
        <v>26</v>
      </c>
      <c r="AE502" s="47" t="s">
        <v>49</v>
      </c>
      <c r="AF502" s="48" t="s">
        <v>49</v>
      </c>
      <c r="AG502" s="48" t="s">
        <v>49</v>
      </c>
      <c r="AH502" s="48" t="s">
        <v>49</v>
      </c>
      <c r="AI502" s="48" t="s">
        <v>49</v>
      </c>
      <c r="AJ502" s="48" t="s">
        <v>41</v>
      </c>
      <c r="AK502" s="49" t="s">
        <v>41</v>
      </c>
      <c r="AL502" s="48" t="s">
        <v>41</v>
      </c>
      <c r="AM502" s="62" t="s">
        <v>4589</v>
      </c>
      <c r="AN502" s="62"/>
      <c r="AO502" s="59"/>
      <c r="AP502" s="10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1"/>
    </row>
    <row r="503" spans="1:53" x14ac:dyDescent="0.2">
      <c r="A503" s="33">
        <f t="shared" si="8"/>
        <v>498</v>
      </c>
      <c r="B503" s="34" t="s">
        <v>4050</v>
      </c>
      <c r="C503" s="35" t="s">
        <v>4051</v>
      </c>
      <c r="D503" s="73" t="s">
        <v>4052</v>
      </c>
      <c r="E503" s="73"/>
      <c r="F503" s="36" t="s">
        <v>54</v>
      </c>
      <c r="G503" s="98" t="s">
        <v>4053</v>
      </c>
      <c r="H503" s="37" t="s">
        <v>73</v>
      </c>
      <c r="I503" s="37" t="s">
        <v>73</v>
      </c>
      <c r="J503" s="38" t="s">
        <v>4054</v>
      </c>
      <c r="K503" s="34" t="s">
        <v>41</v>
      </c>
      <c r="L503" s="39" t="s">
        <v>42</v>
      </c>
      <c r="M503" s="99" t="s">
        <v>3438</v>
      </c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42" t="s">
        <v>4055</v>
      </c>
      <c r="Z503" s="100" t="s">
        <v>4056</v>
      </c>
      <c r="AA503" s="44" t="s">
        <v>4057</v>
      </c>
      <c r="AB503" s="45">
        <v>44041</v>
      </c>
      <c r="AC503" s="101" t="s">
        <v>30</v>
      </c>
      <c r="AD503" s="73" t="s">
        <v>26</v>
      </c>
      <c r="AE503" s="47" t="s">
        <v>49</v>
      </c>
      <c r="AF503" s="48" t="s">
        <v>49</v>
      </c>
      <c r="AG503" s="48" t="s">
        <v>49</v>
      </c>
      <c r="AH503" s="48" t="s">
        <v>49</v>
      </c>
      <c r="AI503" s="48" t="s">
        <v>49</v>
      </c>
      <c r="AJ503" s="48" t="s">
        <v>49</v>
      </c>
      <c r="AK503" s="49" t="s">
        <v>49</v>
      </c>
      <c r="AL503" s="48" t="s">
        <v>49</v>
      </c>
      <c r="AM503" s="65" t="s">
        <v>32</v>
      </c>
      <c r="AN503" s="65" t="s">
        <v>4681</v>
      </c>
      <c r="AO503" s="59"/>
      <c r="AP503" s="10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1"/>
    </row>
    <row r="504" spans="1:53" x14ac:dyDescent="0.2">
      <c r="A504" s="33">
        <f t="shared" si="8"/>
        <v>499</v>
      </c>
      <c r="B504" s="34" t="s">
        <v>4058</v>
      </c>
      <c r="C504" s="35" t="s">
        <v>4059</v>
      </c>
      <c r="D504" s="73" t="s">
        <v>4060</v>
      </c>
      <c r="E504" s="335">
        <v>34920</v>
      </c>
      <c r="F504" s="36" t="s">
        <v>54</v>
      </c>
      <c r="G504" s="98" t="s">
        <v>4061</v>
      </c>
      <c r="H504" s="37" t="s">
        <v>349</v>
      </c>
      <c r="I504" s="37" t="s">
        <v>350</v>
      </c>
      <c r="J504" s="38" t="s">
        <v>4062</v>
      </c>
      <c r="K504" s="34" t="s">
        <v>41</v>
      </c>
      <c r="L504" s="39" t="s">
        <v>42</v>
      </c>
      <c r="M504" s="99" t="s">
        <v>4063</v>
      </c>
      <c r="N504" s="56"/>
      <c r="O504" s="56"/>
      <c r="P504" s="56"/>
      <c r="Q504" s="56"/>
      <c r="R504" s="56"/>
      <c r="S504" s="56" t="s">
        <v>44</v>
      </c>
      <c r="T504" s="56"/>
      <c r="U504" s="56"/>
      <c r="V504" s="56"/>
      <c r="W504" s="56"/>
      <c r="X504" s="56"/>
      <c r="Y504" s="42" t="s">
        <v>4064</v>
      </c>
      <c r="Z504" s="100" t="s">
        <v>4065</v>
      </c>
      <c r="AA504" s="84" t="s">
        <v>4066</v>
      </c>
      <c r="AB504" s="45">
        <v>44650</v>
      </c>
      <c r="AC504" s="101" t="s">
        <v>30</v>
      </c>
      <c r="AD504" s="73"/>
      <c r="AE504" s="47" t="s">
        <v>49</v>
      </c>
      <c r="AF504" s="48" t="s">
        <v>41</v>
      </c>
      <c r="AG504" s="48" t="s">
        <v>49</v>
      </c>
      <c r="AH504" s="48" t="s">
        <v>49</v>
      </c>
      <c r="AI504" s="48" t="s">
        <v>49</v>
      </c>
      <c r="AJ504" s="48" t="s">
        <v>49</v>
      </c>
      <c r="AK504" s="49" t="s">
        <v>49</v>
      </c>
      <c r="AL504" s="48" t="s">
        <v>49</v>
      </c>
      <c r="AM504" s="65" t="s">
        <v>32</v>
      </c>
      <c r="AN504" s="65"/>
      <c r="AO504" s="59"/>
      <c r="AP504" s="102"/>
      <c r="AQ504" s="32"/>
      <c r="AR504" s="32"/>
      <c r="AS504" s="32"/>
      <c r="AT504" s="32"/>
      <c r="AU504" s="32"/>
      <c r="AV504" s="32"/>
      <c r="AW504" s="32"/>
      <c r="AX504" s="32"/>
      <c r="AY504" s="32"/>
      <c r="AZ504" s="32"/>
      <c r="BA504" s="31"/>
    </row>
    <row r="505" spans="1:53" x14ac:dyDescent="0.2">
      <c r="A505" s="33">
        <f t="shared" si="8"/>
        <v>500</v>
      </c>
      <c r="B505" s="34" t="s">
        <v>4067</v>
      </c>
      <c r="C505" s="35" t="s">
        <v>4068</v>
      </c>
      <c r="D505" s="73" t="s">
        <v>4069</v>
      </c>
      <c r="E505" s="335">
        <v>31663</v>
      </c>
      <c r="F505" s="36" t="s">
        <v>54</v>
      </c>
      <c r="G505" s="98" t="s">
        <v>4070</v>
      </c>
      <c r="H505" s="37" t="s">
        <v>349</v>
      </c>
      <c r="I505" s="37" t="s">
        <v>350</v>
      </c>
      <c r="J505" s="38" t="s">
        <v>4071</v>
      </c>
      <c r="K505" s="34" t="s">
        <v>41</v>
      </c>
      <c r="L505" s="39" t="s">
        <v>42</v>
      </c>
      <c r="M505" s="99" t="s">
        <v>4072</v>
      </c>
      <c r="N505" s="56"/>
      <c r="O505" s="56"/>
      <c r="P505" s="56"/>
      <c r="Q505" s="56"/>
      <c r="R505" s="56"/>
      <c r="S505" s="56" t="s">
        <v>44</v>
      </c>
      <c r="T505" s="56"/>
      <c r="U505" s="56"/>
      <c r="V505" s="56"/>
      <c r="W505" s="56"/>
      <c r="X505" s="56"/>
      <c r="Y505" s="42" t="s">
        <v>4073</v>
      </c>
      <c r="Z505" s="100" t="s">
        <v>4074</v>
      </c>
      <c r="AA505" s="84" t="s">
        <v>4075</v>
      </c>
      <c r="AB505" s="45">
        <v>44650</v>
      </c>
      <c r="AC505" s="101" t="s">
        <v>30</v>
      </c>
      <c r="AD505" s="73"/>
      <c r="AE505" s="47" t="s">
        <v>49</v>
      </c>
      <c r="AF505" s="48" t="s">
        <v>41</v>
      </c>
      <c r="AG505" s="48" t="s">
        <v>49</v>
      </c>
      <c r="AH505" s="48" t="s">
        <v>49</v>
      </c>
      <c r="AI505" s="48" t="s">
        <v>49</v>
      </c>
      <c r="AJ505" s="48" t="s">
        <v>49</v>
      </c>
      <c r="AK505" s="49" t="s">
        <v>49</v>
      </c>
      <c r="AL505" s="48" t="s">
        <v>49</v>
      </c>
      <c r="AM505" s="62" t="s">
        <v>32</v>
      </c>
      <c r="AN505" s="62"/>
      <c r="AO505" s="59"/>
      <c r="AP505" s="102"/>
      <c r="AQ505" s="32"/>
      <c r="AR505" s="32"/>
      <c r="AS505" s="32"/>
      <c r="AT505" s="32"/>
      <c r="AU505" s="32"/>
      <c r="AV505" s="32"/>
      <c r="AW505" s="32"/>
      <c r="AX505" s="32"/>
      <c r="AY505" s="32"/>
      <c r="AZ505" s="32"/>
      <c r="BA505" s="31"/>
    </row>
    <row r="506" spans="1:53" x14ac:dyDescent="0.2">
      <c r="A506" s="33">
        <f t="shared" si="8"/>
        <v>501</v>
      </c>
      <c r="B506" s="34" t="s">
        <v>4076</v>
      </c>
      <c r="C506" s="35" t="s">
        <v>4077</v>
      </c>
      <c r="D506" s="36" t="s">
        <v>4078</v>
      </c>
      <c r="E506" s="334">
        <v>25318</v>
      </c>
      <c r="F506" s="36" t="s">
        <v>54</v>
      </c>
      <c r="G506" s="34" t="s">
        <v>4079</v>
      </c>
      <c r="H506" s="37" t="s">
        <v>38</v>
      </c>
      <c r="I506" s="37" t="s">
        <v>39</v>
      </c>
      <c r="J506" s="34" t="s">
        <v>4080</v>
      </c>
      <c r="K506" s="34" t="s">
        <v>41</v>
      </c>
      <c r="L506" s="39" t="s">
        <v>42</v>
      </c>
      <c r="M506" s="99" t="s">
        <v>4081</v>
      </c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42" t="s">
        <v>4082</v>
      </c>
      <c r="Z506" s="58" t="s">
        <v>4083</v>
      </c>
      <c r="AA506" s="119" t="s">
        <v>61</v>
      </c>
      <c r="AB506" s="45">
        <v>39286</v>
      </c>
      <c r="AC506" s="101" t="s">
        <v>30</v>
      </c>
      <c r="AD506" s="36" t="s">
        <v>26</v>
      </c>
      <c r="AE506" s="47" t="s">
        <v>49</v>
      </c>
      <c r="AF506" s="48" t="s">
        <v>49</v>
      </c>
      <c r="AG506" s="48" t="s">
        <v>49</v>
      </c>
      <c r="AH506" s="48" t="s">
        <v>49</v>
      </c>
      <c r="AI506" s="48" t="s">
        <v>49</v>
      </c>
      <c r="AJ506" s="48" t="s">
        <v>49</v>
      </c>
      <c r="AK506" s="49" t="s">
        <v>49</v>
      </c>
      <c r="AL506" s="48" t="s">
        <v>41</v>
      </c>
      <c r="AM506" s="65" t="s">
        <v>148</v>
      </c>
      <c r="AN506" s="65"/>
      <c r="AO506" s="59"/>
      <c r="AP506" s="10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1"/>
    </row>
    <row r="507" spans="1:53" x14ac:dyDescent="0.2">
      <c r="A507" s="33">
        <f t="shared" si="8"/>
        <v>502</v>
      </c>
      <c r="B507" s="34" t="s">
        <v>4084</v>
      </c>
      <c r="C507" s="35" t="s">
        <v>4085</v>
      </c>
      <c r="D507" s="36" t="s">
        <v>4086</v>
      </c>
      <c r="E507" s="334">
        <v>23632</v>
      </c>
      <c r="F507" s="36" t="s">
        <v>54</v>
      </c>
      <c r="G507" s="34" t="s">
        <v>4087</v>
      </c>
      <c r="H507" s="37" t="s">
        <v>243</v>
      </c>
      <c r="I507" s="37" t="s">
        <v>205</v>
      </c>
      <c r="J507" s="34" t="s">
        <v>4088</v>
      </c>
      <c r="K507" s="34" t="s">
        <v>41</v>
      </c>
      <c r="L507" s="39" t="s">
        <v>42</v>
      </c>
      <c r="M507" s="99" t="s">
        <v>4089</v>
      </c>
      <c r="N507" s="56" t="s">
        <v>179</v>
      </c>
      <c r="O507" s="56" t="s">
        <v>179</v>
      </c>
      <c r="P507" s="56"/>
      <c r="Q507" s="56">
        <v>2</v>
      </c>
      <c r="R507" s="56"/>
      <c r="S507" s="56"/>
      <c r="T507" s="56"/>
      <c r="U507" s="56"/>
      <c r="V507" s="56" t="s">
        <v>732</v>
      </c>
      <c r="W507" s="56"/>
      <c r="X507" s="56"/>
      <c r="Y507" s="42" t="s">
        <v>4090</v>
      </c>
      <c r="Z507" s="58" t="s">
        <v>4091</v>
      </c>
      <c r="AA507" s="44"/>
      <c r="AB507" s="45"/>
      <c r="AC507" s="101"/>
      <c r="AD507" s="73" t="s">
        <v>26</v>
      </c>
      <c r="AE507" s="47" t="s">
        <v>49</v>
      </c>
      <c r="AF507" s="48" t="s">
        <v>49</v>
      </c>
      <c r="AG507" s="48" t="s">
        <v>49</v>
      </c>
      <c r="AH507" s="48" t="s">
        <v>49</v>
      </c>
      <c r="AI507" s="48" t="s">
        <v>49</v>
      </c>
      <c r="AJ507" s="48" t="s">
        <v>49</v>
      </c>
      <c r="AK507" s="49" t="s">
        <v>41</v>
      </c>
      <c r="AL507" s="48" t="s">
        <v>41</v>
      </c>
      <c r="AM507" s="62" t="s">
        <v>276</v>
      </c>
      <c r="AN507" s="62"/>
      <c r="AO507" s="59"/>
      <c r="AP507" s="10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1"/>
    </row>
    <row r="508" spans="1:53" x14ac:dyDescent="0.2">
      <c r="A508" s="33">
        <f t="shared" si="8"/>
        <v>503</v>
      </c>
      <c r="B508" s="34" t="s">
        <v>4092</v>
      </c>
      <c r="C508" s="35" t="s">
        <v>4093</v>
      </c>
      <c r="D508" s="73" t="s">
        <v>4094</v>
      </c>
      <c r="E508" s="335">
        <v>32013</v>
      </c>
      <c r="F508" s="36" t="s">
        <v>54</v>
      </c>
      <c r="G508" s="98" t="s">
        <v>4095</v>
      </c>
      <c r="H508" s="37" t="s">
        <v>73</v>
      </c>
      <c r="I508" s="37" t="s">
        <v>73</v>
      </c>
      <c r="J508" s="38" t="s">
        <v>4096</v>
      </c>
      <c r="K508" s="34" t="s">
        <v>41</v>
      </c>
      <c r="L508" s="39" t="s">
        <v>42</v>
      </c>
      <c r="M508" s="99" t="s">
        <v>4097</v>
      </c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42" t="s">
        <v>4098</v>
      </c>
      <c r="Z508" s="100" t="s">
        <v>4099</v>
      </c>
      <c r="AA508" s="121" t="s">
        <v>4100</v>
      </c>
      <c r="AB508" s="45">
        <v>44650</v>
      </c>
      <c r="AC508" s="101" t="s">
        <v>30</v>
      </c>
      <c r="AD508" s="73" t="s">
        <v>26</v>
      </c>
      <c r="AE508" s="47" t="s">
        <v>49</v>
      </c>
      <c r="AF508" s="48" t="s">
        <v>49</v>
      </c>
      <c r="AG508" s="48" t="s">
        <v>49</v>
      </c>
      <c r="AH508" s="48" t="s">
        <v>49</v>
      </c>
      <c r="AI508" s="48" t="s">
        <v>49</v>
      </c>
      <c r="AJ508" s="48" t="s">
        <v>49</v>
      </c>
      <c r="AK508" s="49" t="s">
        <v>49</v>
      </c>
      <c r="AL508" s="48" t="s">
        <v>49</v>
      </c>
      <c r="AM508" s="65" t="s">
        <v>32</v>
      </c>
      <c r="AN508" s="65"/>
      <c r="AO508" s="59"/>
      <c r="AP508" s="10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1"/>
    </row>
    <row r="509" spans="1:53" x14ac:dyDescent="0.2">
      <c r="A509" s="33">
        <f t="shared" si="8"/>
        <v>504</v>
      </c>
      <c r="B509" s="34" t="s">
        <v>4101</v>
      </c>
      <c r="C509" s="35" t="s">
        <v>4102</v>
      </c>
      <c r="D509" s="36" t="s">
        <v>4103</v>
      </c>
      <c r="E509" s="334">
        <v>27952</v>
      </c>
      <c r="F509" s="36" t="s">
        <v>54</v>
      </c>
      <c r="G509" s="34" t="s">
        <v>4104</v>
      </c>
      <c r="H509" s="37" t="s">
        <v>73</v>
      </c>
      <c r="I509" s="37" t="s">
        <v>73</v>
      </c>
      <c r="J509" s="34" t="s">
        <v>4105</v>
      </c>
      <c r="K509" s="34" t="s">
        <v>4106</v>
      </c>
      <c r="L509" s="39" t="s">
        <v>42</v>
      </c>
      <c r="M509" s="99" t="s">
        <v>4107</v>
      </c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42" t="s">
        <v>4108</v>
      </c>
      <c r="Z509" s="43" t="s">
        <v>4109</v>
      </c>
      <c r="AA509" s="44" t="s">
        <v>4110</v>
      </c>
      <c r="AB509" s="45">
        <v>42935</v>
      </c>
      <c r="AC509" s="101" t="s">
        <v>30</v>
      </c>
      <c r="AD509" s="36" t="s">
        <v>26</v>
      </c>
      <c r="AE509" s="47" t="s">
        <v>49</v>
      </c>
      <c r="AF509" s="48" t="s">
        <v>49</v>
      </c>
      <c r="AG509" s="48" t="s">
        <v>49</v>
      </c>
      <c r="AH509" s="48" t="s">
        <v>49</v>
      </c>
      <c r="AI509" s="48" t="s">
        <v>49</v>
      </c>
      <c r="AJ509" s="48" t="s">
        <v>49</v>
      </c>
      <c r="AK509" s="49" t="s">
        <v>49</v>
      </c>
      <c r="AL509" s="48" t="s">
        <v>49</v>
      </c>
      <c r="AM509" s="65" t="s">
        <v>32</v>
      </c>
      <c r="AN509" s="65"/>
      <c r="AO509" s="59"/>
      <c r="AP509" s="10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1"/>
    </row>
    <row r="510" spans="1:53" x14ac:dyDescent="0.2">
      <c r="A510" s="33">
        <f t="shared" si="8"/>
        <v>505</v>
      </c>
      <c r="B510" s="34" t="s">
        <v>4111</v>
      </c>
      <c r="C510" s="35" t="s">
        <v>4112</v>
      </c>
      <c r="D510" s="36" t="s">
        <v>4113</v>
      </c>
      <c r="E510" s="36"/>
      <c r="F510" s="36" t="s">
        <v>54</v>
      </c>
      <c r="G510" s="237" t="s">
        <v>4114</v>
      </c>
      <c r="H510" s="37" t="s">
        <v>73</v>
      </c>
      <c r="I510" s="37" t="s">
        <v>73</v>
      </c>
      <c r="J510" s="34" t="s">
        <v>4115</v>
      </c>
      <c r="K510" s="34" t="s">
        <v>41</v>
      </c>
      <c r="L510" s="39" t="s">
        <v>42</v>
      </c>
      <c r="M510" s="120">
        <v>30353</v>
      </c>
      <c r="N510" s="56" t="s">
        <v>179</v>
      </c>
      <c r="O510" s="56"/>
      <c r="P510" s="56"/>
      <c r="Q510" s="56">
        <v>2</v>
      </c>
      <c r="R510" s="56" t="s">
        <v>4116</v>
      </c>
      <c r="S510" s="56"/>
      <c r="T510" s="56"/>
      <c r="U510" s="56"/>
      <c r="V510" s="56"/>
      <c r="W510" s="56"/>
      <c r="X510" s="56"/>
      <c r="Y510" s="42" t="s">
        <v>4117</v>
      </c>
      <c r="Z510" s="58" t="s">
        <v>4118</v>
      </c>
      <c r="AA510" s="44"/>
      <c r="AB510" s="45" t="s">
        <v>47</v>
      </c>
      <c r="AC510" s="101"/>
      <c r="AD510" s="36" t="s">
        <v>26</v>
      </c>
      <c r="AE510" s="66" t="s">
        <v>130</v>
      </c>
      <c r="AF510" s="48" t="s">
        <v>130</v>
      </c>
      <c r="AG510" s="48" t="s">
        <v>41</v>
      </c>
      <c r="AH510" s="48" t="s">
        <v>41</v>
      </c>
      <c r="AI510" s="48" t="s">
        <v>41</v>
      </c>
      <c r="AJ510" s="48" t="s">
        <v>41</v>
      </c>
      <c r="AK510" s="49" t="s">
        <v>41</v>
      </c>
      <c r="AL510" s="48" t="s">
        <v>41</v>
      </c>
      <c r="AM510" s="62" t="s">
        <v>4587</v>
      </c>
      <c r="AN510" s="62"/>
      <c r="AO510" s="59"/>
      <c r="AP510" s="10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1"/>
    </row>
    <row r="511" spans="1:53" x14ac:dyDescent="0.2">
      <c r="A511" s="33">
        <f t="shared" si="8"/>
        <v>506</v>
      </c>
      <c r="B511" s="107" t="s">
        <v>4119</v>
      </c>
      <c r="C511" s="35" t="s">
        <v>4120</v>
      </c>
      <c r="D511" s="36" t="s">
        <v>4121</v>
      </c>
      <c r="E511" s="334">
        <v>33104</v>
      </c>
      <c r="F511" s="36" t="s">
        <v>54</v>
      </c>
      <c r="G511" s="34" t="s">
        <v>4122</v>
      </c>
      <c r="H511" s="37" t="s">
        <v>1354</v>
      </c>
      <c r="I511" s="37" t="s">
        <v>57</v>
      </c>
      <c r="J511" s="34" t="s">
        <v>4123</v>
      </c>
      <c r="K511" s="34" t="s">
        <v>41</v>
      </c>
      <c r="L511" s="39" t="s">
        <v>42</v>
      </c>
      <c r="M511" s="228" t="s">
        <v>4124</v>
      </c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42" t="s">
        <v>4125</v>
      </c>
      <c r="Z511" s="58" t="s">
        <v>4126</v>
      </c>
      <c r="AA511" s="44" t="s">
        <v>4127</v>
      </c>
      <c r="AB511" s="45">
        <v>42325</v>
      </c>
      <c r="AC511" s="101"/>
      <c r="AD511" s="36" t="s">
        <v>26</v>
      </c>
      <c r="AE511" s="47" t="s">
        <v>49</v>
      </c>
      <c r="AF511" s="48" t="s">
        <v>49</v>
      </c>
      <c r="AG511" s="48" t="s">
        <v>49</v>
      </c>
      <c r="AH511" s="48" t="s">
        <v>49</v>
      </c>
      <c r="AI511" s="48" t="s">
        <v>49</v>
      </c>
      <c r="AJ511" s="48" t="s">
        <v>49</v>
      </c>
      <c r="AK511" s="49" t="s">
        <v>49</v>
      </c>
      <c r="AL511" s="48" t="s">
        <v>49</v>
      </c>
      <c r="AM511" s="65" t="s">
        <v>32</v>
      </c>
      <c r="AN511" s="65"/>
      <c r="AO511" s="59"/>
      <c r="AP511" s="10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1"/>
    </row>
    <row r="512" spans="1:53" x14ac:dyDescent="0.2">
      <c r="A512" s="33">
        <f t="shared" si="8"/>
        <v>507</v>
      </c>
      <c r="B512" s="34" t="s">
        <v>4128</v>
      </c>
      <c r="C512" s="35" t="s">
        <v>4129</v>
      </c>
      <c r="D512" s="36" t="s">
        <v>4130</v>
      </c>
      <c r="E512" s="334">
        <v>30684</v>
      </c>
      <c r="F512" s="36" t="s">
        <v>54</v>
      </c>
      <c r="G512" s="52" t="s">
        <v>4131</v>
      </c>
      <c r="H512" s="37" t="s">
        <v>323</v>
      </c>
      <c r="I512" s="37" t="s">
        <v>39</v>
      </c>
      <c r="J512" s="34" t="s">
        <v>4132</v>
      </c>
      <c r="K512" s="34" t="s">
        <v>41</v>
      </c>
      <c r="L512" s="39" t="s">
        <v>42</v>
      </c>
      <c r="M512" s="99" t="s">
        <v>4133</v>
      </c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42" t="s">
        <v>4134</v>
      </c>
      <c r="Z512" s="58" t="s">
        <v>4135</v>
      </c>
      <c r="AA512" s="44" t="s">
        <v>61</v>
      </c>
      <c r="AB512" s="45">
        <v>40280</v>
      </c>
      <c r="AC512" s="101" t="s">
        <v>30</v>
      </c>
      <c r="AD512" s="36" t="s">
        <v>26</v>
      </c>
      <c r="AE512" s="47" t="s">
        <v>49</v>
      </c>
      <c r="AF512" s="48" t="s">
        <v>49</v>
      </c>
      <c r="AG512" s="48" t="s">
        <v>49</v>
      </c>
      <c r="AH512" s="48" t="s">
        <v>49</v>
      </c>
      <c r="AI512" s="48" t="s">
        <v>49</v>
      </c>
      <c r="AJ512" s="48" t="s">
        <v>49</v>
      </c>
      <c r="AK512" s="49" t="s">
        <v>49</v>
      </c>
      <c r="AL512" s="48" t="s">
        <v>49</v>
      </c>
      <c r="AM512" s="65" t="s">
        <v>32</v>
      </c>
      <c r="AN512" s="65"/>
      <c r="AO512" s="59"/>
      <c r="AP512" s="10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1"/>
    </row>
    <row r="513" spans="1:53" x14ac:dyDescent="0.2">
      <c r="A513" s="33">
        <f t="shared" si="8"/>
        <v>508</v>
      </c>
      <c r="B513" s="107" t="s">
        <v>4136</v>
      </c>
      <c r="C513" s="35" t="s">
        <v>4137</v>
      </c>
      <c r="D513" s="154" t="s">
        <v>4138</v>
      </c>
      <c r="E513" s="345">
        <v>27857</v>
      </c>
      <c r="F513" s="36" t="s">
        <v>36</v>
      </c>
      <c r="G513" s="238" t="s">
        <v>4139</v>
      </c>
      <c r="H513" s="75" t="s">
        <v>243</v>
      </c>
      <c r="I513" s="75" t="s">
        <v>205</v>
      </c>
      <c r="J513" s="239" t="s">
        <v>4140</v>
      </c>
      <c r="K513" s="72" t="s">
        <v>41</v>
      </c>
      <c r="L513" s="77" t="s">
        <v>42</v>
      </c>
      <c r="M513" s="228" t="s">
        <v>4141</v>
      </c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42" t="s">
        <v>4142</v>
      </c>
      <c r="Z513" s="58" t="s">
        <v>4143</v>
      </c>
      <c r="AA513" s="44" t="s">
        <v>61</v>
      </c>
      <c r="AB513" s="45">
        <v>40280</v>
      </c>
      <c r="AC513" s="206" t="s">
        <v>30</v>
      </c>
      <c r="AD513" s="154" t="s">
        <v>26</v>
      </c>
      <c r="AE513" s="81" t="s">
        <v>49</v>
      </c>
      <c r="AF513" s="48" t="s">
        <v>49</v>
      </c>
      <c r="AG513" s="48" t="s">
        <v>49</v>
      </c>
      <c r="AH513" s="48" t="s">
        <v>49</v>
      </c>
      <c r="AI513" s="48" t="s">
        <v>49</v>
      </c>
      <c r="AJ513" s="48" t="s">
        <v>49</v>
      </c>
      <c r="AK513" s="49" t="s">
        <v>49</v>
      </c>
      <c r="AL513" s="48" t="s">
        <v>49</v>
      </c>
      <c r="AM513" s="62" t="s">
        <v>32</v>
      </c>
      <c r="AN513" s="62" t="s">
        <v>4681</v>
      </c>
      <c r="AO513" s="59"/>
      <c r="AP513" s="10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1"/>
    </row>
    <row r="514" spans="1:53" x14ac:dyDescent="0.2">
      <c r="A514" s="33">
        <f t="shared" si="8"/>
        <v>509</v>
      </c>
      <c r="B514" s="34" t="s">
        <v>4144</v>
      </c>
      <c r="C514" s="35" t="s">
        <v>4145</v>
      </c>
      <c r="D514" s="36" t="s">
        <v>4146</v>
      </c>
      <c r="E514" s="334">
        <v>34673</v>
      </c>
      <c r="F514" s="36" t="s">
        <v>54</v>
      </c>
      <c r="G514" s="60" t="s">
        <v>4147</v>
      </c>
      <c r="H514" s="37" t="s">
        <v>176</v>
      </c>
      <c r="I514" s="37" t="s">
        <v>39</v>
      </c>
      <c r="J514" s="240" t="s">
        <v>4148</v>
      </c>
      <c r="K514" s="34" t="s">
        <v>41</v>
      </c>
      <c r="L514" s="39" t="s">
        <v>42</v>
      </c>
      <c r="M514" s="99" t="s">
        <v>1955</v>
      </c>
      <c r="N514" s="56"/>
      <c r="O514" s="56"/>
      <c r="P514" s="56"/>
      <c r="Q514" s="56"/>
      <c r="R514" s="56"/>
      <c r="S514" s="56"/>
      <c r="T514" s="56" t="s">
        <v>44</v>
      </c>
      <c r="U514" s="56"/>
      <c r="V514" s="56"/>
      <c r="W514" s="56"/>
      <c r="X514" s="56"/>
      <c r="Y514" s="42" t="s">
        <v>4149</v>
      </c>
      <c r="Z514" s="58" t="s">
        <v>4150</v>
      </c>
      <c r="AA514" s="44"/>
      <c r="AB514" s="45">
        <v>45642</v>
      </c>
      <c r="AC514" s="101"/>
      <c r="AD514" s="36"/>
      <c r="AE514" s="47" t="s">
        <v>49</v>
      </c>
      <c r="AF514" s="48" t="s">
        <v>41</v>
      </c>
      <c r="AG514" s="48" t="s">
        <v>41</v>
      </c>
      <c r="AH514" s="48" t="s">
        <v>49</v>
      </c>
      <c r="AI514" s="48" t="s">
        <v>49</v>
      </c>
      <c r="AJ514" s="48" t="s">
        <v>49</v>
      </c>
      <c r="AK514" s="49" t="s">
        <v>41</v>
      </c>
      <c r="AL514" s="48" t="s">
        <v>41</v>
      </c>
      <c r="AM514" s="62" t="s">
        <v>276</v>
      </c>
      <c r="AN514" s="62"/>
      <c r="AO514" s="59"/>
      <c r="AP514" s="10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1"/>
    </row>
    <row r="515" spans="1:53" x14ac:dyDescent="0.2">
      <c r="A515" s="33">
        <f t="shared" si="8"/>
        <v>510</v>
      </c>
      <c r="B515" s="34" t="s">
        <v>4151</v>
      </c>
      <c r="C515" s="35" t="s">
        <v>4152</v>
      </c>
      <c r="D515" s="36" t="s">
        <v>4153</v>
      </c>
      <c r="E515" s="36"/>
      <c r="F515" s="36" t="s">
        <v>54</v>
      </c>
      <c r="G515" s="108" t="s">
        <v>4154</v>
      </c>
      <c r="H515" s="37" t="s">
        <v>413</v>
      </c>
      <c r="I515" s="37" t="s">
        <v>378</v>
      </c>
      <c r="J515" s="108" t="s">
        <v>4155</v>
      </c>
      <c r="K515" s="34" t="s">
        <v>41</v>
      </c>
      <c r="L515" s="39" t="s">
        <v>42</v>
      </c>
      <c r="M515" s="99" t="s">
        <v>4156</v>
      </c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2" t="s">
        <v>4157</v>
      </c>
      <c r="Z515" s="58" t="s">
        <v>4158</v>
      </c>
      <c r="AA515" s="44" t="s">
        <v>61</v>
      </c>
      <c r="AB515" s="45">
        <v>37877</v>
      </c>
      <c r="AC515" s="101" t="s">
        <v>30</v>
      </c>
      <c r="AD515" s="36"/>
      <c r="AE515" s="47" t="s">
        <v>49</v>
      </c>
      <c r="AF515" s="48" t="s">
        <v>41</v>
      </c>
      <c r="AG515" s="48" t="s">
        <v>41</v>
      </c>
      <c r="AH515" s="48" t="s">
        <v>41</v>
      </c>
      <c r="AI515" s="48" t="s">
        <v>41</v>
      </c>
      <c r="AJ515" s="48" t="s">
        <v>41</v>
      </c>
      <c r="AK515" s="49" t="s">
        <v>41</v>
      </c>
      <c r="AL515" s="48" t="s">
        <v>41</v>
      </c>
      <c r="AM515" s="241" t="s">
        <v>4588</v>
      </c>
      <c r="AN515" s="241"/>
      <c r="AO515" s="59" t="s">
        <v>1230</v>
      </c>
      <c r="AP515" s="117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1"/>
    </row>
    <row r="516" spans="1:53" x14ac:dyDescent="0.2">
      <c r="A516" s="33">
        <f t="shared" si="8"/>
        <v>511</v>
      </c>
      <c r="B516" s="34" t="s">
        <v>4159</v>
      </c>
      <c r="C516" s="35" t="s">
        <v>4160</v>
      </c>
      <c r="D516" s="36" t="s">
        <v>4161</v>
      </c>
      <c r="E516" s="36"/>
      <c r="F516" s="36" t="s">
        <v>241</v>
      </c>
      <c r="G516" s="34" t="s">
        <v>4162</v>
      </c>
      <c r="H516" s="37" t="s">
        <v>456</v>
      </c>
      <c r="I516" s="37" t="s">
        <v>187</v>
      </c>
      <c r="J516" s="34" t="s">
        <v>4163</v>
      </c>
      <c r="K516" s="34" t="s">
        <v>41</v>
      </c>
      <c r="L516" s="39" t="s">
        <v>42</v>
      </c>
      <c r="M516" s="99" t="s">
        <v>4164</v>
      </c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2" t="s">
        <v>1145</v>
      </c>
      <c r="Z516" s="58" t="s">
        <v>4165</v>
      </c>
      <c r="AA516" s="44" t="s">
        <v>61</v>
      </c>
      <c r="AB516" s="45">
        <v>36641</v>
      </c>
      <c r="AC516" s="101" t="s">
        <v>30</v>
      </c>
      <c r="AD516" s="36"/>
      <c r="AE516" s="47" t="s">
        <v>49</v>
      </c>
      <c r="AF516" s="48" t="s">
        <v>41</v>
      </c>
      <c r="AG516" s="48" t="s">
        <v>41</v>
      </c>
      <c r="AH516" s="48" t="s">
        <v>41</v>
      </c>
      <c r="AI516" s="48" t="s">
        <v>41</v>
      </c>
      <c r="AJ516" s="48" t="s">
        <v>41</v>
      </c>
      <c r="AK516" s="49" t="s">
        <v>41</v>
      </c>
      <c r="AL516" s="48" t="s">
        <v>41</v>
      </c>
      <c r="AM516" s="241" t="s">
        <v>4591</v>
      </c>
      <c r="AN516" s="241"/>
      <c r="AO516" s="59" t="s">
        <v>460</v>
      </c>
      <c r="AP516" s="102"/>
      <c r="AQ516" s="32"/>
      <c r="AR516" s="32"/>
      <c r="AS516" s="32"/>
      <c r="AT516" s="32"/>
      <c r="AU516" s="32"/>
      <c r="AV516" s="32"/>
      <c r="AW516" s="32"/>
      <c r="AX516" s="32"/>
      <c r="AY516" s="32"/>
      <c r="AZ516" s="32"/>
      <c r="BA516" s="31"/>
    </row>
    <row r="517" spans="1:53" x14ac:dyDescent="0.2">
      <c r="A517" s="33">
        <f t="shared" si="8"/>
        <v>512</v>
      </c>
      <c r="B517" s="34" t="s">
        <v>4166</v>
      </c>
      <c r="C517" s="35" t="s">
        <v>4167</v>
      </c>
      <c r="D517" s="36" t="s">
        <v>4657</v>
      </c>
      <c r="E517" s="334">
        <v>34447</v>
      </c>
      <c r="F517" s="36" t="s">
        <v>4169</v>
      </c>
      <c r="G517" s="34" t="s">
        <v>4170</v>
      </c>
      <c r="H517" s="37" t="s">
        <v>73</v>
      </c>
      <c r="I517" s="37" t="s">
        <v>73</v>
      </c>
      <c r="J517" s="42" t="s">
        <v>4171</v>
      </c>
      <c r="K517" s="34" t="s">
        <v>41</v>
      </c>
      <c r="L517" s="39" t="s">
        <v>42</v>
      </c>
      <c r="M517" s="120">
        <v>45933</v>
      </c>
      <c r="N517" s="41"/>
      <c r="O517" s="41"/>
      <c r="P517" s="41"/>
      <c r="Q517" s="41"/>
      <c r="R517" s="112"/>
      <c r="S517" s="41"/>
      <c r="T517" s="41"/>
      <c r="U517" s="41"/>
      <c r="V517" s="41"/>
      <c r="W517" s="41" t="s">
        <v>44</v>
      </c>
      <c r="X517" s="41"/>
      <c r="Y517" s="42" t="s">
        <v>4172</v>
      </c>
      <c r="Z517" s="58" t="s">
        <v>4173</v>
      </c>
      <c r="AA517" s="44"/>
      <c r="AB517" s="45"/>
      <c r="AC517" s="101"/>
      <c r="AD517" s="36"/>
      <c r="AE517" s="47" t="s">
        <v>49</v>
      </c>
      <c r="AF517" s="48" t="s">
        <v>41</v>
      </c>
      <c r="AG517" s="48" t="s">
        <v>41</v>
      </c>
      <c r="AH517" s="48" t="s">
        <v>41</v>
      </c>
      <c r="AI517" s="48" t="s">
        <v>41</v>
      </c>
      <c r="AJ517" s="48" t="s">
        <v>41</v>
      </c>
      <c r="AK517" s="49" t="s">
        <v>49</v>
      </c>
      <c r="AL517" s="48" t="s">
        <v>49</v>
      </c>
      <c r="AM517" s="241" t="s">
        <v>32</v>
      </c>
      <c r="AN517" s="241"/>
      <c r="AO517" s="59"/>
      <c r="AP517" s="102"/>
      <c r="AQ517" s="32"/>
      <c r="AR517" s="32"/>
      <c r="AS517" s="32"/>
      <c r="AT517" s="32"/>
      <c r="AU517" s="32"/>
      <c r="AV517" s="32"/>
      <c r="AW517" s="32"/>
      <c r="AX517" s="32"/>
      <c r="AY517" s="32"/>
      <c r="AZ517" s="32"/>
      <c r="BA517" s="31"/>
    </row>
    <row r="518" spans="1:53" x14ac:dyDescent="0.2">
      <c r="A518" s="33">
        <f t="shared" si="8"/>
        <v>513</v>
      </c>
      <c r="B518" s="34" t="s">
        <v>4174</v>
      </c>
      <c r="C518" s="35" t="s">
        <v>4175</v>
      </c>
      <c r="D518" s="36" t="s">
        <v>4176</v>
      </c>
      <c r="E518" s="334">
        <v>32716</v>
      </c>
      <c r="F518" s="36" t="s">
        <v>54</v>
      </c>
      <c r="G518" s="34" t="s">
        <v>4177</v>
      </c>
      <c r="H518" s="37" t="s">
        <v>39</v>
      </c>
      <c r="I518" s="37" t="s">
        <v>39</v>
      </c>
      <c r="J518" s="38" t="s">
        <v>4178</v>
      </c>
      <c r="K518" s="34" t="s">
        <v>41</v>
      </c>
      <c r="L518" s="39" t="s">
        <v>42</v>
      </c>
      <c r="M518" s="99" t="s">
        <v>282</v>
      </c>
      <c r="N518" s="41"/>
      <c r="O518" s="112"/>
      <c r="P518" s="111"/>
      <c r="Q518" s="112"/>
      <c r="R518" s="111"/>
      <c r="S518" s="112"/>
      <c r="T518" s="112"/>
      <c r="U518" s="41"/>
      <c r="V518" s="41"/>
      <c r="W518" s="41"/>
      <c r="X518" s="41"/>
      <c r="Y518" s="42" t="s">
        <v>4179</v>
      </c>
      <c r="Z518" s="69" t="s">
        <v>4180</v>
      </c>
      <c r="AA518" s="44" t="s">
        <v>4181</v>
      </c>
      <c r="AB518" s="45">
        <v>42935</v>
      </c>
      <c r="AC518" s="101" t="s">
        <v>30</v>
      </c>
      <c r="AD518" s="36" t="s">
        <v>26</v>
      </c>
      <c r="AE518" s="47" t="s">
        <v>49</v>
      </c>
      <c r="AF518" s="48" t="s">
        <v>49</v>
      </c>
      <c r="AG518" s="48" t="s">
        <v>49</v>
      </c>
      <c r="AH518" s="48" t="s">
        <v>49</v>
      </c>
      <c r="AI518" s="48" t="s">
        <v>49</v>
      </c>
      <c r="AJ518" s="48" t="s">
        <v>49</v>
      </c>
      <c r="AK518" s="49" t="s">
        <v>49</v>
      </c>
      <c r="AL518" s="48" t="s">
        <v>49</v>
      </c>
      <c r="AM518" s="213">
        <v>0</v>
      </c>
      <c r="AN518" s="213"/>
      <c r="AO518" s="59"/>
      <c r="AP518" s="10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1"/>
    </row>
    <row r="519" spans="1:53" x14ac:dyDescent="0.2">
      <c r="A519" s="33">
        <f t="shared" si="8"/>
        <v>514</v>
      </c>
      <c r="B519" s="34" t="s">
        <v>4182</v>
      </c>
      <c r="C519" s="35" t="s">
        <v>4183</v>
      </c>
      <c r="D519" s="36" t="s">
        <v>4184</v>
      </c>
      <c r="E519" s="334">
        <v>25131</v>
      </c>
      <c r="F519" s="36" t="s">
        <v>54</v>
      </c>
      <c r="G519" s="34" t="s">
        <v>4185</v>
      </c>
      <c r="H519" s="37" t="s">
        <v>377</v>
      </c>
      <c r="I519" s="37" t="s">
        <v>378</v>
      </c>
      <c r="J519" s="34" t="s">
        <v>41</v>
      </c>
      <c r="K519" s="34" t="s">
        <v>41</v>
      </c>
      <c r="L519" s="39" t="s">
        <v>42</v>
      </c>
      <c r="M519" s="99" t="s">
        <v>4186</v>
      </c>
      <c r="N519" s="41"/>
      <c r="O519" s="41"/>
      <c r="P519" s="41"/>
      <c r="Q519" s="41"/>
      <c r="R519" s="41"/>
      <c r="S519" s="41"/>
      <c r="T519" s="41"/>
      <c r="U519" s="41"/>
      <c r="V519" s="41" t="s">
        <v>732</v>
      </c>
      <c r="W519" s="41"/>
      <c r="X519" s="41"/>
      <c r="Y519" s="42" t="s">
        <v>4187</v>
      </c>
      <c r="Z519" s="52" t="s">
        <v>4720</v>
      </c>
      <c r="AA519" s="44"/>
      <c r="AB519" s="45"/>
      <c r="AC519" s="101" t="s">
        <v>30</v>
      </c>
      <c r="AD519" s="36" t="s">
        <v>26</v>
      </c>
      <c r="AE519" s="47" t="s">
        <v>49</v>
      </c>
      <c r="AF519" s="48" t="s">
        <v>49</v>
      </c>
      <c r="AG519" s="48" t="s">
        <v>49</v>
      </c>
      <c r="AH519" s="48" t="s">
        <v>49</v>
      </c>
      <c r="AI519" s="48" t="s">
        <v>49</v>
      </c>
      <c r="AJ519" s="48" t="s">
        <v>49</v>
      </c>
      <c r="AK519" s="49" t="s">
        <v>49</v>
      </c>
      <c r="AL519" s="48" t="s">
        <v>49</v>
      </c>
      <c r="AM519" s="62" t="s">
        <v>32</v>
      </c>
      <c r="AN519" s="62"/>
      <c r="AO519" s="59"/>
      <c r="AP519" s="10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1"/>
    </row>
    <row r="520" spans="1:53" x14ac:dyDescent="0.2">
      <c r="A520" s="33">
        <f t="shared" si="8"/>
        <v>515</v>
      </c>
      <c r="B520" s="34" t="s">
        <v>4189</v>
      </c>
      <c r="C520" s="35" t="s">
        <v>4190</v>
      </c>
      <c r="D520" s="36" t="s">
        <v>4191</v>
      </c>
      <c r="E520" s="334">
        <v>28307</v>
      </c>
      <c r="F520" s="36" t="s">
        <v>54</v>
      </c>
      <c r="G520" s="34" t="s">
        <v>4192</v>
      </c>
      <c r="H520" s="37" t="s">
        <v>73</v>
      </c>
      <c r="I520" s="37" t="s">
        <v>73</v>
      </c>
      <c r="J520" s="38" t="s">
        <v>4193</v>
      </c>
      <c r="K520" s="34" t="s">
        <v>41</v>
      </c>
      <c r="L520" s="39" t="s">
        <v>42</v>
      </c>
      <c r="M520" s="99" t="s">
        <v>1887</v>
      </c>
      <c r="N520" s="41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42" t="s">
        <v>4194</v>
      </c>
      <c r="Z520" s="43" t="s">
        <v>4195</v>
      </c>
      <c r="AA520" s="44" t="s">
        <v>4196</v>
      </c>
      <c r="AB520" s="45">
        <v>44041</v>
      </c>
      <c r="AC520" s="101" t="s">
        <v>30</v>
      </c>
      <c r="AD520" s="36" t="s">
        <v>26</v>
      </c>
      <c r="AE520" s="47" t="s">
        <v>49</v>
      </c>
      <c r="AF520" s="48" t="s">
        <v>49</v>
      </c>
      <c r="AG520" s="48" t="s">
        <v>49</v>
      </c>
      <c r="AH520" s="48" t="s">
        <v>49</v>
      </c>
      <c r="AI520" s="48" t="s">
        <v>49</v>
      </c>
      <c r="AJ520" s="48" t="s">
        <v>49</v>
      </c>
      <c r="AK520" s="49" t="s">
        <v>49</v>
      </c>
      <c r="AL520" s="48" t="s">
        <v>49</v>
      </c>
      <c r="AM520" s="62" t="s">
        <v>32</v>
      </c>
      <c r="AN520" s="62"/>
      <c r="AO520" s="59"/>
      <c r="AP520" s="10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1"/>
    </row>
    <row r="521" spans="1:53" x14ac:dyDescent="0.2">
      <c r="A521" s="33">
        <f t="shared" ref="A521:A559" si="9">+A520+1</f>
        <v>516</v>
      </c>
      <c r="B521" s="34" t="s">
        <v>4197</v>
      </c>
      <c r="C521" s="35" t="s">
        <v>4198</v>
      </c>
      <c r="D521" s="36" t="s">
        <v>4199</v>
      </c>
      <c r="E521" s="36"/>
      <c r="F521" s="36" t="s">
        <v>54</v>
      </c>
      <c r="G521" s="34" t="s">
        <v>4200</v>
      </c>
      <c r="H521" s="37" t="s">
        <v>73</v>
      </c>
      <c r="I521" s="37" t="s">
        <v>73</v>
      </c>
      <c r="J521" s="34" t="s">
        <v>3116</v>
      </c>
      <c r="K521" s="34" t="s">
        <v>3117</v>
      </c>
      <c r="L521" s="39" t="s">
        <v>42</v>
      </c>
      <c r="M521" s="120">
        <v>36591</v>
      </c>
      <c r="N521" s="41"/>
      <c r="O521" s="41"/>
      <c r="P521" s="41"/>
      <c r="Q521" s="41"/>
      <c r="R521" s="112"/>
      <c r="S521" s="112"/>
      <c r="T521" s="112"/>
      <c r="U521" s="41"/>
      <c r="V521" s="41"/>
      <c r="W521" s="41"/>
      <c r="X521" s="41"/>
      <c r="Y521" s="42" t="s">
        <v>4201</v>
      </c>
      <c r="Z521" s="100" t="s">
        <v>4202</v>
      </c>
      <c r="AA521" s="119" t="s">
        <v>61</v>
      </c>
      <c r="AB521" s="45">
        <v>37208</v>
      </c>
      <c r="AC521" s="101" t="s">
        <v>30</v>
      </c>
      <c r="AD521" s="36"/>
      <c r="AE521" s="47" t="s">
        <v>49</v>
      </c>
      <c r="AF521" s="48" t="s">
        <v>41</v>
      </c>
      <c r="AG521" s="48" t="s">
        <v>41</v>
      </c>
      <c r="AH521" s="48" t="s">
        <v>41</v>
      </c>
      <c r="AI521" s="48" t="s">
        <v>41</v>
      </c>
      <c r="AJ521" s="48" t="s">
        <v>41</v>
      </c>
      <c r="AK521" s="49" t="s">
        <v>41</v>
      </c>
      <c r="AL521" s="48" t="s">
        <v>41</v>
      </c>
      <c r="AM521" s="65" t="s">
        <v>4592</v>
      </c>
      <c r="AN521" s="65"/>
      <c r="AO521" s="59" t="s">
        <v>192</v>
      </c>
      <c r="AP521" s="10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1"/>
    </row>
    <row r="522" spans="1:53" x14ac:dyDescent="0.2">
      <c r="A522" s="33">
        <f t="shared" si="9"/>
        <v>517</v>
      </c>
      <c r="B522" s="34" t="s">
        <v>4203</v>
      </c>
      <c r="C522" s="35" t="s">
        <v>4204</v>
      </c>
      <c r="D522" s="36" t="s">
        <v>4205</v>
      </c>
      <c r="E522" s="36"/>
      <c r="F522" s="36" t="s">
        <v>54</v>
      </c>
      <c r="G522" s="226" t="s">
        <v>4206</v>
      </c>
      <c r="H522" s="37" t="s">
        <v>73</v>
      </c>
      <c r="I522" s="37" t="s">
        <v>73</v>
      </c>
      <c r="J522" s="34" t="s">
        <v>4207</v>
      </c>
      <c r="K522" s="34" t="s">
        <v>41</v>
      </c>
      <c r="L522" s="39" t="s">
        <v>42</v>
      </c>
      <c r="M522" s="99" t="s">
        <v>235</v>
      </c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2" t="s">
        <v>4208</v>
      </c>
      <c r="Z522" s="58" t="s">
        <v>4209</v>
      </c>
      <c r="AA522" s="44" t="s">
        <v>61</v>
      </c>
      <c r="AB522" s="45">
        <v>40280</v>
      </c>
      <c r="AC522" s="101" t="s">
        <v>30</v>
      </c>
      <c r="AD522" s="36" t="s">
        <v>26</v>
      </c>
      <c r="AE522" s="47" t="s">
        <v>49</v>
      </c>
      <c r="AF522" s="48" t="s">
        <v>49</v>
      </c>
      <c r="AG522" s="48" t="s">
        <v>41</v>
      </c>
      <c r="AH522" s="48" t="s">
        <v>41</v>
      </c>
      <c r="AI522" s="48" t="s">
        <v>41</v>
      </c>
      <c r="AJ522" s="48" t="s">
        <v>41</v>
      </c>
      <c r="AK522" s="49" t="s">
        <v>41</v>
      </c>
      <c r="AL522" s="48" t="s">
        <v>41</v>
      </c>
      <c r="AM522" s="62" t="s">
        <v>4587</v>
      </c>
      <c r="AN522" s="62"/>
      <c r="AO522" s="59"/>
      <c r="AP522" s="10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1"/>
    </row>
    <row r="523" spans="1:53" x14ac:dyDescent="0.2">
      <c r="A523" s="33">
        <f t="shared" si="9"/>
        <v>518</v>
      </c>
      <c r="B523" s="34" t="s">
        <v>4210</v>
      </c>
      <c r="C523" s="35" t="s">
        <v>4211</v>
      </c>
      <c r="D523" s="36" t="s">
        <v>4212</v>
      </c>
      <c r="E523" s="334">
        <v>28652</v>
      </c>
      <c r="F523" s="36" t="s">
        <v>54</v>
      </c>
      <c r="G523" s="98" t="s">
        <v>4213</v>
      </c>
      <c r="H523" s="37" t="s">
        <v>73</v>
      </c>
      <c r="I523" s="37" t="s">
        <v>73</v>
      </c>
      <c r="J523" s="34" t="s">
        <v>4214</v>
      </c>
      <c r="K523" s="34" t="s">
        <v>4214</v>
      </c>
      <c r="L523" s="39" t="s">
        <v>42</v>
      </c>
      <c r="M523" s="120">
        <v>37110</v>
      </c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2" t="s">
        <v>4215</v>
      </c>
      <c r="Z523" s="58" t="s">
        <v>4216</v>
      </c>
      <c r="AA523" s="44" t="s">
        <v>4217</v>
      </c>
      <c r="AB523" s="45">
        <v>41793</v>
      </c>
      <c r="AC523" s="101" t="s">
        <v>30</v>
      </c>
      <c r="AD523" s="36" t="s">
        <v>26</v>
      </c>
      <c r="AE523" s="47" t="s">
        <v>49</v>
      </c>
      <c r="AF523" s="48" t="s">
        <v>49</v>
      </c>
      <c r="AG523" s="48" t="s">
        <v>49</v>
      </c>
      <c r="AH523" s="48" t="s">
        <v>49</v>
      </c>
      <c r="AI523" s="48" t="s">
        <v>41</v>
      </c>
      <c r="AJ523" s="48" t="s">
        <v>41</v>
      </c>
      <c r="AK523" s="49" t="s">
        <v>41</v>
      </c>
      <c r="AL523" s="48" t="s">
        <v>41</v>
      </c>
      <c r="AM523" s="62" t="s">
        <v>139</v>
      </c>
      <c r="AN523" s="62"/>
      <c r="AO523" s="59"/>
      <c r="AP523" s="10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1"/>
    </row>
    <row r="524" spans="1:53" x14ac:dyDescent="0.2">
      <c r="A524" s="33">
        <f t="shared" si="9"/>
        <v>519</v>
      </c>
      <c r="B524" s="34" t="s">
        <v>4218</v>
      </c>
      <c r="C524" s="35" t="s">
        <v>4219</v>
      </c>
      <c r="D524" s="36" t="s">
        <v>4220</v>
      </c>
      <c r="E524" s="334">
        <v>32465</v>
      </c>
      <c r="F524" s="36" t="s">
        <v>36</v>
      </c>
      <c r="G524" s="237" t="s">
        <v>4221</v>
      </c>
      <c r="H524" s="37" t="s">
        <v>252</v>
      </c>
      <c r="I524" s="37" t="s">
        <v>57</v>
      </c>
      <c r="J524" s="34" t="s">
        <v>4222</v>
      </c>
      <c r="K524" s="34" t="s">
        <v>41</v>
      </c>
      <c r="L524" s="39" t="s">
        <v>42</v>
      </c>
      <c r="M524" s="120">
        <v>30353</v>
      </c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42" t="s">
        <v>4223</v>
      </c>
      <c r="Z524" s="58" t="s">
        <v>4224</v>
      </c>
      <c r="AA524" s="44" t="s">
        <v>4225</v>
      </c>
      <c r="AB524" s="45">
        <v>43200</v>
      </c>
      <c r="AC524" s="101" t="s">
        <v>30</v>
      </c>
      <c r="AD524" s="36" t="s">
        <v>26</v>
      </c>
      <c r="AE524" s="47" t="s">
        <v>49</v>
      </c>
      <c r="AF524" s="48" t="s">
        <v>49</v>
      </c>
      <c r="AG524" s="48" t="s">
        <v>49</v>
      </c>
      <c r="AH524" s="48" t="s">
        <v>49</v>
      </c>
      <c r="AI524" s="48" t="s">
        <v>49</v>
      </c>
      <c r="AJ524" s="48" t="s">
        <v>49</v>
      </c>
      <c r="AK524" s="49" t="s">
        <v>49</v>
      </c>
      <c r="AL524" s="48" t="s">
        <v>49</v>
      </c>
      <c r="AM524" s="62" t="s">
        <v>32</v>
      </c>
      <c r="AN524" s="62"/>
      <c r="AO524" s="59"/>
      <c r="AP524" s="10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1"/>
    </row>
    <row r="525" spans="1:53" x14ac:dyDescent="0.2">
      <c r="A525" s="33">
        <f t="shared" si="9"/>
        <v>520</v>
      </c>
      <c r="B525" s="34" t="s">
        <v>4226</v>
      </c>
      <c r="C525" s="35" t="s">
        <v>4227</v>
      </c>
      <c r="D525" s="36" t="s">
        <v>4228</v>
      </c>
      <c r="E525" s="334">
        <v>29293</v>
      </c>
      <c r="F525" s="36" t="s">
        <v>54</v>
      </c>
      <c r="G525" s="34" t="s">
        <v>4229</v>
      </c>
      <c r="H525" s="37" t="s">
        <v>73</v>
      </c>
      <c r="I525" s="37" t="s">
        <v>73</v>
      </c>
      <c r="J525" s="34" t="s">
        <v>4230</v>
      </c>
      <c r="K525" s="34" t="s">
        <v>4230</v>
      </c>
      <c r="L525" s="39" t="s">
        <v>42</v>
      </c>
      <c r="M525" s="120" t="s">
        <v>4231</v>
      </c>
      <c r="N525" s="41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42" t="s">
        <v>4232</v>
      </c>
      <c r="Z525" s="69" t="s">
        <v>4233</v>
      </c>
      <c r="AA525" s="44" t="s">
        <v>4234</v>
      </c>
      <c r="AB525" s="45">
        <v>42935</v>
      </c>
      <c r="AC525" s="101" t="s">
        <v>30</v>
      </c>
      <c r="AD525" s="36" t="s">
        <v>26</v>
      </c>
      <c r="AE525" s="47" t="s">
        <v>49</v>
      </c>
      <c r="AF525" s="48" t="s">
        <v>49</v>
      </c>
      <c r="AG525" s="48" t="s">
        <v>49</v>
      </c>
      <c r="AH525" s="48" t="s">
        <v>49</v>
      </c>
      <c r="AI525" s="48" t="s">
        <v>49</v>
      </c>
      <c r="AJ525" s="48" t="s">
        <v>49</v>
      </c>
      <c r="AK525" s="49" t="s">
        <v>41</v>
      </c>
      <c r="AL525" s="48" t="s">
        <v>41</v>
      </c>
      <c r="AM525" s="62" t="s">
        <v>276</v>
      </c>
      <c r="AN525" s="62"/>
      <c r="AO525" s="59"/>
      <c r="AP525" s="10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1"/>
    </row>
    <row r="526" spans="1:53" x14ac:dyDescent="0.2">
      <c r="A526" s="33">
        <f t="shared" si="9"/>
        <v>521</v>
      </c>
      <c r="B526" s="34" t="s">
        <v>4235</v>
      </c>
      <c r="C526" s="35" t="s">
        <v>4236</v>
      </c>
      <c r="D526" s="36" t="s">
        <v>4237</v>
      </c>
      <c r="E526" s="334">
        <v>34410</v>
      </c>
      <c r="F526" s="36" t="s">
        <v>54</v>
      </c>
      <c r="G526" s="34" t="s">
        <v>4238</v>
      </c>
      <c r="H526" s="37" t="s">
        <v>73</v>
      </c>
      <c r="I526" s="37" t="s">
        <v>73</v>
      </c>
      <c r="J526" s="34" t="s">
        <v>4239</v>
      </c>
      <c r="K526" s="34" t="s">
        <v>4240</v>
      </c>
      <c r="L526" s="39" t="s">
        <v>42</v>
      </c>
      <c r="M526" s="99" t="s">
        <v>4241</v>
      </c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42" t="s">
        <v>4242</v>
      </c>
      <c r="Z526" s="52" t="s">
        <v>4243</v>
      </c>
      <c r="AA526" s="44" t="s">
        <v>4244</v>
      </c>
      <c r="AB526" s="45">
        <v>43200</v>
      </c>
      <c r="AC526" s="101" t="s">
        <v>30</v>
      </c>
      <c r="AD526" s="36" t="s">
        <v>26</v>
      </c>
      <c r="AE526" s="47" t="s">
        <v>49</v>
      </c>
      <c r="AF526" s="48" t="s">
        <v>49</v>
      </c>
      <c r="AG526" s="48" t="s">
        <v>49</v>
      </c>
      <c r="AH526" s="48" t="s">
        <v>49</v>
      </c>
      <c r="AI526" s="48" t="s">
        <v>41</v>
      </c>
      <c r="AJ526" s="48" t="s">
        <v>41</v>
      </c>
      <c r="AK526" s="49" t="s">
        <v>41</v>
      </c>
      <c r="AL526" s="48" t="s">
        <v>41</v>
      </c>
      <c r="AM526" s="62" t="s">
        <v>139</v>
      </c>
      <c r="AN526" s="62"/>
      <c r="AO526" s="59"/>
      <c r="AP526" s="10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1"/>
    </row>
    <row r="527" spans="1:53" ht="14.25" customHeight="1" x14ac:dyDescent="0.2">
      <c r="A527" s="33">
        <f t="shared" si="9"/>
        <v>522</v>
      </c>
      <c r="B527" s="34" t="s">
        <v>4245</v>
      </c>
      <c r="C527" s="35" t="s">
        <v>4246</v>
      </c>
      <c r="D527" s="36" t="s">
        <v>4247</v>
      </c>
      <c r="E527" s="334">
        <v>35941</v>
      </c>
      <c r="F527" s="36" t="s">
        <v>54</v>
      </c>
      <c r="G527" s="34" t="s">
        <v>4248</v>
      </c>
      <c r="H527" s="37" t="s">
        <v>528</v>
      </c>
      <c r="I527" s="37" t="s">
        <v>57</v>
      </c>
      <c r="J527" s="38" t="s">
        <v>4249</v>
      </c>
      <c r="K527" s="34" t="s">
        <v>41</v>
      </c>
      <c r="L527" s="39" t="s">
        <v>42</v>
      </c>
      <c r="M527" s="99" t="s">
        <v>530</v>
      </c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2" t="s">
        <v>4250</v>
      </c>
      <c r="Z527" s="43" t="s">
        <v>4251</v>
      </c>
      <c r="AA527" s="207" t="s">
        <v>4252</v>
      </c>
      <c r="AB527" s="45">
        <v>44944</v>
      </c>
      <c r="AC527" s="101" t="s">
        <v>30</v>
      </c>
      <c r="AD527" s="36"/>
      <c r="AE527" s="47" t="s">
        <v>49</v>
      </c>
      <c r="AF527" s="48" t="s">
        <v>41</v>
      </c>
      <c r="AG527" s="48" t="s">
        <v>49</v>
      </c>
      <c r="AH527" s="48" t="s">
        <v>49</v>
      </c>
      <c r="AI527" s="48" t="s">
        <v>49</v>
      </c>
      <c r="AJ527" s="48" t="s">
        <v>49</v>
      </c>
      <c r="AK527" s="49" t="s">
        <v>41</v>
      </c>
      <c r="AL527" s="48" t="s">
        <v>41</v>
      </c>
      <c r="AM527" s="62" t="s">
        <v>276</v>
      </c>
      <c r="AN527" s="62"/>
      <c r="AO527" s="59"/>
      <c r="AP527" s="10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1"/>
    </row>
    <row r="528" spans="1:53" ht="14.25" customHeight="1" x14ac:dyDescent="0.2">
      <c r="A528" s="33">
        <f t="shared" si="9"/>
        <v>523</v>
      </c>
      <c r="B528" s="34" t="s">
        <v>4253</v>
      </c>
      <c r="C528" s="35" t="s">
        <v>4254</v>
      </c>
      <c r="D528" s="36" t="s">
        <v>4255</v>
      </c>
      <c r="E528" s="334">
        <v>32935</v>
      </c>
      <c r="F528" s="36" t="s">
        <v>36</v>
      </c>
      <c r="G528" s="34" t="s">
        <v>4256</v>
      </c>
      <c r="H528" s="37" t="s">
        <v>56</v>
      </c>
      <c r="I528" s="37" t="s">
        <v>57</v>
      </c>
      <c r="J528" s="38" t="s">
        <v>4257</v>
      </c>
      <c r="K528" s="34" t="s">
        <v>41</v>
      </c>
      <c r="L528" s="39" t="s">
        <v>42</v>
      </c>
      <c r="M528" s="120" t="s">
        <v>4258</v>
      </c>
      <c r="N528" s="41"/>
      <c r="O528" s="41"/>
      <c r="P528" s="41"/>
      <c r="Q528" s="41"/>
      <c r="R528" s="41"/>
      <c r="S528" s="41"/>
      <c r="T528" s="41"/>
      <c r="U528" s="41" t="s">
        <v>44</v>
      </c>
      <c r="V528" s="41"/>
      <c r="W528" s="41"/>
      <c r="X528" s="41"/>
      <c r="Y528" s="42" t="s">
        <v>4259</v>
      </c>
      <c r="Z528" s="69" t="s">
        <v>4260</v>
      </c>
      <c r="AA528" s="44"/>
      <c r="AB528" s="45">
        <v>45642</v>
      </c>
      <c r="AC528" s="101"/>
      <c r="AD528" s="36"/>
      <c r="AE528" s="47" t="s">
        <v>49</v>
      </c>
      <c r="AF528" s="48" t="s">
        <v>41</v>
      </c>
      <c r="AG528" s="48" t="s">
        <v>41</v>
      </c>
      <c r="AH528" s="48" t="s">
        <v>41</v>
      </c>
      <c r="AI528" s="48" t="s">
        <v>49</v>
      </c>
      <c r="AJ528" s="48" t="s">
        <v>49</v>
      </c>
      <c r="AK528" s="49" t="s">
        <v>49</v>
      </c>
      <c r="AL528" s="48" t="s">
        <v>41</v>
      </c>
      <c r="AM528" s="65" t="s">
        <v>148</v>
      </c>
      <c r="AN528" s="65"/>
      <c r="AO528" s="59"/>
      <c r="AP528" s="10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1"/>
    </row>
    <row r="529" spans="1:53" ht="14.25" customHeight="1" x14ac:dyDescent="0.2">
      <c r="A529" s="33">
        <f t="shared" si="9"/>
        <v>524</v>
      </c>
      <c r="B529" s="34" t="s">
        <v>4261</v>
      </c>
      <c r="C529" s="35" t="s">
        <v>4262</v>
      </c>
      <c r="D529" s="36" t="s">
        <v>4263</v>
      </c>
      <c r="E529" s="334">
        <v>29198</v>
      </c>
      <c r="F529" s="36" t="s">
        <v>54</v>
      </c>
      <c r="G529" s="34" t="s">
        <v>4264</v>
      </c>
      <c r="H529" s="37" t="s">
        <v>73</v>
      </c>
      <c r="I529" s="37" t="s">
        <v>73</v>
      </c>
      <c r="J529" s="34" t="s">
        <v>4265</v>
      </c>
      <c r="K529" s="34" t="s">
        <v>4266</v>
      </c>
      <c r="L529" s="39" t="s">
        <v>42</v>
      </c>
      <c r="M529" s="99" t="s">
        <v>4267</v>
      </c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42" t="s">
        <v>4604</v>
      </c>
      <c r="Z529" s="52" t="s">
        <v>4268</v>
      </c>
      <c r="AA529" s="44" t="s">
        <v>61</v>
      </c>
      <c r="AB529" s="45">
        <v>40280</v>
      </c>
      <c r="AC529" s="101" t="s">
        <v>30</v>
      </c>
      <c r="AD529" s="36" t="s">
        <v>26</v>
      </c>
      <c r="AE529" s="61" t="s">
        <v>49</v>
      </c>
      <c r="AF529" s="48" t="s">
        <v>49</v>
      </c>
      <c r="AG529" s="48" t="s">
        <v>49</v>
      </c>
      <c r="AH529" s="48" t="s">
        <v>49</v>
      </c>
      <c r="AI529" s="48" t="s">
        <v>49</v>
      </c>
      <c r="AJ529" s="48" t="s">
        <v>49</v>
      </c>
      <c r="AK529" s="49" t="s">
        <v>49</v>
      </c>
      <c r="AL529" s="48" t="s">
        <v>49</v>
      </c>
      <c r="AM529" s="65" t="s">
        <v>32</v>
      </c>
      <c r="AN529" s="65"/>
      <c r="AO529" s="59"/>
      <c r="AP529" s="10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1"/>
    </row>
    <row r="530" spans="1:53" ht="14.25" customHeight="1" x14ac:dyDescent="0.2">
      <c r="A530" s="33">
        <f t="shared" si="9"/>
        <v>525</v>
      </c>
      <c r="B530" s="34" t="s">
        <v>4269</v>
      </c>
      <c r="C530" s="35" t="s">
        <v>4270</v>
      </c>
      <c r="D530" s="36" t="s">
        <v>4271</v>
      </c>
      <c r="E530" s="334">
        <v>26984</v>
      </c>
      <c r="F530" s="36" t="s">
        <v>54</v>
      </c>
      <c r="G530" s="34" t="s">
        <v>4272</v>
      </c>
      <c r="H530" s="37" t="s">
        <v>73</v>
      </c>
      <c r="I530" s="37" t="s">
        <v>73</v>
      </c>
      <c r="J530" s="34" t="s">
        <v>4273</v>
      </c>
      <c r="K530" s="34" t="s">
        <v>41</v>
      </c>
      <c r="L530" s="39" t="s">
        <v>42</v>
      </c>
      <c r="M530" s="120">
        <v>44662</v>
      </c>
      <c r="N530" s="56"/>
      <c r="O530" s="56"/>
      <c r="P530" s="56"/>
      <c r="Q530" s="56"/>
      <c r="R530" s="56"/>
      <c r="S530" s="56"/>
      <c r="T530" s="56" t="s">
        <v>44</v>
      </c>
      <c r="U530" s="56"/>
      <c r="V530" s="56"/>
      <c r="W530" s="56"/>
      <c r="X530" s="56"/>
      <c r="Y530" s="42" t="s">
        <v>4274</v>
      </c>
      <c r="Z530" s="43" t="s">
        <v>4275</v>
      </c>
      <c r="AA530" s="211" t="s">
        <v>4276</v>
      </c>
      <c r="AB530" s="45">
        <v>44944</v>
      </c>
      <c r="AC530" s="101" t="s">
        <v>30</v>
      </c>
      <c r="AD530" s="36"/>
      <c r="AE530" s="61" t="s">
        <v>49</v>
      </c>
      <c r="AF530" s="48" t="s">
        <v>41</v>
      </c>
      <c r="AG530" s="48" t="s">
        <v>41</v>
      </c>
      <c r="AH530" s="48" t="s">
        <v>49</v>
      </c>
      <c r="AI530" s="48" t="s">
        <v>49</v>
      </c>
      <c r="AJ530" s="48" t="s">
        <v>49</v>
      </c>
      <c r="AK530" s="49" t="s">
        <v>49</v>
      </c>
      <c r="AL530" s="48" t="s">
        <v>49</v>
      </c>
      <c r="AM530" s="62" t="s">
        <v>32</v>
      </c>
      <c r="AN530" s="62"/>
      <c r="AO530" s="59"/>
      <c r="AP530" s="10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1"/>
    </row>
    <row r="531" spans="1:53" x14ac:dyDescent="0.2">
      <c r="A531" s="33">
        <f t="shared" si="9"/>
        <v>526</v>
      </c>
      <c r="B531" s="34" t="s">
        <v>4277</v>
      </c>
      <c r="C531" s="35" t="s">
        <v>4278</v>
      </c>
      <c r="D531" s="36" t="s">
        <v>4279</v>
      </c>
      <c r="E531" s="334">
        <v>22859</v>
      </c>
      <c r="F531" s="36" t="s">
        <v>54</v>
      </c>
      <c r="G531" s="34" t="s">
        <v>4280</v>
      </c>
      <c r="H531" s="37" t="s">
        <v>73</v>
      </c>
      <c r="I531" s="37" t="s">
        <v>73</v>
      </c>
      <c r="J531" s="34" t="s">
        <v>2633</v>
      </c>
      <c r="K531" s="34" t="s">
        <v>2633</v>
      </c>
      <c r="L531" s="39" t="s">
        <v>42</v>
      </c>
      <c r="M531" s="120">
        <v>44837</v>
      </c>
      <c r="N531" s="56"/>
      <c r="O531" s="56"/>
      <c r="P531" s="56"/>
      <c r="Q531" s="56"/>
      <c r="R531" s="56"/>
      <c r="S531" s="56"/>
      <c r="T531" s="56" t="s">
        <v>44</v>
      </c>
      <c r="U531" s="56"/>
      <c r="V531" s="56"/>
      <c r="W531" s="56"/>
      <c r="X531" s="56"/>
      <c r="Y531" s="42" t="s">
        <v>4281</v>
      </c>
      <c r="Z531" s="43" t="s">
        <v>4282</v>
      </c>
      <c r="AA531" s="84" t="s">
        <v>4283</v>
      </c>
      <c r="AB531" s="45">
        <v>44650</v>
      </c>
      <c r="AC531" s="101" t="s">
        <v>30</v>
      </c>
      <c r="AD531" s="36"/>
      <c r="AE531" s="64" t="s">
        <v>120</v>
      </c>
      <c r="AF531" s="48" t="s">
        <v>41</v>
      </c>
      <c r="AG531" s="48" t="s">
        <v>120</v>
      </c>
      <c r="AH531" s="48" t="s">
        <v>120</v>
      </c>
      <c r="AI531" s="48" t="s">
        <v>120</v>
      </c>
      <c r="AJ531" s="48" t="s">
        <v>120</v>
      </c>
      <c r="AK531" s="49" t="s">
        <v>41</v>
      </c>
      <c r="AL531" s="48" t="s">
        <v>41</v>
      </c>
      <c r="AM531" s="62" t="s">
        <v>276</v>
      </c>
      <c r="AN531" s="62"/>
      <c r="AO531" s="59"/>
      <c r="AP531" s="10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1"/>
    </row>
    <row r="532" spans="1:53" x14ac:dyDescent="0.2">
      <c r="A532" s="33">
        <f t="shared" si="9"/>
        <v>527</v>
      </c>
      <c r="B532" s="72" t="s">
        <v>4284</v>
      </c>
      <c r="C532" s="35" t="s">
        <v>4285</v>
      </c>
      <c r="D532" s="73" t="s">
        <v>4286</v>
      </c>
      <c r="E532" s="73"/>
      <c r="F532" s="36" t="s">
        <v>36</v>
      </c>
      <c r="G532" s="74" t="s">
        <v>4287</v>
      </c>
      <c r="H532" s="75" t="s">
        <v>73</v>
      </c>
      <c r="I532" s="75" t="s">
        <v>73</v>
      </c>
      <c r="J532" s="72" t="s">
        <v>4288</v>
      </c>
      <c r="K532" s="72" t="s">
        <v>4289</v>
      </c>
      <c r="L532" s="77" t="s">
        <v>42</v>
      </c>
      <c r="M532" s="242">
        <v>40195</v>
      </c>
      <c r="N532" s="243"/>
      <c r="O532" s="243"/>
      <c r="P532" s="243"/>
      <c r="Q532" s="243"/>
      <c r="R532" s="243"/>
      <c r="S532" s="243"/>
      <c r="T532" s="243"/>
      <c r="U532" s="243"/>
      <c r="V532" s="243"/>
      <c r="W532" s="243"/>
      <c r="X532" s="243"/>
      <c r="Y532" s="42" t="s">
        <v>4290</v>
      </c>
      <c r="Z532" s="58" t="s">
        <v>4291</v>
      </c>
      <c r="AA532" s="44" t="s">
        <v>4292</v>
      </c>
      <c r="AB532" s="45">
        <v>41793</v>
      </c>
      <c r="AC532" s="244" t="s">
        <v>129</v>
      </c>
      <c r="AD532" s="73" t="s">
        <v>26</v>
      </c>
      <c r="AE532" s="81" t="s">
        <v>49</v>
      </c>
      <c r="AF532" s="48" t="s">
        <v>49</v>
      </c>
      <c r="AG532" s="48" t="s">
        <v>49</v>
      </c>
      <c r="AH532" s="48" t="s">
        <v>41</v>
      </c>
      <c r="AI532" s="48" t="s">
        <v>41</v>
      </c>
      <c r="AJ532" s="48" t="s">
        <v>41</v>
      </c>
      <c r="AK532" s="49" t="s">
        <v>41</v>
      </c>
      <c r="AL532" s="48" t="s">
        <v>41</v>
      </c>
      <c r="AM532" s="62" t="s">
        <v>110</v>
      </c>
      <c r="AN532" s="62"/>
      <c r="AO532" s="59"/>
      <c r="AP532" s="117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1"/>
    </row>
    <row r="533" spans="1:53" x14ac:dyDescent="0.2">
      <c r="A533" s="33">
        <f t="shared" si="9"/>
        <v>528</v>
      </c>
      <c r="B533" s="72" t="s">
        <v>4293</v>
      </c>
      <c r="C533" s="35" t="s">
        <v>4294</v>
      </c>
      <c r="D533" s="73" t="s">
        <v>4295</v>
      </c>
      <c r="E533" s="335">
        <v>30294</v>
      </c>
      <c r="F533" s="36" t="s">
        <v>36</v>
      </c>
      <c r="G533" s="74" t="s">
        <v>4296</v>
      </c>
      <c r="H533" s="75" t="s">
        <v>73</v>
      </c>
      <c r="I533" s="75" t="s">
        <v>73</v>
      </c>
      <c r="J533" s="245" t="s">
        <v>4297</v>
      </c>
      <c r="K533" s="72"/>
      <c r="L533" s="77" t="s">
        <v>42</v>
      </c>
      <c r="M533" s="242">
        <v>45198</v>
      </c>
      <c r="N533" s="243"/>
      <c r="O533" s="243"/>
      <c r="P533" s="243"/>
      <c r="Q533" s="243"/>
      <c r="R533" s="243"/>
      <c r="S533" s="243"/>
      <c r="T533" s="243"/>
      <c r="U533" s="243" t="s">
        <v>44</v>
      </c>
      <c r="V533" s="243"/>
      <c r="W533" s="243"/>
      <c r="X533" s="243"/>
      <c r="Y533" s="229" t="s">
        <v>4298</v>
      </c>
      <c r="Z533" s="58" t="s">
        <v>4299</v>
      </c>
      <c r="AA533" s="58"/>
      <c r="AB533" s="58" t="s">
        <v>47</v>
      </c>
      <c r="AC533" s="244"/>
      <c r="AD533" s="73"/>
      <c r="AE533" s="81" t="s">
        <v>49</v>
      </c>
      <c r="AF533" s="48" t="s">
        <v>41</v>
      </c>
      <c r="AG533" s="48" t="s">
        <v>41</v>
      </c>
      <c r="AH533" s="48" t="s">
        <v>41</v>
      </c>
      <c r="AI533" s="48" t="s">
        <v>49</v>
      </c>
      <c r="AJ533" s="48" t="s">
        <v>49</v>
      </c>
      <c r="AK533" s="49" t="s">
        <v>49</v>
      </c>
      <c r="AL533" s="48" t="s">
        <v>49</v>
      </c>
      <c r="AM533" s="62" t="s">
        <v>32</v>
      </c>
      <c r="AN533" s="62"/>
      <c r="AO533" s="59"/>
      <c r="AP533" s="10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1"/>
    </row>
    <row r="534" spans="1:53" x14ac:dyDescent="0.2">
      <c r="A534" s="33">
        <f t="shared" si="9"/>
        <v>529</v>
      </c>
      <c r="B534" s="72" t="s">
        <v>4300</v>
      </c>
      <c r="C534" s="35" t="s">
        <v>4301</v>
      </c>
      <c r="D534" s="73" t="s">
        <v>4302</v>
      </c>
      <c r="E534" s="335">
        <v>35134</v>
      </c>
      <c r="F534" s="36" t="s">
        <v>36</v>
      </c>
      <c r="G534" s="74" t="s">
        <v>4303</v>
      </c>
      <c r="H534" s="75" t="s">
        <v>176</v>
      </c>
      <c r="I534" s="75" t="s">
        <v>39</v>
      </c>
      <c r="J534" s="72" t="s">
        <v>4304</v>
      </c>
      <c r="K534" s="72" t="s">
        <v>41</v>
      </c>
      <c r="L534" s="77" t="s">
        <v>42</v>
      </c>
      <c r="M534" s="242">
        <v>45171</v>
      </c>
      <c r="N534" s="243" t="s">
        <v>179</v>
      </c>
      <c r="O534" s="243" t="s">
        <v>179</v>
      </c>
      <c r="P534" s="243"/>
      <c r="Q534" s="243">
        <v>3</v>
      </c>
      <c r="R534" s="243"/>
      <c r="S534" s="243"/>
      <c r="T534" s="243"/>
      <c r="U534" s="243" t="s">
        <v>44</v>
      </c>
      <c r="V534" s="243"/>
      <c r="W534" s="243"/>
      <c r="X534" s="243"/>
      <c r="Y534" s="42" t="s">
        <v>4305</v>
      </c>
      <c r="Z534" s="58" t="s">
        <v>4306</v>
      </c>
      <c r="AA534" s="58"/>
      <c r="AB534" s="58" t="s">
        <v>47</v>
      </c>
      <c r="AC534" s="244"/>
      <c r="AD534" s="73"/>
      <c r="AE534" s="81" t="s">
        <v>49</v>
      </c>
      <c r="AF534" s="48" t="s">
        <v>41</v>
      </c>
      <c r="AG534" s="48" t="s">
        <v>41</v>
      </c>
      <c r="AH534" s="48" t="s">
        <v>41</v>
      </c>
      <c r="AI534" s="48" t="s">
        <v>49</v>
      </c>
      <c r="AJ534" s="48" t="s">
        <v>41</v>
      </c>
      <c r="AK534" s="49" t="s">
        <v>41</v>
      </c>
      <c r="AL534" s="48" t="s">
        <v>41</v>
      </c>
      <c r="AM534" s="62" t="s">
        <v>4589</v>
      </c>
      <c r="AN534" s="62"/>
      <c r="AO534" s="59"/>
      <c r="AP534" s="117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1"/>
    </row>
    <row r="535" spans="1:53" x14ac:dyDescent="0.2">
      <c r="A535" s="33">
        <f t="shared" si="9"/>
        <v>530</v>
      </c>
      <c r="B535" s="34" t="s">
        <v>4307</v>
      </c>
      <c r="C535" s="35" t="s">
        <v>4308</v>
      </c>
      <c r="D535" s="36" t="s">
        <v>4309</v>
      </c>
      <c r="E535" s="36" t="s">
        <v>4717</v>
      </c>
      <c r="F535" s="36" t="s">
        <v>54</v>
      </c>
      <c r="G535" s="98" t="s">
        <v>4310</v>
      </c>
      <c r="H535" s="37" t="s">
        <v>39</v>
      </c>
      <c r="I535" s="37" t="s">
        <v>39</v>
      </c>
      <c r="J535" s="38" t="s">
        <v>4311</v>
      </c>
      <c r="K535" s="38" t="s">
        <v>4312</v>
      </c>
      <c r="L535" s="39" t="s">
        <v>42</v>
      </c>
      <c r="M535" s="120">
        <v>42552</v>
      </c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2" t="s">
        <v>4313</v>
      </c>
      <c r="Z535" s="52" t="s">
        <v>4314</v>
      </c>
      <c r="AA535" s="58"/>
      <c r="AB535" s="45">
        <v>42935</v>
      </c>
      <c r="AC535" s="101" t="s">
        <v>129</v>
      </c>
      <c r="AD535" s="36" t="s">
        <v>26</v>
      </c>
      <c r="AE535" s="47" t="s">
        <v>49</v>
      </c>
      <c r="AF535" s="48" t="s">
        <v>49</v>
      </c>
      <c r="AG535" s="48" t="s">
        <v>49</v>
      </c>
      <c r="AH535" s="48" t="s">
        <v>49</v>
      </c>
      <c r="AI535" s="48" t="s">
        <v>49</v>
      </c>
      <c r="AJ535" s="48" t="s">
        <v>49</v>
      </c>
      <c r="AK535" s="49" t="s">
        <v>49</v>
      </c>
      <c r="AL535" s="48" t="s">
        <v>49</v>
      </c>
      <c r="AM535" s="62" t="s">
        <v>32</v>
      </c>
      <c r="AN535" s="62"/>
      <c r="AO535" s="59"/>
      <c r="AP535" s="10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1"/>
    </row>
    <row r="536" spans="1:53" x14ac:dyDescent="0.2">
      <c r="A536" s="33">
        <f t="shared" si="9"/>
        <v>531</v>
      </c>
      <c r="B536" s="34" t="s">
        <v>4315</v>
      </c>
      <c r="C536" s="35" t="s">
        <v>4316</v>
      </c>
      <c r="D536" s="36" t="s">
        <v>4317</v>
      </c>
      <c r="E536" s="334">
        <v>33714</v>
      </c>
      <c r="F536" s="36" t="s">
        <v>36</v>
      </c>
      <c r="G536" s="98" t="s">
        <v>4318</v>
      </c>
      <c r="H536" s="37" t="s">
        <v>73</v>
      </c>
      <c r="I536" s="37" t="s">
        <v>73</v>
      </c>
      <c r="J536" s="38" t="s">
        <v>4319</v>
      </c>
      <c r="K536" s="38" t="s">
        <v>41</v>
      </c>
      <c r="L536" s="39" t="s">
        <v>42</v>
      </c>
      <c r="M536" s="120" t="s">
        <v>3950</v>
      </c>
      <c r="N536" s="41"/>
      <c r="O536" s="41"/>
      <c r="P536" s="41"/>
      <c r="Q536" s="41"/>
      <c r="R536" s="41"/>
      <c r="S536" s="41" t="s">
        <v>44</v>
      </c>
      <c r="T536" s="41"/>
      <c r="U536" s="41"/>
      <c r="V536" s="41"/>
      <c r="W536" s="41"/>
      <c r="X536" s="41"/>
      <c r="Y536" s="42" t="s">
        <v>4320</v>
      </c>
      <c r="Z536" s="43" t="s">
        <v>4321</v>
      </c>
      <c r="AA536" s="84" t="s">
        <v>4322</v>
      </c>
      <c r="AB536" s="45">
        <v>44650</v>
      </c>
      <c r="AC536" s="101" t="s">
        <v>30</v>
      </c>
      <c r="AD536" s="36"/>
      <c r="AE536" s="64" t="s">
        <v>120</v>
      </c>
      <c r="AF536" s="48" t="s">
        <v>41</v>
      </c>
      <c r="AG536" s="48" t="s">
        <v>120</v>
      </c>
      <c r="AH536" s="48" t="s">
        <v>120</v>
      </c>
      <c r="AI536" s="48" t="s">
        <v>120</v>
      </c>
      <c r="AJ536" s="48" t="s">
        <v>120</v>
      </c>
      <c r="AK536" s="49" t="s">
        <v>120</v>
      </c>
      <c r="AL536" s="48" t="s">
        <v>120</v>
      </c>
      <c r="AM536" s="62" t="s">
        <v>32</v>
      </c>
      <c r="AN536" s="62"/>
      <c r="AO536" s="59"/>
      <c r="AP536" s="10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1"/>
    </row>
    <row r="537" spans="1:53" x14ac:dyDescent="0.2">
      <c r="A537" s="33">
        <f t="shared" si="9"/>
        <v>532</v>
      </c>
      <c r="B537" s="34" t="s">
        <v>4323</v>
      </c>
      <c r="C537" s="35" t="s">
        <v>4324</v>
      </c>
      <c r="D537" s="36" t="s">
        <v>4325</v>
      </c>
      <c r="E537" s="334">
        <v>27355</v>
      </c>
      <c r="F537" s="36" t="s">
        <v>54</v>
      </c>
      <c r="G537" s="34" t="s">
        <v>4326</v>
      </c>
      <c r="H537" s="37" t="s">
        <v>73</v>
      </c>
      <c r="I537" s="37" t="s">
        <v>73</v>
      </c>
      <c r="J537" s="34" t="s">
        <v>4327</v>
      </c>
      <c r="K537" s="34" t="s">
        <v>4328</v>
      </c>
      <c r="L537" s="39" t="s">
        <v>42</v>
      </c>
      <c r="M537" s="99" t="s">
        <v>4329</v>
      </c>
      <c r="N537" s="112"/>
      <c r="O537" s="112"/>
      <c r="P537" s="112"/>
      <c r="Q537" s="112"/>
      <c r="R537" s="112"/>
      <c r="S537" s="112"/>
      <c r="T537" s="112"/>
      <c r="U537" s="41"/>
      <c r="V537" s="41"/>
      <c r="W537" s="41"/>
      <c r="X537" s="41"/>
      <c r="Y537" s="42" t="s">
        <v>4330</v>
      </c>
      <c r="Z537" s="43" t="s">
        <v>4331</v>
      </c>
      <c r="AA537" s="44" t="s">
        <v>4332</v>
      </c>
      <c r="AB537" s="45">
        <v>41793</v>
      </c>
      <c r="AC537" s="101" t="s">
        <v>30</v>
      </c>
      <c r="AD537" s="36" t="s">
        <v>26</v>
      </c>
      <c r="AE537" s="61" t="s">
        <v>49</v>
      </c>
      <c r="AF537" s="48" t="s">
        <v>49</v>
      </c>
      <c r="AG537" s="48" t="s">
        <v>49</v>
      </c>
      <c r="AH537" s="48" t="s">
        <v>49</v>
      </c>
      <c r="AI537" s="48" t="s">
        <v>49</v>
      </c>
      <c r="AJ537" s="48" t="s">
        <v>49</v>
      </c>
      <c r="AK537" s="49" t="s">
        <v>49</v>
      </c>
      <c r="AL537" s="48" t="s">
        <v>49</v>
      </c>
      <c r="AM537" s="62" t="s">
        <v>32</v>
      </c>
      <c r="AN537" s="62"/>
      <c r="AO537" s="59"/>
      <c r="AP537" s="10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1"/>
    </row>
    <row r="538" spans="1:53" x14ac:dyDescent="0.2">
      <c r="A538" s="33">
        <f t="shared" si="9"/>
        <v>533</v>
      </c>
      <c r="B538" s="122" t="s">
        <v>4333</v>
      </c>
      <c r="C538" s="123" t="s">
        <v>4334</v>
      </c>
      <c r="D538" s="202" t="s">
        <v>4335</v>
      </c>
      <c r="E538" s="202"/>
      <c r="F538" s="36" t="s">
        <v>36</v>
      </c>
      <c r="G538" s="122" t="s">
        <v>4336</v>
      </c>
      <c r="H538" s="126" t="s">
        <v>39</v>
      </c>
      <c r="I538" s="126" t="s">
        <v>39</v>
      </c>
      <c r="J538" s="127" t="s">
        <v>4337</v>
      </c>
      <c r="K538" s="122" t="s">
        <v>41</v>
      </c>
      <c r="L538" s="128" t="s">
        <v>42</v>
      </c>
      <c r="M538" s="163" t="s">
        <v>1869</v>
      </c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42" t="s">
        <v>4338</v>
      </c>
      <c r="Z538" s="52" t="s">
        <v>4339</v>
      </c>
      <c r="AA538" s="44" t="s">
        <v>61</v>
      </c>
      <c r="AB538" s="131">
        <v>37208</v>
      </c>
      <c r="AC538" s="164"/>
      <c r="AD538" s="36" t="s">
        <v>26</v>
      </c>
      <c r="AE538" s="133" t="s">
        <v>49</v>
      </c>
      <c r="AF538" s="48" t="s">
        <v>49</v>
      </c>
      <c r="AG538" s="48" t="s">
        <v>41</v>
      </c>
      <c r="AH538" s="48" t="s">
        <v>41</v>
      </c>
      <c r="AI538" s="48" t="s">
        <v>41</v>
      </c>
      <c r="AJ538" s="48" t="s">
        <v>41</v>
      </c>
      <c r="AK538" s="49" t="s">
        <v>41</v>
      </c>
      <c r="AL538" s="48" t="s">
        <v>41</v>
      </c>
      <c r="AM538" s="62" t="s">
        <v>4587</v>
      </c>
      <c r="AN538" s="232"/>
      <c r="AO538" s="134" t="s">
        <v>460</v>
      </c>
      <c r="AP538" s="102"/>
      <c r="AQ538" s="32"/>
      <c r="AR538" s="32"/>
      <c r="AS538" s="32"/>
      <c r="AT538" s="32"/>
      <c r="AU538" s="32"/>
      <c r="AV538" s="32"/>
      <c r="AW538" s="32"/>
      <c r="AX538" s="32"/>
      <c r="AY538" s="32"/>
      <c r="AZ538" s="32"/>
      <c r="BA538" s="31"/>
    </row>
    <row r="539" spans="1:53" x14ac:dyDescent="0.2">
      <c r="A539" s="33">
        <f t="shared" si="9"/>
        <v>534</v>
      </c>
      <c r="B539" s="122" t="s">
        <v>4340</v>
      </c>
      <c r="C539" s="123" t="s">
        <v>4341</v>
      </c>
      <c r="D539" s="202" t="s">
        <v>4342</v>
      </c>
      <c r="E539" s="342">
        <v>29214</v>
      </c>
      <c r="F539" s="36" t="s">
        <v>54</v>
      </c>
      <c r="G539" s="122" t="s">
        <v>4343</v>
      </c>
      <c r="H539" s="126" t="s">
        <v>39</v>
      </c>
      <c r="I539" s="126" t="s">
        <v>39</v>
      </c>
      <c r="J539" s="122" t="s">
        <v>4344</v>
      </c>
      <c r="K539" s="122" t="s">
        <v>4345</v>
      </c>
      <c r="L539" s="128" t="s">
        <v>42</v>
      </c>
      <c r="M539" s="165">
        <v>42343</v>
      </c>
      <c r="N539" s="130"/>
      <c r="O539" s="246"/>
      <c r="P539" s="115"/>
      <c r="Q539" s="246"/>
      <c r="R539" s="115"/>
      <c r="S539" s="115"/>
      <c r="T539" s="115"/>
      <c r="U539" s="56"/>
      <c r="V539" s="56"/>
      <c r="W539" s="56"/>
      <c r="X539" s="56"/>
      <c r="Y539" s="42" t="s">
        <v>4346</v>
      </c>
      <c r="Z539" s="52" t="s">
        <v>4347</v>
      </c>
      <c r="AA539" s="44" t="s">
        <v>4348</v>
      </c>
      <c r="AB539" s="45" t="s">
        <v>1130</v>
      </c>
      <c r="AC539" s="164" t="s">
        <v>30</v>
      </c>
      <c r="AD539" s="36" t="s">
        <v>26</v>
      </c>
      <c r="AE539" s="133" t="s">
        <v>49</v>
      </c>
      <c r="AF539" s="48" t="s">
        <v>49</v>
      </c>
      <c r="AG539" s="48" t="s">
        <v>49</v>
      </c>
      <c r="AH539" s="48" t="s">
        <v>49</v>
      </c>
      <c r="AI539" s="48" t="s">
        <v>49</v>
      </c>
      <c r="AJ539" s="48" t="s">
        <v>49</v>
      </c>
      <c r="AK539" s="49" t="s">
        <v>49</v>
      </c>
      <c r="AL539" s="48" t="s">
        <v>49</v>
      </c>
      <c r="AM539" s="62" t="s">
        <v>32</v>
      </c>
      <c r="AN539" s="232"/>
      <c r="AO539" s="134"/>
      <c r="AP539" s="102"/>
      <c r="AQ539" s="32"/>
      <c r="AR539" s="32"/>
      <c r="AS539" s="32"/>
      <c r="AT539" s="32"/>
      <c r="AU539" s="32"/>
      <c r="AV539" s="32"/>
      <c r="AW539" s="32"/>
      <c r="AX539" s="32"/>
      <c r="AY539" s="32"/>
      <c r="AZ539" s="32"/>
      <c r="BA539" s="31"/>
    </row>
    <row r="540" spans="1:53" x14ac:dyDescent="0.2">
      <c r="A540" s="33">
        <f t="shared" si="9"/>
        <v>535</v>
      </c>
      <c r="B540" s="34" t="s">
        <v>4349</v>
      </c>
      <c r="C540" s="35" t="s">
        <v>4350</v>
      </c>
      <c r="D540" s="36" t="s">
        <v>4351</v>
      </c>
      <c r="E540" s="334">
        <v>24068</v>
      </c>
      <c r="F540" s="36" t="s">
        <v>54</v>
      </c>
      <c r="G540" s="34" t="s">
        <v>4352</v>
      </c>
      <c r="H540" s="37" t="s">
        <v>73</v>
      </c>
      <c r="I540" s="37" t="s">
        <v>73</v>
      </c>
      <c r="J540" s="34" t="s">
        <v>4353</v>
      </c>
      <c r="K540" s="34" t="s">
        <v>41</v>
      </c>
      <c r="L540" s="39" t="s">
        <v>42</v>
      </c>
      <c r="M540" s="165">
        <v>42555</v>
      </c>
      <c r="N540" s="188"/>
      <c r="O540" s="188"/>
      <c r="P540" s="188"/>
      <c r="Q540" s="188"/>
      <c r="R540" s="188"/>
      <c r="S540" s="188"/>
      <c r="T540" s="188"/>
      <c r="U540" s="188"/>
      <c r="V540" s="188"/>
      <c r="W540" s="188"/>
      <c r="X540" s="188"/>
      <c r="Y540" s="42" t="s">
        <v>4354</v>
      </c>
      <c r="Z540" s="58" t="s">
        <v>4355</v>
      </c>
      <c r="AA540" s="44" t="s">
        <v>4356</v>
      </c>
      <c r="AB540" s="45">
        <v>42935</v>
      </c>
      <c r="AC540" s="164" t="s">
        <v>30</v>
      </c>
      <c r="AD540" s="36" t="s">
        <v>26</v>
      </c>
      <c r="AE540" s="47" t="s">
        <v>49</v>
      </c>
      <c r="AF540" s="48" t="s">
        <v>49</v>
      </c>
      <c r="AG540" s="48" t="s">
        <v>49</v>
      </c>
      <c r="AH540" s="48" t="s">
        <v>49</v>
      </c>
      <c r="AI540" s="48" t="s">
        <v>49</v>
      </c>
      <c r="AJ540" s="48" t="s">
        <v>49</v>
      </c>
      <c r="AK540" s="49" t="s">
        <v>49</v>
      </c>
      <c r="AL540" s="48" t="s">
        <v>49</v>
      </c>
      <c r="AM540" s="65" t="s">
        <v>32</v>
      </c>
      <c r="AN540" s="65"/>
      <c r="AO540" s="59"/>
      <c r="AP540" s="117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1"/>
    </row>
    <row r="541" spans="1:53" x14ac:dyDescent="0.2">
      <c r="A541" s="33">
        <f t="shared" si="9"/>
        <v>536</v>
      </c>
      <c r="B541" s="34" t="s">
        <v>4357</v>
      </c>
      <c r="C541" s="35" t="s">
        <v>4358</v>
      </c>
      <c r="D541" s="36" t="s">
        <v>4359</v>
      </c>
      <c r="E541" s="334">
        <v>33279</v>
      </c>
      <c r="F541" s="36" t="s">
        <v>54</v>
      </c>
      <c r="G541" s="34" t="s">
        <v>4360</v>
      </c>
      <c r="H541" s="37" t="s">
        <v>528</v>
      </c>
      <c r="I541" s="37" t="s">
        <v>57</v>
      </c>
      <c r="J541" s="34" t="s">
        <v>4361</v>
      </c>
      <c r="K541" s="34" t="s">
        <v>41</v>
      </c>
      <c r="L541" s="39" t="s">
        <v>42</v>
      </c>
      <c r="M541" s="165">
        <v>37174</v>
      </c>
      <c r="N541" s="188"/>
      <c r="O541" s="188"/>
      <c r="P541" s="188"/>
      <c r="Q541" s="188"/>
      <c r="R541" s="188"/>
      <c r="S541" s="188"/>
      <c r="T541" s="188"/>
      <c r="U541" s="188"/>
      <c r="V541" s="188"/>
      <c r="W541" s="188" t="s">
        <v>732</v>
      </c>
      <c r="X541" s="188"/>
      <c r="Y541" s="42" t="s">
        <v>4362</v>
      </c>
      <c r="Z541" s="69" t="s">
        <v>4363</v>
      </c>
      <c r="AA541" s="44" t="s">
        <v>61</v>
      </c>
      <c r="AB541" s="45">
        <v>37208</v>
      </c>
      <c r="AC541" s="164" t="s">
        <v>30</v>
      </c>
      <c r="AD541" s="36" t="s">
        <v>26</v>
      </c>
      <c r="AE541" s="47" t="s">
        <v>49</v>
      </c>
      <c r="AF541" s="48" t="s">
        <v>49</v>
      </c>
      <c r="AG541" s="48" t="s">
        <v>49</v>
      </c>
      <c r="AH541" s="48" t="s">
        <v>49</v>
      </c>
      <c r="AI541" s="48" t="s">
        <v>49</v>
      </c>
      <c r="AJ541" s="48" t="s">
        <v>49</v>
      </c>
      <c r="AK541" s="49" t="s">
        <v>49</v>
      </c>
      <c r="AL541" s="48" t="s">
        <v>41</v>
      </c>
      <c r="AM541" s="62" t="s">
        <v>148</v>
      </c>
      <c r="AN541" s="62"/>
      <c r="AO541" s="59"/>
      <c r="AP541" s="10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1"/>
    </row>
    <row r="542" spans="1:53" x14ac:dyDescent="0.2">
      <c r="A542" s="33">
        <f t="shared" si="9"/>
        <v>537</v>
      </c>
      <c r="B542" s="34" t="s">
        <v>4364</v>
      </c>
      <c r="C542" s="35" t="s">
        <v>4365</v>
      </c>
      <c r="D542" s="36" t="s">
        <v>4366</v>
      </c>
      <c r="E542" s="334">
        <v>27282</v>
      </c>
      <c r="F542" s="36" t="s">
        <v>54</v>
      </c>
      <c r="G542" s="34" t="s">
        <v>4367</v>
      </c>
      <c r="H542" s="37" t="s">
        <v>1354</v>
      </c>
      <c r="I542" s="37" t="s">
        <v>57</v>
      </c>
      <c r="J542" s="34" t="s">
        <v>4368</v>
      </c>
      <c r="K542" s="34" t="s">
        <v>41</v>
      </c>
      <c r="L542" s="39" t="s">
        <v>42</v>
      </c>
      <c r="M542" s="99" t="s">
        <v>3857</v>
      </c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42" t="s">
        <v>4369</v>
      </c>
      <c r="Z542" s="52" t="s">
        <v>4370</v>
      </c>
      <c r="AA542" s="44" t="s">
        <v>4371</v>
      </c>
      <c r="AB542" s="45">
        <v>41793</v>
      </c>
      <c r="AC542" s="101" t="s">
        <v>30</v>
      </c>
      <c r="AD542" s="36" t="s">
        <v>26</v>
      </c>
      <c r="AE542" s="47" t="s">
        <v>49</v>
      </c>
      <c r="AF542" s="48" t="s">
        <v>49</v>
      </c>
      <c r="AG542" s="48" t="s">
        <v>49</v>
      </c>
      <c r="AH542" s="48" t="s">
        <v>49</v>
      </c>
      <c r="AI542" s="48" t="s">
        <v>49</v>
      </c>
      <c r="AJ542" s="48" t="s">
        <v>49</v>
      </c>
      <c r="AK542" s="49" t="s">
        <v>49</v>
      </c>
      <c r="AL542" s="48" t="s">
        <v>49</v>
      </c>
      <c r="AM542" s="62" t="s">
        <v>32</v>
      </c>
      <c r="AN542" s="232"/>
      <c r="AO542" s="134"/>
      <c r="AP542" s="10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1"/>
    </row>
    <row r="543" spans="1:53" x14ac:dyDescent="0.2">
      <c r="A543" s="33">
        <f t="shared" si="9"/>
        <v>538</v>
      </c>
      <c r="B543" s="34" t="s">
        <v>4372</v>
      </c>
      <c r="C543" s="35" t="s">
        <v>4373</v>
      </c>
      <c r="D543" s="73" t="s">
        <v>4374</v>
      </c>
      <c r="E543" s="335">
        <v>33879</v>
      </c>
      <c r="F543" s="36" t="s">
        <v>54</v>
      </c>
      <c r="G543" s="98" t="s">
        <v>4375</v>
      </c>
      <c r="H543" s="37" t="s">
        <v>73</v>
      </c>
      <c r="I543" s="37" t="s">
        <v>73</v>
      </c>
      <c r="J543" s="38" t="s">
        <v>4376</v>
      </c>
      <c r="K543" s="34" t="s">
        <v>41</v>
      </c>
      <c r="L543" s="39" t="s">
        <v>42</v>
      </c>
      <c r="M543" s="120">
        <v>42440</v>
      </c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42" t="s">
        <v>4377</v>
      </c>
      <c r="Z543" s="69" t="s">
        <v>4378</v>
      </c>
      <c r="AA543" s="44" t="s">
        <v>4379</v>
      </c>
      <c r="AB543" s="45">
        <v>42935</v>
      </c>
      <c r="AC543" s="101" t="s">
        <v>30</v>
      </c>
      <c r="AD543" s="73" t="s">
        <v>26</v>
      </c>
      <c r="AE543" s="47" t="s">
        <v>49</v>
      </c>
      <c r="AF543" s="48" t="s">
        <v>49</v>
      </c>
      <c r="AG543" s="48" t="s">
        <v>49</v>
      </c>
      <c r="AH543" s="48" t="s">
        <v>49</v>
      </c>
      <c r="AI543" s="48" t="s">
        <v>41</v>
      </c>
      <c r="AJ543" s="48" t="s">
        <v>41</v>
      </c>
      <c r="AK543" s="49" t="s">
        <v>41</v>
      </c>
      <c r="AL543" s="48" t="s">
        <v>41</v>
      </c>
      <c r="AM543" s="62" t="s">
        <v>139</v>
      </c>
      <c r="AN543" s="62"/>
      <c r="AO543" s="59"/>
      <c r="AP543" s="10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1"/>
    </row>
    <row r="544" spans="1:53" x14ac:dyDescent="0.2">
      <c r="A544" s="33">
        <f t="shared" si="9"/>
        <v>539</v>
      </c>
      <c r="B544" s="34" t="s">
        <v>4380</v>
      </c>
      <c r="C544" s="35" t="s">
        <v>4381</v>
      </c>
      <c r="D544" s="73" t="s">
        <v>4382</v>
      </c>
      <c r="E544" s="335">
        <v>31578</v>
      </c>
      <c r="F544" s="36" t="s">
        <v>54</v>
      </c>
      <c r="G544" s="98" t="s">
        <v>4383</v>
      </c>
      <c r="H544" s="37" t="s">
        <v>73</v>
      </c>
      <c r="I544" s="37" t="s">
        <v>73</v>
      </c>
      <c r="J544" s="38" t="s">
        <v>4384</v>
      </c>
      <c r="K544" s="34" t="s">
        <v>41</v>
      </c>
      <c r="L544" s="39" t="s">
        <v>42</v>
      </c>
      <c r="M544" s="120">
        <v>43771</v>
      </c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42" t="s">
        <v>4385</v>
      </c>
      <c r="Z544" s="52" t="s">
        <v>4386</v>
      </c>
      <c r="AA544" s="44" t="s">
        <v>4387</v>
      </c>
      <c r="AB544" s="45">
        <v>44041</v>
      </c>
      <c r="AC544" s="101" t="s">
        <v>30</v>
      </c>
      <c r="AD544" s="73" t="s">
        <v>26</v>
      </c>
      <c r="AE544" s="47" t="s">
        <v>49</v>
      </c>
      <c r="AF544" s="48" t="s">
        <v>49</v>
      </c>
      <c r="AG544" s="48" t="s">
        <v>49</v>
      </c>
      <c r="AH544" s="48" t="s">
        <v>49</v>
      </c>
      <c r="AI544" s="48" t="s">
        <v>49</v>
      </c>
      <c r="AJ544" s="48" t="s">
        <v>41</v>
      </c>
      <c r="AK544" s="49" t="s">
        <v>41</v>
      </c>
      <c r="AL544" s="48" t="s">
        <v>41</v>
      </c>
      <c r="AM544" s="62" t="s">
        <v>4589</v>
      </c>
      <c r="AN544" s="62"/>
      <c r="AO544" s="59"/>
      <c r="AP544" s="10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1"/>
    </row>
    <row r="545" spans="1:53" x14ac:dyDescent="0.2">
      <c r="A545" s="33">
        <f t="shared" si="9"/>
        <v>540</v>
      </c>
      <c r="B545" s="34" t="s">
        <v>4388</v>
      </c>
      <c r="C545" s="35" t="s">
        <v>4389</v>
      </c>
      <c r="D545" s="36" t="s">
        <v>4390</v>
      </c>
      <c r="E545" s="334">
        <v>26889</v>
      </c>
      <c r="F545" s="36" t="s">
        <v>54</v>
      </c>
      <c r="G545" s="34" t="s">
        <v>4391</v>
      </c>
      <c r="H545" s="37" t="s">
        <v>4658</v>
      </c>
      <c r="I545" s="37" t="s">
        <v>350</v>
      </c>
      <c r="J545" s="34" t="s">
        <v>4392</v>
      </c>
      <c r="K545" s="34" t="s">
        <v>41</v>
      </c>
      <c r="L545" s="39" t="s">
        <v>42</v>
      </c>
      <c r="M545" s="120">
        <v>37264</v>
      </c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2" t="s">
        <v>4393</v>
      </c>
      <c r="Z545" s="69" t="s">
        <v>4394</v>
      </c>
      <c r="AA545" s="44" t="s">
        <v>61</v>
      </c>
      <c r="AB545" s="45" t="s">
        <v>4395</v>
      </c>
      <c r="AC545" s="101" t="s">
        <v>30</v>
      </c>
      <c r="AD545" s="36" t="s">
        <v>26</v>
      </c>
      <c r="AE545" s="47" t="s">
        <v>49</v>
      </c>
      <c r="AF545" s="48" t="s">
        <v>49</v>
      </c>
      <c r="AG545" s="48" t="s">
        <v>49</v>
      </c>
      <c r="AH545" s="48" t="s">
        <v>49</v>
      </c>
      <c r="AI545" s="48" t="s">
        <v>49</v>
      </c>
      <c r="AJ545" s="48" t="s">
        <v>49</v>
      </c>
      <c r="AK545" s="49" t="s">
        <v>49</v>
      </c>
      <c r="AL545" s="48" t="s">
        <v>49</v>
      </c>
      <c r="AM545" s="65" t="s">
        <v>32</v>
      </c>
      <c r="AN545" s="65"/>
      <c r="AO545" s="59"/>
      <c r="AP545" s="10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1"/>
    </row>
    <row r="546" spans="1:53" x14ac:dyDescent="0.2">
      <c r="A546" s="33">
        <f t="shared" si="9"/>
        <v>541</v>
      </c>
      <c r="B546" s="34" t="s">
        <v>4396</v>
      </c>
      <c r="C546" s="35" t="s">
        <v>4397</v>
      </c>
      <c r="D546" s="36" t="s">
        <v>4398</v>
      </c>
      <c r="E546" s="334">
        <v>24259</v>
      </c>
      <c r="F546" s="36" t="s">
        <v>36</v>
      </c>
      <c r="G546" s="34" t="s">
        <v>4399</v>
      </c>
      <c r="H546" s="37" t="s">
        <v>73</v>
      </c>
      <c r="I546" s="37" t="s">
        <v>73</v>
      </c>
      <c r="J546" s="34" t="s">
        <v>4400</v>
      </c>
      <c r="K546" s="34" t="s">
        <v>4400</v>
      </c>
      <c r="L546" s="39" t="s">
        <v>42</v>
      </c>
      <c r="M546" s="120">
        <v>30353</v>
      </c>
      <c r="N546" s="56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42" t="s">
        <v>4401</v>
      </c>
      <c r="Z546" s="58" t="s">
        <v>4402</v>
      </c>
      <c r="AA546" s="44" t="s">
        <v>4403</v>
      </c>
      <c r="AB546" s="131" t="s">
        <v>1130</v>
      </c>
      <c r="AC546" s="101" t="s">
        <v>30</v>
      </c>
      <c r="AD546" s="36" t="s">
        <v>26</v>
      </c>
      <c r="AE546" s="64" t="s">
        <v>120</v>
      </c>
      <c r="AF546" s="48" t="s">
        <v>120</v>
      </c>
      <c r="AG546" s="48" t="s">
        <v>120</v>
      </c>
      <c r="AH546" s="48" t="s">
        <v>120</v>
      </c>
      <c r="AI546" s="48" t="s">
        <v>120</v>
      </c>
      <c r="AJ546" s="48" t="s">
        <v>120</v>
      </c>
      <c r="AK546" s="49" t="s">
        <v>120</v>
      </c>
      <c r="AL546" s="48" t="s">
        <v>120</v>
      </c>
      <c r="AM546" s="62" t="s">
        <v>32</v>
      </c>
      <c r="AN546" s="62"/>
      <c r="AO546" s="103"/>
      <c r="AP546" s="10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1"/>
    </row>
    <row r="547" spans="1:53" x14ac:dyDescent="0.2">
      <c r="A547" s="33">
        <f t="shared" si="9"/>
        <v>542</v>
      </c>
      <c r="B547" s="34" t="s">
        <v>4404</v>
      </c>
      <c r="C547" s="35" t="s">
        <v>4405</v>
      </c>
      <c r="D547" s="36" t="s">
        <v>4406</v>
      </c>
      <c r="E547" s="334">
        <v>26250</v>
      </c>
      <c r="F547" s="36" t="s">
        <v>54</v>
      </c>
      <c r="G547" s="34" t="s">
        <v>4407</v>
      </c>
      <c r="H547" s="37" t="s">
        <v>681</v>
      </c>
      <c r="I547" s="37" t="s">
        <v>378</v>
      </c>
      <c r="J547" s="38" t="s">
        <v>4408</v>
      </c>
      <c r="K547" s="38" t="s">
        <v>4409</v>
      </c>
      <c r="L547" s="39" t="s">
        <v>42</v>
      </c>
      <c r="M547" s="99" t="s">
        <v>4410</v>
      </c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42" t="s">
        <v>4411</v>
      </c>
      <c r="Z547" s="58" t="s">
        <v>4412</v>
      </c>
      <c r="AA547" s="44" t="s">
        <v>4413</v>
      </c>
      <c r="AB547" s="45">
        <v>45003</v>
      </c>
      <c r="AC547" s="101" t="s">
        <v>30</v>
      </c>
      <c r="AD547" s="36" t="s">
        <v>26</v>
      </c>
      <c r="AE547" s="47" t="s">
        <v>49</v>
      </c>
      <c r="AF547" s="48" t="s">
        <v>49</v>
      </c>
      <c r="AG547" s="48" t="s">
        <v>49</v>
      </c>
      <c r="AH547" s="48" t="s">
        <v>49</v>
      </c>
      <c r="AI547" s="48" t="s">
        <v>49</v>
      </c>
      <c r="AJ547" s="48" t="s">
        <v>49</v>
      </c>
      <c r="AK547" s="49" t="s">
        <v>49</v>
      </c>
      <c r="AL547" s="48" t="s">
        <v>49</v>
      </c>
      <c r="AM547" s="62" t="s">
        <v>32</v>
      </c>
      <c r="AN547" s="62"/>
      <c r="AO547" s="59"/>
      <c r="AP547" s="10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1"/>
    </row>
    <row r="548" spans="1:53" x14ac:dyDescent="0.2">
      <c r="A548" s="33">
        <f t="shared" si="9"/>
        <v>543</v>
      </c>
      <c r="B548" s="34" t="s">
        <v>4414</v>
      </c>
      <c r="C548" s="35" t="s">
        <v>4415</v>
      </c>
      <c r="D548" s="36" t="s">
        <v>4416</v>
      </c>
      <c r="E548" s="36" t="s">
        <v>4718</v>
      </c>
      <c r="F548" s="36" t="s">
        <v>36</v>
      </c>
      <c r="G548" s="34" t="s">
        <v>4417</v>
      </c>
      <c r="H548" s="37" t="s">
        <v>73</v>
      </c>
      <c r="I548" s="37" t="s">
        <v>73</v>
      </c>
      <c r="J548" s="34" t="s">
        <v>4418</v>
      </c>
      <c r="K548" s="34" t="s">
        <v>1996</v>
      </c>
      <c r="L548" s="39" t="s">
        <v>42</v>
      </c>
      <c r="M548" s="120">
        <v>30353</v>
      </c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42" t="s">
        <v>4419</v>
      </c>
      <c r="Z548" s="52" t="s">
        <v>4420</v>
      </c>
      <c r="AA548" s="44" t="s">
        <v>4421</v>
      </c>
      <c r="AB548" s="45">
        <v>44041</v>
      </c>
      <c r="AC548" s="101" t="s">
        <v>30</v>
      </c>
      <c r="AD548" s="36" t="s">
        <v>26</v>
      </c>
      <c r="AE548" s="66" t="s">
        <v>130</v>
      </c>
      <c r="AF548" s="48" t="s">
        <v>130</v>
      </c>
      <c r="AG548" s="48" t="s">
        <v>130</v>
      </c>
      <c r="AH548" s="48" t="s">
        <v>130</v>
      </c>
      <c r="AI548" s="48" t="s">
        <v>130</v>
      </c>
      <c r="AJ548" s="48" t="s">
        <v>130</v>
      </c>
      <c r="AK548" s="49" t="s">
        <v>130</v>
      </c>
      <c r="AL548" s="48" t="s">
        <v>130</v>
      </c>
      <c r="AM548" s="62" t="s">
        <v>32</v>
      </c>
      <c r="AN548" s="62"/>
      <c r="AO548" s="59"/>
      <c r="AP548" s="10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1"/>
    </row>
    <row r="549" spans="1:53" x14ac:dyDescent="0.2">
      <c r="A549" s="33">
        <f t="shared" si="9"/>
        <v>544</v>
      </c>
      <c r="B549" s="34" t="s">
        <v>4422</v>
      </c>
      <c r="C549" s="35" t="s">
        <v>4423</v>
      </c>
      <c r="D549" s="36" t="s">
        <v>4424</v>
      </c>
      <c r="E549" s="36"/>
      <c r="F549" s="36" t="s">
        <v>54</v>
      </c>
      <c r="G549" s="34" t="s">
        <v>4425</v>
      </c>
      <c r="H549" s="37" t="s">
        <v>1285</v>
      </c>
      <c r="I549" s="37" t="s">
        <v>350</v>
      </c>
      <c r="J549" s="38" t="s">
        <v>4426</v>
      </c>
      <c r="K549" s="34" t="s">
        <v>41</v>
      </c>
      <c r="L549" s="39" t="s">
        <v>42</v>
      </c>
      <c r="M549" s="120" t="s">
        <v>4427</v>
      </c>
      <c r="N549" s="115" t="s">
        <v>179</v>
      </c>
      <c r="O549" s="56"/>
      <c r="P549" s="56"/>
      <c r="Q549" s="56">
        <v>5</v>
      </c>
      <c r="R549" s="56"/>
      <c r="S549" s="56"/>
      <c r="T549" s="56"/>
      <c r="U549" s="56"/>
      <c r="V549" s="56"/>
      <c r="W549" s="56"/>
      <c r="X549" s="56"/>
      <c r="Y549" s="42" t="s">
        <v>4428</v>
      </c>
      <c r="Z549" s="69" t="s">
        <v>4429</v>
      </c>
      <c r="AA549" s="44"/>
      <c r="AB549" s="45" t="s">
        <v>4430</v>
      </c>
      <c r="AC549" s="101"/>
      <c r="AD549" s="36"/>
      <c r="AE549" s="61" t="s">
        <v>49</v>
      </c>
      <c r="AF549" s="48" t="s">
        <v>41</v>
      </c>
      <c r="AG549" s="48" t="s">
        <v>41</v>
      </c>
      <c r="AH549" s="48" t="s">
        <v>41</v>
      </c>
      <c r="AI549" s="48" t="s">
        <v>41</v>
      </c>
      <c r="AJ549" s="48" t="s">
        <v>41</v>
      </c>
      <c r="AK549" s="49" t="s">
        <v>41</v>
      </c>
      <c r="AL549" s="48" t="s">
        <v>41</v>
      </c>
      <c r="AM549" s="65" t="s">
        <v>4588</v>
      </c>
      <c r="AN549" s="65"/>
      <c r="AO549" s="59"/>
      <c r="AP549" s="117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1"/>
    </row>
    <row r="550" spans="1:53" x14ac:dyDescent="0.2">
      <c r="A550" s="33">
        <f t="shared" si="9"/>
        <v>545</v>
      </c>
      <c r="B550" s="34" t="s">
        <v>4431</v>
      </c>
      <c r="C550" s="35" t="s">
        <v>4432</v>
      </c>
      <c r="D550" s="36" t="s">
        <v>4433</v>
      </c>
      <c r="E550" s="334">
        <v>34737</v>
      </c>
      <c r="F550" s="36" t="s">
        <v>54</v>
      </c>
      <c r="G550" s="34" t="s">
        <v>4434</v>
      </c>
      <c r="H550" s="37" t="s">
        <v>214</v>
      </c>
      <c r="I550" s="37" t="s">
        <v>205</v>
      </c>
      <c r="J550" s="38" t="s">
        <v>4435</v>
      </c>
      <c r="K550" s="34" t="s">
        <v>41</v>
      </c>
      <c r="L550" s="39" t="s">
        <v>42</v>
      </c>
      <c r="M550" s="120">
        <v>45716</v>
      </c>
      <c r="N550" s="56" t="s">
        <v>179</v>
      </c>
      <c r="O550" s="56"/>
      <c r="P550" s="56"/>
      <c r="Q550" s="56"/>
      <c r="R550" s="56"/>
      <c r="S550" s="56"/>
      <c r="T550" s="56"/>
      <c r="U550" s="56"/>
      <c r="V550" s="56"/>
      <c r="W550" s="56" t="s">
        <v>44</v>
      </c>
      <c r="X550" s="56"/>
      <c r="Y550" s="42" t="s">
        <v>4436</v>
      </c>
      <c r="Z550" s="58" t="s">
        <v>4437</v>
      </c>
      <c r="AA550" s="44"/>
      <c r="AB550" s="45"/>
      <c r="AC550" s="101"/>
      <c r="AD550" s="36"/>
      <c r="AE550" s="61" t="s">
        <v>49</v>
      </c>
      <c r="AF550" s="48" t="s">
        <v>41</v>
      </c>
      <c r="AG550" s="48" t="s">
        <v>41</v>
      </c>
      <c r="AH550" s="48" t="s">
        <v>41</v>
      </c>
      <c r="AI550" s="48" t="s">
        <v>41</v>
      </c>
      <c r="AJ550" s="48" t="s">
        <v>41</v>
      </c>
      <c r="AK550" s="49" t="s">
        <v>49</v>
      </c>
      <c r="AL550" s="48" t="s">
        <v>41</v>
      </c>
      <c r="AM550" s="62" t="s">
        <v>148</v>
      </c>
      <c r="AN550" s="62"/>
      <c r="AO550" s="59"/>
      <c r="AP550" s="117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1"/>
    </row>
    <row r="551" spans="1:53" x14ac:dyDescent="0.2">
      <c r="A551" s="33">
        <f t="shared" si="9"/>
        <v>546</v>
      </c>
      <c r="B551" s="34" t="s">
        <v>4438</v>
      </c>
      <c r="C551" s="35" t="s">
        <v>4439</v>
      </c>
      <c r="D551" s="36" t="s">
        <v>4440</v>
      </c>
      <c r="E551" s="334">
        <v>30965</v>
      </c>
      <c r="F551" s="36" t="s">
        <v>54</v>
      </c>
      <c r="G551" s="34" t="s">
        <v>4441</v>
      </c>
      <c r="H551" s="37" t="s">
        <v>349</v>
      </c>
      <c r="I551" s="37" t="s">
        <v>350</v>
      </c>
      <c r="J551" s="38" t="s">
        <v>4442</v>
      </c>
      <c r="K551" s="34" t="s">
        <v>41</v>
      </c>
      <c r="L551" s="39" t="s">
        <v>42</v>
      </c>
      <c r="M551" s="120">
        <v>43682</v>
      </c>
      <c r="N551" s="53"/>
      <c r="O551" s="53"/>
      <c r="P551" s="53"/>
      <c r="Q551" s="53"/>
      <c r="R551" s="115"/>
      <c r="S551" s="115"/>
      <c r="T551" s="115"/>
      <c r="U551" s="115"/>
      <c r="V551" s="115"/>
      <c r="W551" s="115"/>
      <c r="X551" s="115"/>
      <c r="Y551" s="57" t="s">
        <v>4443</v>
      </c>
      <c r="Z551" s="43" t="s">
        <v>4444</v>
      </c>
      <c r="AA551" s="44" t="s">
        <v>4445</v>
      </c>
      <c r="AB551" s="45">
        <v>44041</v>
      </c>
      <c r="AC551" s="101" t="s">
        <v>30</v>
      </c>
      <c r="AD551" s="36" t="s">
        <v>26</v>
      </c>
      <c r="AE551" s="61" t="s">
        <v>49</v>
      </c>
      <c r="AF551" s="48" t="s">
        <v>49</v>
      </c>
      <c r="AG551" s="48" t="s">
        <v>49</v>
      </c>
      <c r="AH551" s="48" t="s">
        <v>49</v>
      </c>
      <c r="AI551" s="48" t="s">
        <v>49</v>
      </c>
      <c r="AJ551" s="48" t="s">
        <v>49</v>
      </c>
      <c r="AK551" s="49" t="s">
        <v>49</v>
      </c>
      <c r="AL551" s="48" t="s">
        <v>49</v>
      </c>
      <c r="AM551" s="62" t="s">
        <v>32</v>
      </c>
      <c r="AN551" s="62"/>
      <c r="AO551" s="59"/>
      <c r="AP551" s="10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1"/>
    </row>
    <row r="552" spans="1:53" x14ac:dyDescent="0.2">
      <c r="A552" s="33">
        <f t="shared" si="9"/>
        <v>547</v>
      </c>
      <c r="B552" s="34" t="s">
        <v>4446</v>
      </c>
      <c r="C552" s="35" t="s">
        <v>4447</v>
      </c>
      <c r="D552" s="36" t="s">
        <v>4448</v>
      </c>
      <c r="E552" s="334">
        <v>30110</v>
      </c>
      <c r="F552" s="36" t="s">
        <v>54</v>
      </c>
      <c r="G552" s="34" t="s">
        <v>4449</v>
      </c>
      <c r="H552" s="37" t="s">
        <v>1285</v>
      </c>
      <c r="I552" s="37" t="s">
        <v>350</v>
      </c>
      <c r="J552" s="38" t="s">
        <v>4450</v>
      </c>
      <c r="K552" s="34" t="s">
        <v>41</v>
      </c>
      <c r="L552" s="39" t="s">
        <v>42</v>
      </c>
      <c r="M552" s="120">
        <v>45372</v>
      </c>
      <c r="N552" s="56"/>
      <c r="O552" s="137"/>
      <c r="P552" s="137"/>
      <c r="Q552" s="137"/>
      <c r="R552" s="137"/>
      <c r="S552" s="137"/>
      <c r="T552" s="137"/>
      <c r="U552" s="137"/>
      <c r="V552" s="137" t="s">
        <v>44</v>
      </c>
      <c r="W552" s="137"/>
      <c r="X552" s="137"/>
      <c r="Y552" s="54" t="s">
        <v>4451</v>
      </c>
      <c r="Z552" s="43" t="s">
        <v>4452</v>
      </c>
      <c r="AA552" s="44"/>
      <c r="AB552" s="45"/>
      <c r="AC552" s="101"/>
      <c r="AD552" s="36"/>
      <c r="AE552" s="61" t="s">
        <v>49</v>
      </c>
      <c r="AF552" s="48" t="s">
        <v>41</v>
      </c>
      <c r="AG552" s="48" t="s">
        <v>41</v>
      </c>
      <c r="AH552" s="48" t="s">
        <v>41</v>
      </c>
      <c r="AI552" s="48" t="s">
        <v>41</v>
      </c>
      <c r="AJ552" s="48" t="s">
        <v>49</v>
      </c>
      <c r="AK552" s="49" t="s">
        <v>49</v>
      </c>
      <c r="AL552" s="48" t="s">
        <v>49</v>
      </c>
      <c r="AM552" s="62" t="s">
        <v>32</v>
      </c>
      <c r="AN552" s="62"/>
      <c r="AO552" s="59"/>
      <c r="AP552" s="10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1"/>
    </row>
    <row r="553" spans="1:53" x14ac:dyDescent="0.2">
      <c r="A553" s="33">
        <f t="shared" si="9"/>
        <v>548</v>
      </c>
      <c r="B553" s="34" t="s">
        <v>4453</v>
      </c>
      <c r="C553" s="35" t="s">
        <v>4454</v>
      </c>
      <c r="D553" s="247" t="s">
        <v>4594</v>
      </c>
      <c r="E553" s="336">
        <v>34331</v>
      </c>
      <c r="F553" s="36" t="s">
        <v>54</v>
      </c>
      <c r="G553" s="34" t="s">
        <v>4455</v>
      </c>
      <c r="H553" s="37" t="s">
        <v>39</v>
      </c>
      <c r="I553" s="37" t="s">
        <v>39</v>
      </c>
      <c r="J553" s="38" t="s">
        <v>4456</v>
      </c>
      <c r="K553" s="34" t="s">
        <v>41</v>
      </c>
      <c r="L553" s="39" t="s">
        <v>42</v>
      </c>
      <c r="M553" s="120">
        <v>45357</v>
      </c>
      <c r="N553" s="56"/>
      <c r="O553" s="56"/>
      <c r="P553" s="56"/>
      <c r="Q553" s="56"/>
      <c r="R553" s="56"/>
      <c r="S553" s="56"/>
      <c r="T553" s="56"/>
      <c r="U553" s="56"/>
      <c r="V553" s="56" t="s">
        <v>44</v>
      </c>
      <c r="W553" s="56"/>
      <c r="X553" s="56"/>
      <c r="Y553" s="54" t="s">
        <v>4457</v>
      </c>
      <c r="Z553" s="55" t="s">
        <v>4458</v>
      </c>
      <c r="AA553" s="44"/>
      <c r="AB553" s="45"/>
      <c r="AC553" s="101"/>
      <c r="AD553" s="36"/>
      <c r="AE553" s="47" t="s">
        <v>49</v>
      </c>
      <c r="AF553" s="48" t="s">
        <v>41</v>
      </c>
      <c r="AG553" s="48" t="s">
        <v>41</v>
      </c>
      <c r="AH553" s="48" t="s">
        <v>41</v>
      </c>
      <c r="AI553" s="48" t="s">
        <v>41</v>
      </c>
      <c r="AJ553" s="48" t="s">
        <v>49</v>
      </c>
      <c r="AK553" s="49" t="s">
        <v>49</v>
      </c>
      <c r="AL553" s="48" t="s">
        <v>49</v>
      </c>
      <c r="AM553" s="62" t="s">
        <v>32</v>
      </c>
      <c r="AN553" s="62"/>
      <c r="AO553" s="59"/>
      <c r="AP553" s="10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1"/>
    </row>
    <row r="554" spans="1:53" x14ac:dyDescent="0.2">
      <c r="A554" s="33">
        <f t="shared" si="9"/>
        <v>549</v>
      </c>
      <c r="B554" s="34" t="s">
        <v>4459</v>
      </c>
      <c r="C554" s="35" t="s">
        <v>4460</v>
      </c>
      <c r="D554" s="36" t="s">
        <v>4461</v>
      </c>
      <c r="E554" s="334">
        <v>20675</v>
      </c>
      <c r="F554" s="36" t="s">
        <v>54</v>
      </c>
      <c r="G554" s="34" t="s">
        <v>4462</v>
      </c>
      <c r="H554" s="37" t="s">
        <v>252</v>
      </c>
      <c r="I554" s="37" t="s">
        <v>57</v>
      </c>
      <c r="J554" s="34" t="s">
        <v>4463</v>
      </c>
      <c r="K554" s="34" t="s">
        <v>4464</v>
      </c>
      <c r="L554" s="39" t="s">
        <v>42</v>
      </c>
      <c r="M554" s="120">
        <v>31057</v>
      </c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7" t="s">
        <v>4465</v>
      </c>
      <c r="Z554" s="58" t="s">
        <v>4466</v>
      </c>
      <c r="AA554" s="44" t="s">
        <v>4467</v>
      </c>
      <c r="AB554" s="45">
        <v>44041</v>
      </c>
      <c r="AC554" s="101" t="s">
        <v>30</v>
      </c>
      <c r="AD554" s="36" t="s">
        <v>26</v>
      </c>
      <c r="AE554" s="47" t="s">
        <v>49</v>
      </c>
      <c r="AF554" s="48" t="s">
        <v>49</v>
      </c>
      <c r="AG554" s="48" t="s">
        <v>49</v>
      </c>
      <c r="AH554" s="48" t="s">
        <v>49</v>
      </c>
      <c r="AI554" s="48" t="s">
        <v>49</v>
      </c>
      <c r="AJ554" s="48" t="s">
        <v>49</v>
      </c>
      <c r="AK554" s="49" t="s">
        <v>49</v>
      </c>
      <c r="AL554" s="48" t="s">
        <v>49</v>
      </c>
      <c r="AM554" s="62" t="s">
        <v>32</v>
      </c>
      <c r="AN554" s="62"/>
      <c r="AO554" s="59"/>
      <c r="AP554" s="10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1"/>
    </row>
    <row r="555" spans="1:53" x14ac:dyDescent="0.2">
      <c r="A555" s="33">
        <f t="shared" si="9"/>
        <v>550</v>
      </c>
      <c r="B555" s="34" t="s">
        <v>4468</v>
      </c>
      <c r="C555" s="35" t="s">
        <v>4469</v>
      </c>
      <c r="D555" s="109" t="s">
        <v>4470</v>
      </c>
      <c r="E555" s="336">
        <v>32331</v>
      </c>
      <c r="F555" s="36" t="s">
        <v>54</v>
      </c>
      <c r="G555" s="34" t="s">
        <v>4471</v>
      </c>
      <c r="H555" s="37" t="s">
        <v>73</v>
      </c>
      <c r="I555" s="37" t="s">
        <v>73</v>
      </c>
      <c r="J555" s="34" t="s">
        <v>4472</v>
      </c>
      <c r="K555" s="34" t="s">
        <v>41</v>
      </c>
      <c r="L555" s="39" t="s">
        <v>42</v>
      </c>
      <c r="M555" s="99" t="s">
        <v>4473</v>
      </c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42" t="s">
        <v>4474</v>
      </c>
      <c r="Z555" s="52" t="s">
        <v>4475</v>
      </c>
      <c r="AA555" s="44" t="s">
        <v>4476</v>
      </c>
      <c r="AB555" s="45">
        <v>41793</v>
      </c>
      <c r="AC555" s="101" t="s">
        <v>30</v>
      </c>
      <c r="AD555" s="109" t="s">
        <v>26</v>
      </c>
      <c r="AE555" s="47" t="s">
        <v>49</v>
      </c>
      <c r="AF555" s="48" t="s">
        <v>49</v>
      </c>
      <c r="AG555" s="48" t="s">
        <v>49</v>
      </c>
      <c r="AH555" s="48" t="s">
        <v>49</v>
      </c>
      <c r="AI555" s="48" t="s">
        <v>49</v>
      </c>
      <c r="AJ555" s="48" t="s">
        <v>49</v>
      </c>
      <c r="AK555" s="49" t="s">
        <v>41</v>
      </c>
      <c r="AL555" s="48" t="s">
        <v>41</v>
      </c>
      <c r="AM555" s="62" t="s">
        <v>276</v>
      </c>
      <c r="AN555" s="62"/>
      <c r="AO555" s="59"/>
      <c r="AP555" s="248"/>
      <c r="AQ555" s="32"/>
      <c r="AR555" s="220"/>
      <c r="AS555" s="32"/>
      <c r="AT555" s="32"/>
      <c r="AU555" s="32"/>
      <c r="AV555" s="32"/>
      <c r="AW555" s="32"/>
      <c r="AX555" s="32"/>
      <c r="AY555" s="32"/>
      <c r="AZ555" s="32"/>
      <c r="BA555" s="31"/>
    </row>
    <row r="556" spans="1:53" x14ac:dyDescent="0.2">
      <c r="A556" s="33">
        <f t="shared" si="9"/>
        <v>551</v>
      </c>
      <c r="B556" s="34" t="s">
        <v>4477</v>
      </c>
      <c r="C556" s="35" t="s">
        <v>4478</v>
      </c>
      <c r="D556" s="36" t="s">
        <v>4479</v>
      </c>
      <c r="E556" s="334">
        <v>30184</v>
      </c>
      <c r="F556" s="36" t="s">
        <v>36</v>
      </c>
      <c r="G556" s="34" t="s">
        <v>4480</v>
      </c>
      <c r="H556" s="37" t="s">
        <v>73</v>
      </c>
      <c r="I556" s="37" t="s">
        <v>73</v>
      </c>
      <c r="J556" s="34" t="s">
        <v>4481</v>
      </c>
      <c r="K556" s="34" t="s">
        <v>4482</v>
      </c>
      <c r="L556" s="39" t="s">
        <v>42</v>
      </c>
      <c r="M556" s="161">
        <v>32357</v>
      </c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42" t="s">
        <v>4483</v>
      </c>
      <c r="Z556" s="69" t="s">
        <v>4484</v>
      </c>
      <c r="AA556" s="44" t="s">
        <v>61</v>
      </c>
      <c r="AB556" s="45">
        <v>39286</v>
      </c>
      <c r="AC556" s="160" t="s">
        <v>129</v>
      </c>
      <c r="AD556" s="36" t="s">
        <v>26</v>
      </c>
      <c r="AE556" s="66" t="s">
        <v>130</v>
      </c>
      <c r="AF556" s="48" t="s">
        <v>130</v>
      </c>
      <c r="AG556" s="48" t="s">
        <v>130</v>
      </c>
      <c r="AH556" s="48" t="s">
        <v>130</v>
      </c>
      <c r="AI556" s="48" t="s">
        <v>130</v>
      </c>
      <c r="AJ556" s="48" t="s">
        <v>130</v>
      </c>
      <c r="AK556" s="49" t="s">
        <v>130</v>
      </c>
      <c r="AL556" s="48" t="s">
        <v>130</v>
      </c>
      <c r="AM556" s="62" t="s">
        <v>32</v>
      </c>
      <c r="AN556" s="62"/>
      <c r="AO556" s="51"/>
      <c r="AP556" s="10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1"/>
    </row>
    <row r="557" spans="1:53" x14ac:dyDescent="0.2">
      <c r="A557" s="33">
        <f t="shared" si="9"/>
        <v>552</v>
      </c>
      <c r="B557" s="171" t="s">
        <v>4485</v>
      </c>
      <c r="C557" s="249" t="s">
        <v>4486</v>
      </c>
      <c r="D557" s="170" t="s">
        <v>4487</v>
      </c>
      <c r="E557" s="170"/>
      <c r="F557" s="36" t="s">
        <v>54</v>
      </c>
      <c r="G557" s="171" t="s">
        <v>4488</v>
      </c>
      <c r="H557" s="182" t="s">
        <v>186</v>
      </c>
      <c r="I557" s="182" t="s">
        <v>187</v>
      </c>
      <c r="J557" s="139" t="s">
        <v>4489</v>
      </c>
      <c r="K557" s="171" t="s">
        <v>41</v>
      </c>
      <c r="L557" s="172" t="s">
        <v>42</v>
      </c>
      <c r="M557" s="161">
        <v>36440</v>
      </c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42" t="s">
        <v>4490</v>
      </c>
      <c r="Z557" s="52" t="s">
        <v>4491</v>
      </c>
      <c r="AA557" s="44" t="s">
        <v>61</v>
      </c>
      <c r="AB557" s="250">
        <v>40815</v>
      </c>
      <c r="AC557" s="160" t="s">
        <v>30</v>
      </c>
      <c r="AD557" s="36" t="s">
        <v>26</v>
      </c>
      <c r="AE557" s="251" t="s">
        <v>49</v>
      </c>
      <c r="AF557" s="48" t="s">
        <v>49</v>
      </c>
      <c r="AG557" s="48" t="s">
        <v>49</v>
      </c>
      <c r="AH557" s="48" t="s">
        <v>49</v>
      </c>
      <c r="AI557" s="48" t="s">
        <v>49</v>
      </c>
      <c r="AJ557" s="48" t="s">
        <v>49</v>
      </c>
      <c r="AK557" s="49" t="s">
        <v>49</v>
      </c>
      <c r="AL557" s="48" t="s">
        <v>49</v>
      </c>
      <c r="AM557" s="65" t="s">
        <v>32</v>
      </c>
      <c r="AN557" s="323"/>
      <c r="AO557" s="138"/>
      <c r="AP557" s="117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1"/>
    </row>
    <row r="558" spans="1:53" ht="15" customHeight="1" x14ac:dyDescent="0.2">
      <c r="A558" s="33">
        <f t="shared" si="9"/>
        <v>553</v>
      </c>
      <c r="B558" s="171" t="s">
        <v>4492</v>
      </c>
      <c r="C558" s="249" t="s">
        <v>4493</v>
      </c>
      <c r="D558" s="170" t="s">
        <v>4580</v>
      </c>
      <c r="E558" s="339">
        <v>32272</v>
      </c>
      <c r="F558" s="36" t="s">
        <v>36</v>
      </c>
      <c r="G558" s="171" t="s">
        <v>4495</v>
      </c>
      <c r="H558" s="182" t="s">
        <v>39</v>
      </c>
      <c r="I558" s="182" t="s">
        <v>39</v>
      </c>
      <c r="J558" s="140" t="s">
        <v>4496</v>
      </c>
      <c r="K558" s="171" t="s">
        <v>41</v>
      </c>
      <c r="L558" s="172" t="s">
        <v>42</v>
      </c>
      <c r="M558" s="161" t="s">
        <v>4497</v>
      </c>
      <c r="N558" s="70"/>
      <c r="O558" s="70"/>
      <c r="P558" s="70"/>
      <c r="Q558" s="70"/>
      <c r="R558" s="70"/>
      <c r="S558" s="70"/>
      <c r="T558" s="70" t="s">
        <v>44</v>
      </c>
      <c r="U558" s="70"/>
      <c r="V558" s="70"/>
      <c r="W558" s="70" t="s">
        <v>732</v>
      </c>
      <c r="X558" s="70"/>
      <c r="Y558" s="42" t="s">
        <v>4498</v>
      </c>
      <c r="Z558" s="43" t="s">
        <v>4499</v>
      </c>
      <c r="AA558" s="211" t="s">
        <v>4500</v>
      </c>
      <c r="AB558" s="45">
        <v>44944</v>
      </c>
      <c r="AC558" s="160" t="s">
        <v>30</v>
      </c>
      <c r="AD558" s="36"/>
      <c r="AE558" s="251" t="s">
        <v>49</v>
      </c>
      <c r="AF558" s="48" t="s">
        <v>41</v>
      </c>
      <c r="AG558" s="48" t="s">
        <v>41</v>
      </c>
      <c r="AH558" s="48" t="s">
        <v>41</v>
      </c>
      <c r="AI558" s="48" t="s">
        <v>49</v>
      </c>
      <c r="AJ558" s="48" t="s">
        <v>49</v>
      </c>
      <c r="AK558" s="49" t="s">
        <v>49</v>
      </c>
      <c r="AL558" s="48" t="s">
        <v>49</v>
      </c>
      <c r="AM558" s="213">
        <v>0</v>
      </c>
      <c r="AN558" s="326"/>
      <c r="AO558" s="138"/>
      <c r="AP558" s="118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1"/>
    </row>
    <row r="559" spans="1:53" ht="15" customHeight="1" x14ac:dyDescent="0.2">
      <c r="A559" s="33">
        <f t="shared" si="9"/>
        <v>554</v>
      </c>
      <c r="B559" s="34" t="s">
        <v>4501</v>
      </c>
      <c r="C559" s="35" t="s">
        <v>4502</v>
      </c>
      <c r="D559" s="36" t="s">
        <v>4503</v>
      </c>
      <c r="E559" s="334">
        <v>24302</v>
      </c>
      <c r="F559" s="36" t="s">
        <v>54</v>
      </c>
      <c r="G559" s="34" t="s">
        <v>4504</v>
      </c>
      <c r="H559" s="37" t="s">
        <v>528</v>
      </c>
      <c r="I559" s="37" t="s">
        <v>57</v>
      </c>
      <c r="J559" s="34" t="s">
        <v>4505</v>
      </c>
      <c r="K559" s="34" t="s">
        <v>4505</v>
      </c>
      <c r="L559" s="39" t="s">
        <v>42</v>
      </c>
      <c r="M559" s="120">
        <v>31057</v>
      </c>
      <c r="N559" s="41"/>
      <c r="O559" s="112"/>
      <c r="P559" s="112"/>
      <c r="Q559" s="177"/>
      <c r="R559" s="112"/>
      <c r="S559" s="112"/>
      <c r="T559" s="112"/>
      <c r="U559" s="41"/>
      <c r="V559" s="41"/>
      <c r="W559" s="41"/>
      <c r="X559" s="41"/>
      <c r="Y559" s="42" t="s">
        <v>4506</v>
      </c>
      <c r="Z559" s="52" t="s">
        <v>4507</v>
      </c>
      <c r="AA559" s="44" t="s">
        <v>61</v>
      </c>
      <c r="AB559" s="45">
        <v>34597</v>
      </c>
      <c r="AC559" s="101" t="s">
        <v>30</v>
      </c>
      <c r="AD559" s="36" t="s">
        <v>26</v>
      </c>
      <c r="AE559" s="47" t="s">
        <v>49</v>
      </c>
      <c r="AF559" s="48" t="s">
        <v>49</v>
      </c>
      <c r="AG559" s="48" t="s">
        <v>49</v>
      </c>
      <c r="AH559" s="48" t="s">
        <v>49</v>
      </c>
      <c r="AI559" s="48" t="s">
        <v>49</v>
      </c>
      <c r="AJ559" s="48" t="s">
        <v>49</v>
      </c>
      <c r="AK559" s="49" t="s">
        <v>49</v>
      </c>
      <c r="AL559" s="48" t="s">
        <v>49</v>
      </c>
      <c r="AM559" s="65" t="s">
        <v>32</v>
      </c>
      <c r="AN559" s="65"/>
      <c r="AO559" s="59"/>
      <c r="AP559" s="32"/>
      <c r="AQ559" s="32"/>
      <c r="AR559" s="32"/>
      <c r="AS559" s="220">
        <f>150*3250</f>
        <v>487500</v>
      </c>
      <c r="AT559" s="32"/>
      <c r="AU559" s="32"/>
      <c r="AV559" s="32"/>
      <c r="AW559" s="32"/>
      <c r="AX559" s="32"/>
      <c r="AY559" s="32"/>
      <c r="AZ559" s="32"/>
      <c r="BA559" s="31"/>
    </row>
    <row r="560" spans="1:53" x14ac:dyDescent="0.2">
      <c r="A560" s="33"/>
      <c r="B560" s="252" t="s">
        <v>4508</v>
      </c>
      <c r="C560" s="253" t="s">
        <v>4509</v>
      </c>
      <c r="D560" s="252" t="s">
        <v>4510</v>
      </c>
      <c r="E560" s="252"/>
      <c r="F560" s="252"/>
      <c r="G560" s="252" t="s">
        <v>4511</v>
      </c>
      <c r="H560" s="252"/>
      <c r="I560" s="252"/>
      <c r="J560" s="252" t="s">
        <v>4512</v>
      </c>
      <c r="K560" s="252" t="s">
        <v>4513</v>
      </c>
      <c r="L560" s="254"/>
      <c r="M560" s="255">
        <v>31057</v>
      </c>
      <c r="N560" s="256"/>
      <c r="O560" s="256"/>
      <c r="P560" s="256"/>
      <c r="Q560" s="256"/>
      <c r="R560" s="256"/>
      <c r="S560" s="256"/>
      <c r="T560" s="256"/>
      <c r="U560" s="256"/>
      <c r="V560" s="256"/>
      <c r="W560" s="256"/>
      <c r="X560" s="256"/>
      <c r="Y560" s="257" t="s">
        <v>4514</v>
      </c>
      <c r="Z560" s="258" t="s">
        <v>4515</v>
      </c>
      <c r="AA560" s="259" t="s">
        <v>4516</v>
      </c>
      <c r="AB560" s="260">
        <v>43200</v>
      </c>
      <c r="AC560" s="252"/>
      <c r="AD560" s="252" t="s">
        <v>26</v>
      </c>
      <c r="AE560" s="66"/>
      <c r="AF560" s="48" t="s">
        <v>41</v>
      </c>
      <c r="AG560" s="48" t="s">
        <v>41</v>
      </c>
      <c r="AH560" s="48" t="s">
        <v>41</v>
      </c>
      <c r="AI560" s="48" t="s">
        <v>41</v>
      </c>
      <c r="AJ560" s="48" t="s">
        <v>41</v>
      </c>
      <c r="AK560" s="49" t="s">
        <v>41</v>
      </c>
      <c r="AL560" s="48" t="s">
        <v>41</v>
      </c>
      <c r="AM560" s="213"/>
      <c r="AN560" s="326"/>
      <c r="AO560" s="138" t="s">
        <v>4517</v>
      </c>
      <c r="AP560" s="118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1"/>
    </row>
    <row r="561" spans="1:53" x14ac:dyDescent="0.2">
      <c r="A561" s="33"/>
      <c r="B561" s="252" t="s">
        <v>4518</v>
      </c>
      <c r="C561" s="253" t="s">
        <v>4519</v>
      </c>
      <c r="D561" s="252" t="s">
        <v>4520</v>
      </c>
      <c r="E561" s="252"/>
      <c r="F561" s="252"/>
      <c r="G561" s="252" t="s">
        <v>4521</v>
      </c>
      <c r="H561" s="252"/>
      <c r="I561" s="252"/>
      <c r="J561" s="261" t="s">
        <v>4522</v>
      </c>
      <c r="K561" s="261" t="s">
        <v>41</v>
      </c>
      <c r="L561" s="254"/>
      <c r="M561" s="262" t="s">
        <v>307</v>
      </c>
      <c r="N561" s="263"/>
      <c r="O561" s="264"/>
      <c r="P561" s="264"/>
      <c r="Q561" s="264"/>
      <c r="R561" s="264"/>
      <c r="S561" s="264"/>
      <c r="T561" s="264"/>
      <c r="U561" s="264"/>
      <c r="V561" s="264"/>
      <c r="W561" s="264"/>
      <c r="X561" s="264"/>
      <c r="Y561" s="257" t="s">
        <v>4523</v>
      </c>
      <c r="Z561" s="258" t="s">
        <v>4524</v>
      </c>
      <c r="AA561" s="258"/>
      <c r="AB561" s="258"/>
      <c r="AC561" s="252" t="s">
        <v>30</v>
      </c>
      <c r="AD561" s="252"/>
      <c r="AE561" s="47"/>
      <c r="AF561" s="48" t="s">
        <v>41</v>
      </c>
      <c r="AG561" s="48" t="s">
        <v>41</v>
      </c>
      <c r="AH561" s="48" t="s">
        <v>41</v>
      </c>
      <c r="AI561" s="48" t="s">
        <v>41</v>
      </c>
      <c r="AJ561" s="48" t="s">
        <v>41</v>
      </c>
      <c r="AK561" s="49" t="s">
        <v>41</v>
      </c>
      <c r="AL561" s="48" t="s">
        <v>41</v>
      </c>
      <c r="AM561" s="65"/>
      <c r="AN561" s="65"/>
      <c r="AO561" s="59" t="s">
        <v>460</v>
      </c>
      <c r="AP561" s="195"/>
      <c r="AQ561" s="196"/>
      <c r="AR561" s="196"/>
      <c r="AS561" s="196"/>
      <c r="AT561" s="196"/>
      <c r="AU561" s="32"/>
      <c r="AV561" s="32"/>
      <c r="AW561" s="32"/>
      <c r="AX561" s="32"/>
      <c r="AY561" s="32"/>
      <c r="AZ561" s="32"/>
      <c r="BA561" s="31"/>
    </row>
    <row r="562" spans="1:53" x14ac:dyDescent="0.2">
      <c r="A562" s="33"/>
      <c r="B562" s="252" t="s">
        <v>4525</v>
      </c>
      <c r="C562" s="253" t="s">
        <v>4526</v>
      </c>
      <c r="D562" s="252" t="s">
        <v>4527</v>
      </c>
      <c r="E562" s="252"/>
      <c r="F562" s="252"/>
      <c r="G562" s="265" t="s">
        <v>4528</v>
      </c>
      <c r="H562" s="252"/>
      <c r="I562" s="252"/>
      <c r="J562" s="266" t="s">
        <v>4529</v>
      </c>
      <c r="K562" s="252"/>
      <c r="L562" s="254"/>
      <c r="M562" s="267" t="s">
        <v>2375</v>
      </c>
      <c r="N562" s="268"/>
      <c r="O562" s="254"/>
      <c r="P562" s="254"/>
      <c r="Q562" s="254"/>
      <c r="R562" s="254"/>
      <c r="S562" s="254"/>
      <c r="T562" s="254"/>
      <c r="U562" s="254"/>
      <c r="V562" s="254"/>
      <c r="W562" s="254"/>
      <c r="X562" s="256"/>
      <c r="Y562" s="257" t="s">
        <v>4530</v>
      </c>
      <c r="Z562" s="258" t="s">
        <v>4531</v>
      </c>
      <c r="AA562" s="258"/>
      <c r="AB562" s="258"/>
      <c r="AC562" s="269"/>
      <c r="AD562" s="270" t="s">
        <v>26</v>
      </c>
      <c r="AE562" s="47"/>
      <c r="AF562" s="48" t="s">
        <v>41</v>
      </c>
      <c r="AG562" s="48" t="s">
        <v>41</v>
      </c>
      <c r="AH562" s="48" t="s">
        <v>41</v>
      </c>
      <c r="AI562" s="48" t="s">
        <v>41</v>
      </c>
      <c r="AJ562" s="48" t="s">
        <v>41</v>
      </c>
      <c r="AK562" s="49" t="s">
        <v>41</v>
      </c>
      <c r="AL562" s="48" t="s">
        <v>41</v>
      </c>
      <c r="AM562" s="232"/>
      <c r="AN562" s="327"/>
      <c r="AO562" s="138" t="s">
        <v>4517</v>
      </c>
      <c r="AP562" s="10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1"/>
    </row>
    <row r="563" spans="1:53" ht="16" thickBot="1" x14ac:dyDescent="0.25">
      <c r="A563" s="31"/>
      <c r="B563" s="197"/>
      <c r="C563" s="197"/>
      <c r="D563" s="197"/>
      <c r="E563" s="197"/>
      <c r="F563" s="197"/>
      <c r="G563" s="31"/>
      <c r="H563" s="197"/>
      <c r="I563" s="197"/>
      <c r="J563" s="31"/>
      <c r="K563" s="31"/>
      <c r="L563" s="197"/>
      <c r="M563" s="31"/>
      <c r="N563" s="271">
        <f>COUNTIF(N6:N560,"BELUM")</f>
        <v>40</v>
      </c>
      <c r="O563" s="271">
        <f>COUNTIF(O6:O560,"SUDAH")</f>
        <v>3</v>
      </c>
      <c r="P563" s="271"/>
      <c r="Q563" s="271"/>
      <c r="R563" s="271">
        <f>COUNTIF(R6:R560,"BELUM")</f>
        <v>3</v>
      </c>
      <c r="S563" s="271">
        <f>COUNTIF(S6:S560,"BARU")</f>
        <v>29</v>
      </c>
      <c r="T563" s="271"/>
      <c r="U563" s="271"/>
      <c r="V563" s="271"/>
      <c r="W563" s="271"/>
      <c r="X563" s="271"/>
      <c r="Y563" s="272"/>
      <c r="Z563" s="196"/>
      <c r="AA563" s="196"/>
      <c r="AB563" s="196"/>
      <c r="AC563" s="197"/>
      <c r="AD563" s="272"/>
      <c r="AE563" s="272"/>
      <c r="AF563" s="272"/>
      <c r="AG563" s="272"/>
      <c r="AH563" s="272"/>
      <c r="AI563" s="272"/>
      <c r="AJ563" s="272"/>
      <c r="AK563" s="272"/>
      <c r="AL563" s="272"/>
      <c r="AM563" s="273"/>
      <c r="AN563" s="281"/>
      <c r="AO563" s="32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</row>
    <row r="564" spans="1:53" ht="16" thickBot="1" x14ac:dyDescent="0.25">
      <c r="A564" s="274"/>
      <c r="B564" s="31"/>
      <c r="C564" s="31"/>
      <c r="D564" s="275"/>
      <c r="E564" s="275"/>
      <c r="F564" s="271">
        <f>COUNTIF(F6:F559,"TEHNIK")</f>
        <v>429</v>
      </c>
      <c r="G564" s="276"/>
      <c r="H564" s="277">
        <f>COUNTIF(H6:H562,"UNGARAN")</f>
        <v>5</v>
      </c>
      <c r="I564" s="277">
        <f>COUNTIF(I6:I562,"KABUPATEN SEMARANG")</f>
        <v>0</v>
      </c>
      <c r="J564" s="370" t="s">
        <v>4532</v>
      </c>
      <c r="K564" s="278" t="s">
        <v>4533</v>
      </c>
      <c r="L564" s="279">
        <f>COUNTIF(L6:L562,"T")</f>
        <v>2</v>
      </c>
      <c r="M564" s="31"/>
      <c r="N564" s="31"/>
      <c r="O564" s="31"/>
      <c r="P564" s="31"/>
      <c r="Q564" s="31"/>
      <c r="R564" s="31"/>
      <c r="S564" s="31"/>
      <c r="T564" s="271">
        <f>COUNTIF(T6:T559,"BARU")</f>
        <v>33</v>
      </c>
      <c r="U564" s="271">
        <f>COUNTIF(U6:U559,"BARU")</f>
        <v>40</v>
      </c>
      <c r="V564" s="271">
        <f>COUNTIF(V6:V559,"BARU")</f>
        <v>24</v>
      </c>
      <c r="W564" s="271">
        <f>COUNTIF(W6:W559,"BARU")</f>
        <v>15</v>
      </c>
      <c r="X564" s="271">
        <f>COUNTIF(X6:X559,"BARU")</f>
        <v>10</v>
      </c>
      <c r="Y564" s="272">
        <f>SUM(T564:X564)</f>
        <v>122</v>
      </c>
      <c r="Z564" s="196"/>
      <c r="AA564" s="280"/>
      <c r="AB564" s="281"/>
      <c r="AC564" s="279">
        <f>COUNTIF(AC6:AC562,"PJBU")</f>
        <v>402</v>
      </c>
      <c r="AD564" s="272"/>
      <c r="AE564" s="272"/>
      <c r="AF564" s="282">
        <f t="shared" ref="AF564:AL564" si="10">COUNTIF(AF4:AF560,"K")</f>
        <v>314</v>
      </c>
      <c r="AG564" s="283">
        <f t="shared" si="10"/>
        <v>322</v>
      </c>
      <c r="AH564" s="283">
        <f t="shared" si="10"/>
        <v>339</v>
      </c>
      <c r="AI564" s="283">
        <f t="shared" si="10"/>
        <v>359</v>
      </c>
      <c r="AJ564" s="283">
        <f t="shared" si="10"/>
        <v>354</v>
      </c>
      <c r="AK564" s="283">
        <f t="shared" si="10"/>
        <v>326</v>
      </c>
      <c r="AL564" s="284">
        <f t="shared" si="10"/>
        <v>299</v>
      </c>
      <c r="AM564" s="285"/>
      <c r="AN564" s="281"/>
      <c r="AO564" s="32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</row>
    <row r="565" spans="1:53" ht="16" thickBot="1" x14ac:dyDescent="0.25">
      <c r="A565" s="274"/>
      <c r="B565" s="31"/>
      <c r="C565" s="31"/>
      <c r="D565" s="197"/>
      <c r="E565" s="197"/>
      <c r="F565" s="271">
        <f>COUNTIF(F6:F559,"NON TEHNIK")</f>
        <v>111</v>
      </c>
      <c r="G565" s="31"/>
      <c r="H565" s="277">
        <f>COUNTIF(H6:H562,"SALATIGA")</f>
        <v>0</v>
      </c>
      <c r="I565" s="277">
        <f>COUNTIF(I6:I562,"SALATIGA")</f>
        <v>0</v>
      </c>
      <c r="J565" s="371"/>
      <c r="K565" s="278" t="s">
        <v>4534</v>
      </c>
      <c r="L565" s="279">
        <f>COUNTIF(L6:L562,"P")</f>
        <v>552</v>
      </c>
      <c r="M565" s="31"/>
      <c r="N565" s="31"/>
      <c r="O565" s="31"/>
      <c r="P565" s="31"/>
      <c r="Q565" s="31"/>
      <c r="R565" s="31"/>
      <c r="S565" s="31"/>
      <c r="T565" s="271">
        <f>COUNTIF(T8:T560,"PRB")</f>
        <v>1</v>
      </c>
      <c r="U565" s="271">
        <f>COUNTIF(U8:U560,"PRB")</f>
        <v>12</v>
      </c>
      <c r="V565" s="271">
        <f>COUNTIF(V8:V560,"PRB")</f>
        <v>12</v>
      </c>
      <c r="W565" s="271">
        <f>COUNTIF(W8:W560,"PRB")</f>
        <v>12</v>
      </c>
      <c r="X565" s="271">
        <f>COUNTIF(X8:X560,"PRB")</f>
        <v>4</v>
      </c>
      <c r="Y565" s="272"/>
      <c r="Z565" s="196"/>
      <c r="AA565" s="196"/>
      <c r="AB565" s="196"/>
      <c r="AC565" s="196"/>
      <c r="AD565" s="272"/>
      <c r="AE565" s="272"/>
      <c r="AF565" s="282">
        <f t="shared" ref="AF565:AL565" si="11">COUNTIF(AF5:AF562,"M")</f>
        <v>23</v>
      </c>
      <c r="AG565" s="283">
        <f t="shared" si="11"/>
        <v>25</v>
      </c>
      <c r="AH565" s="283">
        <f t="shared" si="11"/>
        <v>25</v>
      </c>
      <c r="AI565" s="283">
        <f t="shared" si="11"/>
        <v>25</v>
      </c>
      <c r="AJ565" s="283">
        <f t="shared" si="11"/>
        <v>25</v>
      </c>
      <c r="AK565" s="283">
        <f t="shared" si="11"/>
        <v>21</v>
      </c>
      <c r="AL565" s="284">
        <f t="shared" si="11"/>
        <v>21</v>
      </c>
      <c r="AM565" s="272"/>
      <c r="AN565" s="272"/>
      <c r="AO565" s="32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</row>
    <row r="566" spans="1:53" ht="16" thickBot="1" x14ac:dyDescent="0.25">
      <c r="A566" s="274"/>
      <c r="B566" s="31"/>
      <c r="C566" s="31"/>
      <c r="D566" s="197"/>
      <c r="E566" s="197"/>
      <c r="F566" s="271">
        <f>COUNTIF(F6:F559,"NON S-1")</f>
        <v>9</v>
      </c>
      <c r="G566" s="31"/>
      <c r="H566" s="277">
        <f>COUNTIF(H6:H562,"KENDAL")</f>
        <v>9</v>
      </c>
      <c r="I566" s="277">
        <f>COUNTIF(I6:I562,"KABUPATEN SEMARANG")</f>
        <v>0</v>
      </c>
      <c r="J566" s="371"/>
      <c r="K566" s="278" t="s">
        <v>4535</v>
      </c>
      <c r="L566" s="279"/>
      <c r="M566" s="31"/>
      <c r="N566" s="286" t="s">
        <v>4536</v>
      </c>
      <c r="O566" s="286"/>
      <c r="P566" s="286"/>
      <c r="Q566" s="286"/>
      <c r="R566" s="286"/>
      <c r="S566" s="286"/>
      <c r="T566" s="286"/>
      <c r="U566" s="286"/>
      <c r="V566" s="286"/>
      <c r="W566" s="286"/>
      <c r="X566" s="286"/>
      <c r="Y566" s="272"/>
      <c r="Z566" s="286"/>
      <c r="AA566" s="286"/>
      <c r="AB566" s="286"/>
      <c r="AC566" s="286"/>
      <c r="AD566" s="287"/>
      <c r="AE566" s="282"/>
      <c r="AF566" s="284">
        <f t="shared" ref="AF566:AL566" si="12">COUNTIF(AF6:AF562,"B")</f>
        <v>5</v>
      </c>
      <c r="AG566" s="288">
        <f t="shared" si="12"/>
        <v>5</v>
      </c>
      <c r="AH566" s="288">
        <f t="shared" si="12"/>
        <v>4</v>
      </c>
      <c r="AI566" s="288">
        <f t="shared" si="12"/>
        <v>5</v>
      </c>
      <c r="AJ566" s="288">
        <f t="shared" si="12"/>
        <v>5</v>
      </c>
      <c r="AK566" s="288">
        <f t="shared" si="12"/>
        <v>5</v>
      </c>
      <c r="AL566" s="284">
        <f t="shared" si="12"/>
        <v>5</v>
      </c>
      <c r="AM566" s="289"/>
      <c r="AN566" s="289"/>
      <c r="AO566" s="290">
        <f>COUNTIF(AM6:AM562,"0")</f>
        <v>325</v>
      </c>
      <c r="AP566" s="284">
        <f>COUNTIF(AM6:AM562,"1")</f>
        <v>37</v>
      </c>
      <c r="AQ566" s="284">
        <f>COUNTIF(AM6:AM562,"2")</f>
        <v>48</v>
      </c>
      <c r="AR566" s="284">
        <f>COUNTIF(AM6:AM562,"3")</f>
        <v>28</v>
      </c>
      <c r="AS566" s="284">
        <f>COUNTIF(AM6:AM562,"4")</f>
        <v>19</v>
      </c>
      <c r="AT566" s="284">
        <f>COUNTIF(AM6:AM562,"5")</f>
        <v>20</v>
      </c>
      <c r="AU566" s="284">
        <f>COUNTIF(AM6:AM562,"6")</f>
        <v>25</v>
      </c>
      <c r="AV566" s="284">
        <f>COUNTIF(AM6:AM562,"7")</f>
        <v>9</v>
      </c>
      <c r="AW566" s="284">
        <f>COUNTIF(AM6:AM562,"8")</f>
        <v>19</v>
      </c>
      <c r="AX566" s="284">
        <f>COUNTIF(AM6:AM562,"9")</f>
        <v>12</v>
      </c>
      <c r="AY566" s="284">
        <f>COUNTIF(AM6:AM562,"10")</f>
        <v>12</v>
      </c>
      <c r="AZ566" s="291">
        <f>SUM(AO566:AY566)</f>
        <v>554</v>
      </c>
      <c r="BA566" s="31" t="s">
        <v>4537</v>
      </c>
    </row>
    <row r="567" spans="1:53" ht="16" thickBot="1" x14ac:dyDescent="0.25">
      <c r="A567" s="274"/>
      <c r="B567" s="31"/>
      <c r="C567" s="31"/>
      <c r="D567" s="197"/>
      <c r="E567" s="197"/>
      <c r="F567" s="197">
        <f>SUM(F564:F566)</f>
        <v>549</v>
      </c>
      <c r="G567" s="31"/>
      <c r="H567" s="277">
        <f>COUNTIF(H6:H562,"PURWODADI")</f>
        <v>2</v>
      </c>
      <c r="I567" s="277">
        <f>COUNTIF(I6:I562,"KABUPATEN SEMARANG")</f>
        <v>0</v>
      </c>
      <c r="J567" s="371"/>
      <c r="K567" s="278" t="s">
        <v>4538</v>
      </c>
      <c r="L567" s="292">
        <f>SUM(L564:L565)</f>
        <v>554</v>
      </c>
      <c r="M567" s="31"/>
      <c r="N567" s="286" t="s">
        <v>4539</v>
      </c>
      <c r="O567" s="286"/>
      <c r="P567" s="286"/>
      <c r="Q567" s="286"/>
      <c r="R567" s="286"/>
      <c r="S567" s="286"/>
      <c r="T567" s="286"/>
      <c r="U567" s="286"/>
      <c r="V567" s="286"/>
      <c r="W567" s="286"/>
      <c r="X567" s="286"/>
      <c r="Y567" s="272"/>
      <c r="Z567" s="286"/>
      <c r="AA567" s="286"/>
      <c r="AB567" s="286"/>
      <c r="AC567" s="286"/>
      <c r="AD567" s="293"/>
      <c r="AE567" s="284">
        <f>COUNTIF(AE6:AE562,"K")</f>
        <v>518</v>
      </c>
      <c r="AF567" s="294">
        <f t="shared" ref="AF567:AI567" si="13">SUM(AF564:AF566)</f>
        <v>342</v>
      </c>
      <c r="AG567" s="294">
        <f t="shared" si="13"/>
        <v>352</v>
      </c>
      <c r="AH567" s="294">
        <f t="shared" si="13"/>
        <v>368</v>
      </c>
      <c r="AI567" s="294">
        <f t="shared" si="13"/>
        <v>389</v>
      </c>
      <c r="AJ567" s="294">
        <f>SUM(AJ564:AJ566)</f>
        <v>384</v>
      </c>
      <c r="AK567" s="294">
        <f>SUM(AK564:AK566)</f>
        <v>352</v>
      </c>
      <c r="AL567" s="295">
        <f>SUM(AL564:AL566)</f>
        <v>325</v>
      </c>
      <c r="AM567" s="289"/>
      <c r="AN567" s="289"/>
      <c r="AO567" s="374" t="s">
        <v>28</v>
      </c>
      <c r="AP567" s="374"/>
      <c r="AQ567" s="374"/>
      <c r="AR567" s="374"/>
      <c r="AS567" s="374"/>
      <c r="AT567" s="374"/>
      <c r="AU567" s="374"/>
      <c r="AV567" s="374"/>
      <c r="AW567" s="374"/>
      <c r="AX567" s="374"/>
      <c r="AY567" s="374"/>
      <c r="AZ567" s="31"/>
      <c r="BA567" s="31"/>
    </row>
    <row r="568" spans="1:53" ht="16" thickBot="1" x14ac:dyDescent="0.25">
      <c r="A568" s="274"/>
      <c r="B568" s="31"/>
      <c r="C568" s="31"/>
      <c r="D568" s="197"/>
      <c r="E568" s="197"/>
      <c r="F568" s="197"/>
      <c r="G568" s="31"/>
      <c r="H568" s="277">
        <f>COUNTIF(H6:H562,"DEMAK")</f>
        <v>4</v>
      </c>
      <c r="I568" s="277">
        <f>COUNTIF(I6:I562,"KABUPATEN SEMARANG")</f>
        <v>0</v>
      </c>
      <c r="J568" s="369"/>
      <c r="K568" s="278" t="s">
        <v>4540</v>
      </c>
      <c r="L568" s="197"/>
      <c r="M568" s="31"/>
      <c r="N568" s="286"/>
      <c r="O568" s="286"/>
      <c r="P568" s="286"/>
      <c r="Q568" s="286"/>
      <c r="R568" s="286"/>
      <c r="S568" s="286"/>
      <c r="T568" s="286"/>
      <c r="U568" s="286"/>
      <c r="V568" s="286"/>
      <c r="W568" s="286"/>
      <c r="X568" s="286"/>
      <c r="Y568" s="272"/>
      <c r="Z568" s="286"/>
      <c r="AA568" s="286"/>
      <c r="AB568" s="286"/>
      <c r="AC568" s="286"/>
      <c r="AD568" s="293"/>
      <c r="AE568" s="284">
        <f>COUNTIF(AE6:AE562,"M")</f>
        <v>29</v>
      </c>
      <c r="AF568" s="272">
        <v>2020</v>
      </c>
      <c r="AG568" s="272">
        <v>2021</v>
      </c>
      <c r="AH568" s="294">
        <v>2022</v>
      </c>
      <c r="AI568" s="294">
        <v>2023</v>
      </c>
      <c r="AJ568" s="294">
        <v>2024</v>
      </c>
      <c r="AK568" s="294">
        <v>2025</v>
      </c>
      <c r="AL568" s="296">
        <v>2026</v>
      </c>
      <c r="AM568" s="289"/>
      <c r="AN568" s="289"/>
      <c r="AO568" s="32"/>
      <c r="AP568" s="297"/>
      <c r="AQ568" s="297"/>
      <c r="AR568" s="297"/>
      <c r="AS568" s="297"/>
      <c r="AT568" s="31"/>
      <c r="AU568" s="31"/>
      <c r="AV568" s="31"/>
      <c r="AW568" s="31"/>
      <c r="AX568" s="31"/>
      <c r="AY568" s="31"/>
      <c r="AZ568" s="31"/>
      <c r="BA568" s="31"/>
    </row>
    <row r="569" spans="1:53" ht="16" thickBot="1" x14ac:dyDescent="0.25">
      <c r="A569" s="274"/>
      <c r="B569" s="31"/>
      <c r="C569" s="31"/>
      <c r="D569" s="197"/>
      <c r="E569" s="197"/>
      <c r="F569" s="197"/>
      <c r="G569" s="31"/>
      <c r="H569" s="298">
        <f>SUM(H564:H568)</f>
        <v>20</v>
      </c>
      <c r="I569" s="298">
        <f>SUM(I564:I568)</f>
        <v>0</v>
      </c>
      <c r="J569" s="299" t="s">
        <v>4541</v>
      </c>
      <c r="K569" s="278"/>
      <c r="L569" s="197"/>
      <c r="M569" s="31"/>
      <c r="N569" s="32" t="s">
        <v>4542</v>
      </c>
      <c r="O569" s="32"/>
      <c r="P569" s="32"/>
      <c r="Q569" s="32"/>
      <c r="R569" s="32"/>
      <c r="S569" s="32"/>
      <c r="T569" s="32">
        <f>+S563+T563</f>
        <v>29</v>
      </c>
      <c r="U569" s="32"/>
      <c r="V569" s="32"/>
      <c r="W569" s="32"/>
      <c r="X569" s="32"/>
      <c r="Y569" s="272"/>
      <c r="Z569" s="196"/>
      <c r="AA569" s="196"/>
      <c r="AB569" s="196"/>
      <c r="AC569" s="196"/>
      <c r="AD569" s="293"/>
      <c r="AE569" s="300">
        <f>COUNTIF(AE6:AE562,"B")</f>
        <v>7</v>
      </c>
      <c r="AF569" s="272"/>
      <c r="AG569" s="272"/>
      <c r="AH569" s="272"/>
      <c r="AI569" s="272"/>
      <c r="AJ569" s="272"/>
      <c r="AK569" s="272"/>
      <c r="AL569" s="272"/>
      <c r="AM569" s="289"/>
      <c r="AN569" s="289"/>
      <c r="AO569" s="32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</row>
    <row r="570" spans="1:53" ht="16" thickBot="1" x14ac:dyDescent="0.25">
      <c r="A570" s="274"/>
      <c r="B570" s="31"/>
      <c r="C570" s="31"/>
      <c r="D570" s="197"/>
      <c r="E570" s="197"/>
      <c r="F570" s="197"/>
      <c r="G570" s="31"/>
      <c r="H570" s="277"/>
      <c r="I570" s="277"/>
      <c r="J570" s="301"/>
      <c r="K570" s="278"/>
      <c r="L570" s="197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272"/>
      <c r="Z570" s="196"/>
      <c r="AA570" s="196"/>
      <c r="AB570" s="196"/>
      <c r="AC570" s="196"/>
      <c r="AD570" s="293"/>
      <c r="AE570" s="302">
        <f>SUM(AE567:AE569)</f>
        <v>554</v>
      </c>
      <c r="AF570" s="272"/>
      <c r="AG570" s="272"/>
      <c r="AH570" s="272"/>
      <c r="AI570" s="272"/>
      <c r="AJ570" s="272"/>
      <c r="AK570" s="272"/>
      <c r="AL570" s="272"/>
      <c r="AM570" s="272"/>
      <c r="AN570" s="272"/>
      <c r="AO570" s="32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</row>
    <row r="571" spans="1:53" ht="16" thickBot="1" x14ac:dyDescent="0.25">
      <c r="A571" s="274"/>
      <c r="B571" s="31"/>
      <c r="C571" s="31"/>
      <c r="D571" s="197"/>
      <c r="E571" s="197"/>
      <c r="F571" s="197"/>
      <c r="G571" s="31"/>
      <c r="H571" s="277">
        <f>COUNTIF(H6:H562,"PATI")</f>
        <v>8</v>
      </c>
      <c r="I571" s="277">
        <f>COUNTIF(I6:I562,"PATI")</f>
        <v>49</v>
      </c>
      <c r="J571" s="370" t="s">
        <v>4543</v>
      </c>
      <c r="K571" s="278" t="s">
        <v>4544</v>
      </c>
      <c r="L571" s="197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272"/>
      <c r="Z571" s="196"/>
      <c r="AA571" s="196"/>
      <c r="AB571" s="196"/>
      <c r="AC571" s="196"/>
      <c r="AD571" s="272"/>
      <c r="AE571" s="272"/>
      <c r="AF571" s="272"/>
      <c r="AG571" s="272"/>
      <c r="AH571" s="272"/>
      <c r="AI571" s="272"/>
      <c r="AJ571" s="272"/>
      <c r="AK571" s="272"/>
      <c r="AL571" s="272"/>
      <c r="AM571" s="272"/>
      <c r="AN571" s="272"/>
      <c r="AO571" s="32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</row>
    <row r="572" spans="1:53" ht="16" thickBot="1" x14ac:dyDescent="0.25">
      <c r="A572" s="274"/>
      <c r="B572" s="31"/>
      <c r="C572" s="31"/>
      <c r="D572" s="197"/>
      <c r="E572" s="197"/>
      <c r="F572" s="197"/>
      <c r="G572" s="31"/>
      <c r="H572" s="277">
        <f>COUNTIF(H6:H562,"KUDUS")</f>
        <v>12</v>
      </c>
      <c r="I572" s="277">
        <f>COUNTIF(I6:I562,"PATI")</f>
        <v>49</v>
      </c>
      <c r="J572" s="371"/>
      <c r="K572" s="278" t="s">
        <v>4545</v>
      </c>
      <c r="L572" s="197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272"/>
      <c r="Z572" s="196">
        <f>550-307</f>
        <v>243</v>
      </c>
      <c r="AA572" s="196"/>
      <c r="AB572" s="196"/>
      <c r="AC572" s="196"/>
      <c r="AD572" s="272"/>
      <c r="AE572" s="272">
        <v>2022</v>
      </c>
      <c r="AF572" s="272">
        <v>266</v>
      </c>
      <c r="AG572" s="272">
        <v>23</v>
      </c>
      <c r="AH572" s="272">
        <v>8</v>
      </c>
      <c r="AI572" s="272">
        <f>SUM(AF572:AH572)</f>
        <v>297</v>
      </c>
      <c r="AJ572" s="272">
        <v>336</v>
      </c>
      <c r="AK572" s="272">
        <f>+AJ572-AI572</f>
        <v>39</v>
      </c>
      <c r="AL572" s="272"/>
      <c r="AM572" s="272"/>
      <c r="AN572" s="272"/>
      <c r="AO572" s="32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</row>
    <row r="573" spans="1:53" ht="16" thickBot="1" x14ac:dyDescent="0.25">
      <c r="A573" s="274"/>
      <c r="B573" s="31"/>
      <c r="C573" s="31"/>
      <c r="D573" s="197"/>
      <c r="E573" s="197"/>
      <c r="F573" s="197"/>
      <c r="G573" s="31"/>
      <c r="H573" s="277">
        <f>COUNTIF(H7:H563,"JEPARA")</f>
        <v>4</v>
      </c>
      <c r="I573" s="277">
        <f>COUNTIF(I7:I563,"PATI")</f>
        <v>49</v>
      </c>
      <c r="J573" s="371"/>
      <c r="K573" s="278" t="s">
        <v>4692</v>
      </c>
      <c r="L573" s="197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272"/>
      <c r="Z573" s="196"/>
      <c r="AA573" s="196"/>
      <c r="AB573" s="196"/>
      <c r="AC573" s="196"/>
      <c r="AD573" s="272"/>
      <c r="AE573" s="272"/>
      <c r="AF573" s="272"/>
      <c r="AG573" s="272"/>
      <c r="AH573" s="272"/>
      <c r="AI573" s="272"/>
      <c r="AJ573" s="272"/>
      <c r="AK573" s="272"/>
      <c r="AL573" s="272"/>
      <c r="AM573" s="272"/>
      <c r="AN573" s="272"/>
      <c r="AO573" s="32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</row>
    <row r="574" spans="1:53" ht="16" thickBot="1" x14ac:dyDescent="0.25">
      <c r="A574" s="274"/>
      <c r="B574" s="31"/>
      <c r="C574" s="31"/>
      <c r="D574" s="197">
        <f>52-5</f>
        <v>47</v>
      </c>
      <c r="E574" s="197"/>
      <c r="F574" s="197"/>
      <c r="G574" s="31"/>
      <c r="H574" s="277">
        <f>COUNTIF(H6:H562,"PATI")</f>
        <v>8</v>
      </c>
      <c r="I574" s="277">
        <f>COUNTIF(I6:I562,"PATI")</f>
        <v>49</v>
      </c>
      <c r="J574" s="371"/>
      <c r="K574" s="278" t="s">
        <v>4546</v>
      </c>
      <c r="L574" s="197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272"/>
      <c r="Z574" s="196"/>
      <c r="AA574" s="196"/>
      <c r="AB574" s="196"/>
      <c r="AC574" s="196"/>
      <c r="AD574" s="272"/>
      <c r="AE574" s="272">
        <v>2023</v>
      </c>
      <c r="AF574" s="272">
        <v>309</v>
      </c>
      <c r="AG574" s="272">
        <v>20</v>
      </c>
      <c r="AH574" s="272">
        <v>6</v>
      </c>
      <c r="AI574" s="272">
        <f t="shared" ref="AI574:AI576" si="14">SUM(AF574:AH574)</f>
        <v>335</v>
      </c>
      <c r="AJ574" s="272">
        <v>383</v>
      </c>
      <c r="AK574" s="272">
        <f t="shared" ref="AK574:AK576" si="15">+AJ574-AI574</f>
        <v>48</v>
      </c>
      <c r="AL574" s="272"/>
      <c r="AM574" s="272"/>
      <c r="AN574" s="272"/>
      <c r="AO574" s="32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</row>
    <row r="575" spans="1:53" ht="16" thickBot="1" x14ac:dyDescent="0.25">
      <c r="A575" s="274"/>
      <c r="B575" s="31">
        <f>1200000*3</f>
        <v>3600000</v>
      </c>
      <c r="C575" s="31"/>
      <c r="D575" s="197"/>
      <c r="E575" s="197"/>
      <c r="F575" s="197"/>
      <c r="G575" s="31"/>
      <c r="H575" s="277">
        <f>COUNTIF(H6:H562,"REMBANG")</f>
        <v>9</v>
      </c>
      <c r="I575" s="277">
        <f>COUNTIF(I6:I562,"PATI")</f>
        <v>49</v>
      </c>
      <c r="J575" s="371"/>
      <c r="K575" s="278" t="s">
        <v>4547</v>
      </c>
      <c r="L575" s="197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272"/>
      <c r="Z575" s="196"/>
      <c r="AA575" s="196"/>
      <c r="AB575" s="196"/>
      <c r="AC575" s="196"/>
      <c r="AD575" s="272"/>
      <c r="AE575" s="272">
        <v>2024</v>
      </c>
      <c r="AF575" s="272">
        <v>302</v>
      </c>
      <c r="AG575" s="272">
        <v>24</v>
      </c>
      <c r="AH575" s="272">
        <v>7</v>
      </c>
      <c r="AI575" s="272">
        <f t="shared" si="14"/>
        <v>333</v>
      </c>
      <c r="AJ575" s="272">
        <v>368</v>
      </c>
      <c r="AK575" s="272">
        <f t="shared" si="15"/>
        <v>35</v>
      </c>
      <c r="AL575" s="272"/>
      <c r="AM575" s="272"/>
      <c r="AN575" s="272"/>
      <c r="AO575" s="32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</row>
    <row r="576" spans="1:53" ht="16" thickBot="1" x14ac:dyDescent="0.25">
      <c r="A576" s="274"/>
      <c r="B576" s="31"/>
      <c r="C576" s="31"/>
      <c r="D576" s="197"/>
      <c r="E576" s="197"/>
      <c r="F576" s="197"/>
      <c r="G576" s="31"/>
      <c r="H576" s="277">
        <f>COUNTIF(H6:H562,"BLORA")</f>
        <v>16</v>
      </c>
      <c r="I576" s="277">
        <f>COUNTIF(I6:I562,"PATI")</f>
        <v>49</v>
      </c>
      <c r="J576" s="369"/>
      <c r="K576" s="278" t="s">
        <v>4548</v>
      </c>
      <c r="L576" s="197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272"/>
      <c r="Z576" s="196"/>
      <c r="AA576" s="196"/>
      <c r="AB576" s="196"/>
      <c r="AC576" s="196"/>
      <c r="AD576" s="272"/>
      <c r="AE576" s="272">
        <v>2025</v>
      </c>
      <c r="AF576" s="272">
        <v>265</v>
      </c>
      <c r="AG576" s="272">
        <v>16</v>
      </c>
      <c r="AH576" s="272">
        <v>5</v>
      </c>
      <c r="AI576" s="272">
        <f t="shared" si="14"/>
        <v>286</v>
      </c>
      <c r="AJ576" s="272">
        <v>292</v>
      </c>
      <c r="AK576" s="272">
        <f t="shared" si="15"/>
        <v>6</v>
      </c>
      <c r="AL576" s="272"/>
      <c r="AM576" s="272"/>
      <c r="AN576" s="272"/>
      <c r="AO576" s="32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</row>
    <row r="577" spans="1:53" x14ac:dyDescent="0.2">
      <c r="A577" s="274"/>
      <c r="B577" s="31"/>
      <c r="C577" s="31"/>
      <c r="D577" s="197"/>
      <c r="E577" s="197"/>
      <c r="F577" s="197"/>
      <c r="G577" s="31"/>
      <c r="H577" s="303">
        <f>SUM(H571:H576)</f>
        <v>57</v>
      </c>
      <c r="I577" s="303">
        <f>SUM(I571:I576)</f>
        <v>294</v>
      </c>
      <c r="J577" s="299" t="s">
        <v>4541</v>
      </c>
      <c r="K577" s="278"/>
      <c r="L577" s="197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272"/>
      <c r="Z577" s="196"/>
      <c r="AA577" s="196"/>
      <c r="AB577" s="196"/>
      <c r="AC577" s="196"/>
      <c r="AD577" s="272"/>
      <c r="AE577" s="272"/>
      <c r="AF577" s="272"/>
      <c r="AG577" s="272"/>
      <c r="AH577" s="272"/>
      <c r="AI577" s="272"/>
      <c r="AJ577" s="272"/>
      <c r="AK577" s="272"/>
      <c r="AL577" s="272"/>
      <c r="AM577" s="272"/>
      <c r="AN577" s="272"/>
      <c r="AO577" s="32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</row>
    <row r="578" spans="1:53" ht="16" thickBot="1" x14ac:dyDescent="0.25"/>
    <row r="579" spans="1:53" ht="16" thickBot="1" x14ac:dyDescent="0.25">
      <c r="H579" s="277">
        <f>COUNTIF(H6:H562,"SURAKARTA")</f>
        <v>20</v>
      </c>
      <c r="I579" s="277">
        <f>COUNTIF(I6:I562,"SURAKARTA")</f>
        <v>59</v>
      </c>
      <c r="J579" s="370" t="s">
        <v>4549</v>
      </c>
      <c r="K579" s="278" t="s">
        <v>4550</v>
      </c>
    </row>
    <row r="580" spans="1:53" ht="16" thickBot="1" x14ac:dyDescent="0.25">
      <c r="H580" s="277">
        <f>COUNTIF(H6:H562,"BOYOLALI")</f>
        <v>6</v>
      </c>
      <c r="I580" s="277">
        <f>COUNTIF(I6:I562,"BOYOLALI")</f>
        <v>0</v>
      </c>
      <c r="J580" s="371"/>
      <c r="K580" s="278" t="s">
        <v>4551</v>
      </c>
    </row>
    <row r="581" spans="1:53" ht="16" thickBot="1" x14ac:dyDescent="0.25">
      <c r="F581">
        <f>10+24</f>
        <v>34</v>
      </c>
      <c r="H581" s="277">
        <f>COUNTIF(H6:H562,"KLATEN")</f>
        <v>13</v>
      </c>
      <c r="I581" s="277">
        <f>COUNTIF(I6:I562,"SURAKARTA")</f>
        <v>59</v>
      </c>
      <c r="J581" s="371"/>
      <c r="K581" s="278" t="s">
        <v>4552</v>
      </c>
    </row>
    <row r="582" spans="1:53" ht="16" thickBot="1" x14ac:dyDescent="0.25">
      <c r="H582" s="277">
        <f>COUNTIF(H6:H562,"SUKOHARJO")</f>
        <v>10</v>
      </c>
      <c r="I582" s="277">
        <f>COUNTIF(I6:I562,"SURAKARTA")</f>
        <v>59</v>
      </c>
      <c r="J582" s="371"/>
      <c r="K582" s="278" t="s">
        <v>4553</v>
      </c>
    </row>
    <row r="583" spans="1:53" ht="16" thickBot="1" x14ac:dyDescent="0.25">
      <c r="H583" s="277">
        <f>COUNTIF(H6:H562,"KARANGANYAR")</f>
        <v>7</v>
      </c>
      <c r="I583" s="277">
        <f>COUNTIF(I6:I562,"SURAKARTA")</f>
        <v>59</v>
      </c>
      <c r="J583" s="371"/>
      <c r="K583" s="278" t="s">
        <v>4693</v>
      </c>
    </row>
    <row r="584" spans="1:53" ht="16" thickBot="1" x14ac:dyDescent="0.25">
      <c r="H584" s="277">
        <f>COUNTIF(H6:H562,"SRAGEN")</f>
        <v>2</v>
      </c>
      <c r="I584" s="277">
        <f>COUNTIF(I6:I562,"SURAKARTA")</f>
        <v>59</v>
      </c>
      <c r="J584" s="371"/>
      <c r="K584" s="278" t="s">
        <v>4694</v>
      </c>
    </row>
    <row r="585" spans="1:53" ht="16" thickBot="1" x14ac:dyDescent="0.25">
      <c r="H585" s="277">
        <f>COUNTIF(H6:H562,"WONOGIRI")</f>
        <v>1</v>
      </c>
      <c r="I585" s="277">
        <f>COUNTIF(I6:I562,"SURAKARTA")</f>
        <v>59</v>
      </c>
      <c r="J585" s="369"/>
      <c r="K585" s="278" t="s">
        <v>4555</v>
      </c>
    </row>
    <row r="586" spans="1:53" ht="16" thickBot="1" x14ac:dyDescent="0.25">
      <c r="H586" s="303">
        <f>SUM(H579:H585)</f>
        <v>59</v>
      </c>
      <c r="I586" s="303">
        <f>SUM(I579:I585)</f>
        <v>354</v>
      </c>
      <c r="J586" s="299" t="s">
        <v>4541</v>
      </c>
      <c r="K586" s="278"/>
    </row>
    <row r="587" spans="1:53" ht="16" thickBot="1" x14ac:dyDescent="0.25">
      <c r="H587" s="277"/>
      <c r="I587" s="277"/>
      <c r="J587" s="301"/>
      <c r="K587" s="278"/>
    </row>
    <row r="588" spans="1:53" ht="16" thickBot="1" x14ac:dyDescent="0.25">
      <c r="H588" s="277">
        <f>COUNTIF(H6:H562,"MAGELANG")</f>
        <v>29</v>
      </c>
      <c r="I588" s="277">
        <f>COUNTIF(I6:I562,"KEDU")</f>
        <v>64</v>
      </c>
      <c r="J588" s="370" t="s">
        <v>4556</v>
      </c>
      <c r="K588" s="304" t="s">
        <v>4557</v>
      </c>
    </row>
    <row r="589" spans="1:53" ht="16" thickBot="1" x14ac:dyDescent="0.25">
      <c r="H589" s="277">
        <f>COUNTIF(H6:H562,"PURWOREJO")</f>
        <v>8</v>
      </c>
      <c r="I589" s="277">
        <f>COUNTIF(I6:I562,"KEDU")</f>
        <v>64</v>
      </c>
      <c r="J589" s="371"/>
      <c r="K589" s="278" t="s">
        <v>4558</v>
      </c>
    </row>
    <row r="590" spans="1:53" ht="16" thickBot="1" x14ac:dyDescent="0.25">
      <c r="H590" s="277">
        <f>COUNTIF(H6:H562,"TEMANGGUNG")</f>
        <v>10</v>
      </c>
      <c r="I590" s="277">
        <f>COUNTIF(I6:I562,"KEDU")</f>
        <v>64</v>
      </c>
      <c r="J590" s="371"/>
      <c r="K590" s="278" t="s">
        <v>4559</v>
      </c>
    </row>
    <row r="591" spans="1:53" ht="16" thickBot="1" x14ac:dyDescent="0.25">
      <c r="H591" s="277">
        <f>COUNTIF(H6:H562,"KEBUMEN")</f>
        <v>11</v>
      </c>
      <c r="I591" s="277">
        <f>COUNTIF(I6:I562,"KEDU")</f>
        <v>64</v>
      </c>
      <c r="J591" s="371"/>
      <c r="K591" s="278" t="s">
        <v>4560</v>
      </c>
    </row>
    <row r="592" spans="1:53" ht="16" thickBot="1" x14ac:dyDescent="0.25">
      <c r="H592" s="277">
        <f>COUNTIF(H6:H562,"WONOSOBO")</f>
        <v>6</v>
      </c>
      <c r="I592" s="277">
        <f>COUNTIF(I6:I562,"KEDU")</f>
        <v>64</v>
      </c>
      <c r="J592" s="369"/>
      <c r="K592" s="278" t="s">
        <v>4561</v>
      </c>
    </row>
    <row r="593" spans="5:28" ht="16" thickBot="1" x14ac:dyDescent="0.25">
      <c r="H593" s="303">
        <f>SUM(H588:H592)</f>
        <v>64</v>
      </c>
      <c r="I593" s="303">
        <f>SUM(I588:I592)</f>
        <v>320</v>
      </c>
      <c r="J593" s="299" t="s">
        <v>4541</v>
      </c>
      <c r="K593" s="304"/>
    </row>
    <row r="594" spans="5:28" ht="16" thickBot="1" x14ac:dyDescent="0.25">
      <c r="H594" s="277"/>
      <c r="I594" s="277"/>
      <c r="J594" s="301"/>
      <c r="K594" s="304"/>
    </row>
    <row r="595" spans="5:28" ht="16" thickBot="1" x14ac:dyDescent="0.25">
      <c r="H595" s="277">
        <f>COUNTIF(H6:H562,"PURWOKERTO")</f>
        <v>9</v>
      </c>
      <c r="I595" s="277">
        <f>COUNTIF(I6:I562,"BANYUMAS")</f>
        <v>23</v>
      </c>
      <c r="J595" s="367" t="s">
        <v>4562</v>
      </c>
      <c r="K595" s="278" t="s">
        <v>4563</v>
      </c>
    </row>
    <row r="596" spans="5:28" ht="16" thickBot="1" x14ac:dyDescent="0.25">
      <c r="H596" s="277">
        <f>COUNTIF(H6:H562,"BANJARNEGARA")</f>
        <v>6</v>
      </c>
      <c r="I596" s="277">
        <f>COUNTIF(I6:I562,"BANYUMAS")</f>
        <v>23</v>
      </c>
      <c r="J596" s="368"/>
      <c r="K596" s="278" t="s">
        <v>4564</v>
      </c>
    </row>
    <row r="597" spans="5:28" ht="16" thickBot="1" x14ac:dyDescent="0.25">
      <c r="H597" s="277">
        <f>COUNTIF(H6:H562,"CILACAP")</f>
        <v>6</v>
      </c>
      <c r="I597" s="277">
        <f>COUNTIF(I6:I562,"BANYUMAS")</f>
        <v>23</v>
      </c>
      <c r="J597" s="368"/>
      <c r="K597" s="278" t="s">
        <v>4565</v>
      </c>
    </row>
    <row r="598" spans="5:28" ht="16" thickBot="1" x14ac:dyDescent="0.25">
      <c r="H598" s="277">
        <f>COUNTIF(H6:H562,"PURBALINGGA")</f>
        <v>2</v>
      </c>
      <c r="I598" s="277">
        <f>COUNTIF(I6:I562,"PURBALINGGA")</f>
        <v>0</v>
      </c>
      <c r="J598" s="369"/>
      <c r="K598" s="278" t="s">
        <v>4566</v>
      </c>
    </row>
    <row r="599" spans="5:28" ht="16" thickBot="1" x14ac:dyDescent="0.25">
      <c r="H599" s="305">
        <f>SUM(H595:H598)</f>
        <v>23</v>
      </c>
      <c r="I599" s="305">
        <f>SUM(I595:I598)</f>
        <v>69</v>
      </c>
      <c r="J599" s="299" t="s">
        <v>4541</v>
      </c>
      <c r="K599" s="278"/>
    </row>
    <row r="600" spans="5:28" ht="16" thickBot="1" x14ac:dyDescent="0.25">
      <c r="H600" s="277"/>
      <c r="I600" s="277"/>
      <c r="J600" s="10"/>
      <c r="K600" s="278"/>
    </row>
    <row r="601" spans="5:28" ht="16" thickBot="1" x14ac:dyDescent="0.25">
      <c r="H601" s="277">
        <f>COUNTIF(H6:H562,"BREBES")</f>
        <v>17</v>
      </c>
      <c r="I601" s="277">
        <f>COUNTIF(I6:I562,"PEKALONGAN")</f>
        <v>99</v>
      </c>
      <c r="J601" s="370" t="s">
        <v>4567</v>
      </c>
      <c r="K601" s="278" t="s">
        <v>4568</v>
      </c>
    </row>
    <row r="602" spans="5:28" ht="16" thickBot="1" x14ac:dyDescent="0.25">
      <c r="H602" s="277">
        <f>COUNTIF(H6:H562,"TEGAL")</f>
        <v>34</v>
      </c>
      <c r="I602" s="277">
        <f>COUNTIF(I6:I562,"PEKALONGAN")</f>
        <v>99</v>
      </c>
      <c r="J602" s="371"/>
      <c r="K602" s="278" t="s">
        <v>4569</v>
      </c>
    </row>
    <row r="603" spans="5:28" ht="16" thickBot="1" x14ac:dyDescent="0.25">
      <c r="H603" s="277">
        <f>COUNTIF(H7:H563,"PEMALANG")</f>
        <v>6</v>
      </c>
      <c r="I603" s="277">
        <f>COUNTIF(I7:I563,"PEKALONGAN")</f>
        <v>98</v>
      </c>
      <c r="J603" s="330"/>
      <c r="K603" s="278" t="s">
        <v>4690</v>
      </c>
    </row>
    <row r="604" spans="5:28" ht="16" thickBot="1" x14ac:dyDescent="0.25">
      <c r="H604" s="277">
        <f>COUNTIF(H8:H564,"PEKALONGAN")</f>
        <v>23</v>
      </c>
      <c r="I604" s="277">
        <f>COUNTIF(I8:I564,"PEKALONGAN")</f>
        <v>98</v>
      </c>
      <c r="J604" s="330"/>
      <c r="K604" s="278" t="s">
        <v>4691</v>
      </c>
    </row>
    <row r="605" spans="5:28" ht="16" thickBot="1" x14ac:dyDescent="0.25">
      <c r="H605" s="277">
        <f>COUNTIF(H9:H565,"BATANG")</f>
        <v>19</v>
      </c>
      <c r="I605" s="277">
        <f>COUNTIF(I9:I565,"PEKALONGAN")</f>
        <v>98</v>
      </c>
      <c r="J605" s="331"/>
      <c r="K605" s="278" t="s">
        <v>4689</v>
      </c>
    </row>
    <row r="606" spans="5:28" x14ac:dyDescent="0.2">
      <c r="H606" s="305">
        <f>SUM(H601:H605)</f>
        <v>99</v>
      </c>
      <c r="I606" s="305">
        <f>SUM(I602:I605)</f>
        <v>393</v>
      </c>
      <c r="J606" s="299" t="s">
        <v>4541</v>
      </c>
      <c r="AA606" t="s">
        <v>4595</v>
      </c>
      <c r="AB606">
        <v>3</v>
      </c>
    </row>
    <row r="607" spans="5:28" x14ac:dyDescent="0.2">
      <c r="AA607" t="s">
        <v>4596</v>
      </c>
      <c r="AB607">
        <v>1</v>
      </c>
    </row>
    <row r="608" spans="5:28" x14ac:dyDescent="0.2">
      <c r="E608">
        <f>2026-1995</f>
        <v>31</v>
      </c>
      <c r="Z608" t="s">
        <v>4570</v>
      </c>
      <c r="AA608" s="306" t="s">
        <v>4597</v>
      </c>
      <c r="AB608">
        <v>1</v>
      </c>
    </row>
    <row r="609" spans="8:28" x14ac:dyDescent="0.2">
      <c r="H609" s="277">
        <f>COUNTIF(H6:H562,"SEMARANG")</f>
        <v>240</v>
      </c>
      <c r="I609" s="277">
        <f>COUNTIF(I13:I569,"SEMARANG")</f>
        <v>238</v>
      </c>
      <c r="Z609" t="s">
        <v>4571</v>
      </c>
      <c r="AA609" s="306" t="s">
        <v>4598</v>
      </c>
      <c r="AB609">
        <v>1</v>
      </c>
    </row>
    <row r="610" spans="8:28" x14ac:dyDescent="0.2">
      <c r="AA610" s="306" t="s">
        <v>4602</v>
      </c>
      <c r="AB610">
        <v>1</v>
      </c>
    </row>
    <row r="611" spans="8:28" x14ac:dyDescent="0.2">
      <c r="H611">
        <f>+H569+H577+H586+H593+H599+H606+H609</f>
        <v>562</v>
      </c>
      <c r="Z611" t="s">
        <v>4572</v>
      </c>
      <c r="AA611" s="306" t="s">
        <v>4599</v>
      </c>
      <c r="AB611">
        <v>1</v>
      </c>
    </row>
    <row r="612" spans="8:28" x14ac:dyDescent="0.2">
      <c r="Z612" t="s">
        <v>4573</v>
      </c>
      <c r="AA612" s="306" t="s">
        <v>4600</v>
      </c>
      <c r="AB612">
        <v>2</v>
      </c>
    </row>
    <row r="613" spans="8:28" x14ac:dyDescent="0.2">
      <c r="AA613" s="306" t="s">
        <v>4601</v>
      </c>
      <c r="AB613">
        <v>1</v>
      </c>
    </row>
    <row r="614" spans="8:28" x14ac:dyDescent="0.2">
      <c r="AA614" s="306" t="s">
        <v>4603</v>
      </c>
      <c r="AB614">
        <v>2</v>
      </c>
    </row>
    <row r="615" spans="8:28" x14ac:dyDescent="0.2">
      <c r="AA615" s="308" t="s">
        <v>4541</v>
      </c>
      <c r="AB615" s="309">
        <f>SUM(AB606:AB614)</f>
        <v>13</v>
      </c>
    </row>
    <row r="616" spans="8:28" x14ac:dyDescent="0.2">
      <c r="AA616" s="306"/>
    </row>
    <row r="617" spans="8:28" x14ac:dyDescent="0.2">
      <c r="AA617" s="306"/>
    </row>
  </sheetData>
  <mergeCells count="32">
    <mergeCell ref="J588:J592"/>
    <mergeCell ref="J595:J598"/>
    <mergeCell ref="J601:J602"/>
    <mergeCell ref="AK3:AK4"/>
    <mergeCell ref="AL3:AL4"/>
    <mergeCell ref="J564:J568"/>
    <mergeCell ref="AO567:AY567"/>
    <mergeCell ref="J571:J576"/>
    <mergeCell ref="J579:J585"/>
    <mergeCell ref="AE3:AE4"/>
    <mergeCell ref="AF3:AF4"/>
    <mergeCell ref="AG3:AG4"/>
    <mergeCell ref="AH3:AH4"/>
    <mergeCell ref="AI3:AI4"/>
    <mergeCell ref="AJ3:AJ4"/>
    <mergeCell ref="K3:K4"/>
    <mergeCell ref="L3:L4"/>
    <mergeCell ref="M3:M4"/>
    <mergeCell ref="N3:O3"/>
    <mergeCell ref="P3:P4"/>
    <mergeCell ref="Q3:Q4"/>
    <mergeCell ref="A1:AO1"/>
    <mergeCell ref="A2:AO2"/>
    <mergeCell ref="A3:A4"/>
    <mergeCell ref="B3:B4"/>
    <mergeCell ref="C3:C4"/>
    <mergeCell ref="D3:D4"/>
    <mergeCell ref="G3:G4"/>
    <mergeCell ref="H3:H4"/>
    <mergeCell ref="I3:I4"/>
    <mergeCell ref="J3:J4"/>
    <mergeCell ref="E3:E4"/>
  </mergeCells>
  <hyperlinks>
    <hyperlink ref="Z561" r:id="rId1" xr:uid="{F6BBBBA1-4AF6-4F5F-9F1D-092022A8460A}"/>
    <hyperlink ref="Z266" r:id="rId2" xr:uid="{30A54F8B-CBCA-4662-8323-C64F0B6803D7}"/>
    <hyperlink ref="Z284" r:id="rId3" xr:uid="{B71712B8-31D5-4DC1-93E0-960910D16B5F}"/>
    <hyperlink ref="Z61" r:id="rId4" xr:uid="{09B80557-D141-4EEE-B93F-DAEE23F345A1}"/>
    <hyperlink ref="Z9" r:id="rId5" xr:uid="{92AC68D1-B9E2-4C4B-B350-C83D8486F8D2}"/>
    <hyperlink ref="Z522" r:id="rId6" xr:uid="{BB6B6153-6FC9-4DDA-AC78-20E780E3E8C0}"/>
    <hyperlink ref="Z328" r:id="rId7" xr:uid="{FB149A11-09DB-4268-931F-356C0770655A}"/>
    <hyperlink ref="Z257" r:id="rId8" xr:uid="{A4E432BC-36F7-4C63-B71C-312C391EBB65}"/>
    <hyperlink ref="Z358" r:id="rId9" xr:uid="{631E83AF-7C26-48B5-93BE-45FEC8BDD418}"/>
    <hyperlink ref="Z410" r:id="rId10" xr:uid="{E9D4EB52-25EB-49D9-8FDE-3FC78289712A}"/>
    <hyperlink ref="Z440" r:id="rId11" xr:uid="{65E77D54-D212-4554-A768-305170947D65}"/>
    <hyperlink ref="Z435" r:id="rId12" xr:uid="{B9B1AF1F-E21F-470D-A9CA-3599758578C4}"/>
    <hyperlink ref="Z512" r:id="rId13" xr:uid="{0A68C8B1-B781-4CC6-92EC-1A09824F61A6}"/>
    <hyperlink ref="Z184" r:id="rId14" xr:uid="{8ACFB68D-3B4F-422D-B30E-C6073B01B5A5}"/>
    <hyperlink ref="Z249" r:id="rId15" xr:uid="{F9FDDEB3-5645-4A31-93FC-C1D6AFD13C17}"/>
    <hyperlink ref="Z230" r:id="rId16" xr:uid="{C3758B95-05E2-4B6F-92C4-C3D99B3137E1}"/>
    <hyperlink ref="Z520" r:id="rId17" xr:uid="{F6415046-F2EB-47B1-9C86-A1CDC0FB17A4}"/>
    <hyperlink ref="Z503" r:id="rId18" xr:uid="{D5ED2F22-3734-4588-B0AB-6DDF986599C6}"/>
    <hyperlink ref="Z14" r:id="rId19" xr:uid="{D82917D2-ED97-45AF-8277-8E6DF0B3106B}"/>
    <hyperlink ref="Z305" r:id="rId20" xr:uid="{1AF928E6-BB0F-4F82-8E39-0EE594FFD8E7}"/>
    <hyperlink ref="Z304" r:id="rId21" xr:uid="{F7FE9C5C-6F68-4651-9262-5EDA7A62301C}"/>
    <hyperlink ref="Z229" r:id="rId22" xr:uid="{EC147F84-1A3C-4420-A89F-67EEC79E69F4}"/>
    <hyperlink ref="Z96" r:id="rId23" xr:uid="{A92505CA-7B0C-4338-9E84-F8C7BB58E7F4}"/>
    <hyperlink ref="Z141" r:id="rId24" xr:uid="{4B3EBCD1-96A3-4118-AA95-F1E6610602E6}"/>
    <hyperlink ref="Z158" r:id="rId25" xr:uid="{CA86946C-CBAF-4C0C-A2D1-95DA41BF1068}"/>
    <hyperlink ref="Z240" r:id="rId26" xr:uid="{4E687861-2893-4982-8AF0-56DD75712309}"/>
    <hyperlink ref="Z77" r:id="rId27" xr:uid="{B3163485-F2FB-4F11-ADE4-4C8EE842B5A5}"/>
    <hyperlink ref="Z17" r:id="rId28" xr:uid="{F745D484-E65D-4CCB-9E79-E959118969E5}"/>
    <hyperlink ref="Z94" r:id="rId29" xr:uid="{F0E693D5-BA04-404D-AB4B-B89B73334466}"/>
    <hyperlink ref="Z456" r:id="rId30" xr:uid="{9F84851F-93D9-4736-B88B-6BD41EA4F3CA}"/>
    <hyperlink ref="Z458" r:id="rId31" xr:uid="{B5287BA0-2194-4C41-BD50-45277D843FFA}"/>
    <hyperlink ref="Z428" r:id="rId32" xr:uid="{6F7AE3A5-DDB4-42D9-83CF-30850D7C90FD}"/>
    <hyperlink ref="Z427" r:id="rId33" xr:uid="{A2A24758-3D12-47FA-BA63-DBB1ED22CF7B}"/>
    <hyperlink ref="Z367" r:id="rId34" xr:uid="{4D1955C3-5ABE-4416-A285-1D0E99C00179}"/>
    <hyperlink ref="Z140" r:id="rId35" xr:uid="{560DE378-A891-4A86-AD6F-6058B0784F10}"/>
    <hyperlink ref="Z204" r:id="rId36" xr:uid="{48472C4C-2868-4800-92FC-F5ADDE1C9040}"/>
    <hyperlink ref="Z451" r:id="rId37" xr:uid="{2C50BB67-1D28-46CD-996E-8CC64BF88119}"/>
    <hyperlink ref="Z267" r:id="rId38" xr:uid="{93A98CC0-C142-483D-B345-205ECBCE2D74}"/>
    <hyperlink ref="Z357" r:id="rId39" xr:uid="{8B2FF6A3-DE31-4408-9F51-AA5A4461811E}"/>
    <hyperlink ref="Z508" r:id="rId40" xr:uid="{0109DE8E-7489-4175-BC9B-FA92F264D63F}"/>
    <hyperlink ref="Z120" r:id="rId41" xr:uid="{2281D152-BDC9-4572-988F-C2B398E8C0A3}"/>
    <hyperlink ref="Z6" r:id="rId42" xr:uid="{2D9825C9-DAE6-49FA-AD2F-CFC2689C3BA6}"/>
    <hyperlink ref="Z527" r:id="rId43" xr:uid="{EA7C8621-E7F8-4363-8C97-E6744F8081FB}"/>
    <hyperlink ref="Z65" r:id="rId44" xr:uid="{9F538D0D-DB61-430F-8C8F-FC5003FEDC71}"/>
    <hyperlink ref="Z146" r:id="rId45" xr:uid="{BE3C8A4A-D8C2-46EB-972A-7F173DD72C34}"/>
    <hyperlink ref="Z362" r:id="rId46" xr:uid="{675BB5E2-50E4-4585-90AD-B472B03BD6C0}"/>
    <hyperlink ref="Z462" r:id="rId47" xr:uid="{F74E1AE1-1132-4EBA-8193-5858E929A3FB}"/>
    <hyperlink ref="Z268" r:id="rId48" xr:uid="{82699CFF-890B-4B5D-8565-3608C8F161E6}"/>
    <hyperlink ref="Z416" r:id="rId49" xr:uid="{4DF0B142-6774-4F83-A5B3-95499F287C83}"/>
    <hyperlink ref="Z505" r:id="rId50" xr:uid="{FE6BF6DB-D725-4F3A-BA43-7CB867D3238C}"/>
    <hyperlink ref="Z83" r:id="rId51" xr:uid="{E6FD3F10-0EA7-4525-89F9-EEDF9EE4C20F}"/>
    <hyperlink ref="Z138" r:id="rId52" xr:uid="{B8E028AC-9D5D-467C-8852-8148278F2C1C}"/>
    <hyperlink ref="Z40" r:id="rId53" xr:uid="{5974EF54-2926-4EA1-8478-3EEF9B1C3B15}"/>
    <hyperlink ref="Z27" r:id="rId54" xr:uid="{45DC6189-DBD3-4BC9-A960-70B99CDDF9CC}"/>
    <hyperlink ref="Z52" r:id="rId55" xr:uid="{ECD22124-74F4-4267-9FC4-18118C8EB429}"/>
    <hyperlink ref="Z44" r:id="rId56" xr:uid="{1400357F-22ED-484B-823E-EF8154897CBE}"/>
    <hyperlink ref="Z36" r:id="rId57" xr:uid="{E2906E58-857F-41A9-909B-108ACBD2C90F}"/>
    <hyperlink ref="Z86" r:id="rId58" xr:uid="{6D2073F1-C509-41C9-85F5-B18F6B97AB52}"/>
    <hyperlink ref="Z106" r:id="rId59" xr:uid="{6AD574DD-B969-4880-9827-14A5784C41B7}"/>
    <hyperlink ref="Z85" r:id="rId60" xr:uid="{C0BF7718-9519-4AB6-AFFF-C2C2849391F5}"/>
    <hyperlink ref="Z144" r:id="rId61" xr:uid="{3E23F194-AF8C-4085-969F-727A78FFC4BB}"/>
    <hyperlink ref="Z453" r:id="rId62" xr:uid="{D6F08D8A-71CE-4FF2-8024-59860E4DADDC}"/>
    <hyperlink ref="Z118" r:id="rId63" xr:uid="{D5460DFD-0590-484D-8AC5-BA7541769673}"/>
    <hyperlink ref="Z169" r:id="rId64" xr:uid="{F0AD37A7-D2D6-455F-92D9-5C9B1BBBAE8F}"/>
    <hyperlink ref="Z174" r:id="rId65" xr:uid="{C045DFB7-21F8-4213-8C58-42EE3916A03F}"/>
    <hyperlink ref="Z179" r:id="rId66" xr:uid="{AA6C14AD-D270-41E3-9DE3-F85000DF87B4}"/>
    <hyperlink ref="Z181" r:id="rId67" xr:uid="{1DC5E4A8-5DDB-44D6-82A3-BFB3FE9EEA10}"/>
    <hyperlink ref="Z226" r:id="rId68" xr:uid="{8CB5FED8-A9C3-467E-A0F0-7BE6C80CA65B}"/>
    <hyperlink ref="Z203" r:id="rId69" xr:uid="{C29C16B3-26E4-4AAB-87F1-6FB2A7F70E5C}"/>
    <hyperlink ref="Z206" r:id="rId70" xr:uid="{530CF69F-37D4-4741-909D-F3A05DE13B32}"/>
    <hyperlink ref="Z214" r:id="rId71" xr:uid="{A18DFAF1-19A4-44D2-8AA9-0A1079303D6C}"/>
    <hyperlink ref="Z216" r:id="rId72" xr:uid="{78586623-9F5F-4C4B-9B4E-4B5BEA302338}"/>
    <hyperlink ref="Z562" r:id="rId73" xr:uid="{88D27C95-4CE6-4FEB-9E63-2328E8102C59}"/>
    <hyperlink ref="Z247" r:id="rId74" xr:uid="{EFA4CA14-4E73-410E-81ED-5A9BCA0D78E9}"/>
    <hyperlink ref="Z250" r:id="rId75" xr:uid="{D4B5BCC5-8F0F-49EE-AA4C-06C1A6C7A3C6}"/>
    <hyperlink ref="Z261" r:id="rId76" xr:uid="{D71F5337-B612-4949-AA1B-BB2038E42133}"/>
    <hyperlink ref="Z271" r:id="rId77" xr:uid="{37704465-F585-4F30-9F73-3B30575C4ECB}"/>
    <hyperlink ref="Z351" r:id="rId78" xr:uid="{74256E92-BF26-463F-B390-81CDC465763C}"/>
    <hyperlink ref="Z354" r:id="rId79" xr:uid="{D20F3099-278C-4C29-B287-E7B7B1338C97}"/>
    <hyperlink ref="Z332" r:id="rId80" xr:uid="{829327B8-A37F-4DF7-98F3-4466275B37D5}"/>
    <hyperlink ref="Z385" r:id="rId81" xr:uid="{35D1F30A-D8A7-4ABA-9533-06D94FEDFA07}"/>
    <hyperlink ref="Z413" r:id="rId82" xr:uid="{833B190F-5127-48F6-81D4-263B14B4025C}"/>
    <hyperlink ref="Z452" r:id="rId83" xr:uid="{147CDC20-E110-4EEC-8B6A-969F6AE3F9F0}"/>
    <hyperlink ref="Z495" r:id="rId84" xr:uid="{004552BF-9F23-401A-ADA1-16BD0EE12463}"/>
    <hyperlink ref="Z493" r:id="rId85" xr:uid="{A9F3921D-25D5-41BB-8800-39F2A1D0C412}"/>
    <hyperlink ref="Z524" r:id="rId86" xr:uid="{BA84CBB2-00B8-4B36-8C7E-0463D5293D4A}"/>
    <hyperlink ref="Z509" r:id="rId87" xr:uid="{4DB290A3-4F4A-4065-9A45-6C8283C0F40C}"/>
    <hyperlink ref="Z523" r:id="rId88" xr:uid="{31A81F23-F132-447C-9EBE-5A8C510DBF39}"/>
    <hyperlink ref="Z537" r:id="rId89" xr:uid="{5247BC0B-9BAE-41D0-AE82-62E2085A8C59}"/>
    <hyperlink ref="Z546" r:id="rId90" xr:uid="{86C5E40F-9098-4D9B-895E-8CDDD0F855BE}"/>
    <hyperlink ref="Z560" r:id="rId91" xr:uid="{D4F66633-872F-41E4-9454-943A6B901EFC}"/>
    <hyperlink ref="Z438" r:id="rId92" xr:uid="{BA6C6C18-5DE8-4083-B966-79778005E4E2}"/>
    <hyperlink ref="Z232" r:id="rId93" xr:uid="{CBC7FB84-4047-490E-B1A9-D2D23DD31DD7}"/>
    <hyperlink ref="Z344" r:id="rId94" xr:uid="{95BA110E-DF96-472C-AAF2-F9D785F28A94}"/>
    <hyperlink ref="Z26" r:id="rId95" xr:uid="{458F2BC4-DD03-49E8-B5F3-574B139380A4}"/>
    <hyperlink ref="Z504" r:id="rId96" xr:uid="{418344B7-CEA3-4DB9-9FCE-EA9F39FA22ED}"/>
    <hyperlink ref="Z117" r:id="rId97" xr:uid="{C4ED6ED4-A22F-4CCA-A4CD-AD4D9706DC71}"/>
    <hyperlink ref="Z536" r:id="rId98" xr:uid="{849CC7E3-C3B3-4D73-B351-987DF5A619E7}"/>
    <hyperlink ref="Z319" r:id="rId99" xr:uid="{3765A033-F07A-411E-ACB4-9BA8AEE55609}"/>
    <hyperlink ref="Z491" r:id="rId100" xr:uid="{6692613E-5CA1-42D7-BC93-73C739BABEDD}"/>
    <hyperlink ref="Z340" r:id="rId101" xr:uid="{3667C2C6-A104-4E3A-A74D-02B117E87831}"/>
    <hyperlink ref="Z188" r:id="rId102" xr:uid="{306B311D-6B45-4027-8CDF-55C19ACC5E88}"/>
    <hyperlink ref="Z195" r:id="rId103" xr:uid="{AA4ABC53-8E70-40AA-B543-61B5CB8A3FB0}"/>
    <hyperlink ref="Z175" r:id="rId104" xr:uid="{7194A25A-019A-467F-8252-C109E7F71E09}"/>
    <hyperlink ref="Z274" r:id="rId105" xr:uid="{FDCA4CDA-D4D6-425F-B4D3-CCDCA5654B47}"/>
    <hyperlink ref="Z87" r:id="rId106" xr:uid="{2A7C884A-C699-4746-9D9B-06D242F47791}"/>
    <hyperlink ref="Z63" r:id="rId107" xr:uid="{49E3C707-C5C1-4A7A-B152-6D36C978592E}"/>
    <hyperlink ref="Z22" r:id="rId108" xr:uid="{CB5E9831-A862-4D2E-B186-A1DA119C09F0}"/>
    <hyperlink ref="Z300" r:id="rId109" xr:uid="{C87F4290-38C3-4442-8A5B-49D8C90E9BA3}"/>
    <hyperlink ref="Z168" r:id="rId110" xr:uid="{C04EC555-1576-4351-A61B-A69511D0348D}"/>
    <hyperlink ref="Z312" r:id="rId111" xr:uid="{82B03EC4-189B-4421-9A44-A886D19DC897}"/>
    <hyperlink ref="Z234" r:id="rId112" xr:uid="{FDAAD465-D2B1-43E6-9F44-02AD00BDD0C4}"/>
    <hyperlink ref="Z112" r:id="rId113" xr:uid="{C8FCEE3C-C3BA-48A8-9C29-76B3F2E5996E}"/>
    <hyperlink ref="Z474" r:id="rId114" xr:uid="{3F42D28A-C840-4F34-BA3B-A24CCC831CF3}"/>
    <hyperlink ref="Z441" r:id="rId115" xr:uid="{14A6B124-04C3-4071-AD76-9870ABF60085}"/>
    <hyperlink ref="Z275" r:id="rId116" xr:uid="{5326A4B2-81CD-4A10-B8BA-A1F16E1C0060}"/>
    <hyperlink ref="Z471" r:id="rId117" xr:uid="{BC2A00E5-94EC-461F-8AE8-A9391D303596}"/>
    <hyperlink ref="Z265" r:id="rId118" xr:uid="{B5C27208-214E-4240-919F-2B13EC589A38}"/>
    <hyperlink ref="Z432" r:id="rId119" xr:uid="{AACA0872-919D-4541-8589-8B71AE9B7E8A}"/>
    <hyperlink ref="Z378" r:id="rId120" xr:uid="{87FDC619-DEF0-4CBB-8B6C-D56098CBFE09}"/>
    <hyperlink ref="Z278" r:id="rId121" xr:uid="{3B0C22C8-C174-4FC5-90F7-15D316D08024}"/>
    <hyperlink ref="Z148" r:id="rId122" xr:uid="{F87BEC17-C656-413A-A72A-13D41480F997}"/>
    <hyperlink ref="Z497" r:id="rId123" xr:uid="{5C912FBC-B01E-47FD-853A-9D19837E629B}"/>
    <hyperlink ref="Z103" r:id="rId124" xr:uid="{DA6AF058-3817-41FF-9F1E-B0628809ED62}"/>
    <hyperlink ref="Z239" r:id="rId125" xr:uid="{BBFD636B-8CAC-47DE-9643-5FCFFD3D1451}"/>
    <hyperlink ref="Z514" r:id="rId126" xr:uid="{D1C0AC78-8523-4E36-A724-70D9D2C4B96F}"/>
    <hyperlink ref="Z356" r:id="rId127" xr:uid="{E4B96882-FA23-4CA3-A20F-3974F59A1657}"/>
    <hyperlink ref="Z388" r:id="rId128" xr:uid="{53A8E7E2-95B3-4E3D-ACBC-CCE2F9B4BE41}"/>
    <hyperlink ref="Z333" r:id="rId129" xr:uid="{D2BB46B2-686D-467C-BFE8-68CC1BF415C6}"/>
    <hyperlink ref="Z159" r:id="rId130" xr:uid="{373C9F09-A5C7-4A0C-9226-9E3DBEA592E0}"/>
    <hyperlink ref="Z350" r:id="rId131" xr:uid="{26F9FC42-A0AF-4B5C-8EA6-F2007F18F9FE}"/>
    <hyperlink ref="Z90" r:id="rId132" xr:uid="{0E1187E1-684F-4EFC-83F7-7035E534A2F4}"/>
    <hyperlink ref="Z531" r:id="rId133" xr:uid="{63B82D1A-0288-448F-9A90-1C348246F53E}"/>
    <hyperlink ref="Z255" r:id="rId134" xr:uid="{65356B27-476B-4A14-B73C-08AC8B4AEBBD}"/>
    <hyperlink ref="Z443" r:id="rId135" xr:uid="{3B282048-418A-4352-A4EC-DC8562C1623D}"/>
    <hyperlink ref="Z256" r:id="rId136" xr:uid="{DBBAAE5F-834D-4641-BFA2-83551736E62A}"/>
    <hyperlink ref="Z263" r:id="rId137" xr:uid="{FEBFB676-42ED-4BE6-B9D9-4350600C530F}"/>
    <hyperlink ref="Z243" r:id="rId138" xr:uid="{B626FB84-5D18-4231-9D79-898B6CC3C929}"/>
    <hyperlink ref="Z55" r:id="rId139" xr:uid="{B6080128-45F0-405A-945E-B23B7545F9B0}"/>
    <hyperlink ref="Z132" r:id="rId140" xr:uid="{ABB6DDD0-6FC5-4C35-A72F-D96EB9BA8189}"/>
    <hyperlink ref="Z429" r:id="rId141" xr:uid="{84D16AC8-B5CA-4C86-98A4-B16B27606EA0}"/>
    <hyperlink ref="Z142" r:id="rId142" xr:uid="{D7FFF631-CBF7-483F-9CC0-EA8B8D95A59F}"/>
    <hyperlink ref="Z254" r:id="rId143" xr:uid="{FA2EBD4E-E64E-4E14-AD5B-08DEED7B80D4}"/>
    <hyperlink ref="Z252" r:id="rId144" xr:uid="{B99F56B9-D030-4B0F-AD98-20F94F8A917F}"/>
    <hyperlink ref="Z225" r:id="rId145" xr:uid="{473372A1-E61E-4B74-9432-1388234492F8}"/>
    <hyperlink ref="Z472" r:id="rId146" xr:uid="{E6364C34-591A-448B-8B2C-CCDE907D8124}"/>
    <hyperlink ref="Z233" r:id="rId147" xr:uid="{B10ADF3D-3213-43C8-BD88-196B94739CD3}"/>
    <hyperlink ref="Z415" r:id="rId148" xr:uid="{6486F900-F23F-49C7-BE76-B8BCB3653834}"/>
    <hyperlink ref="Z200" r:id="rId149" xr:uid="{076FFCBB-F8DF-4BC4-9C05-7A54CD7D7D62}"/>
    <hyperlink ref="Z209" r:id="rId150" xr:uid="{44893306-C472-45D0-9BE0-7797F305046E}"/>
    <hyperlink ref="Z447" r:id="rId151" xr:uid="{DCD0D697-9B89-422F-973F-C818594C3D55}"/>
    <hyperlink ref="Z368" r:id="rId152" xr:uid="{C38C15DB-9282-45E1-8DAC-2C3FC187C088}"/>
    <hyperlink ref="Z481" r:id="rId153" xr:uid="{8288BA52-F21D-4300-89BD-57DBB6559CC1}"/>
    <hyperlink ref="Z352" r:id="rId154" xr:uid="{B594EFDB-9A47-4BC0-A0BE-8162F2E47D40}"/>
    <hyperlink ref="Z64" r:id="rId155" xr:uid="{407BFFC1-CC9B-48D1-800B-55C4A259CF58}"/>
    <hyperlink ref="Z98" r:id="rId156" xr:uid="{52614A7B-0558-4F68-9AF3-63CDB2156D68}"/>
    <hyperlink ref="Z107" r:id="rId157" xr:uid="{441D4818-C3B2-4FB5-AE77-AA4B313F5AE3}"/>
    <hyperlink ref="Z126" r:id="rId158" xr:uid="{A8A657E9-F8FF-4B86-A981-41114C2766FF}"/>
    <hyperlink ref="Z324" r:id="rId159" xr:uid="{27699E87-6268-41A4-B17A-33E1515A791E}"/>
    <hyperlink ref="Z123" r:id="rId160" xr:uid="{95B3F735-20BB-418B-B87C-EB0D89A6AF12}"/>
    <hyperlink ref="Z345" r:id="rId161" xr:uid="{9AA38E46-ED76-4A49-B7DD-620AF994320D}"/>
    <hyperlink ref="Z343" r:id="rId162" xr:uid="{63301519-F69B-4F7C-9B0F-EC275059EFAD}"/>
    <hyperlink ref="Z301" r:id="rId163" xr:uid="{B5F7E865-B4EE-43C6-895A-5E6AD90018CF}"/>
    <hyperlink ref="Z18" r:id="rId164" xr:uid="{BE272ECE-7E0F-476B-B500-E61D001F301A}"/>
    <hyperlink ref="Z197" r:id="rId165" xr:uid="{D3B27551-9B83-4937-BC70-42D3EF1FE123}"/>
    <hyperlink ref="Z457" r:id="rId166" xr:uid="{78AA8FA0-B584-4034-8815-EB6182C329E6}"/>
    <hyperlink ref="Z262" r:id="rId167" xr:uid="{813FDF59-A188-43C1-95AC-C73B49588CC7}"/>
    <hyperlink ref="Z530" r:id="rId168" xr:uid="{F20B6BB9-9D41-4E89-ABC4-0D38B3922450}"/>
    <hyperlink ref="Z38" r:id="rId169" xr:uid="{33EE46A7-1039-41C8-8C15-116702B2BC9F}"/>
    <hyperlink ref="Z342" r:id="rId170" xr:uid="{47BD73BC-B9F2-4BD2-BA10-B8D00EF7C580}"/>
    <hyperlink ref="Z375" r:id="rId171" xr:uid="{E05A07AF-2417-4A76-B1FF-9C764AF98C01}"/>
    <hyperlink ref="Z558" r:id="rId172" xr:uid="{A5DA57D2-EC9D-45E1-AE2E-06B0B357E7B2}"/>
    <hyperlink ref="Z95" r:id="rId173" xr:uid="{78437127-1D58-42D5-99F0-2E76DA3BDAFF}"/>
    <hyperlink ref="Z483" r:id="rId174" xr:uid="{A4B04882-3056-4070-8F83-1CE35A8887CB}"/>
    <hyperlink ref="Z394" r:id="rId175" xr:uid="{AC85F155-D0F4-4402-B1FD-3250773D4EA7}"/>
    <hyperlink ref="Z25" r:id="rId176" xr:uid="{ACEB5515-D72C-4377-A91C-9FD6630375DA}"/>
    <hyperlink ref="Z105" r:id="rId177" xr:uid="{3F314B31-44BD-4B1E-9C8A-2CDF4C1166FD}"/>
    <hyperlink ref="Z104" r:id="rId178" xr:uid="{3D7D49C0-ED53-43A5-A826-87072D2A3C13}"/>
    <hyperlink ref="Z477" r:id="rId179" xr:uid="{29CF02D8-8C6B-4457-8711-EB7415EABE26}"/>
    <hyperlink ref="Z186" r:id="rId180" xr:uid="{B38C2813-8801-4393-9DF9-D6EAAC798F0B}"/>
    <hyperlink ref="Z292" r:id="rId181" xr:uid="{35B7E84D-D6FE-4DF5-8B34-FD142D8BDC89}"/>
    <hyperlink ref="Z534" r:id="rId182" xr:uid="{EBF3B89D-2CFE-4504-8D68-BC3ED48247C5}"/>
    <hyperlink ref="Z329" r:id="rId183" xr:uid="{90020D23-4A3A-4A3D-B1FD-D619CDC2CFCD}"/>
    <hyperlink ref="Z215" r:id="rId184" xr:uid="{21DE6CBA-09C2-4532-A01A-256A8679E132}"/>
    <hyperlink ref="Z259" r:id="rId185" xr:uid="{10CF87A3-0693-4366-B521-B575F355B6FA}"/>
    <hyperlink ref="Z210" r:id="rId186" xr:uid="{DFE24B4C-0A01-433D-B7E2-A2A0C42CD3D4}"/>
    <hyperlink ref="Z398" r:id="rId187" xr:uid="{1621BF2B-8BCD-403D-8D3A-D5AB87FA8630}"/>
    <hyperlink ref="Z183" r:id="rId188" xr:uid="{3B15D837-0BFD-4C3F-A1D4-550D36C71C4B}"/>
    <hyperlink ref="Z84" r:id="rId189" xr:uid="{32ED852B-C76E-4EE0-933F-2E512ED567E8}"/>
    <hyperlink ref="Z241" r:id="rId190" xr:uid="{C42607B5-9FCE-4EA1-AE31-42C077C4F35B}"/>
    <hyperlink ref="Z93" r:id="rId191" xr:uid="{95437340-C802-4A83-BD73-3A4D62825444}"/>
    <hyperlink ref="Z494" r:id="rId192" xr:uid="{548DD5C2-CD8F-44DF-8E18-94C83C459674}"/>
    <hyperlink ref="Z202" r:id="rId193" xr:uid="{32488D76-2B3C-4935-A46F-12368C08964B}"/>
    <hyperlink ref="Z297" r:id="rId194" xr:uid="{F2BC0256-E14A-4830-8FC7-AAA734D25372}"/>
    <hyperlink ref="Z193" r:id="rId195" xr:uid="{B741BE32-BD9C-4077-B24B-175EFB14B012}"/>
    <hyperlink ref="Z322" r:id="rId196" xr:uid="{0180C922-470B-41E1-ABC9-184F7E5ADE68}"/>
    <hyperlink ref="Z253" r:id="rId197" xr:uid="{47AA47D2-88B2-4751-AB6F-B9013880BAAE}"/>
    <hyperlink ref="Z122" r:id="rId198" xr:uid="{2DB630E4-1311-433B-9CF4-6318B784A7FD}"/>
    <hyperlink ref="Z422" r:id="rId199" xr:uid="{C69EE237-F4C5-48C8-A73B-12C1836EDC8F}"/>
    <hyperlink ref="Z417" r:id="rId200" xr:uid="{1F6E3B2E-5E4E-4373-8832-609AFF347D8F}"/>
    <hyperlink ref="Z407" r:id="rId201" xr:uid="{B8731997-C9C5-4B66-8F5A-7E68BAA7A541}"/>
    <hyperlink ref="Z390" r:id="rId202" xr:uid="{A96A8B03-F870-46E2-9CAE-67310EAC5799}"/>
    <hyperlink ref="Z533" r:id="rId203" xr:uid="{6D92EA95-7179-4606-8004-C61BCC95C7EF}"/>
    <hyperlink ref="Z238" r:id="rId204" xr:uid="{51C1FD44-B747-4080-940F-5C5C13C73C48}"/>
    <hyperlink ref="Z279" r:id="rId205" xr:uid="{23CD1C3A-B2D1-44F9-9393-ED5C049826A2}"/>
    <hyperlink ref="Z307" r:id="rId206" xr:uid="{5C81179B-7C56-412F-9A9D-0945D2E293D4}"/>
    <hyperlink ref="Z43" r:id="rId207" xr:uid="{A6F06630-D445-4C23-918F-C0CBB359EDAE}"/>
    <hyperlink ref="Z78" r:id="rId208" xr:uid="{F6105E01-E6D0-41EA-A895-5E1CA17A84D2}"/>
    <hyperlink ref="Z54" r:id="rId209" xr:uid="{5C7BD333-FCC7-4569-9EC9-0997347107D7}"/>
    <hyperlink ref="Z10" r:id="rId210" xr:uid="{2E1C56D0-226D-4A11-926D-ACCBF3208AC3}"/>
    <hyperlink ref="Z8" r:id="rId211" xr:uid="{2B3ED934-5216-49AB-8576-040683DC7B5E}"/>
    <hyperlink ref="Z372" r:id="rId212" xr:uid="{983A32A4-85BE-4B37-88B6-A84BC64BD740}"/>
    <hyperlink ref="Z62" r:id="rId213" xr:uid="{9D6C9457-75F6-4763-9277-C734339E0A36}"/>
    <hyperlink ref="Z320" r:id="rId214" xr:uid="{E19AE898-F0BF-44DF-96B8-93ADE354CAA5}"/>
    <hyperlink ref="Z164" r:id="rId215" xr:uid="{D2C487FB-A40F-4FC2-8C73-34A4F18225A4}"/>
    <hyperlink ref="Z60" r:id="rId216" xr:uid="{3FA2FC7B-B2D5-4185-89F1-47AEB50A6C03}"/>
    <hyperlink ref="Z91" r:id="rId217" xr:uid="{7FD5317F-7AFB-4E15-9C25-EE314AE2EBCC}"/>
    <hyperlink ref="Z547" r:id="rId218" xr:uid="{6F305B6C-D458-4F77-B42C-A43A165FC97A}"/>
    <hyperlink ref="Z196" r:id="rId219" xr:uid="{02BD4F46-458B-4AC8-8CD8-4BD04D9C7AA4}"/>
    <hyperlink ref="Z177" r:id="rId220" xr:uid="{7665402D-7885-4ADA-B78E-41E161B6B004}"/>
    <hyperlink ref="Z482" r:id="rId221" xr:uid="{CED239FC-1F9E-4635-957A-2F4B22F43DF3}"/>
    <hyperlink ref="Z478" r:id="rId222" xr:uid="{CBE3BA74-2637-49AC-9041-CC908204665D}"/>
    <hyperlink ref="Z426" r:id="rId223" xr:uid="{21219881-D5D8-4713-BD0F-5256A63EE829}"/>
    <hyperlink ref="Z553" r:id="rId224" xr:uid="{F257D307-7C67-421C-94A1-425A946D5838}"/>
    <hyperlink ref="Z468" r:id="rId225" xr:uid="{1FB959B7-E777-48C8-931A-90AD33CCA13C}"/>
    <hyperlink ref="Z242" r:id="rId226" xr:uid="{87D0F2D8-EE87-4873-91D1-EE2F137E4D88}"/>
    <hyperlink ref="Z552" r:id="rId227" xr:uid="{2D8B9030-4ABD-40F4-8B95-17FBA24D89EE}"/>
    <hyperlink ref="Z151" r:id="rId228" xr:uid="{40A2B667-6AC7-42B7-920E-3B6062E5D390}"/>
    <hyperlink ref="Z81" r:id="rId229" xr:uid="{F23AE245-F787-4BA3-8393-0099E14E3299}"/>
    <hyperlink ref="Z423" r:id="rId230" xr:uid="{4AA32D24-84F7-46A3-9B9A-E6097F33D1BB}"/>
    <hyperlink ref="Z311" r:id="rId231" xr:uid="{0A0069DF-3B2C-41DC-923E-648FF5E6FD7B}"/>
    <hyperlink ref="Z439" r:id="rId232" xr:uid="{BFD015E7-9097-41C9-A8E4-771D75C187EF}"/>
    <hyperlink ref="Z31" r:id="rId233" xr:uid="{1963AEE7-7EE6-4871-AAB8-C5F9D9F4C2DD}"/>
    <hyperlink ref="Z318" r:id="rId234" xr:uid="{909D1D24-6912-407F-82AE-B666B500788D}"/>
    <hyperlink ref="Z393" r:id="rId235" xr:uid="{74026C1A-9102-4ED4-8696-62E419ACD158}"/>
    <hyperlink ref="Z152" r:id="rId236" xr:uid="{AE9ADA2B-B9B0-4607-A90D-806A6EF141E2}"/>
    <hyperlink ref="Z212" r:id="rId237" xr:uid="{41AE4F5E-5035-4E69-8DFB-D5407BAEB154}"/>
    <hyperlink ref="Z334" r:id="rId238" xr:uid="{D21721A0-289C-4BBB-962D-9300CC769373}"/>
    <hyperlink ref="Z316" r:id="rId239" xr:uid="{842DDB27-A751-4BD7-8A69-397BA306C729}"/>
    <hyperlink ref="Z156" r:id="rId240" xr:uid="{EA0230B7-2B81-4294-9DEB-9F6899CD9367}"/>
    <hyperlink ref="Z445" r:id="rId241" xr:uid="{F281DDEE-0B78-4FA8-8C11-1CFCCA680FAF}"/>
    <hyperlink ref="Z353" r:id="rId242" xr:uid="{30D1A545-73C5-45A5-9B3A-AC71D6FF74AA}"/>
    <hyperlink ref="Z550" r:id="rId243" xr:uid="{08232BEC-0923-47AD-BCA7-AC47A9A4E060}"/>
    <hyperlink ref="Z245" r:id="rId244" xr:uid="{248747DC-F0E4-4AC2-8FD8-05A8BE94A022}"/>
    <hyperlink ref="Z15" r:id="rId245" xr:uid="{D4EBDD9D-A9B6-445E-BC20-14CCC0259A32}"/>
    <hyperlink ref="Z377" r:id="rId246" xr:uid="{E5C73599-8ABD-4227-85A8-C7C93AB179F0}"/>
    <hyperlink ref="Z235" r:id="rId247" xr:uid="{B535E9D7-EE13-4312-BE4A-287523FE7CBE}"/>
    <hyperlink ref="Z454" r:id="rId248" xr:uid="{F8A6FCA8-F0D9-4345-BF77-F20FC04473CA}"/>
    <hyperlink ref="Z391" r:id="rId249" xr:uid="{1A9C2055-E00A-4FC1-A05B-19C34A872CCA}"/>
    <hyperlink ref="Z293" r:id="rId250" xr:uid="{E7A3C004-D892-41DF-BF19-03B46C70BCC6}"/>
    <hyperlink ref="Z287" r:id="rId251" xr:uid="{3771D595-9595-4414-865D-8249CE84EE59}"/>
    <hyperlink ref="Z517" r:id="rId252" xr:uid="{618F4867-E6C5-4ADB-A225-8C9B011E055F}"/>
    <hyperlink ref="Z419" r:id="rId253" xr:uid="{3FC44399-F17F-4192-82A3-1C809D215882}"/>
    <hyperlink ref="Z11" r:id="rId254" xr:uid="{1D1CD13B-749F-410A-A0B5-7204830C5AB1}"/>
    <hyperlink ref="Z39" r:id="rId255" xr:uid="{DFD44742-8E5F-4E6F-A405-AA853376562A}"/>
    <hyperlink ref="Z32" r:id="rId256" xr:uid="{6EB4CB30-AC3C-493A-A682-884EF3B1F97D}"/>
    <hyperlink ref="Z165" r:id="rId257" xr:uid="{77AB59F0-69A3-41A0-A546-70F007B84A96}"/>
    <hyperlink ref="Z291" r:id="rId258" xr:uid="{4CCB7934-F439-4606-93F6-98677537EEA9}"/>
    <hyperlink ref="Z365" r:id="rId259" xr:uid="{942DA18D-53C6-47DB-BB24-180B93C3336F}"/>
    <hyperlink ref="Z201" r:id="rId260" xr:uid="{AA94F1F8-BA14-4A50-9041-E69C994EE252}"/>
    <hyperlink ref="Z34" r:id="rId261" xr:uid="{075174AF-2305-446C-995E-03BFFDB46CC8}"/>
    <hyperlink ref="Z289" r:id="rId262" xr:uid="{5AD3E7B5-E5A2-48A9-BF60-5ACD03FAF7E9}"/>
    <hyperlink ref="Z347" r:id="rId263" xr:uid="{B9B80EC1-6107-478C-8F51-1BDEA10BA860}"/>
  </hyperlinks>
  <pageMargins left="0.7" right="0.7" top="0.75" bottom="0.75" header="0.3" footer="0.3"/>
  <drawing r:id="rId26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0428-4D28-4C67-B46E-102C6609A5F9}">
  <dimension ref="A1:AU560"/>
  <sheetViews>
    <sheetView tabSelected="1" topLeftCell="AA1" zoomScale="81" workbookViewId="0">
      <selection activeCell="C10" sqref="C10"/>
    </sheetView>
  </sheetViews>
  <sheetFormatPr baseColWidth="10" defaultColWidth="8.83203125" defaultRowHeight="15" outlineLevelCol="1" x14ac:dyDescent="0.2"/>
  <cols>
    <col min="2" max="2" width="14.6640625" customWidth="1"/>
    <col min="3" max="3" width="16.83203125" customWidth="1"/>
    <col min="4" max="4" width="51.1640625" customWidth="1"/>
    <col min="5" max="5" width="46.5" bestFit="1" customWidth="1"/>
    <col min="6" max="6" width="21.83203125" customWidth="1"/>
    <col min="7" max="7" width="13.5" bestFit="1" customWidth="1"/>
    <col min="8" max="8" width="66.1640625" bestFit="1" customWidth="1"/>
    <col min="9" max="9" width="17.6640625" bestFit="1" customWidth="1"/>
    <col min="10" max="10" width="17.6640625" customWidth="1"/>
    <col min="11" max="11" width="18.33203125" bestFit="1" customWidth="1"/>
    <col min="12" max="12" width="18" bestFit="1" customWidth="1" outlineLevel="1"/>
    <col min="13" max="13" width="19.5" customWidth="1" outlineLevel="1"/>
    <col min="14" max="14" width="4.6640625" bestFit="1" customWidth="1" outlineLevel="1"/>
    <col min="15" max="15" width="13.5" bestFit="1" customWidth="1" outlineLevel="1"/>
    <col min="16" max="16" width="23.6640625" bestFit="1" customWidth="1" outlineLevel="1"/>
    <col min="17" max="17" width="13.83203125" bestFit="1" customWidth="1" outlineLevel="1"/>
    <col min="18" max="18" width="10.5" bestFit="1" customWidth="1" outlineLevel="1"/>
    <col min="19" max="19" width="11.33203125" bestFit="1" customWidth="1" outlineLevel="1"/>
    <col min="20" max="20" width="12.5" bestFit="1" customWidth="1" outlineLevel="1"/>
    <col min="21" max="21" width="11.83203125" bestFit="1" customWidth="1" outlineLevel="1"/>
    <col min="22" max="22" width="7.33203125" bestFit="1" customWidth="1" outlineLevel="1"/>
    <col min="23" max="23" width="12.5" bestFit="1" customWidth="1" outlineLevel="1"/>
    <col min="24" max="26" width="7.33203125" bestFit="1" customWidth="1" outlineLevel="1"/>
    <col min="27" max="27" width="19" bestFit="1" customWidth="1"/>
    <col min="28" max="28" width="37" bestFit="1" customWidth="1"/>
    <col min="29" max="29" width="31.33203125" bestFit="1" customWidth="1"/>
    <col min="30" max="30" width="13.33203125" bestFit="1" customWidth="1"/>
    <col min="31" max="31" width="11.83203125" bestFit="1" customWidth="1"/>
    <col min="32" max="32" width="10.5" bestFit="1" customWidth="1"/>
    <col min="33" max="40" width="5.83203125" bestFit="1" customWidth="1"/>
    <col min="41" max="41" width="8.6640625" bestFit="1" customWidth="1"/>
    <col min="42" max="42" width="8.6640625" customWidth="1"/>
    <col min="43" max="43" width="26.6640625" bestFit="1" customWidth="1"/>
  </cols>
  <sheetData>
    <row r="1" spans="1:43" ht="73" thickBot="1" x14ac:dyDescent="0.25">
      <c r="A1" t="s">
        <v>4773</v>
      </c>
      <c r="B1" s="427" t="s">
        <v>0</v>
      </c>
      <c r="C1" s="388" t="s">
        <v>1</v>
      </c>
      <c r="D1" s="389" t="s">
        <v>2</v>
      </c>
      <c r="E1" s="391" t="s">
        <v>3</v>
      </c>
      <c r="F1" s="391" t="s">
        <v>4711</v>
      </c>
      <c r="G1" s="433" t="s">
        <v>4</v>
      </c>
      <c r="H1" s="390" t="s">
        <v>5</v>
      </c>
      <c r="I1" s="392" t="s">
        <v>6</v>
      </c>
      <c r="J1" s="438" t="s">
        <v>4737</v>
      </c>
      <c r="K1" s="392" t="s">
        <v>7</v>
      </c>
      <c r="L1" s="385" t="s">
        <v>8</v>
      </c>
      <c r="M1" s="386" t="s">
        <v>9</v>
      </c>
      <c r="N1" s="387" t="s">
        <v>10</v>
      </c>
      <c r="O1" s="384" t="s">
        <v>11</v>
      </c>
      <c r="P1" s="478" t="s">
        <v>12</v>
      </c>
      <c r="Q1" s="478"/>
      <c r="R1" s="481" t="s">
        <v>13</v>
      </c>
      <c r="S1" s="478" t="s">
        <v>14</v>
      </c>
      <c r="T1" s="482" t="s">
        <v>15</v>
      </c>
      <c r="U1" s="482" t="s">
        <v>16</v>
      </c>
      <c r="V1" s="482" t="s">
        <v>17</v>
      </c>
      <c r="W1" s="482" t="s">
        <v>18</v>
      </c>
      <c r="X1" s="482" t="s">
        <v>19</v>
      </c>
      <c r="Y1" s="482" t="s">
        <v>20</v>
      </c>
      <c r="Z1" s="482" t="s">
        <v>4624</v>
      </c>
      <c r="AA1" s="443" t="s">
        <v>21</v>
      </c>
      <c r="AB1" s="444" t="s">
        <v>22</v>
      </c>
      <c r="AC1" s="444" t="s">
        <v>23</v>
      </c>
      <c r="AD1" s="488" t="s">
        <v>24</v>
      </c>
      <c r="AE1" s="489" t="s">
        <v>25</v>
      </c>
      <c r="AF1" s="450" t="s">
        <v>26</v>
      </c>
      <c r="AG1" s="490" t="s">
        <v>27</v>
      </c>
      <c r="AH1" s="453">
        <v>2020</v>
      </c>
      <c r="AI1" s="453">
        <v>2021</v>
      </c>
      <c r="AJ1" s="453">
        <v>2022</v>
      </c>
      <c r="AK1" s="453">
        <v>2023</v>
      </c>
      <c r="AL1" s="453">
        <v>2024</v>
      </c>
      <c r="AM1" s="455">
        <v>2025</v>
      </c>
      <c r="AN1" s="453">
        <v>2026</v>
      </c>
      <c r="AO1" s="443" t="s">
        <v>28</v>
      </c>
      <c r="AP1" s="496" t="s">
        <v>4736</v>
      </c>
      <c r="AQ1" s="498" t="s">
        <v>29</v>
      </c>
    </row>
    <row r="2" spans="1:43" ht="48" customHeight="1" thickTop="1" x14ac:dyDescent="0.2">
      <c r="A2">
        <v>1</v>
      </c>
      <c r="B2" s="426">
        <v>1</v>
      </c>
      <c r="C2" s="428" t="s">
        <v>33</v>
      </c>
      <c r="D2" s="429" t="s">
        <v>34</v>
      </c>
      <c r="E2" s="431" t="s">
        <v>4793</v>
      </c>
      <c r="F2" s="431"/>
      <c r="G2" s="431" t="s">
        <v>36</v>
      </c>
      <c r="H2" s="428" t="s">
        <v>37</v>
      </c>
      <c r="I2" s="435" t="s">
        <v>38</v>
      </c>
      <c r="J2" s="437" t="s">
        <v>4762</v>
      </c>
      <c r="K2" s="435" t="s">
        <v>39</v>
      </c>
      <c r="L2" s="469" t="s">
        <v>40</v>
      </c>
      <c r="M2" s="428" t="s">
        <v>41</v>
      </c>
      <c r="N2" s="440" t="s">
        <v>42</v>
      </c>
      <c r="O2" s="441" t="s">
        <v>43</v>
      </c>
      <c r="P2" s="477"/>
      <c r="Q2" s="479"/>
      <c r="R2" s="480"/>
      <c r="S2" s="480"/>
      <c r="T2" s="480"/>
      <c r="U2" s="480" t="s">
        <v>44</v>
      </c>
      <c r="V2" s="480"/>
      <c r="W2" s="480"/>
      <c r="X2" s="480"/>
      <c r="Y2" s="480"/>
      <c r="Z2" s="480"/>
      <c r="AA2" s="442" t="s">
        <v>45</v>
      </c>
      <c r="AB2" s="485" t="s">
        <v>46</v>
      </c>
      <c r="AC2" s="445"/>
      <c r="AD2" s="447" t="s">
        <v>47</v>
      </c>
      <c r="AE2" s="449" t="s">
        <v>48</v>
      </c>
      <c r="AF2" s="431" t="s">
        <v>26</v>
      </c>
      <c r="AG2" s="451" t="s">
        <v>49</v>
      </c>
      <c r="AH2" s="452" t="s">
        <v>49</v>
      </c>
      <c r="AI2" s="452" t="s">
        <v>49</v>
      </c>
      <c r="AJ2" s="452" t="s">
        <v>41</v>
      </c>
      <c r="AK2" s="452" t="s">
        <v>41</v>
      </c>
      <c r="AL2" s="452" t="s">
        <v>41</v>
      </c>
      <c r="AM2" s="454" t="s">
        <v>41</v>
      </c>
      <c r="AN2" s="454" t="s">
        <v>41</v>
      </c>
      <c r="AO2" s="492">
        <v>5</v>
      </c>
      <c r="AP2" s="492"/>
      <c r="AQ2" s="497" t="s">
        <v>50</v>
      </c>
    </row>
    <row r="3" spans="1:43" x14ac:dyDescent="0.2">
      <c r="A3">
        <v>2</v>
      </c>
      <c r="B3" s="33">
        <f>+B2+1</f>
        <v>2</v>
      </c>
      <c r="C3" s="34" t="s">
        <v>51</v>
      </c>
      <c r="D3" s="35" t="s">
        <v>52</v>
      </c>
      <c r="E3" s="36" t="s">
        <v>4827</v>
      </c>
      <c r="F3" s="334">
        <v>23174</v>
      </c>
      <c r="G3" s="36" t="s">
        <v>54</v>
      </c>
      <c r="H3" s="34" t="s">
        <v>55</v>
      </c>
      <c r="I3" s="37" t="s">
        <v>56</v>
      </c>
      <c r="J3" s="425" t="s">
        <v>4739</v>
      </c>
      <c r="K3" s="37" t="s">
        <v>57</v>
      </c>
      <c r="L3" s="38" t="s">
        <v>58</v>
      </c>
      <c r="M3" s="34" t="s">
        <v>41</v>
      </c>
      <c r="N3" s="39" t="s">
        <v>42</v>
      </c>
      <c r="O3" s="40" t="s">
        <v>59</v>
      </c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2" t="s">
        <v>45</v>
      </c>
      <c r="AB3" s="52" t="s">
        <v>60</v>
      </c>
      <c r="AC3" s="44" t="s">
        <v>61</v>
      </c>
      <c r="AD3" s="45">
        <v>39286</v>
      </c>
      <c r="AE3" s="46" t="s">
        <v>30</v>
      </c>
      <c r="AF3" s="36" t="s">
        <v>26</v>
      </c>
      <c r="AG3" s="47" t="s">
        <v>49</v>
      </c>
      <c r="AH3" s="48" t="s">
        <v>49</v>
      </c>
      <c r="AI3" s="48" t="s">
        <v>49</v>
      </c>
      <c r="AJ3" s="48" t="s">
        <v>49</v>
      </c>
      <c r="AK3" s="48" t="s">
        <v>49</v>
      </c>
      <c r="AL3" s="48" t="s">
        <v>49</v>
      </c>
      <c r="AM3" s="49" t="s">
        <v>41</v>
      </c>
      <c r="AN3" s="48" t="s">
        <v>41</v>
      </c>
      <c r="AO3" s="50">
        <v>2</v>
      </c>
      <c r="AP3" s="50"/>
      <c r="AQ3" s="51"/>
    </row>
    <row r="4" spans="1:43" x14ac:dyDescent="0.2">
      <c r="A4">
        <v>3</v>
      </c>
      <c r="B4" s="33">
        <f>+B3+1</f>
        <v>3</v>
      </c>
      <c r="C4" s="34" t="s">
        <v>62</v>
      </c>
      <c r="D4" s="35" t="s">
        <v>63</v>
      </c>
      <c r="E4" s="36" t="s">
        <v>64</v>
      </c>
      <c r="F4" s="334">
        <v>30616</v>
      </c>
      <c r="G4" s="36" t="s">
        <v>54</v>
      </c>
      <c r="H4" s="34" t="s">
        <v>65</v>
      </c>
      <c r="I4" s="37" t="s">
        <v>56</v>
      </c>
      <c r="J4" s="425" t="s">
        <v>4739</v>
      </c>
      <c r="K4" s="37" t="s">
        <v>57</v>
      </c>
      <c r="L4" s="38" t="s">
        <v>66</v>
      </c>
      <c r="M4" s="34" t="s">
        <v>41</v>
      </c>
      <c r="N4" s="39" t="s">
        <v>42</v>
      </c>
      <c r="O4" s="53">
        <v>45250</v>
      </c>
      <c r="P4" s="41"/>
      <c r="Q4" s="41"/>
      <c r="R4" s="41"/>
      <c r="S4" s="41"/>
      <c r="T4" s="41"/>
      <c r="U4" s="41"/>
      <c r="V4" s="41"/>
      <c r="W4" s="41" t="s">
        <v>44</v>
      </c>
      <c r="X4" s="41"/>
      <c r="Y4" s="41"/>
      <c r="Z4" s="41"/>
      <c r="AA4" s="54" t="s">
        <v>67</v>
      </c>
      <c r="AB4" s="55" t="s">
        <v>68</v>
      </c>
      <c r="AC4" s="44"/>
      <c r="AD4" s="45">
        <v>45642</v>
      </c>
      <c r="AE4" s="46"/>
      <c r="AF4" s="36"/>
      <c r="AG4" s="47" t="s">
        <v>49</v>
      </c>
      <c r="AH4" s="48" t="s">
        <v>41</v>
      </c>
      <c r="AI4" s="48" t="s">
        <v>41</v>
      </c>
      <c r="AJ4" s="48" t="s">
        <v>41</v>
      </c>
      <c r="AK4" s="48" t="s">
        <v>49</v>
      </c>
      <c r="AL4" s="48" t="s">
        <v>49</v>
      </c>
      <c r="AM4" s="49" t="s">
        <v>49</v>
      </c>
      <c r="AN4" s="48" t="s">
        <v>49</v>
      </c>
      <c r="AO4" s="50">
        <v>0</v>
      </c>
      <c r="AP4" s="50"/>
      <c r="AQ4" s="51"/>
    </row>
    <row r="5" spans="1:43" x14ac:dyDescent="0.2">
      <c r="A5">
        <v>4</v>
      </c>
      <c r="B5" s="33">
        <f>+B4+1</f>
        <v>4</v>
      </c>
      <c r="C5" s="34" t="s">
        <v>69</v>
      </c>
      <c r="D5" s="35" t="s">
        <v>70</v>
      </c>
      <c r="E5" s="36" t="s">
        <v>71</v>
      </c>
      <c r="F5" s="334">
        <v>24620</v>
      </c>
      <c r="G5" s="36" t="s">
        <v>54</v>
      </c>
      <c r="H5" s="34" t="s">
        <v>72</v>
      </c>
      <c r="I5" s="37" t="s">
        <v>73</v>
      </c>
      <c r="J5" s="425" t="s">
        <v>4765</v>
      </c>
      <c r="K5" s="37" t="s">
        <v>73</v>
      </c>
      <c r="L5" s="34" t="s">
        <v>74</v>
      </c>
      <c r="M5" s="38" t="s">
        <v>75</v>
      </c>
      <c r="N5" s="39" t="s">
        <v>42</v>
      </c>
      <c r="O5" s="40" t="s">
        <v>59</v>
      </c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42" t="s">
        <v>76</v>
      </c>
      <c r="AB5" s="58" t="s">
        <v>77</v>
      </c>
      <c r="AC5" s="44" t="s">
        <v>78</v>
      </c>
      <c r="AD5" s="45">
        <v>42325</v>
      </c>
      <c r="AE5" s="46" t="s">
        <v>30</v>
      </c>
      <c r="AF5" s="36" t="s">
        <v>26</v>
      </c>
      <c r="AG5" s="47" t="s">
        <v>49</v>
      </c>
      <c r="AH5" s="48" t="s">
        <v>49</v>
      </c>
      <c r="AI5" s="48" t="s">
        <v>49</v>
      </c>
      <c r="AJ5" s="48" t="s">
        <v>49</v>
      </c>
      <c r="AK5" s="48" t="s">
        <v>49</v>
      </c>
      <c r="AL5" s="48" t="s">
        <v>49</v>
      </c>
      <c r="AM5" s="49" t="s">
        <v>41</v>
      </c>
      <c r="AN5" s="48" t="s">
        <v>41</v>
      </c>
      <c r="AO5" s="50">
        <v>2</v>
      </c>
      <c r="AP5" s="50"/>
      <c r="AQ5" s="51"/>
    </row>
    <row r="6" spans="1:43" x14ac:dyDescent="0.2">
      <c r="A6">
        <v>5</v>
      </c>
      <c r="B6" s="33">
        <f>+B5+1</f>
        <v>5</v>
      </c>
      <c r="C6" s="34" t="s">
        <v>79</v>
      </c>
      <c r="D6" s="35" t="s">
        <v>80</v>
      </c>
      <c r="E6" s="36" t="s">
        <v>81</v>
      </c>
      <c r="F6" s="334">
        <v>36828</v>
      </c>
      <c r="G6" s="36" t="s">
        <v>54</v>
      </c>
      <c r="H6" s="34" t="s">
        <v>82</v>
      </c>
      <c r="I6" s="37" t="s">
        <v>73</v>
      </c>
      <c r="J6" s="425" t="s">
        <v>4765</v>
      </c>
      <c r="K6" s="37" t="s">
        <v>73</v>
      </c>
      <c r="L6" s="38" t="s">
        <v>83</v>
      </c>
      <c r="M6" s="34" t="s">
        <v>41</v>
      </c>
      <c r="N6" s="39" t="s">
        <v>42</v>
      </c>
      <c r="O6" s="53">
        <v>45244</v>
      </c>
      <c r="P6" s="41"/>
      <c r="Q6" s="41"/>
      <c r="R6" s="41"/>
      <c r="S6" s="41"/>
      <c r="T6" s="41"/>
      <c r="U6" s="41"/>
      <c r="V6" s="41"/>
      <c r="W6" s="41" t="s">
        <v>44</v>
      </c>
      <c r="X6" s="41"/>
      <c r="Y6" s="41"/>
      <c r="Z6" s="41"/>
      <c r="AA6" s="57" t="s">
        <v>84</v>
      </c>
      <c r="AB6" s="55" t="s">
        <v>85</v>
      </c>
      <c r="AC6" s="44"/>
      <c r="AD6" s="45">
        <v>45642</v>
      </c>
      <c r="AE6" s="46"/>
      <c r="AF6" s="36"/>
      <c r="AG6" s="47" t="s">
        <v>49</v>
      </c>
      <c r="AH6" s="48" t="s">
        <v>41</v>
      </c>
      <c r="AI6" s="48" t="s">
        <v>41</v>
      </c>
      <c r="AJ6" s="48" t="s">
        <v>41</v>
      </c>
      <c r="AK6" s="48" t="s">
        <v>49</v>
      </c>
      <c r="AL6" s="48" t="s">
        <v>49</v>
      </c>
      <c r="AM6" s="49" t="s">
        <v>49</v>
      </c>
      <c r="AN6" s="48" t="s">
        <v>49</v>
      </c>
      <c r="AO6" s="50">
        <v>0</v>
      </c>
      <c r="AP6" s="50"/>
      <c r="AQ6" s="51"/>
    </row>
    <row r="7" spans="1:43" x14ac:dyDescent="0.2">
      <c r="A7">
        <v>6</v>
      </c>
      <c r="B7" s="33">
        <f>+B6+1</f>
        <v>6</v>
      </c>
      <c r="C7" s="34" t="s">
        <v>86</v>
      </c>
      <c r="D7" s="35" t="s">
        <v>87</v>
      </c>
      <c r="E7" s="36" t="s">
        <v>88</v>
      </c>
      <c r="F7" s="334">
        <v>32127</v>
      </c>
      <c r="G7" s="36" t="s">
        <v>54</v>
      </c>
      <c r="H7" s="34" t="s">
        <v>89</v>
      </c>
      <c r="I7" s="37" t="s">
        <v>56</v>
      </c>
      <c r="J7" s="425" t="s">
        <v>4739</v>
      </c>
      <c r="K7" s="37" t="s">
        <v>57</v>
      </c>
      <c r="L7" s="38" t="s">
        <v>90</v>
      </c>
      <c r="M7" s="34" t="s">
        <v>41</v>
      </c>
      <c r="N7" s="39" t="s">
        <v>42</v>
      </c>
      <c r="O7" s="53" t="s">
        <v>91</v>
      </c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42" t="s">
        <v>92</v>
      </c>
      <c r="AB7" s="58" t="s">
        <v>93</v>
      </c>
      <c r="AC7" s="44" t="s">
        <v>61</v>
      </c>
      <c r="AD7" s="45">
        <v>43200</v>
      </c>
      <c r="AE7" s="46" t="s">
        <v>94</v>
      </c>
      <c r="AF7" s="36" t="s">
        <v>26</v>
      </c>
      <c r="AG7" s="47" t="s">
        <v>49</v>
      </c>
      <c r="AH7" s="48" t="s">
        <v>49</v>
      </c>
      <c r="AI7" s="48" t="s">
        <v>49</v>
      </c>
      <c r="AJ7" s="48" t="s">
        <v>49</v>
      </c>
      <c r="AK7" s="48" t="s">
        <v>49</v>
      </c>
      <c r="AL7" s="48" t="s">
        <v>49</v>
      </c>
      <c r="AM7" s="49" t="s">
        <v>49</v>
      </c>
      <c r="AN7" s="48" t="s">
        <v>49</v>
      </c>
      <c r="AO7" s="50">
        <v>0</v>
      </c>
      <c r="AP7" s="50"/>
      <c r="AQ7" s="67"/>
    </row>
    <row r="8" spans="1:43" x14ac:dyDescent="0.2">
      <c r="A8">
        <v>7</v>
      </c>
      <c r="B8" s="33">
        <f>+B7+1</f>
        <v>7</v>
      </c>
      <c r="C8" s="34" t="s">
        <v>95</v>
      </c>
      <c r="D8" s="35" t="s">
        <v>96</v>
      </c>
      <c r="E8" s="36" t="s">
        <v>97</v>
      </c>
      <c r="F8" s="334">
        <v>24515</v>
      </c>
      <c r="G8" s="36" t="s">
        <v>54</v>
      </c>
      <c r="H8" s="34" t="s">
        <v>98</v>
      </c>
      <c r="I8" s="37" t="s">
        <v>56</v>
      </c>
      <c r="J8" s="425" t="s">
        <v>4739</v>
      </c>
      <c r="K8" s="37" t="s">
        <v>57</v>
      </c>
      <c r="L8" s="34">
        <v>81328792103</v>
      </c>
      <c r="M8" s="34" t="s">
        <v>41</v>
      </c>
      <c r="N8" s="39" t="s">
        <v>42</v>
      </c>
      <c r="O8" s="53">
        <v>39256</v>
      </c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57" t="s">
        <v>99</v>
      </c>
      <c r="AB8" s="52" t="s">
        <v>100</v>
      </c>
      <c r="AC8" s="44" t="s">
        <v>61</v>
      </c>
      <c r="AD8" s="45" t="s">
        <v>101</v>
      </c>
      <c r="AE8" s="46" t="s">
        <v>30</v>
      </c>
      <c r="AF8" s="36" t="s">
        <v>26</v>
      </c>
      <c r="AG8" s="47" t="s">
        <v>49</v>
      </c>
      <c r="AH8" s="48" t="s">
        <v>49</v>
      </c>
      <c r="AI8" s="48" t="s">
        <v>49</v>
      </c>
      <c r="AJ8" s="48" t="s">
        <v>49</v>
      </c>
      <c r="AK8" s="48" t="s">
        <v>49</v>
      </c>
      <c r="AL8" s="48" t="s">
        <v>49</v>
      </c>
      <c r="AM8" s="48" t="s">
        <v>49</v>
      </c>
      <c r="AN8" s="48" t="s">
        <v>49</v>
      </c>
      <c r="AO8" s="50">
        <v>0</v>
      </c>
      <c r="AP8" s="50"/>
      <c r="AQ8" s="67"/>
    </row>
    <row r="9" spans="1:43" x14ac:dyDescent="0.2">
      <c r="A9">
        <v>8</v>
      </c>
      <c r="B9" s="33">
        <f>+B8+1</f>
        <v>8</v>
      </c>
      <c r="C9" s="34" t="s">
        <v>4579</v>
      </c>
      <c r="D9" s="35" t="s">
        <v>4578</v>
      </c>
      <c r="E9" s="36" t="s">
        <v>4494</v>
      </c>
      <c r="F9" s="334">
        <v>35451</v>
      </c>
      <c r="G9" s="36" t="s">
        <v>4581</v>
      </c>
      <c r="H9" s="34" t="s">
        <v>4582</v>
      </c>
      <c r="I9" s="37" t="s">
        <v>39</v>
      </c>
      <c r="J9" s="425" t="s">
        <v>4766</v>
      </c>
      <c r="K9" s="37" t="s">
        <v>39</v>
      </c>
      <c r="L9" s="38" t="s">
        <v>4688</v>
      </c>
      <c r="M9" s="34" t="s">
        <v>41</v>
      </c>
      <c r="N9" s="39" t="s">
        <v>4584</v>
      </c>
      <c r="O9" s="53">
        <v>46031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 t="s">
        <v>44</v>
      </c>
      <c r="AA9" s="54" t="s">
        <v>4688</v>
      </c>
      <c r="AB9" s="329" t="s">
        <v>4586</v>
      </c>
      <c r="AC9" s="44"/>
      <c r="AD9" s="45"/>
      <c r="AE9" s="46"/>
      <c r="AF9" s="36"/>
      <c r="AG9" s="47" t="s">
        <v>49</v>
      </c>
      <c r="AH9" s="48" t="s">
        <v>41</v>
      </c>
      <c r="AI9" s="48" t="s">
        <v>41</v>
      </c>
      <c r="AJ9" s="48" t="s">
        <v>41</v>
      </c>
      <c r="AK9" s="48" t="s">
        <v>41</v>
      </c>
      <c r="AL9" s="48" t="s">
        <v>41</v>
      </c>
      <c r="AM9" s="49" t="s">
        <v>41</v>
      </c>
      <c r="AN9" s="48" t="s">
        <v>49</v>
      </c>
      <c r="AO9" s="50">
        <v>0</v>
      </c>
      <c r="AP9" s="50"/>
      <c r="AQ9" s="63"/>
    </row>
    <row r="10" spans="1:43" x14ac:dyDescent="0.2">
      <c r="A10">
        <v>9</v>
      </c>
      <c r="B10" s="33">
        <f>+B9+1</f>
        <v>9</v>
      </c>
      <c r="C10" s="34" t="s">
        <v>102</v>
      </c>
      <c r="D10" s="35" t="s">
        <v>103</v>
      </c>
      <c r="E10" s="36" t="s">
        <v>104</v>
      </c>
      <c r="F10" s="36"/>
      <c r="G10" s="36" t="s">
        <v>54</v>
      </c>
      <c r="H10" s="34" t="s">
        <v>105</v>
      </c>
      <c r="I10" s="37" t="s">
        <v>73</v>
      </c>
      <c r="J10" s="425" t="s">
        <v>4765</v>
      </c>
      <c r="K10" s="37" t="s">
        <v>73</v>
      </c>
      <c r="L10" s="38" t="s">
        <v>106</v>
      </c>
      <c r="M10" s="34" t="s">
        <v>41</v>
      </c>
      <c r="N10" s="39" t="s">
        <v>42</v>
      </c>
      <c r="O10" s="40" t="s">
        <v>107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2" t="s">
        <v>108</v>
      </c>
      <c r="AB10" s="71" t="s">
        <v>109</v>
      </c>
      <c r="AC10" s="58"/>
      <c r="AD10" s="45" t="s">
        <v>47</v>
      </c>
      <c r="AE10" s="46"/>
      <c r="AF10" s="36" t="s">
        <v>26</v>
      </c>
      <c r="AG10" s="61" t="s">
        <v>49</v>
      </c>
      <c r="AH10" s="48" t="s">
        <v>49</v>
      </c>
      <c r="AI10" s="48" t="s">
        <v>41</v>
      </c>
      <c r="AJ10" s="48" t="s">
        <v>41</v>
      </c>
      <c r="AK10" s="48" t="s">
        <v>41</v>
      </c>
      <c r="AL10" s="48" t="s">
        <v>41</v>
      </c>
      <c r="AM10" s="49" t="s">
        <v>41</v>
      </c>
      <c r="AN10" s="48" t="s">
        <v>41</v>
      </c>
      <c r="AO10" s="62" t="s">
        <v>4587</v>
      </c>
      <c r="AP10" s="62"/>
      <c r="AQ10" s="63" t="s">
        <v>50</v>
      </c>
    </row>
    <row r="11" spans="1:43" x14ac:dyDescent="0.2">
      <c r="A11">
        <v>10</v>
      </c>
      <c r="B11" s="33">
        <f>+B10+1</f>
        <v>10</v>
      </c>
      <c r="C11" s="34" t="s">
        <v>111</v>
      </c>
      <c r="D11" s="35" t="s">
        <v>112</v>
      </c>
      <c r="E11" s="36" t="s">
        <v>4816</v>
      </c>
      <c r="F11" s="334">
        <v>21529</v>
      </c>
      <c r="G11" s="36" t="s">
        <v>54</v>
      </c>
      <c r="H11" s="34" t="s">
        <v>114</v>
      </c>
      <c r="I11" s="37" t="s">
        <v>73</v>
      </c>
      <c r="J11" s="425" t="s">
        <v>4765</v>
      </c>
      <c r="K11" s="37" t="s">
        <v>73</v>
      </c>
      <c r="L11" s="34" t="s">
        <v>115</v>
      </c>
      <c r="M11" s="34" t="s">
        <v>116</v>
      </c>
      <c r="N11" s="39" t="s">
        <v>42</v>
      </c>
      <c r="O11" s="40" t="s">
        <v>117</v>
      </c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2" t="s">
        <v>118</v>
      </c>
      <c r="AB11" s="58" t="s">
        <v>119</v>
      </c>
      <c r="AC11" s="44" t="s">
        <v>78</v>
      </c>
      <c r="AD11" s="45">
        <v>40815</v>
      </c>
      <c r="AE11" s="46" t="s">
        <v>30</v>
      </c>
      <c r="AF11" s="36" t="s">
        <v>26</v>
      </c>
      <c r="AG11" s="64" t="s">
        <v>120</v>
      </c>
      <c r="AH11" s="48" t="s">
        <v>120</v>
      </c>
      <c r="AI11" s="48" t="s">
        <v>120</v>
      </c>
      <c r="AJ11" s="48" t="s">
        <v>120</v>
      </c>
      <c r="AK11" s="48" t="s">
        <v>120</v>
      </c>
      <c r="AL11" s="48" t="s">
        <v>120</v>
      </c>
      <c r="AM11" s="49" t="s">
        <v>120</v>
      </c>
      <c r="AN11" s="48" t="s">
        <v>120</v>
      </c>
      <c r="AO11" s="65" t="s">
        <v>32</v>
      </c>
      <c r="AP11" s="65"/>
      <c r="AQ11" s="59"/>
    </row>
    <row r="12" spans="1:43" x14ac:dyDescent="0.2">
      <c r="A12">
        <v>11</v>
      </c>
      <c r="B12" s="33">
        <f>+B11+1</f>
        <v>11</v>
      </c>
      <c r="C12" s="34" t="s">
        <v>121</v>
      </c>
      <c r="D12" s="35" t="s">
        <v>122</v>
      </c>
      <c r="E12" s="36" t="s">
        <v>4853</v>
      </c>
      <c r="F12" s="334">
        <v>23057</v>
      </c>
      <c r="G12" s="36" t="s">
        <v>54</v>
      </c>
      <c r="H12" s="34" t="s">
        <v>124</v>
      </c>
      <c r="I12" s="37" t="s">
        <v>73</v>
      </c>
      <c r="J12" s="425" t="s">
        <v>4765</v>
      </c>
      <c r="K12" s="37" t="s">
        <v>73</v>
      </c>
      <c r="L12" s="34" t="s">
        <v>125</v>
      </c>
      <c r="M12" s="34" t="s">
        <v>126</v>
      </c>
      <c r="N12" s="39" t="s">
        <v>42</v>
      </c>
      <c r="O12" s="53">
        <v>30353</v>
      </c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42" t="s">
        <v>127</v>
      </c>
      <c r="AB12" s="58" t="s">
        <v>128</v>
      </c>
      <c r="AC12" s="44" t="s">
        <v>61</v>
      </c>
      <c r="AD12" s="45">
        <v>34597</v>
      </c>
      <c r="AE12" s="46" t="s">
        <v>129</v>
      </c>
      <c r="AF12" s="36" t="s">
        <v>26</v>
      </c>
      <c r="AG12" s="66" t="s">
        <v>130</v>
      </c>
      <c r="AH12" s="48" t="s">
        <v>130</v>
      </c>
      <c r="AI12" s="48" t="s">
        <v>130</v>
      </c>
      <c r="AJ12" s="48" t="s">
        <v>130</v>
      </c>
      <c r="AK12" s="48" t="s">
        <v>130</v>
      </c>
      <c r="AL12" s="48" t="s">
        <v>130</v>
      </c>
      <c r="AM12" s="49" t="s">
        <v>130</v>
      </c>
      <c r="AN12" s="48" t="s">
        <v>130</v>
      </c>
      <c r="AO12" s="65" t="s">
        <v>32</v>
      </c>
      <c r="AP12" s="65"/>
      <c r="AQ12" s="59"/>
    </row>
    <row r="13" spans="1:43" x14ac:dyDescent="0.2">
      <c r="A13">
        <v>12</v>
      </c>
      <c r="B13" s="33">
        <f>+B12+1</f>
        <v>12</v>
      </c>
      <c r="C13" s="34" t="s">
        <v>131</v>
      </c>
      <c r="D13" s="35" t="s">
        <v>132</v>
      </c>
      <c r="E13" s="36" t="s">
        <v>133</v>
      </c>
      <c r="F13" s="36"/>
      <c r="G13" s="36" t="s">
        <v>54</v>
      </c>
      <c r="H13" s="34" t="s">
        <v>134</v>
      </c>
      <c r="I13" s="37" t="s">
        <v>73</v>
      </c>
      <c r="J13" s="425" t="s">
        <v>4765</v>
      </c>
      <c r="K13" s="37" t="s">
        <v>73</v>
      </c>
      <c r="L13" s="38" t="s">
        <v>135</v>
      </c>
      <c r="M13" s="34" t="s">
        <v>41</v>
      </c>
      <c r="N13" s="39" t="s">
        <v>42</v>
      </c>
      <c r="O13" s="53">
        <v>43746</v>
      </c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2" t="s">
        <v>136</v>
      </c>
      <c r="AB13" s="58" t="s">
        <v>137</v>
      </c>
      <c r="AC13" s="44" t="s">
        <v>138</v>
      </c>
      <c r="AD13" s="45">
        <v>44944</v>
      </c>
      <c r="AE13" s="46" t="s">
        <v>30</v>
      </c>
      <c r="AF13" s="36" t="s">
        <v>26</v>
      </c>
      <c r="AG13" s="61" t="s">
        <v>49</v>
      </c>
      <c r="AH13" s="48" t="s">
        <v>49</v>
      </c>
      <c r="AI13" s="48" t="s">
        <v>49</v>
      </c>
      <c r="AJ13" s="48" t="s">
        <v>41</v>
      </c>
      <c r="AK13" s="48" t="s">
        <v>41</v>
      </c>
      <c r="AL13" s="48" t="s">
        <v>41</v>
      </c>
      <c r="AM13" s="49" t="s">
        <v>41</v>
      </c>
      <c r="AN13" s="48" t="s">
        <v>41</v>
      </c>
      <c r="AO13" s="62" t="s">
        <v>110</v>
      </c>
      <c r="AP13" s="62"/>
      <c r="AQ13" s="51" t="s">
        <v>50</v>
      </c>
    </row>
    <row r="14" spans="1:43" x14ac:dyDescent="0.2">
      <c r="A14">
        <v>13</v>
      </c>
      <c r="B14" s="33">
        <f>+B13+1</f>
        <v>13</v>
      </c>
      <c r="C14" s="34" t="s">
        <v>140</v>
      </c>
      <c r="D14" s="35" t="s">
        <v>141</v>
      </c>
      <c r="E14" s="36" t="s">
        <v>142</v>
      </c>
      <c r="F14" s="334">
        <v>28482</v>
      </c>
      <c r="G14" s="36" t="s">
        <v>54</v>
      </c>
      <c r="H14" s="34" t="s">
        <v>143</v>
      </c>
      <c r="I14" s="37" t="s">
        <v>73</v>
      </c>
      <c r="J14" s="425" t="s">
        <v>4765</v>
      </c>
      <c r="K14" s="37" t="s">
        <v>73</v>
      </c>
      <c r="L14" s="38" t="s">
        <v>144</v>
      </c>
      <c r="M14" s="34" t="s">
        <v>41</v>
      </c>
      <c r="N14" s="39" t="s">
        <v>42</v>
      </c>
      <c r="O14" s="53">
        <v>44690</v>
      </c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2" t="s">
        <v>145</v>
      </c>
      <c r="AB14" s="58" t="s">
        <v>146</v>
      </c>
      <c r="AC14" s="44" t="s">
        <v>147</v>
      </c>
      <c r="AD14" s="45">
        <v>44944</v>
      </c>
      <c r="AE14" s="46" t="s">
        <v>30</v>
      </c>
      <c r="AF14" s="36"/>
      <c r="AG14" s="61" t="s">
        <v>49</v>
      </c>
      <c r="AH14" s="48" t="s">
        <v>41</v>
      </c>
      <c r="AI14" s="48" t="s">
        <v>41</v>
      </c>
      <c r="AJ14" s="48" t="s">
        <v>49</v>
      </c>
      <c r="AK14" s="48" t="s">
        <v>49</v>
      </c>
      <c r="AL14" s="48" t="s">
        <v>49</v>
      </c>
      <c r="AM14" s="49" t="s">
        <v>49</v>
      </c>
      <c r="AN14" s="48" t="s">
        <v>49</v>
      </c>
      <c r="AO14" s="62" t="s">
        <v>32</v>
      </c>
      <c r="AP14" s="62"/>
      <c r="AQ14" s="67"/>
    </row>
    <row r="15" spans="1:43" x14ac:dyDescent="0.2">
      <c r="A15">
        <v>14</v>
      </c>
      <c r="B15" s="33">
        <f>+B14+1</f>
        <v>14</v>
      </c>
      <c r="C15" s="34" t="s">
        <v>149</v>
      </c>
      <c r="D15" s="35" t="s">
        <v>150</v>
      </c>
      <c r="E15" s="36" t="s">
        <v>4833</v>
      </c>
      <c r="F15" s="36"/>
      <c r="G15" s="36" t="s">
        <v>54</v>
      </c>
      <c r="H15" s="34" t="s">
        <v>152</v>
      </c>
      <c r="I15" s="37" t="s">
        <v>73</v>
      </c>
      <c r="J15" s="425" t="s">
        <v>4765</v>
      </c>
      <c r="K15" s="37" t="s">
        <v>73</v>
      </c>
      <c r="L15" s="34" t="s">
        <v>153</v>
      </c>
      <c r="M15" s="34" t="s">
        <v>154</v>
      </c>
      <c r="N15" s="39" t="s">
        <v>42</v>
      </c>
      <c r="O15" s="40" t="s">
        <v>155</v>
      </c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42" t="s">
        <v>156</v>
      </c>
      <c r="AB15" s="69" t="s">
        <v>157</v>
      </c>
      <c r="AC15" s="44" t="s">
        <v>61</v>
      </c>
      <c r="AD15" s="45">
        <v>40280</v>
      </c>
      <c r="AE15" s="46" t="s">
        <v>30</v>
      </c>
      <c r="AF15" s="36" t="s">
        <v>26</v>
      </c>
      <c r="AG15" s="47" t="s">
        <v>49</v>
      </c>
      <c r="AH15" s="48" t="s">
        <v>49</v>
      </c>
      <c r="AI15" s="48" t="s">
        <v>49</v>
      </c>
      <c r="AJ15" s="48" t="s">
        <v>41</v>
      </c>
      <c r="AK15" s="48" t="s">
        <v>41</v>
      </c>
      <c r="AL15" s="48" t="s">
        <v>41</v>
      </c>
      <c r="AM15" s="49" t="s">
        <v>41</v>
      </c>
      <c r="AN15" s="48" t="s">
        <v>41</v>
      </c>
      <c r="AO15" s="62" t="s">
        <v>110</v>
      </c>
      <c r="AP15" s="62"/>
      <c r="AQ15" s="59"/>
    </row>
    <row r="16" spans="1:43" x14ac:dyDescent="0.2">
      <c r="A16">
        <v>15</v>
      </c>
      <c r="B16" s="33">
        <f>+B15+1</f>
        <v>15</v>
      </c>
      <c r="C16" s="34" t="s">
        <v>158</v>
      </c>
      <c r="D16" s="35" t="s">
        <v>159</v>
      </c>
      <c r="E16" s="36" t="s">
        <v>160</v>
      </c>
      <c r="F16" s="334">
        <v>20823</v>
      </c>
      <c r="G16" s="36" t="s">
        <v>36</v>
      </c>
      <c r="H16" s="34" t="s">
        <v>161</v>
      </c>
      <c r="I16" s="37" t="s">
        <v>73</v>
      </c>
      <c r="J16" s="425" t="s">
        <v>4765</v>
      </c>
      <c r="K16" s="37" t="s">
        <v>73</v>
      </c>
      <c r="L16" s="34" t="s">
        <v>153</v>
      </c>
      <c r="M16" s="34" t="s">
        <v>154</v>
      </c>
      <c r="N16" s="39" t="s">
        <v>42</v>
      </c>
      <c r="O16" s="53">
        <v>32576</v>
      </c>
      <c r="P16" s="41"/>
      <c r="Q16" s="41"/>
      <c r="R16" s="41"/>
      <c r="S16" s="41"/>
      <c r="T16" s="41"/>
      <c r="U16" s="70"/>
      <c r="V16" s="70"/>
      <c r="W16" s="70"/>
      <c r="X16" s="70"/>
      <c r="Y16" s="70"/>
      <c r="Z16" s="70"/>
      <c r="AA16" s="57" t="s">
        <v>162</v>
      </c>
      <c r="AB16" s="52" t="s">
        <v>163</v>
      </c>
      <c r="AC16" s="44" t="s">
        <v>61</v>
      </c>
      <c r="AD16" s="45">
        <v>34597</v>
      </c>
      <c r="AE16" s="46" t="s">
        <v>30</v>
      </c>
      <c r="AF16" s="36" t="s">
        <v>26</v>
      </c>
      <c r="AG16" s="64" t="s">
        <v>120</v>
      </c>
      <c r="AH16" s="48" t="s">
        <v>120</v>
      </c>
      <c r="AI16" s="48" t="s">
        <v>120</v>
      </c>
      <c r="AJ16" s="48" t="s">
        <v>120</v>
      </c>
      <c r="AK16" s="48" t="s">
        <v>120</v>
      </c>
      <c r="AL16" s="48" t="s">
        <v>120</v>
      </c>
      <c r="AM16" s="49" t="s">
        <v>41</v>
      </c>
      <c r="AN16" s="48" t="s">
        <v>41</v>
      </c>
      <c r="AO16" s="62" t="s">
        <v>276</v>
      </c>
      <c r="AP16" s="62"/>
      <c r="AQ16" s="59"/>
    </row>
    <row r="17" spans="1:43" x14ac:dyDescent="0.2">
      <c r="A17">
        <v>16</v>
      </c>
      <c r="B17" s="33">
        <f>+B16+1</f>
        <v>16</v>
      </c>
      <c r="C17" s="34" t="s">
        <v>164</v>
      </c>
      <c r="D17" s="35" t="s">
        <v>165</v>
      </c>
      <c r="E17" s="36" t="s">
        <v>4840</v>
      </c>
      <c r="F17" s="36"/>
      <c r="G17" s="36" t="s">
        <v>54</v>
      </c>
      <c r="H17" s="34" t="s">
        <v>167</v>
      </c>
      <c r="I17" s="37" t="s">
        <v>73</v>
      </c>
      <c r="J17" s="425" t="s">
        <v>4765</v>
      </c>
      <c r="K17" s="37" t="s">
        <v>73</v>
      </c>
      <c r="L17" s="34" t="s">
        <v>168</v>
      </c>
      <c r="M17" s="34" t="s">
        <v>41</v>
      </c>
      <c r="N17" s="39" t="s">
        <v>42</v>
      </c>
      <c r="O17" s="40" t="s">
        <v>169</v>
      </c>
      <c r="P17" s="41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42" t="s">
        <v>170</v>
      </c>
      <c r="AB17" s="58" t="s">
        <v>171</v>
      </c>
      <c r="AC17" s="44" t="s">
        <v>61</v>
      </c>
      <c r="AD17" s="45">
        <v>37208</v>
      </c>
      <c r="AE17" s="46" t="s">
        <v>30</v>
      </c>
      <c r="AF17" s="36" t="s">
        <v>26</v>
      </c>
      <c r="AG17" s="47" t="s">
        <v>49</v>
      </c>
      <c r="AH17" s="48" t="s">
        <v>49</v>
      </c>
      <c r="AI17" s="48" t="s">
        <v>49</v>
      </c>
      <c r="AJ17" s="48" t="s">
        <v>41</v>
      </c>
      <c r="AK17" s="48" t="s">
        <v>41</v>
      </c>
      <c r="AL17" s="48" t="s">
        <v>41</v>
      </c>
      <c r="AM17" s="49" t="s">
        <v>41</v>
      </c>
      <c r="AN17" s="48" t="s">
        <v>41</v>
      </c>
      <c r="AO17" s="62" t="s">
        <v>110</v>
      </c>
      <c r="AP17" s="62"/>
      <c r="AQ17" s="59"/>
    </row>
    <row r="18" spans="1:43" x14ac:dyDescent="0.2">
      <c r="A18">
        <v>17</v>
      </c>
      <c r="B18" s="33">
        <f>+B17+1</f>
        <v>17</v>
      </c>
      <c r="C18" s="72" t="s">
        <v>172</v>
      </c>
      <c r="D18" s="35" t="s">
        <v>173</v>
      </c>
      <c r="E18" s="73" t="s">
        <v>174</v>
      </c>
      <c r="F18" s="335">
        <v>32936</v>
      </c>
      <c r="G18" s="36" t="s">
        <v>54</v>
      </c>
      <c r="H18" s="74" t="s">
        <v>175</v>
      </c>
      <c r="I18" s="75" t="s">
        <v>176</v>
      </c>
      <c r="J18" s="425" t="s">
        <v>4761</v>
      </c>
      <c r="K18" s="75" t="s">
        <v>39</v>
      </c>
      <c r="L18" s="76" t="s">
        <v>177</v>
      </c>
      <c r="M18" s="72" t="s">
        <v>41</v>
      </c>
      <c r="N18" s="77" t="s">
        <v>42</v>
      </c>
      <c r="O18" s="78" t="s">
        <v>178</v>
      </c>
      <c r="P18" s="79"/>
      <c r="Q18" s="79"/>
      <c r="R18" s="79"/>
      <c r="S18" s="79"/>
      <c r="T18" s="79"/>
      <c r="U18" s="79" t="s">
        <v>44</v>
      </c>
      <c r="V18" s="79"/>
      <c r="W18" s="79"/>
      <c r="X18" s="79"/>
      <c r="Y18" s="79"/>
      <c r="Z18" s="79"/>
      <c r="AA18" s="42" t="s">
        <v>180</v>
      </c>
      <c r="AB18" s="71" t="s">
        <v>181</v>
      </c>
      <c r="AC18" s="44"/>
      <c r="AD18" s="45" t="s">
        <v>47</v>
      </c>
      <c r="AE18" s="80"/>
      <c r="AF18" s="73"/>
      <c r="AG18" s="81" t="s">
        <v>49</v>
      </c>
      <c r="AH18" s="48" t="s">
        <v>41</v>
      </c>
      <c r="AI18" s="48" t="s">
        <v>49</v>
      </c>
      <c r="AJ18" s="48" t="s">
        <v>49</v>
      </c>
      <c r="AK18" s="48" t="s">
        <v>49</v>
      </c>
      <c r="AL18" s="48" t="s">
        <v>49</v>
      </c>
      <c r="AM18" s="49" t="s">
        <v>49</v>
      </c>
      <c r="AN18" s="48" t="s">
        <v>49</v>
      </c>
      <c r="AO18" s="62" t="s">
        <v>32</v>
      </c>
      <c r="AP18" s="62"/>
      <c r="AQ18" s="59"/>
    </row>
    <row r="19" spans="1:43" x14ac:dyDescent="0.2">
      <c r="A19">
        <v>18</v>
      </c>
      <c r="B19" s="33">
        <f>+B18+1</f>
        <v>18</v>
      </c>
      <c r="C19" s="72" t="s">
        <v>182</v>
      </c>
      <c r="D19" s="35" t="s">
        <v>183</v>
      </c>
      <c r="E19" s="73" t="s">
        <v>184</v>
      </c>
      <c r="F19" s="73"/>
      <c r="G19" s="36" t="s">
        <v>54</v>
      </c>
      <c r="H19" s="74" t="s">
        <v>185</v>
      </c>
      <c r="I19" s="75" t="s">
        <v>186</v>
      </c>
      <c r="J19" s="425" t="s">
        <v>4768</v>
      </c>
      <c r="K19" s="75" t="s">
        <v>187</v>
      </c>
      <c r="L19" s="72" t="s">
        <v>188</v>
      </c>
      <c r="M19" s="72" t="s">
        <v>41</v>
      </c>
      <c r="N19" s="77" t="s">
        <v>42</v>
      </c>
      <c r="O19" s="78" t="s">
        <v>189</v>
      </c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42" t="s">
        <v>190</v>
      </c>
      <c r="AB19" s="58" t="s">
        <v>191</v>
      </c>
      <c r="AC19" s="44" t="s">
        <v>61</v>
      </c>
      <c r="AD19" s="45">
        <v>34597</v>
      </c>
      <c r="AE19" s="80" t="s">
        <v>30</v>
      </c>
      <c r="AF19" s="73">
        <v>1</v>
      </c>
      <c r="AG19" s="81" t="s">
        <v>49</v>
      </c>
      <c r="AH19" s="48" t="s">
        <v>41</v>
      </c>
      <c r="AI19" s="48" t="s">
        <v>41</v>
      </c>
      <c r="AJ19" s="48" t="s">
        <v>41</v>
      </c>
      <c r="AK19" s="48" t="s">
        <v>41</v>
      </c>
      <c r="AL19" s="48" t="s">
        <v>41</v>
      </c>
      <c r="AM19" s="49" t="s">
        <v>41</v>
      </c>
      <c r="AN19" s="48" t="s">
        <v>41</v>
      </c>
      <c r="AO19" s="82" t="s">
        <v>4588</v>
      </c>
      <c r="AP19" s="82"/>
      <c r="AQ19" s="59" t="s">
        <v>192</v>
      </c>
    </row>
    <row r="20" spans="1:43" x14ac:dyDescent="0.2">
      <c r="A20">
        <v>19</v>
      </c>
      <c r="B20" s="33">
        <f>+B19+1</f>
        <v>19</v>
      </c>
      <c r="C20" s="34" t="s">
        <v>193</v>
      </c>
      <c r="D20" s="35" t="s">
        <v>194</v>
      </c>
      <c r="E20" s="36" t="s">
        <v>195</v>
      </c>
      <c r="F20" s="334">
        <v>20475</v>
      </c>
      <c r="G20" s="36" t="s">
        <v>54</v>
      </c>
      <c r="H20" s="34" t="s">
        <v>196</v>
      </c>
      <c r="I20" s="37" t="s">
        <v>73</v>
      </c>
      <c r="J20" s="425" t="s">
        <v>4765</v>
      </c>
      <c r="K20" s="37" t="s">
        <v>73</v>
      </c>
      <c r="L20" s="38" t="s">
        <v>197</v>
      </c>
      <c r="M20" s="34" t="s">
        <v>41</v>
      </c>
      <c r="N20" s="39" t="s">
        <v>42</v>
      </c>
      <c r="O20" s="40" t="s">
        <v>198</v>
      </c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42" t="s">
        <v>199</v>
      </c>
      <c r="AB20" s="58" t="s">
        <v>200</v>
      </c>
      <c r="AC20" s="44" t="s">
        <v>61</v>
      </c>
      <c r="AD20" s="45">
        <v>34597</v>
      </c>
      <c r="AE20" s="46" t="s">
        <v>30</v>
      </c>
      <c r="AF20" s="36" t="s">
        <v>26</v>
      </c>
      <c r="AG20" s="47" t="s">
        <v>49</v>
      </c>
      <c r="AH20" s="48" t="s">
        <v>49</v>
      </c>
      <c r="AI20" s="48" t="s">
        <v>49</v>
      </c>
      <c r="AJ20" s="48" t="s">
        <v>49</v>
      </c>
      <c r="AK20" s="48" t="s">
        <v>49</v>
      </c>
      <c r="AL20" s="48" t="s">
        <v>49</v>
      </c>
      <c r="AM20" s="49" t="s">
        <v>49</v>
      </c>
      <c r="AN20" s="48" t="s">
        <v>49</v>
      </c>
      <c r="AO20" s="62" t="s">
        <v>32</v>
      </c>
      <c r="AP20" s="62"/>
      <c r="AQ20" s="59"/>
    </row>
    <row r="21" spans="1:43" x14ac:dyDescent="0.2">
      <c r="A21">
        <v>20</v>
      </c>
      <c r="B21" s="33">
        <f>+B20+1</f>
        <v>20</v>
      </c>
      <c r="C21" s="34" t="s">
        <v>201</v>
      </c>
      <c r="D21" s="35" t="s">
        <v>202</v>
      </c>
      <c r="E21" s="36" t="s">
        <v>203</v>
      </c>
      <c r="F21" s="334">
        <v>31273</v>
      </c>
      <c r="G21" s="36" t="s">
        <v>36</v>
      </c>
      <c r="H21" s="34" t="s">
        <v>204</v>
      </c>
      <c r="I21" s="37" t="s">
        <v>205</v>
      </c>
      <c r="J21" s="425" t="s">
        <v>4764</v>
      </c>
      <c r="K21" s="37" t="s">
        <v>205</v>
      </c>
      <c r="L21" s="38" t="s">
        <v>206</v>
      </c>
      <c r="M21" s="34" t="s">
        <v>41</v>
      </c>
      <c r="N21" s="39" t="s">
        <v>42</v>
      </c>
      <c r="O21" s="53" t="s">
        <v>207</v>
      </c>
      <c r="P21" s="41"/>
      <c r="Q21" s="41"/>
      <c r="R21" s="41"/>
      <c r="S21" s="41"/>
      <c r="T21" s="41"/>
      <c r="U21" s="41"/>
      <c r="V21" s="41"/>
      <c r="W21" s="41" t="s">
        <v>44</v>
      </c>
      <c r="X21" s="41"/>
      <c r="Y21" s="41"/>
      <c r="Z21" s="41"/>
      <c r="AA21" s="54" t="s">
        <v>208</v>
      </c>
      <c r="AB21" s="83" t="s">
        <v>209</v>
      </c>
      <c r="AC21" s="83"/>
      <c r="AD21" s="45">
        <v>45642</v>
      </c>
      <c r="AE21" s="46"/>
      <c r="AF21" s="36"/>
      <c r="AG21" s="61" t="s">
        <v>49</v>
      </c>
      <c r="AH21" s="48" t="s">
        <v>41</v>
      </c>
      <c r="AI21" s="48" t="s">
        <v>41</v>
      </c>
      <c r="AJ21" s="48" t="s">
        <v>41</v>
      </c>
      <c r="AK21" s="48" t="s">
        <v>49</v>
      </c>
      <c r="AL21" s="48" t="s">
        <v>49</v>
      </c>
      <c r="AM21" s="49" t="s">
        <v>49</v>
      </c>
      <c r="AN21" s="48" t="s">
        <v>49</v>
      </c>
      <c r="AO21" s="65" t="s">
        <v>32</v>
      </c>
      <c r="AP21" s="65"/>
      <c r="AQ21" s="59"/>
    </row>
    <row r="22" spans="1:43" x14ac:dyDescent="0.2">
      <c r="A22">
        <v>21</v>
      </c>
      <c r="B22" s="33">
        <f>+B21+1</f>
        <v>21</v>
      </c>
      <c r="C22" s="34" t="s">
        <v>210</v>
      </c>
      <c r="D22" s="35" t="s">
        <v>211</v>
      </c>
      <c r="E22" s="36" t="s">
        <v>212</v>
      </c>
      <c r="F22" s="334">
        <v>34431</v>
      </c>
      <c r="G22" s="36" t="s">
        <v>54</v>
      </c>
      <c r="H22" s="34" t="s">
        <v>213</v>
      </c>
      <c r="I22" s="37" t="s">
        <v>214</v>
      </c>
      <c r="J22" s="425" t="s">
        <v>4743</v>
      </c>
      <c r="K22" s="37" t="s">
        <v>205</v>
      </c>
      <c r="L22" s="38" t="s">
        <v>215</v>
      </c>
      <c r="M22" s="34" t="s">
        <v>41</v>
      </c>
      <c r="N22" s="39" t="s">
        <v>42</v>
      </c>
      <c r="O22" s="40" t="s">
        <v>216</v>
      </c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42" t="s">
        <v>217</v>
      </c>
      <c r="AB22" s="58" t="s">
        <v>218</v>
      </c>
      <c r="AC22" s="121" t="s">
        <v>219</v>
      </c>
      <c r="AD22" s="45">
        <v>44650</v>
      </c>
      <c r="AE22" s="46" t="s">
        <v>30</v>
      </c>
      <c r="AF22" s="36" t="s">
        <v>220</v>
      </c>
      <c r="AG22" s="47" t="s">
        <v>49</v>
      </c>
      <c r="AH22" s="48" t="s">
        <v>49</v>
      </c>
      <c r="AI22" s="48" t="s">
        <v>49</v>
      </c>
      <c r="AJ22" s="48" t="s">
        <v>49</v>
      </c>
      <c r="AK22" s="48" t="s">
        <v>49</v>
      </c>
      <c r="AL22" s="48" t="s">
        <v>49</v>
      </c>
      <c r="AM22" s="49" t="s">
        <v>41</v>
      </c>
      <c r="AN22" s="48" t="s">
        <v>41</v>
      </c>
      <c r="AO22" s="62" t="s">
        <v>276</v>
      </c>
      <c r="AP22" s="62"/>
      <c r="AQ22" s="59"/>
    </row>
    <row r="23" spans="1:43" x14ac:dyDescent="0.2">
      <c r="A23">
        <v>22</v>
      </c>
      <c r="B23" s="33">
        <f>+B22+1</f>
        <v>22</v>
      </c>
      <c r="C23" s="34" t="s">
        <v>221</v>
      </c>
      <c r="D23" s="35" t="s">
        <v>222</v>
      </c>
      <c r="E23" s="36" t="s">
        <v>223</v>
      </c>
      <c r="F23" s="334">
        <v>25699</v>
      </c>
      <c r="G23" s="36" t="s">
        <v>54</v>
      </c>
      <c r="H23" s="34" t="s">
        <v>224</v>
      </c>
      <c r="I23" s="37" t="s">
        <v>73</v>
      </c>
      <c r="J23" s="425" t="s">
        <v>4765</v>
      </c>
      <c r="K23" s="37" t="s">
        <v>73</v>
      </c>
      <c r="L23" s="34" t="s">
        <v>225</v>
      </c>
      <c r="M23" s="34" t="s">
        <v>226</v>
      </c>
      <c r="N23" s="39" t="s">
        <v>42</v>
      </c>
      <c r="O23" s="53">
        <v>35886</v>
      </c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42" t="s">
        <v>227</v>
      </c>
      <c r="AB23" s="43" t="s">
        <v>228</v>
      </c>
      <c r="AC23" s="119" t="s">
        <v>229</v>
      </c>
      <c r="AD23" s="45">
        <v>42325</v>
      </c>
      <c r="AE23" s="46" t="s">
        <v>30</v>
      </c>
      <c r="AF23" s="36" t="s">
        <v>26</v>
      </c>
      <c r="AG23" s="64" t="s">
        <v>120</v>
      </c>
      <c r="AH23" s="48" t="s">
        <v>120</v>
      </c>
      <c r="AI23" s="48" t="s">
        <v>120</v>
      </c>
      <c r="AJ23" s="48" t="s">
        <v>120</v>
      </c>
      <c r="AK23" s="48" t="s">
        <v>120</v>
      </c>
      <c r="AL23" s="48" t="s">
        <v>120</v>
      </c>
      <c r="AM23" s="49" t="s">
        <v>41</v>
      </c>
      <c r="AN23" s="48" t="s">
        <v>41</v>
      </c>
      <c r="AO23" s="62" t="s">
        <v>276</v>
      </c>
      <c r="AP23" s="62"/>
      <c r="AQ23" s="59"/>
    </row>
    <row r="24" spans="1:43" x14ac:dyDescent="0.2">
      <c r="A24">
        <v>23</v>
      </c>
      <c r="B24" s="33">
        <f>+B23+1</f>
        <v>23</v>
      </c>
      <c r="C24" s="34" t="s">
        <v>230</v>
      </c>
      <c r="D24" s="35" t="s">
        <v>231</v>
      </c>
      <c r="E24" s="36" t="s">
        <v>232</v>
      </c>
      <c r="F24" s="334">
        <v>18787</v>
      </c>
      <c r="G24" s="36" t="s">
        <v>54</v>
      </c>
      <c r="H24" s="34" t="s">
        <v>233</v>
      </c>
      <c r="I24" s="37" t="s">
        <v>73</v>
      </c>
      <c r="J24" s="425" t="s">
        <v>4765</v>
      </c>
      <c r="K24" s="37" t="s">
        <v>73</v>
      </c>
      <c r="L24" s="34" t="s">
        <v>234</v>
      </c>
      <c r="M24" s="34" t="s">
        <v>41</v>
      </c>
      <c r="N24" s="39" t="s">
        <v>42</v>
      </c>
      <c r="O24" s="40" t="s">
        <v>235</v>
      </c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2" t="s">
        <v>236</v>
      </c>
      <c r="AB24" s="60" t="s">
        <v>237</v>
      </c>
      <c r="AC24" s="44" t="s">
        <v>61</v>
      </c>
      <c r="AD24" s="45">
        <v>40815</v>
      </c>
      <c r="AE24" s="46" t="s">
        <v>30</v>
      </c>
      <c r="AF24" s="36" t="s">
        <v>26</v>
      </c>
      <c r="AG24" s="47" t="s">
        <v>49</v>
      </c>
      <c r="AH24" s="48" t="s">
        <v>49</v>
      </c>
      <c r="AI24" s="48" t="s">
        <v>49</v>
      </c>
      <c r="AJ24" s="48" t="s">
        <v>49</v>
      </c>
      <c r="AK24" s="48" t="s">
        <v>49</v>
      </c>
      <c r="AL24" s="48" t="s">
        <v>49</v>
      </c>
      <c r="AM24" s="49" t="s">
        <v>41</v>
      </c>
      <c r="AN24" s="48" t="s">
        <v>41</v>
      </c>
      <c r="AO24" s="62" t="s">
        <v>276</v>
      </c>
      <c r="AP24" s="62"/>
      <c r="AQ24" s="59"/>
    </row>
    <row r="25" spans="1:43" x14ac:dyDescent="0.2">
      <c r="A25">
        <v>24</v>
      </c>
      <c r="B25" s="33">
        <f>+B24+1</f>
        <v>24</v>
      </c>
      <c r="C25" s="34" t="s">
        <v>238</v>
      </c>
      <c r="D25" s="35" t="s">
        <v>239</v>
      </c>
      <c r="E25" s="36" t="s">
        <v>240</v>
      </c>
      <c r="F25" s="36"/>
      <c r="G25" s="36" t="s">
        <v>241</v>
      </c>
      <c r="H25" s="34" t="s">
        <v>242</v>
      </c>
      <c r="I25" s="37" t="s">
        <v>243</v>
      </c>
      <c r="J25" s="425" t="s">
        <v>4744</v>
      </c>
      <c r="K25" s="37" t="s">
        <v>205</v>
      </c>
      <c r="L25" s="38" t="s">
        <v>244</v>
      </c>
      <c r="M25" s="38" t="s">
        <v>245</v>
      </c>
      <c r="N25" s="39" t="s">
        <v>42</v>
      </c>
      <c r="O25" s="53">
        <v>36413</v>
      </c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2" t="s">
        <v>246</v>
      </c>
      <c r="AB25" s="69" t="s">
        <v>247</v>
      </c>
      <c r="AC25" s="44" t="s">
        <v>61</v>
      </c>
      <c r="AD25" s="86">
        <v>39286</v>
      </c>
      <c r="AE25" s="46" t="s">
        <v>30</v>
      </c>
      <c r="AF25" s="36" t="s">
        <v>26</v>
      </c>
      <c r="AG25" s="47" t="s">
        <v>49</v>
      </c>
      <c r="AH25" s="48" t="s">
        <v>49</v>
      </c>
      <c r="AI25" s="48" t="s">
        <v>49</v>
      </c>
      <c r="AJ25" s="48" t="s">
        <v>41</v>
      </c>
      <c r="AK25" s="48" t="s">
        <v>41</v>
      </c>
      <c r="AL25" s="48" t="s">
        <v>41</v>
      </c>
      <c r="AM25" s="49" t="s">
        <v>41</v>
      </c>
      <c r="AN25" s="48" t="s">
        <v>41</v>
      </c>
      <c r="AO25" s="62">
        <v>5</v>
      </c>
      <c r="AP25" s="62"/>
      <c r="AQ25" s="59" t="s">
        <v>192</v>
      </c>
    </row>
    <row r="26" spans="1:43" x14ac:dyDescent="0.2">
      <c r="A26">
        <v>25</v>
      </c>
      <c r="B26" s="33">
        <f>+B25+1</f>
        <v>25</v>
      </c>
      <c r="C26" s="87" t="s">
        <v>4656</v>
      </c>
      <c r="D26" s="88" t="s">
        <v>4650</v>
      </c>
      <c r="E26" s="463" t="s">
        <v>4651</v>
      </c>
      <c r="F26" s="465">
        <v>29182</v>
      </c>
      <c r="G26" s="89" t="s">
        <v>36</v>
      </c>
      <c r="H26" s="87" t="s">
        <v>4652</v>
      </c>
      <c r="I26" s="90" t="s">
        <v>73</v>
      </c>
      <c r="J26" s="425" t="s">
        <v>4765</v>
      </c>
      <c r="K26" s="90" t="s">
        <v>73</v>
      </c>
      <c r="L26" s="470" t="s">
        <v>4653</v>
      </c>
      <c r="M26" s="91"/>
      <c r="N26" s="92" t="s">
        <v>42</v>
      </c>
      <c r="O26" s="93">
        <v>46073</v>
      </c>
      <c r="P26" s="94" t="s">
        <v>179</v>
      </c>
      <c r="Q26" s="94"/>
      <c r="R26" s="94"/>
      <c r="S26" s="94"/>
      <c r="T26" s="94"/>
      <c r="U26" s="94"/>
      <c r="V26" s="94"/>
      <c r="W26" s="94"/>
      <c r="X26" s="94"/>
      <c r="Y26" s="94"/>
      <c r="Z26" s="94" t="s">
        <v>44</v>
      </c>
      <c r="AA26" s="484" t="s">
        <v>4654</v>
      </c>
      <c r="AB26" s="486" t="s">
        <v>4655</v>
      </c>
      <c r="AC26" s="314"/>
      <c r="AD26" s="250"/>
      <c r="AE26" s="96"/>
      <c r="AF26" s="170"/>
      <c r="AG26" s="97" t="s">
        <v>49</v>
      </c>
      <c r="AH26" s="315" t="s">
        <v>41</v>
      </c>
      <c r="AI26" s="315" t="s">
        <v>41</v>
      </c>
      <c r="AJ26" s="315" t="s">
        <v>41</v>
      </c>
      <c r="AK26" s="315" t="s">
        <v>41</v>
      </c>
      <c r="AL26" s="315" t="s">
        <v>41</v>
      </c>
      <c r="AM26" s="316" t="s">
        <v>41</v>
      </c>
      <c r="AN26" s="48" t="s">
        <v>49</v>
      </c>
      <c r="AO26" s="62" t="s">
        <v>32</v>
      </c>
      <c r="AP26" s="62"/>
      <c r="AQ26" s="59"/>
    </row>
    <row r="27" spans="1:43" x14ac:dyDescent="0.2">
      <c r="A27">
        <v>26</v>
      </c>
      <c r="B27" s="33">
        <f>+B26+1</f>
        <v>26</v>
      </c>
      <c r="C27" s="34" t="s">
        <v>248</v>
      </c>
      <c r="D27" s="35" t="s">
        <v>249</v>
      </c>
      <c r="E27" s="73" t="s">
        <v>250</v>
      </c>
      <c r="F27" s="335">
        <v>29021</v>
      </c>
      <c r="G27" s="36" t="s">
        <v>54</v>
      </c>
      <c r="H27" s="98" t="s">
        <v>251</v>
      </c>
      <c r="I27" s="37" t="s">
        <v>252</v>
      </c>
      <c r="J27" s="425" t="s">
        <v>4742</v>
      </c>
      <c r="K27" s="37" t="s">
        <v>57</v>
      </c>
      <c r="L27" s="34" t="s">
        <v>253</v>
      </c>
      <c r="M27" s="34" t="s">
        <v>254</v>
      </c>
      <c r="N27" s="39" t="s">
        <v>42</v>
      </c>
      <c r="O27" s="99" t="s">
        <v>255</v>
      </c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57" t="s">
        <v>4685</v>
      </c>
      <c r="AB27" s="100" t="s">
        <v>257</v>
      </c>
      <c r="AC27" s="44" t="s">
        <v>258</v>
      </c>
      <c r="AD27" s="45">
        <v>42935</v>
      </c>
      <c r="AE27" s="101" t="s">
        <v>30</v>
      </c>
      <c r="AF27" s="73" t="s">
        <v>26</v>
      </c>
      <c r="AG27" s="317" t="s">
        <v>49</v>
      </c>
      <c r="AH27" s="315" t="s">
        <v>49</v>
      </c>
      <c r="AI27" s="315" t="s">
        <v>49</v>
      </c>
      <c r="AJ27" s="315" t="s">
        <v>49</v>
      </c>
      <c r="AK27" s="315" t="s">
        <v>49</v>
      </c>
      <c r="AL27" s="315" t="s">
        <v>49</v>
      </c>
      <c r="AM27" s="316" t="s">
        <v>49</v>
      </c>
      <c r="AN27" s="48" t="s">
        <v>49</v>
      </c>
      <c r="AO27" s="62" t="s">
        <v>32</v>
      </c>
      <c r="AP27" s="62"/>
      <c r="AQ27" s="59"/>
    </row>
    <row r="28" spans="1:43" x14ac:dyDescent="0.2">
      <c r="A28">
        <v>27</v>
      </c>
      <c r="B28" s="33">
        <f>+B27+1</f>
        <v>27</v>
      </c>
      <c r="C28" s="34" t="s">
        <v>4626</v>
      </c>
      <c r="D28" s="35" t="s">
        <v>4641</v>
      </c>
      <c r="E28" s="73" t="s">
        <v>4628</v>
      </c>
      <c r="F28" s="335">
        <v>36390</v>
      </c>
      <c r="G28" s="36" t="s">
        <v>54</v>
      </c>
      <c r="H28" s="98" t="s">
        <v>4629</v>
      </c>
      <c r="I28" s="37" t="s">
        <v>176</v>
      </c>
      <c r="J28" s="425" t="s">
        <v>4761</v>
      </c>
      <c r="K28" s="37" t="s">
        <v>39</v>
      </c>
      <c r="L28" s="38" t="s">
        <v>4630</v>
      </c>
      <c r="M28" s="34" t="s">
        <v>41</v>
      </c>
      <c r="N28" s="39" t="s">
        <v>42</v>
      </c>
      <c r="O28" s="120">
        <v>46083</v>
      </c>
      <c r="P28" s="56"/>
      <c r="Q28" s="56"/>
      <c r="R28" s="56"/>
      <c r="S28" s="56"/>
      <c r="T28" s="56" t="s">
        <v>179</v>
      </c>
      <c r="U28" s="56"/>
      <c r="V28" s="56"/>
      <c r="W28" s="56"/>
      <c r="X28" s="56"/>
      <c r="Y28" s="56"/>
      <c r="Z28" s="56" t="s">
        <v>44</v>
      </c>
      <c r="AA28" s="42" t="s">
        <v>4631</v>
      </c>
      <c r="AB28" s="311" t="s">
        <v>4632</v>
      </c>
      <c r="AC28" s="44"/>
      <c r="AD28" s="45"/>
      <c r="AE28" s="101"/>
      <c r="AF28" s="73"/>
      <c r="AG28" s="47" t="s">
        <v>49</v>
      </c>
      <c r="AH28" s="48"/>
      <c r="AI28" s="48"/>
      <c r="AJ28" s="48"/>
      <c r="AK28" s="48"/>
      <c r="AL28" s="48"/>
      <c r="AM28" s="49"/>
      <c r="AN28" s="48" t="s">
        <v>49</v>
      </c>
      <c r="AO28" s="62" t="s">
        <v>32</v>
      </c>
      <c r="AP28" s="62"/>
      <c r="AQ28" s="59"/>
    </row>
    <row r="29" spans="1:43" x14ac:dyDescent="0.2">
      <c r="A29">
        <v>28</v>
      </c>
      <c r="B29" s="33">
        <f>+B28+1</f>
        <v>28</v>
      </c>
      <c r="C29" s="34" t="s">
        <v>259</v>
      </c>
      <c r="D29" s="35" t="s">
        <v>260</v>
      </c>
      <c r="E29" s="36" t="s">
        <v>261</v>
      </c>
      <c r="F29" s="36"/>
      <c r="G29" s="36" t="s">
        <v>54</v>
      </c>
      <c r="H29" s="34" t="s">
        <v>262</v>
      </c>
      <c r="I29" s="37" t="s">
        <v>176</v>
      </c>
      <c r="J29" s="425" t="s">
        <v>4761</v>
      </c>
      <c r="K29" s="37" t="s">
        <v>39</v>
      </c>
      <c r="L29" s="34" t="s">
        <v>263</v>
      </c>
      <c r="M29" s="34" t="s">
        <v>264</v>
      </c>
      <c r="N29" s="39" t="s">
        <v>42</v>
      </c>
      <c r="O29" s="40" t="s">
        <v>265</v>
      </c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42" t="s">
        <v>266</v>
      </c>
      <c r="AB29" s="52" t="s">
        <v>267</v>
      </c>
      <c r="AC29" s="44" t="s">
        <v>61</v>
      </c>
      <c r="AD29" s="45">
        <v>40815</v>
      </c>
      <c r="AE29" s="46" t="s">
        <v>30</v>
      </c>
      <c r="AF29" s="36" t="s">
        <v>26</v>
      </c>
      <c r="AG29" s="47" t="s">
        <v>49</v>
      </c>
      <c r="AH29" s="48" t="s">
        <v>49</v>
      </c>
      <c r="AI29" s="48" t="s">
        <v>41</v>
      </c>
      <c r="AJ29" s="48" t="s">
        <v>41</v>
      </c>
      <c r="AK29" s="48" t="s">
        <v>41</v>
      </c>
      <c r="AL29" s="48" t="s">
        <v>41</v>
      </c>
      <c r="AM29" s="49" t="s">
        <v>41</v>
      </c>
      <c r="AN29" s="48" t="s">
        <v>41</v>
      </c>
      <c r="AO29" s="62" t="s">
        <v>4587</v>
      </c>
      <c r="AP29" s="62"/>
      <c r="AQ29" s="59"/>
    </row>
    <row r="30" spans="1:43" x14ac:dyDescent="0.2">
      <c r="A30">
        <v>29</v>
      </c>
      <c r="B30" s="33">
        <f>+B29+1</f>
        <v>29</v>
      </c>
      <c r="C30" s="34" t="s">
        <v>4675</v>
      </c>
      <c r="D30" s="35" t="s">
        <v>4676</v>
      </c>
      <c r="E30" s="36" t="s">
        <v>4677</v>
      </c>
      <c r="F30" s="334">
        <v>35017</v>
      </c>
      <c r="G30" s="36" t="s">
        <v>4169</v>
      </c>
      <c r="H30" s="34" t="s">
        <v>4678</v>
      </c>
      <c r="I30" s="37" t="s">
        <v>176</v>
      </c>
      <c r="J30" s="425" t="s">
        <v>4761</v>
      </c>
      <c r="K30" s="37" t="s">
        <v>39</v>
      </c>
      <c r="L30" s="34" t="s">
        <v>41</v>
      </c>
      <c r="M30" s="34" t="s">
        <v>41</v>
      </c>
      <c r="N30" s="39" t="s">
        <v>42</v>
      </c>
      <c r="O30" s="53">
        <v>46132</v>
      </c>
      <c r="P30" s="56" t="s">
        <v>179</v>
      </c>
      <c r="Q30" s="56" t="s">
        <v>179</v>
      </c>
      <c r="R30" s="56"/>
      <c r="S30" s="56"/>
      <c r="T30" s="56"/>
      <c r="U30" s="56"/>
      <c r="V30" s="56"/>
      <c r="W30" s="56"/>
      <c r="X30" s="56"/>
      <c r="Y30" s="56"/>
      <c r="Z30" s="56" t="s">
        <v>44</v>
      </c>
      <c r="AA30" s="42" t="s">
        <v>4679</v>
      </c>
      <c r="AB30" s="487" t="s">
        <v>4680</v>
      </c>
      <c r="AC30" s="44"/>
      <c r="AD30" s="45"/>
      <c r="AE30" s="46"/>
      <c r="AF30" s="36"/>
      <c r="AG30" s="47" t="s">
        <v>49</v>
      </c>
      <c r="AH30" s="48"/>
      <c r="AI30" s="48" t="s">
        <v>41</v>
      </c>
      <c r="AJ30" s="48" t="s">
        <v>41</v>
      </c>
      <c r="AK30" s="48" t="s">
        <v>41</v>
      </c>
      <c r="AL30" s="48" t="s">
        <v>41</v>
      </c>
      <c r="AM30" s="49" t="s">
        <v>41</v>
      </c>
      <c r="AN30" s="48" t="s">
        <v>49</v>
      </c>
      <c r="AO30" s="62" t="s">
        <v>32</v>
      </c>
      <c r="AP30" s="62" t="s">
        <v>4681</v>
      </c>
      <c r="AQ30" s="59"/>
    </row>
    <row r="31" spans="1:43" x14ac:dyDescent="0.2">
      <c r="A31">
        <v>30</v>
      </c>
      <c r="B31" s="33">
        <f>+B30+1</f>
        <v>30</v>
      </c>
      <c r="C31" s="34" t="s">
        <v>268</v>
      </c>
      <c r="D31" s="35" t="s">
        <v>269</v>
      </c>
      <c r="E31" s="36" t="s">
        <v>4844</v>
      </c>
      <c r="F31" s="334">
        <v>23081</v>
      </c>
      <c r="G31" s="36" t="s">
        <v>54</v>
      </c>
      <c r="H31" s="34" t="s">
        <v>271</v>
      </c>
      <c r="I31" s="37" t="s">
        <v>56</v>
      </c>
      <c r="J31" s="425" t="s">
        <v>4739</v>
      </c>
      <c r="K31" s="37" t="s">
        <v>57</v>
      </c>
      <c r="L31" s="38" t="s">
        <v>272</v>
      </c>
      <c r="M31" s="34" t="s">
        <v>41</v>
      </c>
      <c r="N31" s="39" t="s">
        <v>42</v>
      </c>
      <c r="O31" s="40" t="s">
        <v>273</v>
      </c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2" t="s">
        <v>274</v>
      </c>
      <c r="AB31" s="52" t="s">
        <v>275</v>
      </c>
      <c r="AC31" s="44" t="s">
        <v>61</v>
      </c>
      <c r="AD31" s="45">
        <v>40280</v>
      </c>
      <c r="AE31" s="46" t="s">
        <v>30</v>
      </c>
      <c r="AF31" s="36" t="s">
        <v>26</v>
      </c>
      <c r="AG31" s="47" t="s">
        <v>49</v>
      </c>
      <c r="AH31" s="48" t="s">
        <v>49</v>
      </c>
      <c r="AI31" s="48" t="s">
        <v>49</v>
      </c>
      <c r="AJ31" s="48" t="s">
        <v>49</v>
      </c>
      <c r="AK31" s="48" t="s">
        <v>49</v>
      </c>
      <c r="AL31" s="48" t="s">
        <v>41</v>
      </c>
      <c r="AM31" s="49" t="s">
        <v>41</v>
      </c>
      <c r="AN31" s="48" t="s">
        <v>41</v>
      </c>
      <c r="AO31" s="62" t="s">
        <v>4589</v>
      </c>
      <c r="AP31" s="62"/>
      <c r="AQ31" s="59"/>
    </row>
    <row r="32" spans="1:43" x14ac:dyDescent="0.2">
      <c r="A32">
        <v>31</v>
      </c>
      <c r="B32" s="33">
        <f>+B31+1</f>
        <v>31</v>
      </c>
      <c r="C32" s="34" t="s">
        <v>277</v>
      </c>
      <c r="D32" s="35" t="s">
        <v>278</v>
      </c>
      <c r="E32" s="36" t="s">
        <v>279</v>
      </c>
      <c r="F32" s="334">
        <v>25301</v>
      </c>
      <c r="G32" s="36" t="s">
        <v>36</v>
      </c>
      <c r="H32" s="34" t="s">
        <v>280</v>
      </c>
      <c r="I32" s="37" t="s">
        <v>73</v>
      </c>
      <c r="J32" s="425" t="s">
        <v>4765</v>
      </c>
      <c r="K32" s="37" t="s">
        <v>73</v>
      </c>
      <c r="L32" s="38" t="s">
        <v>281</v>
      </c>
      <c r="M32" s="34" t="s">
        <v>41</v>
      </c>
      <c r="N32" s="39" t="s">
        <v>42</v>
      </c>
      <c r="O32" s="53" t="s">
        <v>282</v>
      </c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2" t="s">
        <v>283</v>
      </c>
      <c r="AB32" s="58" t="s">
        <v>284</v>
      </c>
      <c r="AC32" s="44" t="s">
        <v>285</v>
      </c>
      <c r="AD32" s="45">
        <v>41793</v>
      </c>
      <c r="AE32" s="46" t="s">
        <v>30</v>
      </c>
      <c r="AF32" s="36" t="s">
        <v>26</v>
      </c>
      <c r="AG32" s="47" t="s">
        <v>49</v>
      </c>
      <c r="AH32" s="48" t="s">
        <v>49</v>
      </c>
      <c r="AI32" s="48" t="s">
        <v>49</v>
      </c>
      <c r="AJ32" s="48" t="s">
        <v>49</v>
      </c>
      <c r="AK32" s="48" t="s">
        <v>49</v>
      </c>
      <c r="AL32" s="48" t="s">
        <v>49</v>
      </c>
      <c r="AM32" s="49" t="s">
        <v>49</v>
      </c>
      <c r="AN32" s="48" t="s">
        <v>49</v>
      </c>
      <c r="AO32" s="62" t="s">
        <v>32</v>
      </c>
      <c r="AP32" s="62"/>
      <c r="AQ32" s="423"/>
    </row>
    <row r="33" spans="1:43" x14ac:dyDescent="0.2">
      <c r="A33">
        <v>32</v>
      </c>
      <c r="B33" s="33">
        <f>+B32+1</f>
        <v>32</v>
      </c>
      <c r="C33" s="34" t="s">
        <v>286</v>
      </c>
      <c r="D33" s="35" t="s">
        <v>287</v>
      </c>
      <c r="E33" s="36" t="s">
        <v>288</v>
      </c>
      <c r="F33" s="334">
        <v>24907</v>
      </c>
      <c r="G33" s="36" t="s">
        <v>54</v>
      </c>
      <c r="H33" s="34" t="s">
        <v>289</v>
      </c>
      <c r="I33" s="37" t="s">
        <v>73</v>
      </c>
      <c r="J33" s="425" t="s">
        <v>4765</v>
      </c>
      <c r="K33" s="37" t="s">
        <v>73</v>
      </c>
      <c r="L33" s="38" t="s">
        <v>290</v>
      </c>
      <c r="M33" s="34" t="s">
        <v>41</v>
      </c>
      <c r="N33" s="39" t="s">
        <v>42</v>
      </c>
      <c r="O33" s="53">
        <v>40672</v>
      </c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2" t="s">
        <v>291</v>
      </c>
      <c r="AB33" s="69" t="s">
        <v>292</v>
      </c>
      <c r="AC33" s="44" t="s">
        <v>293</v>
      </c>
      <c r="AD33" s="45">
        <v>43200</v>
      </c>
      <c r="AE33" s="46" t="s">
        <v>30</v>
      </c>
      <c r="AF33" s="36" t="s">
        <v>26</v>
      </c>
      <c r="AG33" s="47" t="s">
        <v>49</v>
      </c>
      <c r="AH33" s="48" t="s">
        <v>49</v>
      </c>
      <c r="AI33" s="48" t="s">
        <v>49</v>
      </c>
      <c r="AJ33" s="48" t="s">
        <v>49</v>
      </c>
      <c r="AK33" s="48" t="s">
        <v>41</v>
      </c>
      <c r="AL33" s="48" t="s">
        <v>41</v>
      </c>
      <c r="AM33" s="49" t="s">
        <v>41</v>
      </c>
      <c r="AN33" s="48" t="s">
        <v>41</v>
      </c>
      <c r="AO33" s="62" t="s">
        <v>139</v>
      </c>
      <c r="AP33" s="62"/>
      <c r="AQ33" s="67"/>
    </row>
    <row r="34" spans="1:43" x14ac:dyDescent="0.2">
      <c r="A34">
        <v>33</v>
      </c>
      <c r="B34" s="33">
        <f>+B33+1</f>
        <v>33</v>
      </c>
      <c r="C34" s="34" t="s">
        <v>294</v>
      </c>
      <c r="D34" s="35" t="s">
        <v>295</v>
      </c>
      <c r="E34" s="36" t="s">
        <v>296</v>
      </c>
      <c r="F34" s="334">
        <v>30047</v>
      </c>
      <c r="G34" s="36" t="s">
        <v>54</v>
      </c>
      <c r="H34" s="34" t="s">
        <v>297</v>
      </c>
      <c r="I34" s="37" t="s">
        <v>252</v>
      </c>
      <c r="J34" s="425" t="s">
        <v>4742</v>
      </c>
      <c r="K34" s="37" t="s">
        <v>57</v>
      </c>
      <c r="L34" s="38" t="s">
        <v>298</v>
      </c>
      <c r="M34" s="34" t="s">
        <v>41</v>
      </c>
      <c r="N34" s="39" t="s">
        <v>42</v>
      </c>
      <c r="O34" s="53">
        <v>44845</v>
      </c>
      <c r="P34" s="41"/>
      <c r="Q34" s="41"/>
      <c r="R34" s="41"/>
      <c r="S34" s="41"/>
      <c r="T34" s="41"/>
      <c r="U34" s="41"/>
      <c r="V34" s="41" t="s">
        <v>44</v>
      </c>
      <c r="W34" s="41"/>
      <c r="X34" s="41"/>
      <c r="Y34" s="41"/>
      <c r="Z34" s="41"/>
      <c r="AA34" s="42" t="s">
        <v>299</v>
      </c>
      <c r="AB34" s="58" t="s">
        <v>300</v>
      </c>
      <c r="AC34" s="44"/>
      <c r="AD34" s="45">
        <v>45642</v>
      </c>
      <c r="AE34" s="46"/>
      <c r="AF34" s="36"/>
      <c r="AG34" s="47" t="s">
        <v>49</v>
      </c>
      <c r="AH34" s="48" t="s">
        <v>41</v>
      </c>
      <c r="AI34" s="48" t="s">
        <v>41</v>
      </c>
      <c r="AJ34" s="48" t="s">
        <v>49</v>
      </c>
      <c r="AK34" s="48" t="s">
        <v>49</v>
      </c>
      <c r="AL34" s="48" t="s">
        <v>49</v>
      </c>
      <c r="AM34" s="49" t="s">
        <v>49</v>
      </c>
      <c r="AN34" s="48" t="s">
        <v>49</v>
      </c>
      <c r="AO34" s="62" t="s">
        <v>32</v>
      </c>
      <c r="AP34" s="62"/>
      <c r="AQ34" s="59"/>
    </row>
    <row r="35" spans="1:43" x14ac:dyDescent="0.2">
      <c r="A35">
        <v>34</v>
      </c>
      <c r="B35" s="33">
        <f>+B34+1</f>
        <v>34</v>
      </c>
      <c r="C35" s="34" t="s">
        <v>301</v>
      </c>
      <c r="D35" s="35" t="s">
        <v>302</v>
      </c>
      <c r="E35" s="36" t="s">
        <v>303</v>
      </c>
      <c r="F35" s="334">
        <v>27096</v>
      </c>
      <c r="G35" s="36" t="s">
        <v>54</v>
      </c>
      <c r="H35" s="34" t="s">
        <v>4619</v>
      </c>
      <c r="I35" s="37" t="s">
        <v>73</v>
      </c>
      <c r="J35" s="425" t="s">
        <v>4765</v>
      </c>
      <c r="K35" s="37" t="s">
        <v>73</v>
      </c>
      <c r="L35" s="38" t="s">
        <v>305</v>
      </c>
      <c r="M35" s="38" t="s">
        <v>306</v>
      </c>
      <c r="N35" s="39" t="s">
        <v>42</v>
      </c>
      <c r="O35" s="40" t="s">
        <v>307</v>
      </c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2" t="s">
        <v>308</v>
      </c>
      <c r="AB35" s="310" t="s">
        <v>4620</v>
      </c>
      <c r="AC35" s="44" t="s">
        <v>61</v>
      </c>
      <c r="AD35" s="45">
        <v>40280</v>
      </c>
      <c r="AE35" s="46" t="s">
        <v>30</v>
      </c>
      <c r="AF35" s="36" t="s">
        <v>26</v>
      </c>
      <c r="AG35" s="64" t="s">
        <v>120</v>
      </c>
      <c r="AH35" s="48" t="s">
        <v>120</v>
      </c>
      <c r="AI35" s="48" t="s">
        <v>120</v>
      </c>
      <c r="AJ35" s="48" t="s">
        <v>120</v>
      </c>
      <c r="AK35" s="48" t="s">
        <v>120</v>
      </c>
      <c r="AL35" s="48" t="s">
        <v>120</v>
      </c>
      <c r="AM35" s="49" t="s">
        <v>120</v>
      </c>
      <c r="AN35" s="48" t="s">
        <v>120</v>
      </c>
      <c r="AO35" s="62" t="s">
        <v>32</v>
      </c>
      <c r="AP35" s="62"/>
      <c r="AQ35" s="59"/>
    </row>
    <row r="36" spans="1:43" x14ac:dyDescent="0.2">
      <c r="A36">
        <v>35</v>
      </c>
      <c r="B36" s="33">
        <f>+B35+1</f>
        <v>35</v>
      </c>
      <c r="C36" s="34" t="s">
        <v>310</v>
      </c>
      <c r="D36" s="35" t="s">
        <v>311</v>
      </c>
      <c r="E36" s="36" t="s">
        <v>312</v>
      </c>
      <c r="F36" s="334">
        <v>30019</v>
      </c>
      <c r="G36" s="36" t="s">
        <v>54</v>
      </c>
      <c r="H36" s="34" t="s">
        <v>313</v>
      </c>
      <c r="I36" s="37" t="s">
        <v>214</v>
      </c>
      <c r="J36" s="425" t="s">
        <v>4743</v>
      </c>
      <c r="K36" s="37" t="s">
        <v>205</v>
      </c>
      <c r="L36" s="57" t="s">
        <v>314</v>
      </c>
      <c r="M36" s="34" t="s">
        <v>315</v>
      </c>
      <c r="N36" s="39" t="s">
        <v>42</v>
      </c>
      <c r="O36" s="40" t="s">
        <v>316</v>
      </c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2" t="s">
        <v>317</v>
      </c>
      <c r="AB36" s="321" t="s">
        <v>318</v>
      </c>
      <c r="AC36" s="44" t="s">
        <v>61</v>
      </c>
      <c r="AD36" s="45">
        <v>40815</v>
      </c>
      <c r="AE36" s="46" t="s">
        <v>30</v>
      </c>
      <c r="AF36" s="36" t="s">
        <v>26</v>
      </c>
      <c r="AG36" s="47" t="s">
        <v>49</v>
      </c>
      <c r="AH36" s="48" t="s">
        <v>49</v>
      </c>
      <c r="AI36" s="48" t="s">
        <v>49</v>
      </c>
      <c r="AJ36" s="48" t="s">
        <v>49</v>
      </c>
      <c r="AK36" s="48" t="s">
        <v>49</v>
      </c>
      <c r="AL36" s="48" t="s">
        <v>49</v>
      </c>
      <c r="AM36" s="49" t="s">
        <v>49</v>
      </c>
      <c r="AN36" s="48" t="s">
        <v>49</v>
      </c>
      <c r="AO36" s="62" t="s">
        <v>32</v>
      </c>
      <c r="AP36" s="62"/>
      <c r="AQ36" s="59"/>
    </row>
    <row r="37" spans="1:43" x14ac:dyDescent="0.2">
      <c r="A37">
        <v>36</v>
      </c>
      <c r="B37" s="33">
        <f>+B36+1</f>
        <v>36</v>
      </c>
      <c r="C37" s="34" t="s">
        <v>319</v>
      </c>
      <c r="D37" s="35" t="s">
        <v>320</v>
      </c>
      <c r="E37" s="398" t="s">
        <v>321</v>
      </c>
      <c r="F37" s="334">
        <v>28397</v>
      </c>
      <c r="G37" s="36" t="s">
        <v>54</v>
      </c>
      <c r="H37" s="34" t="s">
        <v>322</v>
      </c>
      <c r="I37" s="37" t="s">
        <v>323</v>
      </c>
      <c r="J37" s="425" t="s">
        <v>4758</v>
      </c>
      <c r="K37" s="37" t="s">
        <v>39</v>
      </c>
      <c r="L37" s="38" t="s">
        <v>324</v>
      </c>
      <c r="M37" s="34" t="s">
        <v>41</v>
      </c>
      <c r="N37" s="39" t="s">
        <v>42</v>
      </c>
      <c r="O37" s="53" t="s">
        <v>325</v>
      </c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42" t="s">
        <v>326</v>
      </c>
      <c r="AB37" s="58" t="s">
        <v>327</v>
      </c>
      <c r="AC37" s="44" t="s">
        <v>328</v>
      </c>
      <c r="AD37" s="45">
        <v>43200</v>
      </c>
      <c r="AE37" s="46" t="s">
        <v>30</v>
      </c>
      <c r="AF37" s="36" t="s">
        <v>26</v>
      </c>
      <c r="AG37" s="47" t="s">
        <v>49</v>
      </c>
      <c r="AH37" s="48" t="s">
        <v>49</v>
      </c>
      <c r="AI37" s="48" t="s">
        <v>49</v>
      </c>
      <c r="AJ37" s="48" t="s">
        <v>49</v>
      </c>
      <c r="AK37" s="48" t="s">
        <v>49</v>
      </c>
      <c r="AL37" s="48" t="s">
        <v>49</v>
      </c>
      <c r="AM37" s="49" t="s">
        <v>49</v>
      </c>
      <c r="AN37" s="48" t="s">
        <v>49</v>
      </c>
      <c r="AO37" s="65" t="s">
        <v>32</v>
      </c>
      <c r="AP37" s="65"/>
      <c r="AQ37" s="59"/>
    </row>
    <row r="38" spans="1:43" x14ac:dyDescent="0.2">
      <c r="A38">
        <v>37</v>
      </c>
      <c r="B38" s="33">
        <f>+B37+1</f>
        <v>37</v>
      </c>
      <c r="C38" s="34" t="s">
        <v>329</v>
      </c>
      <c r="D38" s="35" t="s">
        <v>330</v>
      </c>
      <c r="E38" s="105" t="s">
        <v>331</v>
      </c>
      <c r="F38" s="344">
        <v>23193</v>
      </c>
      <c r="G38" s="36" t="s">
        <v>54</v>
      </c>
      <c r="H38" s="34" t="s">
        <v>332</v>
      </c>
      <c r="I38" s="37" t="s">
        <v>38</v>
      </c>
      <c r="J38" s="425" t="s">
        <v>4762</v>
      </c>
      <c r="K38" s="37" t="s">
        <v>39</v>
      </c>
      <c r="L38" s="404" t="s">
        <v>333</v>
      </c>
      <c r="M38" s="34" t="s">
        <v>41</v>
      </c>
      <c r="N38" s="39" t="s">
        <v>42</v>
      </c>
      <c r="O38" s="53">
        <v>37202</v>
      </c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2" t="s">
        <v>334</v>
      </c>
      <c r="AB38" s="58" t="s">
        <v>335</v>
      </c>
      <c r="AC38" s="44"/>
      <c r="AD38" s="45"/>
      <c r="AE38" s="46"/>
      <c r="AF38" s="36" t="s">
        <v>26</v>
      </c>
      <c r="AG38" s="47" t="s">
        <v>49</v>
      </c>
      <c r="AH38" s="48" t="s">
        <v>49</v>
      </c>
      <c r="AI38" s="48" t="s">
        <v>49</v>
      </c>
      <c r="AJ38" s="48" t="s">
        <v>49</v>
      </c>
      <c r="AK38" s="48" t="s">
        <v>49</v>
      </c>
      <c r="AL38" s="48" t="s">
        <v>49</v>
      </c>
      <c r="AM38" s="49" t="s">
        <v>49</v>
      </c>
      <c r="AN38" s="48" t="s">
        <v>41</v>
      </c>
      <c r="AO38" s="62" t="s">
        <v>148</v>
      </c>
      <c r="AP38" s="62"/>
      <c r="AQ38" s="59"/>
    </row>
    <row r="39" spans="1:43" x14ac:dyDescent="0.2">
      <c r="A39">
        <v>38</v>
      </c>
      <c r="B39" s="33">
        <f>+B38+1</f>
        <v>38</v>
      </c>
      <c r="C39" s="34" t="s">
        <v>336</v>
      </c>
      <c r="D39" s="35" t="s">
        <v>337</v>
      </c>
      <c r="E39" s="36" t="s">
        <v>338</v>
      </c>
      <c r="F39" s="334">
        <v>31957</v>
      </c>
      <c r="G39" s="36" t="s">
        <v>54</v>
      </c>
      <c r="H39" s="34" t="s">
        <v>339</v>
      </c>
      <c r="I39" s="37" t="s">
        <v>73</v>
      </c>
      <c r="J39" s="425" t="s">
        <v>4765</v>
      </c>
      <c r="K39" s="37" t="s">
        <v>73</v>
      </c>
      <c r="L39" s="38" t="s">
        <v>340</v>
      </c>
      <c r="M39" s="34" t="s">
        <v>41</v>
      </c>
      <c r="N39" s="39" t="s">
        <v>42</v>
      </c>
      <c r="O39" s="53">
        <v>45237</v>
      </c>
      <c r="P39" s="41"/>
      <c r="Q39" s="41"/>
      <c r="R39" s="41"/>
      <c r="S39" s="41"/>
      <c r="T39" s="41"/>
      <c r="U39" s="41"/>
      <c r="V39" s="41"/>
      <c r="W39" s="41" t="s">
        <v>44</v>
      </c>
      <c r="X39" s="41"/>
      <c r="Y39" s="41"/>
      <c r="Z39" s="41"/>
      <c r="AA39" s="38" t="s">
        <v>343</v>
      </c>
      <c r="AB39" s="58" t="s">
        <v>344</v>
      </c>
      <c r="AC39" s="58"/>
      <c r="AD39" s="45">
        <v>45642</v>
      </c>
      <c r="AE39" s="46"/>
      <c r="AF39" s="36"/>
      <c r="AG39" s="47" t="s">
        <v>49</v>
      </c>
      <c r="AH39" s="48" t="s">
        <v>41</v>
      </c>
      <c r="AI39" s="48" t="s">
        <v>41</v>
      </c>
      <c r="AJ39" s="48" t="s">
        <v>41</v>
      </c>
      <c r="AK39" s="48" t="s">
        <v>49</v>
      </c>
      <c r="AL39" s="48" t="s">
        <v>49</v>
      </c>
      <c r="AM39" s="49" t="s">
        <v>49</v>
      </c>
      <c r="AN39" s="48" t="s">
        <v>49</v>
      </c>
      <c r="AO39" s="62" t="s">
        <v>32</v>
      </c>
      <c r="AP39" s="62"/>
      <c r="AQ39" s="59"/>
    </row>
    <row r="40" spans="1:43" x14ac:dyDescent="0.2">
      <c r="A40">
        <v>39</v>
      </c>
      <c r="B40" s="33">
        <f>+B39+1</f>
        <v>39</v>
      </c>
      <c r="C40" s="34" t="s">
        <v>345</v>
      </c>
      <c r="D40" s="35" t="s">
        <v>346</v>
      </c>
      <c r="E40" s="36" t="s">
        <v>347</v>
      </c>
      <c r="F40" s="334">
        <v>33317</v>
      </c>
      <c r="G40" s="36" t="s">
        <v>54</v>
      </c>
      <c r="H40" s="106" t="s">
        <v>348</v>
      </c>
      <c r="I40" s="37" t="s">
        <v>349</v>
      </c>
      <c r="J40" s="425" t="s">
        <v>4750</v>
      </c>
      <c r="K40" s="37" t="s">
        <v>350</v>
      </c>
      <c r="L40" s="38" t="s">
        <v>351</v>
      </c>
      <c r="M40" s="34" t="s">
        <v>41</v>
      </c>
      <c r="N40" s="39" t="s">
        <v>42</v>
      </c>
      <c r="O40" s="53" t="s">
        <v>352</v>
      </c>
      <c r="P40" s="56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42" t="s">
        <v>353</v>
      </c>
      <c r="AB40" s="43" t="s">
        <v>354</v>
      </c>
      <c r="AC40" s="44" t="s">
        <v>355</v>
      </c>
      <c r="AD40" s="45">
        <v>42935</v>
      </c>
      <c r="AE40" s="46" t="s">
        <v>129</v>
      </c>
      <c r="AF40" s="36" t="s">
        <v>26</v>
      </c>
      <c r="AG40" s="47" t="s">
        <v>49</v>
      </c>
      <c r="AH40" s="48" t="s">
        <v>49</v>
      </c>
      <c r="AI40" s="48" t="s">
        <v>49</v>
      </c>
      <c r="AJ40" s="48" t="s">
        <v>49</v>
      </c>
      <c r="AK40" s="48" t="s">
        <v>49</v>
      </c>
      <c r="AL40" s="48" t="s">
        <v>49</v>
      </c>
      <c r="AM40" s="49" t="s">
        <v>49</v>
      </c>
      <c r="AN40" s="48" t="s">
        <v>49</v>
      </c>
      <c r="AO40" s="62" t="s">
        <v>32</v>
      </c>
      <c r="AP40" s="62"/>
      <c r="AQ40" s="59"/>
    </row>
    <row r="41" spans="1:43" x14ac:dyDescent="0.2">
      <c r="A41">
        <v>40</v>
      </c>
      <c r="B41" s="33">
        <f>+B40+1</f>
        <v>40</v>
      </c>
      <c r="C41" s="34" t="s">
        <v>356</v>
      </c>
      <c r="D41" s="35" t="s">
        <v>357</v>
      </c>
      <c r="E41" s="36" t="s">
        <v>358</v>
      </c>
      <c r="F41" s="334">
        <v>26781</v>
      </c>
      <c r="G41" s="36" t="s">
        <v>54</v>
      </c>
      <c r="H41" s="34" t="s">
        <v>359</v>
      </c>
      <c r="I41" s="37" t="s">
        <v>360</v>
      </c>
      <c r="J41" s="425" t="s">
        <v>4749</v>
      </c>
      <c r="K41" s="37" t="s">
        <v>350</v>
      </c>
      <c r="L41" s="34" t="s">
        <v>361</v>
      </c>
      <c r="M41" s="34" t="s">
        <v>41</v>
      </c>
      <c r="N41" s="39" t="s">
        <v>42</v>
      </c>
      <c r="O41" s="53">
        <v>37718</v>
      </c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42" t="s">
        <v>362</v>
      </c>
      <c r="AB41" s="60" t="s">
        <v>363</v>
      </c>
      <c r="AC41" s="44" t="s">
        <v>61</v>
      </c>
      <c r="AD41" s="45">
        <v>37877</v>
      </c>
      <c r="AE41" s="46" t="s">
        <v>30</v>
      </c>
      <c r="AF41" s="36" t="s">
        <v>26</v>
      </c>
      <c r="AG41" s="47" t="s">
        <v>49</v>
      </c>
      <c r="AH41" s="48" t="s">
        <v>49</v>
      </c>
      <c r="AI41" s="48" t="s">
        <v>49</v>
      </c>
      <c r="AJ41" s="48" t="s">
        <v>49</v>
      </c>
      <c r="AK41" s="48" t="s">
        <v>49</v>
      </c>
      <c r="AL41" s="48" t="s">
        <v>49</v>
      </c>
      <c r="AM41" s="49" t="s">
        <v>49</v>
      </c>
      <c r="AN41" s="48" t="s">
        <v>49</v>
      </c>
      <c r="AO41" s="62" t="s">
        <v>32</v>
      </c>
      <c r="AP41" s="62"/>
      <c r="AQ41" s="59"/>
    </row>
    <row r="42" spans="1:43" x14ac:dyDescent="0.2">
      <c r="A42">
        <v>41</v>
      </c>
      <c r="B42" s="33">
        <f>+B41+1</f>
        <v>41</v>
      </c>
      <c r="C42" s="34" t="s">
        <v>364</v>
      </c>
      <c r="D42" s="35" t="s">
        <v>365</v>
      </c>
      <c r="E42" s="36" t="s">
        <v>366</v>
      </c>
      <c r="F42" s="36"/>
      <c r="G42" s="36" t="s">
        <v>54</v>
      </c>
      <c r="H42" s="87" t="s">
        <v>367</v>
      </c>
      <c r="I42" s="37" t="s">
        <v>243</v>
      </c>
      <c r="J42" s="425" t="s">
        <v>4744</v>
      </c>
      <c r="K42" s="37" t="s">
        <v>205</v>
      </c>
      <c r="L42" s="34" t="s">
        <v>368</v>
      </c>
      <c r="M42" s="34" t="s">
        <v>41</v>
      </c>
      <c r="N42" s="39" t="s">
        <v>42</v>
      </c>
      <c r="O42" s="40" t="s">
        <v>369</v>
      </c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2" t="s">
        <v>370</v>
      </c>
      <c r="AB42" s="100" t="s">
        <v>371</v>
      </c>
      <c r="AC42" s="44" t="s">
        <v>372</v>
      </c>
      <c r="AD42" s="45">
        <v>42966</v>
      </c>
      <c r="AE42" s="46" t="s">
        <v>30</v>
      </c>
      <c r="AF42" s="36" t="s">
        <v>26</v>
      </c>
      <c r="AG42" s="47" t="s">
        <v>49</v>
      </c>
      <c r="AH42" s="48" t="s">
        <v>49</v>
      </c>
      <c r="AI42" s="48" t="s">
        <v>49</v>
      </c>
      <c r="AJ42" s="48" t="s">
        <v>41</v>
      </c>
      <c r="AK42" s="48" t="s">
        <v>41</v>
      </c>
      <c r="AL42" s="48" t="s">
        <v>41</v>
      </c>
      <c r="AM42" s="49" t="s">
        <v>41</v>
      </c>
      <c r="AN42" s="48" t="s">
        <v>41</v>
      </c>
      <c r="AO42" s="62" t="s">
        <v>110</v>
      </c>
      <c r="AP42" s="62"/>
      <c r="AQ42" s="59"/>
    </row>
    <row r="43" spans="1:43" x14ac:dyDescent="0.2">
      <c r="A43">
        <v>42</v>
      </c>
      <c r="B43" s="33">
        <f>+B42+1</f>
        <v>42</v>
      </c>
      <c r="C43" s="394" t="s">
        <v>373</v>
      </c>
      <c r="D43" s="35" t="s">
        <v>374</v>
      </c>
      <c r="E43" s="36" t="s">
        <v>375</v>
      </c>
      <c r="F43" s="334">
        <v>28867</v>
      </c>
      <c r="G43" s="36" t="s">
        <v>54</v>
      </c>
      <c r="H43" s="34" t="s">
        <v>376</v>
      </c>
      <c r="I43" s="37" t="s">
        <v>377</v>
      </c>
      <c r="J43" s="425" t="s">
        <v>4757</v>
      </c>
      <c r="K43" s="37" t="s">
        <v>378</v>
      </c>
      <c r="L43" s="38" t="s">
        <v>379</v>
      </c>
      <c r="M43" s="34" t="s">
        <v>380</v>
      </c>
      <c r="N43" s="39" t="s">
        <v>42</v>
      </c>
      <c r="O43" s="53" t="s">
        <v>381</v>
      </c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42" t="s">
        <v>4642</v>
      </c>
      <c r="AB43" s="43" t="s">
        <v>383</v>
      </c>
      <c r="AC43" s="44" t="s">
        <v>384</v>
      </c>
      <c r="AD43" s="45">
        <v>42935</v>
      </c>
      <c r="AE43" s="46" t="s">
        <v>30</v>
      </c>
      <c r="AF43" s="36" t="s">
        <v>26</v>
      </c>
      <c r="AG43" s="47" t="s">
        <v>49</v>
      </c>
      <c r="AH43" s="48" t="s">
        <v>49</v>
      </c>
      <c r="AI43" s="48" t="s">
        <v>49</v>
      </c>
      <c r="AJ43" s="48" t="s">
        <v>49</v>
      </c>
      <c r="AK43" s="48" t="s">
        <v>49</v>
      </c>
      <c r="AL43" s="48" t="s">
        <v>49</v>
      </c>
      <c r="AM43" s="49" t="s">
        <v>49</v>
      </c>
      <c r="AN43" s="48" t="s">
        <v>49</v>
      </c>
      <c r="AO43" s="62" t="s">
        <v>32</v>
      </c>
      <c r="AP43" s="62"/>
      <c r="AQ43" s="59"/>
    </row>
    <row r="44" spans="1:43" x14ac:dyDescent="0.2">
      <c r="A44">
        <v>43</v>
      </c>
      <c r="B44" s="33">
        <f>+B43+1</f>
        <v>43</v>
      </c>
      <c r="C44" s="34" t="s">
        <v>385</v>
      </c>
      <c r="D44" s="35" t="s">
        <v>386</v>
      </c>
      <c r="E44" s="36" t="s">
        <v>387</v>
      </c>
      <c r="F44" s="334">
        <v>31758</v>
      </c>
      <c r="G44" s="36" t="s">
        <v>54</v>
      </c>
      <c r="H44" s="34" t="s">
        <v>388</v>
      </c>
      <c r="I44" s="37" t="s">
        <v>73</v>
      </c>
      <c r="J44" s="425" t="s">
        <v>4765</v>
      </c>
      <c r="K44" s="37" t="s">
        <v>73</v>
      </c>
      <c r="L44" s="34" t="s">
        <v>389</v>
      </c>
      <c r="M44" s="34" t="s">
        <v>380</v>
      </c>
      <c r="N44" s="39" t="s">
        <v>42</v>
      </c>
      <c r="O44" s="40" t="s">
        <v>390</v>
      </c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42" t="s">
        <v>391</v>
      </c>
      <c r="AB44" s="52" t="s">
        <v>392</v>
      </c>
      <c r="AC44" s="44" t="s">
        <v>393</v>
      </c>
      <c r="AD44" s="45">
        <v>43200</v>
      </c>
      <c r="AE44" s="46" t="s">
        <v>30</v>
      </c>
      <c r="AF44" s="36" t="s">
        <v>26</v>
      </c>
      <c r="AG44" s="47" t="s">
        <v>49</v>
      </c>
      <c r="AH44" s="48" t="s">
        <v>49</v>
      </c>
      <c r="AI44" s="48" t="s">
        <v>49</v>
      </c>
      <c r="AJ44" s="48" t="s">
        <v>49</v>
      </c>
      <c r="AK44" s="48" t="s">
        <v>49</v>
      </c>
      <c r="AL44" s="48" t="s">
        <v>49</v>
      </c>
      <c r="AM44" s="49" t="s">
        <v>49</v>
      </c>
      <c r="AN44" s="48" t="s">
        <v>49</v>
      </c>
      <c r="AO44" s="62" t="s">
        <v>32</v>
      </c>
      <c r="AP44" s="62"/>
      <c r="AQ44" s="59"/>
    </row>
    <row r="45" spans="1:43" x14ac:dyDescent="0.2">
      <c r="A45">
        <v>44</v>
      </c>
      <c r="B45" s="33">
        <f>+B44+1</f>
        <v>44</v>
      </c>
      <c r="C45" s="108" t="s">
        <v>394</v>
      </c>
      <c r="D45" s="35" t="s">
        <v>395</v>
      </c>
      <c r="E45" s="109" t="s">
        <v>396</v>
      </c>
      <c r="F45" s="336">
        <v>30002</v>
      </c>
      <c r="G45" s="36" t="s">
        <v>36</v>
      </c>
      <c r="H45" s="108" t="s">
        <v>397</v>
      </c>
      <c r="I45" s="37" t="s">
        <v>398</v>
      </c>
      <c r="J45" s="425" t="s">
        <v>4745</v>
      </c>
      <c r="K45" s="37" t="s">
        <v>205</v>
      </c>
      <c r="L45" s="108" t="s">
        <v>399</v>
      </c>
      <c r="M45" s="34" t="s">
        <v>41</v>
      </c>
      <c r="N45" s="39" t="s">
        <v>42</v>
      </c>
      <c r="O45" s="53">
        <v>40399</v>
      </c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2" t="s">
        <v>400</v>
      </c>
      <c r="AB45" s="69" t="s">
        <v>401</v>
      </c>
      <c r="AC45" s="44" t="s">
        <v>61</v>
      </c>
      <c r="AD45" s="45">
        <v>40815</v>
      </c>
      <c r="AE45" s="46" t="s">
        <v>30</v>
      </c>
      <c r="AF45" s="109" t="s">
        <v>26</v>
      </c>
      <c r="AG45" s="47" t="s">
        <v>49</v>
      </c>
      <c r="AH45" s="48" t="s">
        <v>49</v>
      </c>
      <c r="AI45" s="48" t="s">
        <v>49</v>
      </c>
      <c r="AJ45" s="48" t="s">
        <v>49</v>
      </c>
      <c r="AK45" s="48" t="s">
        <v>49</v>
      </c>
      <c r="AL45" s="48" t="s">
        <v>49</v>
      </c>
      <c r="AM45" s="49" t="s">
        <v>49</v>
      </c>
      <c r="AN45" s="48" t="s">
        <v>49</v>
      </c>
      <c r="AO45" s="62" t="s">
        <v>32</v>
      </c>
      <c r="AP45" s="62"/>
      <c r="AQ45" s="59"/>
    </row>
    <row r="46" spans="1:43" x14ac:dyDescent="0.2">
      <c r="A46">
        <v>45</v>
      </c>
      <c r="B46" s="33">
        <f>+B45+1</f>
        <v>45</v>
      </c>
      <c r="C46" s="34" t="s">
        <v>402</v>
      </c>
      <c r="D46" s="35" t="s">
        <v>403</v>
      </c>
      <c r="E46" s="36" t="s">
        <v>404</v>
      </c>
      <c r="F46" s="36"/>
      <c r="G46" s="36" t="s">
        <v>54</v>
      </c>
      <c r="H46" s="34" t="s">
        <v>405</v>
      </c>
      <c r="I46" s="37" t="s">
        <v>73</v>
      </c>
      <c r="J46" s="425" t="s">
        <v>4765</v>
      </c>
      <c r="K46" s="37" t="s">
        <v>73</v>
      </c>
      <c r="L46" s="38" t="s">
        <v>406</v>
      </c>
      <c r="M46" s="34" t="s">
        <v>41</v>
      </c>
      <c r="N46" s="39" t="s">
        <v>42</v>
      </c>
      <c r="O46" s="53">
        <v>36895</v>
      </c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2" t="s">
        <v>407</v>
      </c>
      <c r="AB46" s="58" t="s">
        <v>408</v>
      </c>
      <c r="AC46" s="44" t="s">
        <v>61</v>
      </c>
      <c r="AD46" s="45">
        <v>40280</v>
      </c>
      <c r="AE46" s="46" t="s">
        <v>30</v>
      </c>
      <c r="AF46" s="36"/>
      <c r="AG46" s="47" t="s">
        <v>49</v>
      </c>
      <c r="AH46" s="48" t="s">
        <v>41</v>
      </c>
      <c r="AI46" s="48" t="s">
        <v>41</v>
      </c>
      <c r="AJ46" s="48" t="s">
        <v>41</v>
      </c>
      <c r="AK46" s="48" t="s">
        <v>41</v>
      </c>
      <c r="AL46" s="48" t="s">
        <v>41</v>
      </c>
      <c r="AM46" s="49" t="s">
        <v>41</v>
      </c>
      <c r="AN46" s="48" t="s">
        <v>41</v>
      </c>
      <c r="AO46" s="65" t="s">
        <v>4590</v>
      </c>
      <c r="AP46" s="65"/>
      <c r="AQ46" s="59"/>
    </row>
    <row r="47" spans="1:43" x14ac:dyDescent="0.2">
      <c r="A47">
        <v>46</v>
      </c>
      <c r="B47" s="33">
        <f>+B46+1</f>
        <v>46</v>
      </c>
      <c r="C47" s="395" t="s">
        <v>409</v>
      </c>
      <c r="D47" s="35" t="s">
        <v>410</v>
      </c>
      <c r="E47" s="36" t="s">
        <v>4779</v>
      </c>
      <c r="F47" s="36"/>
      <c r="G47" s="36" t="s">
        <v>36</v>
      </c>
      <c r="H47" s="87" t="s">
        <v>412</v>
      </c>
      <c r="I47" s="37" t="s">
        <v>413</v>
      </c>
      <c r="J47" s="425" t="s">
        <v>4754</v>
      </c>
      <c r="K47" s="37" t="s">
        <v>378</v>
      </c>
      <c r="L47" s="38" t="s">
        <v>414</v>
      </c>
      <c r="M47" s="38" t="s">
        <v>415</v>
      </c>
      <c r="N47" s="39" t="s">
        <v>42</v>
      </c>
      <c r="O47" s="53" t="s">
        <v>416</v>
      </c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42" t="s">
        <v>417</v>
      </c>
      <c r="AB47" s="58" t="s">
        <v>418</v>
      </c>
      <c r="AC47" s="44" t="s">
        <v>419</v>
      </c>
      <c r="AD47" s="45">
        <v>42935</v>
      </c>
      <c r="AE47" s="46" t="s">
        <v>129</v>
      </c>
      <c r="AF47" s="36">
        <v>1</v>
      </c>
      <c r="AG47" s="47" t="s">
        <v>49</v>
      </c>
      <c r="AH47" s="48" t="s">
        <v>41</v>
      </c>
      <c r="AI47" s="48" t="s">
        <v>41</v>
      </c>
      <c r="AJ47" s="48" t="s">
        <v>41</v>
      </c>
      <c r="AK47" s="48" t="s">
        <v>41</v>
      </c>
      <c r="AL47" s="48" t="s">
        <v>41</v>
      </c>
      <c r="AM47" s="49" t="s">
        <v>41</v>
      </c>
      <c r="AN47" s="48" t="s">
        <v>41</v>
      </c>
      <c r="AO47" s="110" t="s">
        <v>4591</v>
      </c>
      <c r="AP47" s="110"/>
      <c r="AQ47" s="59"/>
    </row>
    <row r="48" spans="1:43" x14ac:dyDescent="0.2">
      <c r="A48">
        <v>47</v>
      </c>
      <c r="B48" s="33">
        <f>+B47+1</f>
        <v>47</v>
      </c>
      <c r="C48" s="34" t="s">
        <v>420</v>
      </c>
      <c r="D48" s="35" t="s">
        <v>421</v>
      </c>
      <c r="E48" s="36" t="s">
        <v>4789</v>
      </c>
      <c r="F48" s="334">
        <v>22001</v>
      </c>
      <c r="G48" s="36" t="s">
        <v>54</v>
      </c>
      <c r="H48" s="34" t="s">
        <v>423</v>
      </c>
      <c r="I48" s="37" t="s">
        <v>73</v>
      </c>
      <c r="J48" s="425" t="s">
        <v>4765</v>
      </c>
      <c r="K48" s="37" t="s">
        <v>73</v>
      </c>
      <c r="L48" s="34" t="s">
        <v>424</v>
      </c>
      <c r="M48" s="34" t="s">
        <v>425</v>
      </c>
      <c r="N48" s="39" t="s">
        <v>42</v>
      </c>
      <c r="O48" s="53">
        <v>40360</v>
      </c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2" t="s">
        <v>426</v>
      </c>
      <c r="AB48" s="43" t="s">
        <v>427</v>
      </c>
      <c r="AC48" s="44" t="s">
        <v>61</v>
      </c>
      <c r="AD48" s="45">
        <v>40815</v>
      </c>
      <c r="AE48" s="46" t="s">
        <v>30</v>
      </c>
      <c r="AF48" s="36" t="s">
        <v>26</v>
      </c>
      <c r="AG48" s="64" t="s">
        <v>120</v>
      </c>
      <c r="AH48" s="48" t="s">
        <v>120</v>
      </c>
      <c r="AI48" s="48" t="s">
        <v>120</v>
      </c>
      <c r="AJ48" s="48" t="s">
        <v>120</v>
      </c>
      <c r="AK48" s="48" t="s">
        <v>120</v>
      </c>
      <c r="AL48" s="48" t="s">
        <v>120</v>
      </c>
      <c r="AM48" s="49" t="s">
        <v>120</v>
      </c>
      <c r="AN48" s="48" t="s">
        <v>120</v>
      </c>
      <c r="AO48" s="65" t="s">
        <v>32</v>
      </c>
      <c r="AP48" s="65"/>
      <c r="AQ48" s="59"/>
    </row>
    <row r="49" spans="1:43" x14ac:dyDescent="0.2">
      <c r="A49">
        <v>48</v>
      </c>
      <c r="B49" s="33">
        <f>+B48+1</f>
        <v>48</v>
      </c>
      <c r="C49" s="34" t="s">
        <v>428</v>
      </c>
      <c r="D49" s="35" t="s">
        <v>429</v>
      </c>
      <c r="E49" s="36" t="s">
        <v>430</v>
      </c>
      <c r="F49" s="334">
        <v>25487</v>
      </c>
      <c r="G49" s="36" t="s">
        <v>54</v>
      </c>
      <c r="H49" s="34" t="s">
        <v>431</v>
      </c>
      <c r="I49" s="37" t="s">
        <v>38</v>
      </c>
      <c r="J49" s="425" t="s">
        <v>4762</v>
      </c>
      <c r="K49" s="37" t="s">
        <v>39</v>
      </c>
      <c r="L49" s="458" t="s">
        <v>432</v>
      </c>
      <c r="M49" s="34" t="s">
        <v>41</v>
      </c>
      <c r="N49" s="39" t="s">
        <v>42</v>
      </c>
      <c r="O49" s="40" t="s">
        <v>433</v>
      </c>
      <c r="P49" s="56"/>
      <c r="Q49" s="409"/>
      <c r="R49" s="115"/>
      <c r="S49" s="409"/>
      <c r="T49" s="115"/>
      <c r="U49" s="115"/>
      <c r="V49" s="115"/>
      <c r="W49" s="56"/>
      <c r="X49" s="56"/>
      <c r="Y49" s="56"/>
      <c r="Z49" s="56"/>
      <c r="AA49" s="42" t="s">
        <v>434</v>
      </c>
      <c r="AB49" s="69" t="s">
        <v>435</v>
      </c>
      <c r="AC49" s="44" t="s">
        <v>61</v>
      </c>
      <c r="AD49" s="45">
        <v>39286</v>
      </c>
      <c r="AE49" s="46" t="s">
        <v>30</v>
      </c>
      <c r="AF49" s="36" t="s">
        <v>26</v>
      </c>
      <c r="AG49" s="47" t="s">
        <v>49</v>
      </c>
      <c r="AH49" s="48" t="s">
        <v>49</v>
      </c>
      <c r="AI49" s="48" t="s">
        <v>49</v>
      </c>
      <c r="AJ49" s="48" t="s">
        <v>49</v>
      </c>
      <c r="AK49" s="48" t="s">
        <v>49</v>
      </c>
      <c r="AL49" s="48" t="s">
        <v>49</v>
      </c>
      <c r="AM49" s="49" t="s">
        <v>49</v>
      </c>
      <c r="AN49" s="48" t="s">
        <v>49</v>
      </c>
      <c r="AO49" s="62" t="s">
        <v>32</v>
      </c>
      <c r="AP49" s="62"/>
      <c r="AQ49" s="59"/>
    </row>
    <row r="50" spans="1:43" x14ac:dyDescent="0.2">
      <c r="A50">
        <v>49</v>
      </c>
      <c r="B50" s="33">
        <f>+B49+1</f>
        <v>49</v>
      </c>
      <c r="C50" s="34" t="s">
        <v>436</v>
      </c>
      <c r="D50" s="35" t="s">
        <v>437</v>
      </c>
      <c r="E50" s="36" t="s">
        <v>4803</v>
      </c>
      <c r="F50" s="334">
        <v>33883</v>
      </c>
      <c r="G50" s="36" t="s">
        <v>54</v>
      </c>
      <c r="H50" s="34" t="s">
        <v>439</v>
      </c>
      <c r="I50" s="37" t="s">
        <v>377</v>
      </c>
      <c r="J50" s="425" t="s">
        <v>4757</v>
      </c>
      <c r="K50" s="37" t="s">
        <v>378</v>
      </c>
      <c r="L50" s="113" t="s">
        <v>440</v>
      </c>
      <c r="M50" s="34" t="s">
        <v>41</v>
      </c>
      <c r="N50" s="39" t="s">
        <v>42</v>
      </c>
      <c r="O50" s="53">
        <v>45244</v>
      </c>
      <c r="P50" s="56"/>
      <c r="Q50" s="114"/>
      <c r="R50" s="115"/>
      <c r="S50" s="56"/>
      <c r="T50" s="115"/>
      <c r="U50" s="115"/>
      <c r="V50" s="115"/>
      <c r="W50" s="56" t="s">
        <v>44</v>
      </c>
      <c r="X50" s="56"/>
      <c r="Y50" s="56"/>
      <c r="Z50" s="56"/>
      <c r="AA50" s="42" t="s">
        <v>441</v>
      </c>
      <c r="AB50" s="83" t="s">
        <v>442</v>
      </c>
      <c r="AC50" s="44"/>
      <c r="AD50" s="45">
        <v>45642</v>
      </c>
      <c r="AE50" s="46"/>
      <c r="AF50" s="36"/>
      <c r="AG50" s="47" t="s">
        <v>49</v>
      </c>
      <c r="AH50" s="48" t="s">
        <v>41</v>
      </c>
      <c r="AI50" s="48" t="s">
        <v>41</v>
      </c>
      <c r="AJ50" s="48" t="s">
        <v>41</v>
      </c>
      <c r="AK50" s="48" t="s">
        <v>49</v>
      </c>
      <c r="AL50" s="48" t="s">
        <v>49</v>
      </c>
      <c r="AM50" s="49" t="s">
        <v>49</v>
      </c>
      <c r="AN50" s="48" t="s">
        <v>49</v>
      </c>
      <c r="AO50" s="62" t="s">
        <v>32</v>
      </c>
      <c r="AP50" s="62"/>
      <c r="AQ50" s="59"/>
    </row>
    <row r="51" spans="1:43" x14ac:dyDescent="0.2">
      <c r="A51">
        <v>50</v>
      </c>
      <c r="B51" s="33">
        <f>+B50+1</f>
        <v>50</v>
      </c>
      <c r="C51" s="34" t="s">
        <v>443</v>
      </c>
      <c r="D51" s="35" t="s">
        <v>444</v>
      </c>
      <c r="E51" s="36" t="s">
        <v>445</v>
      </c>
      <c r="F51" s="36"/>
      <c r="G51" s="36" t="s">
        <v>36</v>
      </c>
      <c r="H51" s="34" t="s">
        <v>446</v>
      </c>
      <c r="I51" s="37" t="s">
        <v>360</v>
      </c>
      <c r="J51" s="425" t="s">
        <v>4749</v>
      </c>
      <c r="K51" s="37" t="s">
        <v>350</v>
      </c>
      <c r="L51" s="38" t="s">
        <v>447</v>
      </c>
      <c r="M51" s="34" t="s">
        <v>41</v>
      </c>
      <c r="N51" s="39" t="s">
        <v>42</v>
      </c>
      <c r="O51" s="53">
        <v>40670</v>
      </c>
      <c r="P51" s="56"/>
      <c r="Q51" s="114"/>
      <c r="R51" s="115"/>
      <c r="S51" s="114"/>
      <c r="T51" s="115"/>
      <c r="U51" s="115"/>
      <c r="V51" s="115"/>
      <c r="W51" s="56"/>
      <c r="X51" s="56"/>
      <c r="Y51" s="56"/>
      <c r="Z51" s="56"/>
      <c r="AA51" s="42" t="s">
        <v>448</v>
      </c>
      <c r="AB51" s="58" t="s">
        <v>449</v>
      </c>
      <c r="AC51" s="44" t="s">
        <v>450</v>
      </c>
      <c r="AD51" s="45">
        <v>42325</v>
      </c>
      <c r="AE51" s="46" t="s">
        <v>30</v>
      </c>
      <c r="AF51" s="36">
        <v>1</v>
      </c>
      <c r="AG51" s="47" t="s">
        <v>49</v>
      </c>
      <c r="AH51" s="48" t="s">
        <v>41</v>
      </c>
      <c r="AI51" s="48" t="s">
        <v>41</v>
      </c>
      <c r="AJ51" s="48" t="s">
        <v>41</v>
      </c>
      <c r="AK51" s="48" t="s">
        <v>41</v>
      </c>
      <c r="AL51" s="48" t="s">
        <v>41</v>
      </c>
      <c r="AM51" s="49" t="s">
        <v>41</v>
      </c>
      <c r="AN51" s="48" t="s">
        <v>41</v>
      </c>
      <c r="AO51" s="65">
        <v>9</v>
      </c>
      <c r="AP51" s="65"/>
      <c r="AQ51" s="59" t="s">
        <v>451</v>
      </c>
    </row>
    <row r="52" spans="1:43" x14ac:dyDescent="0.2">
      <c r="A52">
        <v>51</v>
      </c>
      <c r="B52" s="33">
        <f>+B51+1</f>
        <v>51</v>
      </c>
      <c r="C52" s="34" t="s">
        <v>452</v>
      </c>
      <c r="D52" s="35" t="s">
        <v>453</v>
      </c>
      <c r="E52" s="36" t="s">
        <v>454</v>
      </c>
      <c r="F52" s="36"/>
      <c r="G52" s="36" t="s">
        <v>54</v>
      </c>
      <c r="H52" s="34" t="s">
        <v>455</v>
      </c>
      <c r="I52" s="37" t="s">
        <v>456</v>
      </c>
      <c r="J52" s="425" t="s">
        <v>4770</v>
      </c>
      <c r="K52" s="37" t="s">
        <v>187</v>
      </c>
      <c r="L52" s="34"/>
      <c r="M52" s="34" t="s">
        <v>41</v>
      </c>
      <c r="N52" s="39" t="s">
        <v>42</v>
      </c>
      <c r="O52" s="53">
        <v>36745</v>
      </c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42" t="s">
        <v>457</v>
      </c>
      <c r="AB52" s="69" t="s">
        <v>458</v>
      </c>
      <c r="AC52" s="44" t="s">
        <v>459</v>
      </c>
      <c r="AD52" s="45">
        <v>42325</v>
      </c>
      <c r="AE52" s="46" t="s">
        <v>30</v>
      </c>
      <c r="AF52" s="36">
        <v>1</v>
      </c>
      <c r="AG52" s="47" t="s">
        <v>49</v>
      </c>
      <c r="AH52" s="48" t="s">
        <v>41</v>
      </c>
      <c r="AI52" s="48" t="s">
        <v>41</v>
      </c>
      <c r="AJ52" s="48" t="s">
        <v>41</v>
      </c>
      <c r="AK52" s="48" t="s">
        <v>41</v>
      </c>
      <c r="AL52" s="48" t="s">
        <v>41</v>
      </c>
      <c r="AM52" s="49" t="s">
        <v>41</v>
      </c>
      <c r="AN52" s="48" t="s">
        <v>41</v>
      </c>
      <c r="AO52" s="65">
        <v>6</v>
      </c>
      <c r="AP52" s="65"/>
      <c r="AQ52" s="59" t="s">
        <v>460</v>
      </c>
    </row>
    <row r="53" spans="1:43" x14ac:dyDescent="0.2">
      <c r="A53">
        <v>52</v>
      </c>
      <c r="B53" s="33">
        <f>+B52+1</f>
        <v>52</v>
      </c>
      <c r="C53" s="34" t="s">
        <v>461</v>
      </c>
      <c r="D53" s="35" t="s">
        <v>462</v>
      </c>
      <c r="E53" s="36" t="s">
        <v>463</v>
      </c>
      <c r="F53" s="334">
        <v>24750</v>
      </c>
      <c r="G53" s="36" t="s">
        <v>36</v>
      </c>
      <c r="H53" s="34" t="s">
        <v>464</v>
      </c>
      <c r="I53" s="37" t="s">
        <v>73</v>
      </c>
      <c r="J53" s="425" t="s">
        <v>4765</v>
      </c>
      <c r="K53" s="37" t="s">
        <v>73</v>
      </c>
      <c r="L53" s="34" t="s">
        <v>465</v>
      </c>
      <c r="M53" s="34" t="s">
        <v>466</v>
      </c>
      <c r="N53" s="39" t="s">
        <v>42</v>
      </c>
      <c r="O53" s="40" t="s">
        <v>467</v>
      </c>
      <c r="P53" s="41"/>
      <c r="Q53" s="41"/>
      <c r="R53" s="41"/>
      <c r="S53" s="41"/>
      <c r="T53" s="41"/>
      <c r="U53" s="41"/>
      <c r="V53" s="41"/>
      <c r="W53" s="41" t="s">
        <v>468</v>
      </c>
      <c r="X53" s="41"/>
      <c r="Y53" s="41"/>
      <c r="Z53" s="41"/>
      <c r="AA53" s="42" t="s">
        <v>469</v>
      </c>
      <c r="AB53" s="52" t="s">
        <v>470</v>
      </c>
      <c r="AC53" s="52"/>
      <c r="AD53" s="45">
        <v>45642</v>
      </c>
      <c r="AE53" s="46"/>
      <c r="AF53" s="36" t="s">
        <v>26</v>
      </c>
      <c r="AG53" s="47" t="s">
        <v>49</v>
      </c>
      <c r="AH53" s="48" t="s">
        <v>49</v>
      </c>
      <c r="AI53" s="48" t="s">
        <v>49</v>
      </c>
      <c r="AJ53" s="48" t="s">
        <v>49</v>
      </c>
      <c r="AK53" s="48" t="s">
        <v>49</v>
      </c>
      <c r="AL53" s="48" t="s">
        <v>49</v>
      </c>
      <c r="AM53" s="49" t="s">
        <v>49</v>
      </c>
      <c r="AN53" s="48" t="s">
        <v>49</v>
      </c>
      <c r="AO53" s="62" t="s">
        <v>32</v>
      </c>
      <c r="AP53" s="62"/>
      <c r="AQ53" s="59"/>
    </row>
    <row r="54" spans="1:43" x14ac:dyDescent="0.2">
      <c r="A54">
        <v>53</v>
      </c>
      <c r="B54" s="33">
        <f>+B53+1</f>
        <v>53</v>
      </c>
      <c r="C54" s="34" t="s">
        <v>471</v>
      </c>
      <c r="D54" s="35" t="s">
        <v>472</v>
      </c>
      <c r="E54" s="36" t="s">
        <v>473</v>
      </c>
      <c r="F54" s="334">
        <v>28020</v>
      </c>
      <c r="G54" s="36" t="s">
        <v>54</v>
      </c>
      <c r="H54" s="34" t="s">
        <v>4593</v>
      </c>
      <c r="I54" s="37" t="s">
        <v>73</v>
      </c>
      <c r="J54" s="425" t="s">
        <v>4765</v>
      </c>
      <c r="K54" s="37" t="s">
        <v>73</v>
      </c>
      <c r="L54" s="34" t="s">
        <v>474</v>
      </c>
      <c r="M54" s="34" t="s">
        <v>475</v>
      </c>
      <c r="N54" s="39" t="s">
        <v>42</v>
      </c>
      <c r="O54" s="53">
        <v>31057</v>
      </c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42" t="s">
        <v>476</v>
      </c>
      <c r="AB54" s="52" t="s">
        <v>477</v>
      </c>
      <c r="AC54" s="44" t="s">
        <v>478</v>
      </c>
      <c r="AD54" s="45">
        <v>44041</v>
      </c>
      <c r="AE54" s="46" t="s">
        <v>30</v>
      </c>
      <c r="AF54" s="36" t="s">
        <v>26</v>
      </c>
      <c r="AG54" s="61" t="s">
        <v>49</v>
      </c>
      <c r="AH54" s="48" t="s">
        <v>49</v>
      </c>
      <c r="AI54" s="48" t="s">
        <v>49</v>
      </c>
      <c r="AJ54" s="48" t="s">
        <v>49</v>
      </c>
      <c r="AK54" s="48" t="s">
        <v>49</v>
      </c>
      <c r="AL54" s="48" t="s">
        <v>49</v>
      </c>
      <c r="AM54" s="49" t="s">
        <v>49</v>
      </c>
      <c r="AN54" s="48" t="s">
        <v>41</v>
      </c>
      <c r="AO54" s="65" t="s">
        <v>148</v>
      </c>
      <c r="AP54" s="65"/>
      <c r="AQ54" s="59"/>
    </row>
    <row r="55" spans="1:43" x14ac:dyDescent="0.2">
      <c r="A55">
        <v>54</v>
      </c>
      <c r="B55" s="33">
        <f>+B54+1</f>
        <v>54</v>
      </c>
      <c r="C55" s="34" t="s">
        <v>479</v>
      </c>
      <c r="D55" s="35" t="s">
        <v>480</v>
      </c>
      <c r="E55" s="36" t="s">
        <v>481</v>
      </c>
      <c r="F55" s="334">
        <v>28152</v>
      </c>
      <c r="G55" s="36" t="s">
        <v>54</v>
      </c>
      <c r="H55" s="34" t="s">
        <v>482</v>
      </c>
      <c r="I55" s="37" t="s">
        <v>73</v>
      </c>
      <c r="J55" s="425" t="s">
        <v>4765</v>
      </c>
      <c r="K55" s="37" t="s">
        <v>73</v>
      </c>
      <c r="L55" s="34" t="s">
        <v>483</v>
      </c>
      <c r="M55" s="34" t="s">
        <v>41</v>
      </c>
      <c r="N55" s="39" t="s">
        <v>42</v>
      </c>
      <c r="O55" s="53">
        <v>34345</v>
      </c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7" t="s">
        <v>484</v>
      </c>
      <c r="AB55" s="52" t="s">
        <v>485</v>
      </c>
      <c r="AC55" s="44" t="s">
        <v>486</v>
      </c>
      <c r="AD55" s="45">
        <v>43200</v>
      </c>
      <c r="AE55" s="46" t="s">
        <v>30</v>
      </c>
      <c r="AF55" s="36" t="s">
        <v>26</v>
      </c>
      <c r="AG55" s="61" t="s">
        <v>49</v>
      </c>
      <c r="AH55" s="48" t="s">
        <v>49</v>
      </c>
      <c r="AI55" s="48" t="s">
        <v>49</v>
      </c>
      <c r="AJ55" s="48" t="s">
        <v>49</v>
      </c>
      <c r="AK55" s="48" t="s">
        <v>49</v>
      </c>
      <c r="AL55" s="48" t="s">
        <v>49</v>
      </c>
      <c r="AM55" s="49" t="s">
        <v>49</v>
      </c>
      <c r="AN55" s="48" t="s">
        <v>49</v>
      </c>
      <c r="AO55" s="62" t="s">
        <v>32</v>
      </c>
      <c r="AP55" s="62" t="s">
        <v>4681</v>
      </c>
      <c r="AQ55" s="59" t="s">
        <v>4667</v>
      </c>
    </row>
    <row r="56" spans="1:43" x14ac:dyDescent="0.2">
      <c r="A56">
        <v>55</v>
      </c>
      <c r="B56" s="33">
        <f>+B55+1</f>
        <v>55</v>
      </c>
      <c r="C56" s="34" t="s">
        <v>487</v>
      </c>
      <c r="D56" s="35" t="s">
        <v>488</v>
      </c>
      <c r="E56" s="36" t="s">
        <v>489</v>
      </c>
      <c r="F56" s="334">
        <v>35130</v>
      </c>
      <c r="G56" s="36" t="s">
        <v>54</v>
      </c>
      <c r="H56" s="34" t="s">
        <v>490</v>
      </c>
      <c r="I56" s="37" t="s">
        <v>73</v>
      </c>
      <c r="J56" s="425" t="s">
        <v>4765</v>
      </c>
      <c r="K56" s="37" t="s">
        <v>73</v>
      </c>
      <c r="L56" s="38" t="s">
        <v>491</v>
      </c>
      <c r="M56" s="34" t="s">
        <v>41</v>
      </c>
      <c r="N56" s="39" t="s">
        <v>42</v>
      </c>
      <c r="O56" s="53">
        <v>45310</v>
      </c>
      <c r="P56" s="56"/>
      <c r="Q56" s="56"/>
      <c r="R56" s="56"/>
      <c r="S56" s="56"/>
      <c r="T56" s="56"/>
      <c r="U56" s="56"/>
      <c r="V56" s="56"/>
      <c r="W56" s="56"/>
      <c r="X56" s="56" t="s">
        <v>44</v>
      </c>
      <c r="Y56" s="56"/>
      <c r="Z56" s="56"/>
      <c r="AA56" s="42" t="s">
        <v>492</v>
      </c>
      <c r="AB56" s="43" t="s">
        <v>493</v>
      </c>
      <c r="AC56" s="44"/>
      <c r="AD56" s="45"/>
      <c r="AE56" s="46"/>
      <c r="AF56" s="36"/>
      <c r="AG56" s="61" t="s">
        <v>49</v>
      </c>
      <c r="AH56" s="48" t="s">
        <v>41</v>
      </c>
      <c r="AI56" s="48" t="s">
        <v>41</v>
      </c>
      <c r="AJ56" s="48" t="s">
        <v>41</v>
      </c>
      <c r="AK56" s="48" t="s">
        <v>41</v>
      </c>
      <c r="AL56" s="48" t="s">
        <v>49</v>
      </c>
      <c r="AM56" s="49" t="s">
        <v>41</v>
      </c>
      <c r="AN56" s="48" t="s">
        <v>41</v>
      </c>
      <c r="AO56" s="62" t="s">
        <v>276</v>
      </c>
      <c r="AP56" s="62"/>
      <c r="AQ56" s="59"/>
    </row>
    <row r="57" spans="1:43" x14ac:dyDescent="0.2">
      <c r="A57">
        <v>56</v>
      </c>
      <c r="B57" s="33">
        <f>+B56+1</f>
        <v>56</v>
      </c>
      <c r="C57" s="34" t="s">
        <v>494</v>
      </c>
      <c r="D57" s="35" t="s">
        <v>495</v>
      </c>
      <c r="E57" s="36" t="s">
        <v>496</v>
      </c>
      <c r="F57" s="334">
        <v>29435</v>
      </c>
      <c r="G57" s="36" t="s">
        <v>54</v>
      </c>
      <c r="H57" s="34" t="s">
        <v>497</v>
      </c>
      <c r="I57" s="37" t="s">
        <v>398</v>
      </c>
      <c r="J57" s="425" t="s">
        <v>4745</v>
      </c>
      <c r="K57" s="37" t="s">
        <v>205</v>
      </c>
      <c r="L57" s="34" t="s">
        <v>498</v>
      </c>
      <c r="M57" s="34" t="s">
        <v>41</v>
      </c>
      <c r="N57" s="39" t="s">
        <v>42</v>
      </c>
      <c r="O57" s="53">
        <v>36745</v>
      </c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2" t="s">
        <v>499</v>
      </c>
      <c r="AB57" s="116" t="s">
        <v>500</v>
      </c>
      <c r="AC57" s="44" t="s">
        <v>61</v>
      </c>
      <c r="AD57" s="45">
        <v>36803</v>
      </c>
      <c r="AE57" s="46" t="s">
        <v>129</v>
      </c>
      <c r="AF57" s="36" t="s">
        <v>26</v>
      </c>
      <c r="AG57" s="47" t="s">
        <v>49</v>
      </c>
      <c r="AH57" s="48" t="s">
        <v>49</v>
      </c>
      <c r="AI57" s="48" t="s">
        <v>49</v>
      </c>
      <c r="AJ57" s="48" t="s">
        <v>49</v>
      </c>
      <c r="AK57" s="48" t="s">
        <v>49</v>
      </c>
      <c r="AL57" s="48" t="s">
        <v>41</v>
      </c>
      <c r="AM57" s="49" t="s">
        <v>41</v>
      </c>
      <c r="AN57" s="48" t="s">
        <v>41</v>
      </c>
      <c r="AO57" s="62" t="s">
        <v>4589</v>
      </c>
      <c r="AP57" s="62"/>
      <c r="AQ57" s="59"/>
    </row>
    <row r="58" spans="1:43" x14ac:dyDescent="0.2">
      <c r="A58">
        <v>57</v>
      </c>
      <c r="B58" s="33">
        <f>+B57+1</f>
        <v>57</v>
      </c>
      <c r="C58" s="34" t="s">
        <v>501</v>
      </c>
      <c r="D58" s="35" t="s">
        <v>502</v>
      </c>
      <c r="E58" s="36" t="s">
        <v>503</v>
      </c>
      <c r="F58" s="334">
        <v>29485</v>
      </c>
      <c r="G58" s="36" t="s">
        <v>54</v>
      </c>
      <c r="H58" s="34" t="s">
        <v>504</v>
      </c>
      <c r="I58" s="37" t="s">
        <v>73</v>
      </c>
      <c r="J58" s="425" t="s">
        <v>4765</v>
      </c>
      <c r="K58" s="37" t="s">
        <v>73</v>
      </c>
      <c r="L58" s="38" t="s">
        <v>505</v>
      </c>
      <c r="M58" s="34" t="s">
        <v>41</v>
      </c>
      <c r="N58" s="39" t="s">
        <v>42</v>
      </c>
      <c r="O58" s="53">
        <v>45299</v>
      </c>
      <c r="P58" s="41"/>
      <c r="Q58" s="41"/>
      <c r="R58" s="41"/>
      <c r="S58" s="41"/>
      <c r="T58" s="41"/>
      <c r="U58" s="41"/>
      <c r="V58" s="41"/>
      <c r="W58" s="41"/>
      <c r="X58" s="41" t="s">
        <v>44</v>
      </c>
      <c r="Y58" s="41"/>
      <c r="Z58" s="41"/>
      <c r="AA58" s="54" t="s">
        <v>506</v>
      </c>
      <c r="AB58" s="43" t="s">
        <v>507</v>
      </c>
      <c r="AC58" s="52"/>
      <c r="AD58" s="52"/>
      <c r="AE58" s="46"/>
      <c r="AF58" s="36"/>
      <c r="AG58" s="47" t="s">
        <v>49</v>
      </c>
      <c r="AH58" s="48" t="s">
        <v>41</v>
      </c>
      <c r="AI58" s="48" t="s">
        <v>41</v>
      </c>
      <c r="AJ58" s="48" t="s">
        <v>41</v>
      </c>
      <c r="AK58" s="48" t="s">
        <v>41</v>
      </c>
      <c r="AL58" s="48" t="s">
        <v>49</v>
      </c>
      <c r="AM58" s="49" t="s">
        <v>49</v>
      </c>
      <c r="AN58" s="48" t="s">
        <v>41</v>
      </c>
      <c r="AO58" s="65" t="s">
        <v>148</v>
      </c>
      <c r="AP58" s="65"/>
      <c r="AQ58" s="59"/>
    </row>
    <row r="59" spans="1:43" x14ac:dyDescent="0.2">
      <c r="A59">
        <v>58</v>
      </c>
      <c r="B59" s="33">
        <f>+B58+1</f>
        <v>58</v>
      </c>
      <c r="C59" s="34" t="s">
        <v>508</v>
      </c>
      <c r="D59" s="35" t="s">
        <v>509</v>
      </c>
      <c r="E59" s="36" t="s">
        <v>510</v>
      </c>
      <c r="F59" s="334">
        <v>30557</v>
      </c>
      <c r="G59" s="36" t="s">
        <v>54</v>
      </c>
      <c r="H59" s="34" t="s">
        <v>511</v>
      </c>
      <c r="I59" s="37" t="s">
        <v>176</v>
      </c>
      <c r="J59" s="425" t="s">
        <v>4761</v>
      </c>
      <c r="K59" s="37" t="s">
        <v>39</v>
      </c>
      <c r="L59" s="38" t="s">
        <v>512</v>
      </c>
      <c r="M59" s="34"/>
      <c r="N59" s="39" t="s">
        <v>42</v>
      </c>
      <c r="O59" s="40" t="s">
        <v>513</v>
      </c>
      <c r="P59" s="41" t="s">
        <v>179</v>
      </c>
      <c r="Q59" s="41" t="s">
        <v>341</v>
      </c>
      <c r="R59" s="41" t="s">
        <v>514</v>
      </c>
      <c r="S59" s="41">
        <v>3</v>
      </c>
      <c r="T59" s="41"/>
      <c r="U59" s="41" t="s">
        <v>44</v>
      </c>
      <c r="V59" s="41"/>
      <c r="W59" s="41"/>
      <c r="X59" s="41"/>
      <c r="Y59" s="41"/>
      <c r="Z59" s="41"/>
      <c r="AA59" s="42" t="s">
        <v>515</v>
      </c>
      <c r="AB59" s="43" t="s">
        <v>516</v>
      </c>
      <c r="AC59" s="43"/>
      <c r="AD59" s="45">
        <v>45642</v>
      </c>
      <c r="AE59" s="46"/>
      <c r="AF59" s="36"/>
      <c r="AG59" s="47" t="s">
        <v>49</v>
      </c>
      <c r="AH59" s="48" t="s">
        <v>41</v>
      </c>
      <c r="AI59" s="48" t="s">
        <v>49</v>
      </c>
      <c r="AJ59" s="48" t="s">
        <v>49</v>
      </c>
      <c r="AK59" s="48" t="s">
        <v>49</v>
      </c>
      <c r="AL59" s="48" t="s">
        <v>49</v>
      </c>
      <c r="AM59" s="49" t="s">
        <v>49</v>
      </c>
      <c r="AN59" s="48" t="s">
        <v>49</v>
      </c>
      <c r="AO59" s="65" t="s">
        <v>32</v>
      </c>
      <c r="AP59" s="65"/>
      <c r="AQ59" s="59"/>
    </row>
    <row r="60" spans="1:43" x14ac:dyDescent="0.2">
      <c r="A60">
        <v>59</v>
      </c>
      <c r="B60" s="33">
        <f>+B59+1</f>
        <v>59</v>
      </c>
      <c r="C60" s="34" t="s">
        <v>517</v>
      </c>
      <c r="D60" s="35" t="s">
        <v>518</v>
      </c>
      <c r="E60" s="36" t="s">
        <v>519</v>
      </c>
      <c r="F60" s="334">
        <v>27911</v>
      </c>
      <c r="G60" s="36" t="s">
        <v>54</v>
      </c>
      <c r="H60" s="34" t="s">
        <v>520</v>
      </c>
      <c r="I60" s="37" t="s">
        <v>73</v>
      </c>
      <c r="J60" s="425" t="s">
        <v>4765</v>
      </c>
      <c r="K60" s="37" t="s">
        <v>73</v>
      </c>
      <c r="L60" s="34" t="s">
        <v>521</v>
      </c>
      <c r="M60" s="34"/>
      <c r="N60" s="39" t="s">
        <v>42</v>
      </c>
      <c r="O60" s="53">
        <v>37176</v>
      </c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2" t="s">
        <v>522</v>
      </c>
      <c r="AB60" s="55" t="s">
        <v>523</v>
      </c>
      <c r="AC60" s="44" t="s">
        <v>61</v>
      </c>
      <c r="AD60" s="45">
        <v>40280</v>
      </c>
      <c r="AE60" s="46" t="s">
        <v>30</v>
      </c>
      <c r="AF60" s="36" t="s">
        <v>26</v>
      </c>
      <c r="AG60" s="47" t="s">
        <v>49</v>
      </c>
      <c r="AH60" s="48" t="s">
        <v>49</v>
      </c>
      <c r="AI60" s="48" t="s">
        <v>49</v>
      </c>
      <c r="AJ60" s="48" t="s">
        <v>49</v>
      </c>
      <c r="AK60" s="48" t="s">
        <v>49</v>
      </c>
      <c r="AL60" s="48" t="s">
        <v>49</v>
      </c>
      <c r="AM60" s="49" t="s">
        <v>49</v>
      </c>
      <c r="AN60" s="48" t="s">
        <v>49</v>
      </c>
      <c r="AO60" s="65" t="s">
        <v>32</v>
      </c>
      <c r="AP60" s="65"/>
      <c r="AQ60" s="59"/>
    </row>
    <row r="61" spans="1:43" x14ac:dyDescent="0.2">
      <c r="A61">
        <v>60</v>
      </c>
      <c r="B61" s="33">
        <f>+B60+1</f>
        <v>60</v>
      </c>
      <c r="C61" s="34" t="s">
        <v>524</v>
      </c>
      <c r="D61" s="35" t="s">
        <v>525</v>
      </c>
      <c r="E61" s="36" t="s">
        <v>526</v>
      </c>
      <c r="F61" s="334">
        <v>32023</v>
      </c>
      <c r="G61" s="36" t="s">
        <v>54</v>
      </c>
      <c r="H61" s="34" t="s">
        <v>527</v>
      </c>
      <c r="I61" s="37" t="s">
        <v>528</v>
      </c>
      <c r="J61" s="425" t="s">
        <v>4756</v>
      </c>
      <c r="K61" s="37" t="s">
        <v>57</v>
      </c>
      <c r="L61" s="38" t="s">
        <v>529</v>
      </c>
      <c r="M61" s="34"/>
      <c r="N61" s="39" t="s">
        <v>42</v>
      </c>
      <c r="O61" s="53" t="s">
        <v>530</v>
      </c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2" t="s">
        <v>531</v>
      </c>
      <c r="AB61" s="43" t="s">
        <v>532</v>
      </c>
      <c r="AC61" s="44" t="s">
        <v>533</v>
      </c>
      <c r="AD61" s="45">
        <v>44944</v>
      </c>
      <c r="AE61" s="46" t="s">
        <v>30</v>
      </c>
      <c r="AF61" s="36"/>
      <c r="AG61" s="47" t="s">
        <v>49</v>
      </c>
      <c r="AH61" s="48" t="s">
        <v>41</v>
      </c>
      <c r="AI61" s="48" t="s">
        <v>49</v>
      </c>
      <c r="AJ61" s="48" t="s">
        <v>49</v>
      </c>
      <c r="AK61" s="48" t="s">
        <v>41</v>
      </c>
      <c r="AL61" s="48" t="s">
        <v>41</v>
      </c>
      <c r="AM61" s="49" t="s">
        <v>41</v>
      </c>
      <c r="AN61" s="48" t="s">
        <v>41</v>
      </c>
      <c r="AO61" s="62" t="s">
        <v>139</v>
      </c>
      <c r="AP61" s="62"/>
      <c r="AQ61" s="59"/>
    </row>
    <row r="62" spans="1:43" x14ac:dyDescent="0.2">
      <c r="A62">
        <v>61</v>
      </c>
      <c r="B62" s="33">
        <f>+B61+1</f>
        <v>61</v>
      </c>
      <c r="C62" s="34" t="s">
        <v>534</v>
      </c>
      <c r="D62" s="35" t="s">
        <v>535</v>
      </c>
      <c r="E62" s="36" t="s">
        <v>536</v>
      </c>
      <c r="F62" s="334">
        <v>22227</v>
      </c>
      <c r="G62" s="36" t="s">
        <v>54</v>
      </c>
      <c r="H62" s="34" t="s">
        <v>537</v>
      </c>
      <c r="I62" s="37" t="s">
        <v>360</v>
      </c>
      <c r="J62" s="425" t="s">
        <v>4749</v>
      </c>
      <c r="K62" s="37" t="s">
        <v>350</v>
      </c>
      <c r="L62" s="34" t="s">
        <v>538</v>
      </c>
      <c r="M62" s="34" t="s">
        <v>41</v>
      </c>
      <c r="N62" s="39" t="s">
        <v>42</v>
      </c>
      <c r="O62" s="53">
        <v>37718</v>
      </c>
      <c r="P62" s="41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42" t="s">
        <v>539</v>
      </c>
      <c r="AB62" s="58" t="s">
        <v>540</v>
      </c>
      <c r="AC62" s="44" t="s">
        <v>541</v>
      </c>
      <c r="AD62" s="45">
        <v>42935</v>
      </c>
      <c r="AE62" s="46" t="s">
        <v>30</v>
      </c>
      <c r="AF62" s="36" t="s">
        <v>26</v>
      </c>
      <c r="AG62" s="47" t="s">
        <v>49</v>
      </c>
      <c r="AH62" s="48" t="s">
        <v>49</v>
      </c>
      <c r="AI62" s="48" t="s">
        <v>49</v>
      </c>
      <c r="AJ62" s="48" t="s">
        <v>49</v>
      </c>
      <c r="AK62" s="48" t="s">
        <v>49</v>
      </c>
      <c r="AL62" s="48" t="s">
        <v>49</v>
      </c>
      <c r="AM62" s="49" t="s">
        <v>49</v>
      </c>
      <c r="AN62" s="48" t="s">
        <v>41</v>
      </c>
      <c r="AO62" s="65" t="s">
        <v>148</v>
      </c>
      <c r="AP62" s="65"/>
      <c r="AQ62" s="59"/>
    </row>
    <row r="63" spans="1:43" x14ac:dyDescent="0.2">
      <c r="A63">
        <v>62</v>
      </c>
      <c r="B63" s="33">
        <f>+B62+1</f>
        <v>62</v>
      </c>
      <c r="C63" s="34" t="s">
        <v>542</v>
      </c>
      <c r="D63" s="35" t="s">
        <v>543</v>
      </c>
      <c r="E63" s="36" t="s">
        <v>4792</v>
      </c>
      <c r="F63" s="334">
        <v>23836</v>
      </c>
      <c r="G63" s="36" t="s">
        <v>54</v>
      </c>
      <c r="H63" s="34" t="s">
        <v>545</v>
      </c>
      <c r="I63" s="37" t="s">
        <v>350</v>
      </c>
      <c r="J63" s="425" t="s">
        <v>4751</v>
      </c>
      <c r="K63" s="37" t="s">
        <v>350</v>
      </c>
      <c r="L63" s="34">
        <v>85100503765</v>
      </c>
      <c r="M63" s="34" t="s">
        <v>546</v>
      </c>
      <c r="N63" s="39" t="s">
        <v>42</v>
      </c>
      <c r="O63" s="40" t="s">
        <v>547</v>
      </c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2" t="s">
        <v>548</v>
      </c>
      <c r="AB63" s="100" t="s">
        <v>549</v>
      </c>
      <c r="AC63" s="44" t="s">
        <v>61</v>
      </c>
      <c r="AD63" s="45">
        <v>40815</v>
      </c>
      <c r="AE63" s="46" t="s">
        <v>30</v>
      </c>
      <c r="AF63" s="36" t="s">
        <v>26</v>
      </c>
      <c r="AG63" s="47" t="s">
        <v>49</v>
      </c>
      <c r="AH63" s="48" t="s">
        <v>49</v>
      </c>
      <c r="AI63" s="48" t="s">
        <v>49</v>
      </c>
      <c r="AJ63" s="48" t="s">
        <v>49</v>
      </c>
      <c r="AK63" s="48" t="s">
        <v>49</v>
      </c>
      <c r="AL63" s="48" t="s">
        <v>49</v>
      </c>
      <c r="AM63" s="49" t="s">
        <v>49</v>
      </c>
      <c r="AN63" s="48" t="s">
        <v>49</v>
      </c>
      <c r="AO63" s="62" t="s">
        <v>32</v>
      </c>
      <c r="AP63" s="62"/>
      <c r="AQ63" s="59"/>
    </row>
    <row r="64" spans="1:43" x14ac:dyDescent="0.2">
      <c r="A64">
        <v>63</v>
      </c>
      <c r="B64" s="33">
        <f>+B63+1</f>
        <v>63</v>
      </c>
      <c r="C64" s="34" t="s">
        <v>550</v>
      </c>
      <c r="D64" s="35" t="s">
        <v>551</v>
      </c>
      <c r="E64" s="36" t="s">
        <v>4797</v>
      </c>
      <c r="F64" s="36"/>
      <c r="G64" s="36" t="s">
        <v>54</v>
      </c>
      <c r="H64" s="34" t="s">
        <v>553</v>
      </c>
      <c r="I64" s="37" t="s">
        <v>73</v>
      </c>
      <c r="J64" s="425" t="s">
        <v>4765</v>
      </c>
      <c r="K64" s="37" t="s">
        <v>73</v>
      </c>
      <c r="L64" s="34" t="s">
        <v>554</v>
      </c>
      <c r="M64" s="34" t="s">
        <v>555</v>
      </c>
      <c r="N64" s="39" t="s">
        <v>42</v>
      </c>
      <c r="O64" s="40" t="s">
        <v>556</v>
      </c>
      <c r="P64" s="41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42" t="s">
        <v>557</v>
      </c>
      <c r="AB64" s="69" t="s">
        <v>558</v>
      </c>
      <c r="AC64" s="44" t="s">
        <v>61</v>
      </c>
      <c r="AD64" s="45">
        <v>36803</v>
      </c>
      <c r="AE64" s="46" t="s">
        <v>30</v>
      </c>
      <c r="AF64" s="36" t="s">
        <v>26</v>
      </c>
      <c r="AG64" s="47" t="s">
        <v>49</v>
      </c>
      <c r="AH64" s="48" t="s">
        <v>49</v>
      </c>
      <c r="AI64" s="48" t="s">
        <v>41</v>
      </c>
      <c r="AJ64" s="48" t="s">
        <v>41</v>
      </c>
      <c r="AK64" s="48" t="s">
        <v>41</v>
      </c>
      <c r="AL64" s="48" t="s">
        <v>41</v>
      </c>
      <c r="AM64" s="49" t="s">
        <v>41</v>
      </c>
      <c r="AN64" s="48" t="s">
        <v>41</v>
      </c>
      <c r="AO64" s="62" t="s">
        <v>4587</v>
      </c>
      <c r="AP64" s="62"/>
      <c r="AQ64" s="59"/>
    </row>
    <row r="65" spans="1:43" x14ac:dyDescent="0.2">
      <c r="A65">
        <v>64</v>
      </c>
      <c r="B65" s="33">
        <f>+B64+1</f>
        <v>64</v>
      </c>
      <c r="C65" s="34" t="s">
        <v>559</v>
      </c>
      <c r="D65" s="35" t="s">
        <v>560</v>
      </c>
      <c r="E65" s="36" t="s">
        <v>561</v>
      </c>
      <c r="F65" s="334">
        <v>30717</v>
      </c>
      <c r="G65" s="36" t="s">
        <v>54</v>
      </c>
      <c r="H65" s="34" t="s">
        <v>562</v>
      </c>
      <c r="I65" s="37" t="s">
        <v>39</v>
      </c>
      <c r="J65" s="425" t="s">
        <v>4766</v>
      </c>
      <c r="K65" s="37" t="s">
        <v>39</v>
      </c>
      <c r="L65" s="38" t="s">
        <v>563</v>
      </c>
      <c r="M65" s="72" t="s">
        <v>41</v>
      </c>
      <c r="N65" s="39" t="s">
        <v>42</v>
      </c>
      <c r="O65" s="53">
        <v>42071</v>
      </c>
      <c r="P65" s="56"/>
      <c r="Q65" s="56"/>
      <c r="R65" s="56"/>
      <c r="S65" s="56"/>
      <c r="T65" s="115"/>
      <c r="U65" s="115"/>
      <c r="V65" s="115"/>
      <c r="W65" s="115"/>
      <c r="X65" s="56"/>
      <c r="Y65" s="56"/>
      <c r="Z65" s="56"/>
      <c r="AA65" s="42" t="s">
        <v>564</v>
      </c>
      <c r="AB65" s="58" t="s">
        <v>565</v>
      </c>
      <c r="AC65" s="44" t="s">
        <v>566</v>
      </c>
      <c r="AD65" s="45">
        <v>42325</v>
      </c>
      <c r="AE65" s="46" t="s">
        <v>30</v>
      </c>
      <c r="AF65" s="36" t="s">
        <v>26</v>
      </c>
      <c r="AG65" s="47" t="s">
        <v>49</v>
      </c>
      <c r="AH65" s="48" t="s">
        <v>49</v>
      </c>
      <c r="AI65" s="48" t="s">
        <v>49</v>
      </c>
      <c r="AJ65" s="48" t="s">
        <v>49</v>
      </c>
      <c r="AK65" s="48" t="s">
        <v>49</v>
      </c>
      <c r="AL65" s="48" t="s">
        <v>49</v>
      </c>
      <c r="AM65" s="49" t="s">
        <v>49</v>
      </c>
      <c r="AN65" s="48" t="s">
        <v>41</v>
      </c>
      <c r="AO65" s="65" t="s">
        <v>148</v>
      </c>
      <c r="AP65" s="65"/>
      <c r="AQ65" s="59"/>
    </row>
    <row r="66" spans="1:43" x14ac:dyDescent="0.2">
      <c r="A66">
        <v>65</v>
      </c>
      <c r="B66" s="33">
        <f>+B65+1</f>
        <v>65</v>
      </c>
      <c r="C66" s="34" t="s">
        <v>567</v>
      </c>
      <c r="D66" s="35" t="s">
        <v>568</v>
      </c>
      <c r="E66" s="36" t="s">
        <v>569</v>
      </c>
      <c r="F66" s="334">
        <v>29344</v>
      </c>
      <c r="G66" s="36" t="s">
        <v>54</v>
      </c>
      <c r="H66" s="34" t="s">
        <v>570</v>
      </c>
      <c r="I66" s="37" t="s">
        <v>73</v>
      </c>
      <c r="J66" s="425" t="s">
        <v>4765</v>
      </c>
      <c r="K66" s="37" t="s">
        <v>73</v>
      </c>
      <c r="L66" s="38" t="s">
        <v>571</v>
      </c>
      <c r="M66" s="34" t="s">
        <v>41</v>
      </c>
      <c r="N66" s="39" t="s">
        <v>42</v>
      </c>
      <c r="O66" s="40" t="s">
        <v>572</v>
      </c>
      <c r="P66" s="41"/>
      <c r="Q66" s="41"/>
      <c r="R66" s="41"/>
      <c r="S66" s="41"/>
      <c r="T66" s="41"/>
      <c r="U66" s="41"/>
      <c r="V66" s="41"/>
      <c r="W66" s="41" t="s">
        <v>44</v>
      </c>
      <c r="X66" s="41"/>
      <c r="Y66" s="41"/>
      <c r="Z66" s="41"/>
      <c r="AA66" s="42" t="s">
        <v>573</v>
      </c>
      <c r="AB66" s="58" t="s">
        <v>574</v>
      </c>
      <c r="AC66" s="58"/>
      <c r="AD66" s="45">
        <v>45642</v>
      </c>
      <c r="AE66" s="46"/>
      <c r="AF66" s="36"/>
      <c r="AG66" s="47" t="s">
        <v>49</v>
      </c>
      <c r="AH66" s="48" t="s">
        <v>41</v>
      </c>
      <c r="AI66" s="48" t="s">
        <v>41</v>
      </c>
      <c r="AJ66" s="48" t="s">
        <v>41</v>
      </c>
      <c r="AK66" s="48" t="s">
        <v>49</v>
      </c>
      <c r="AL66" s="48" t="s">
        <v>49</v>
      </c>
      <c r="AM66" s="49" t="s">
        <v>41</v>
      </c>
      <c r="AN66" s="48" t="s">
        <v>41</v>
      </c>
      <c r="AO66" s="62" t="s">
        <v>276</v>
      </c>
      <c r="AP66" s="62"/>
      <c r="AQ66" s="59"/>
    </row>
    <row r="67" spans="1:43" x14ac:dyDescent="0.2">
      <c r="A67">
        <v>66</v>
      </c>
      <c r="B67" s="33">
        <f>+B66+1</f>
        <v>66</v>
      </c>
      <c r="C67" s="34" t="s">
        <v>575</v>
      </c>
      <c r="D67" s="35" t="s">
        <v>576</v>
      </c>
      <c r="E67" s="36" t="s">
        <v>4809</v>
      </c>
      <c r="F67" s="334">
        <v>23279</v>
      </c>
      <c r="G67" s="36" t="s">
        <v>54</v>
      </c>
      <c r="H67" s="34" t="s">
        <v>578</v>
      </c>
      <c r="I67" s="37" t="s">
        <v>4659</v>
      </c>
      <c r="J67" s="425" t="s">
        <v>4748</v>
      </c>
      <c r="K67" s="37" t="s">
        <v>205</v>
      </c>
      <c r="L67" s="34" t="s">
        <v>579</v>
      </c>
      <c r="M67" s="34"/>
      <c r="N67" s="39" t="s">
        <v>42</v>
      </c>
      <c r="O67" s="53">
        <v>40217</v>
      </c>
      <c r="P67" s="41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42" t="s">
        <v>580</v>
      </c>
      <c r="AB67" s="52" t="s">
        <v>581</v>
      </c>
      <c r="AC67" s="44" t="s">
        <v>61</v>
      </c>
      <c r="AD67" s="45">
        <v>40815</v>
      </c>
      <c r="AE67" s="46" t="s">
        <v>30</v>
      </c>
      <c r="AF67" s="36" t="s">
        <v>26</v>
      </c>
      <c r="AG67" s="47" t="s">
        <v>49</v>
      </c>
      <c r="AH67" s="48" t="s">
        <v>49</v>
      </c>
      <c r="AI67" s="48" t="s">
        <v>49</v>
      </c>
      <c r="AJ67" s="48" t="s">
        <v>49</v>
      </c>
      <c r="AK67" s="48" t="s">
        <v>49</v>
      </c>
      <c r="AL67" s="48" t="s">
        <v>49</v>
      </c>
      <c r="AM67" s="49" t="s">
        <v>49</v>
      </c>
      <c r="AN67" s="48" t="s">
        <v>49</v>
      </c>
      <c r="AO67" s="62" t="s">
        <v>32</v>
      </c>
      <c r="AP67" s="62"/>
      <c r="AQ67" s="59"/>
    </row>
    <row r="68" spans="1:43" x14ac:dyDescent="0.2">
      <c r="A68">
        <v>67</v>
      </c>
      <c r="B68" s="33">
        <f>+B67+1</f>
        <v>67</v>
      </c>
      <c r="C68" s="34" t="s">
        <v>582</v>
      </c>
      <c r="D68" s="35" t="s">
        <v>583</v>
      </c>
      <c r="E68" s="36" t="s">
        <v>584</v>
      </c>
      <c r="F68" s="334">
        <v>27940</v>
      </c>
      <c r="G68" s="36" t="s">
        <v>54</v>
      </c>
      <c r="H68" s="34" t="s">
        <v>585</v>
      </c>
      <c r="I68" s="37" t="s">
        <v>205</v>
      </c>
      <c r="J68" s="425" t="s">
        <v>4764</v>
      </c>
      <c r="K68" s="37" t="s">
        <v>205</v>
      </c>
      <c r="L68" s="34" t="s">
        <v>586</v>
      </c>
      <c r="M68" s="34" t="s">
        <v>587</v>
      </c>
      <c r="N68" s="39" t="s">
        <v>42</v>
      </c>
      <c r="O68" s="53">
        <v>31054</v>
      </c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2" t="s">
        <v>588</v>
      </c>
      <c r="AB68" s="52" t="s">
        <v>589</v>
      </c>
      <c r="AC68" s="44" t="s">
        <v>61</v>
      </c>
      <c r="AD68" s="45">
        <v>39286</v>
      </c>
      <c r="AE68" s="46" t="s">
        <v>30</v>
      </c>
      <c r="AF68" s="36" t="s">
        <v>26</v>
      </c>
      <c r="AG68" s="47" t="s">
        <v>49</v>
      </c>
      <c r="AH68" s="48" t="s">
        <v>49</v>
      </c>
      <c r="AI68" s="48" t="s">
        <v>49</v>
      </c>
      <c r="AJ68" s="48" t="s">
        <v>49</v>
      </c>
      <c r="AK68" s="48" t="s">
        <v>49</v>
      </c>
      <c r="AL68" s="48" t="s">
        <v>49</v>
      </c>
      <c r="AM68" s="49" t="s">
        <v>41</v>
      </c>
      <c r="AN68" s="48" t="s">
        <v>41</v>
      </c>
      <c r="AO68" s="62" t="s">
        <v>276</v>
      </c>
      <c r="AP68" s="62"/>
      <c r="AQ68" s="59"/>
    </row>
    <row r="69" spans="1:43" x14ac:dyDescent="0.2">
      <c r="A69">
        <v>68</v>
      </c>
      <c r="B69" s="33">
        <f>+B68+1</f>
        <v>68</v>
      </c>
      <c r="C69" s="34" t="s">
        <v>590</v>
      </c>
      <c r="D69" s="35" t="s">
        <v>591</v>
      </c>
      <c r="E69" s="36" t="s">
        <v>592</v>
      </c>
      <c r="F69" s="334">
        <v>29742</v>
      </c>
      <c r="G69" s="36" t="s">
        <v>54</v>
      </c>
      <c r="H69" s="34" t="s">
        <v>593</v>
      </c>
      <c r="I69" s="37" t="s">
        <v>323</v>
      </c>
      <c r="J69" s="425" t="s">
        <v>4758</v>
      </c>
      <c r="K69" s="37" t="s">
        <v>39</v>
      </c>
      <c r="L69" s="34" t="s">
        <v>594</v>
      </c>
      <c r="M69" s="72" t="s">
        <v>41</v>
      </c>
      <c r="N69" s="39" t="s">
        <v>42</v>
      </c>
      <c r="O69" s="53" t="s">
        <v>595</v>
      </c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2" t="s">
        <v>596</v>
      </c>
      <c r="AB69" s="52" t="s">
        <v>597</v>
      </c>
      <c r="AC69" s="52"/>
      <c r="AD69" s="45">
        <v>45642</v>
      </c>
      <c r="AE69" s="46"/>
      <c r="AF69" s="36" t="s">
        <v>26</v>
      </c>
      <c r="AG69" s="47" t="s">
        <v>49</v>
      </c>
      <c r="AH69" s="48" t="s">
        <v>49</v>
      </c>
      <c r="AI69" s="48" t="s">
        <v>49</v>
      </c>
      <c r="AJ69" s="48" t="s">
        <v>49</v>
      </c>
      <c r="AK69" s="48" t="s">
        <v>49</v>
      </c>
      <c r="AL69" s="48" t="s">
        <v>49</v>
      </c>
      <c r="AM69" s="49" t="s">
        <v>49</v>
      </c>
      <c r="AN69" s="48" t="s">
        <v>49</v>
      </c>
      <c r="AO69" s="65" t="s">
        <v>32</v>
      </c>
      <c r="AP69" s="65"/>
      <c r="AQ69" s="59"/>
    </row>
    <row r="70" spans="1:43" x14ac:dyDescent="0.2">
      <c r="A70">
        <v>69</v>
      </c>
      <c r="B70" s="33">
        <f>+B69+1</f>
        <v>69</v>
      </c>
      <c r="C70" s="34" t="s">
        <v>598</v>
      </c>
      <c r="D70" s="35" t="s">
        <v>599</v>
      </c>
      <c r="E70" s="36" t="s">
        <v>600</v>
      </c>
      <c r="F70" s="334">
        <v>28313</v>
      </c>
      <c r="G70" s="36" t="s">
        <v>54</v>
      </c>
      <c r="H70" s="34" t="s">
        <v>601</v>
      </c>
      <c r="I70" s="37" t="s">
        <v>38</v>
      </c>
      <c r="J70" s="425" t="s">
        <v>4762</v>
      </c>
      <c r="K70" s="37" t="s">
        <v>39</v>
      </c>
      <c r="L70" s="38" t="s">
        <v>602</v>
      </c>
      <c r="M70" s="72" t="s">
        <v>41</v>
      </c>
      <c r="N70" s="39" t="s">
        <v>42</v>
      </c>
      <c r="O70" s="53" t="s">
        <v>603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42" t="s">
        <v>604</v>
      </c>
      <c r="AB70" s="58" t="s">
        <v>605</v>
      </c>
      <c r="AC70" s="44" t="s">
        <v>606</v>
      </c>
      <c r="AD70" s="45">
        <v>42935</v>
      </c>
      <c r="AE70" s="46" t="s">
        <v>30</v>
      </c>
      <c r="AF70" s="36" t="s">
        <v>26</v>
      </c>
      <c r="AG70" s="47" t="s">
        <v>49</v>
      </c>
      <c r="AH70" s="48" t="s">
        <v>49</v>
      </c>
      <c r="AI70" s="48" t="s">
        <v>49</v>
      </c>
      <c r="AJ70" s="48" t="s">
        <v>49</v>
      </c>
      <c r="AK70" s="48" t="s">
        <v>49</v>
      </c>
      <c r="AL70" s="48" t="s">
        <v>49</v>
      </c>
      <c r="AM70" s="49" t="s">
        <v>49</v>
      </c>
      <c r="AN70" s="48" t="s">
        <v>41</v>
      </c>
      <c r="AO70" s="62" t="s">
        <v>148</v>
      </c>
      <c r="AP70" s="62"/>
      <c r="AQ70" s="59"/>
    </row>
    <row r="71" spans="1:43" x14ac:dyDescent="0.2">
      <c r="A71">
        <v>70</v>
      </c>
      <c r="B71" s="33">
        <f>+B70+1</f>
        <v>70</v>
      </c>
      <c r="C71" s="34" t="s">
        <v>607</v>
      </c>
      <c r="D71" s="35" t="s">
        <v>608</v>
      </c>
      <c r="E71" s="36" t="s">
        <v>609</v>
      </c>
      <c r="F71" s="334">
        <v>31283</v>
      </c>
      <c r="G71" s="36" t="s">
        <v>54</v>
      </c>
      <c r="H71" s="34" t="s">
        <v>610</v>
      </c>
      <c r="I71" s="37" t="s">
        <v>73</v>
      </c>
      <c r="J71" s="425" t="s">
        <v>4765</v>
      </c>
      <c r="K71" s="37" t="s">
        <v>73</v>
      </c>
      <c r="L71" s="38" t="s">
        <v>611</v>
      </c>
      <c r="M71" s="72" t="s">
        <v>41</v>
      </c>
      <c r="N71" s="39" t="s">
        <v>42</v>
      </c>
      <c r="O71" s="53" t="s">
        <v>352</v>
      </c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42" t="s">
        <v>612</v>
      </c>
      <c r="AB71" s="58" t="s">
        <v>613</v>
      </c>
      <c r="AC71" s="44" t="s">
        <v>614</v>
      </c>
      <c r="AD71" s="45">
        <v>42325</v>
      </c>
      <c r="AE71" s="46" t="s">
        <v>30</v>
      </c>
      <c r="AF71" s="36" t="s">
        <v>26</v>
      </c>
      <c r="AG71" s="47" t="s">
        <v>49</v>
      </c>
      <c r="AH71" s="48" t="s">
        <v>49</v>
      </c>
      <c r="AI71" s="48" t="s">
        <v>49</v>
      </c>
      <c r="AJ71" s="48" t="s">
        <v>49</v>
      </c>
      <c r="AK71" s="48" t="s">
        <v>49</v>
      </c>
      <c r="AL71" s="48" t="s">
        <v>49</v>
      </c>
      <c r="AM71" s="49" t="s">
        <v>41</v>
      </c>
      <c r="AN71" s="48" t="s">
        <v>41</v>
      </c>
      <c r="AO71" s="62" t="s">
        <v>276</v>
      </c>
      <c r="AP71" s="62"/>
      <c r="AQ71" s="59"/>
    </row>
    <row r="72" spans="1:43" x14ac:dyDescent="0.2">
      <c r="A72">
        <v>71</v>
      </c>
      <c r="B72" s="33">
        <f>+B71+1</f>
        <v>71</v>
      </c>
      <c r="C72" s="34" t="s">
        <v>615</v>
      </c>
      <c r="D72" s="35" t="s">
        <v>616</v>
      </c>
      <c r="E72" s="36" t="s">
        <v>617</v>
      </c>
      <c r="F72" s="334">
        <v>24617</v>
      </c>
      <c r="G72" s="36" t="s">
        <v>54</v>
      </c>
      <c r="H72" s="34" t="s">
        <v>618</v>
      </c>
      <c r="I72" s="37" t="s">
        <v>73</v>
      </c>
      <c r="J72" s="425" t="s">
        <v>4765</v>
      </c>
      <c r="K72" s="37" t="s">
        <v>73</v>
      </c>
      <c r="L72" s="38" t="s">
        <v>619</v>
      </c>
      <c r="M72" s="72" t="s">
        <v>41</v>
      </c>
      <c r="N72" s="39" t="s">
        <v>42</v>
      </c>
      <c r="O72" s="53">
        <v>42134</v>
      </c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42" t="s">
        <v>620</v>
      </c>
      <c r="AB72" s="58" t="s">
        <v>621</v>
      </c>
      <c r="AC72" s="44" t="s">
        <v>622</v>
      </c>
      <c r="AD72" s="45">
        <v>42325</v>
      </c>
      <c r="AE72" s="46" t="s">
        <v>30</v>
      </c>
      <c r="AF72" s="36" t="s">
        <v>26</v>
      </c>
      <c r="AG72" s="47" t="s">
        <v>49</v>
      </c>
      <c r="AH72" s="48" t="s">
        <v>49</v>
      </c>
      <c r="AI72" s="48" t="s">
        <v>49</v>
      </c>
      <c r="AJ72" s="48" t="s">
        <v>49</v>
      </c>
      <c r="AK72" s="48" t="s">
        <v>49</v>
      </c>
      <c r="AL72" s="48" t="s">
        <v>41</v>
      </c>
      <c r="AM72" s="49" t="s">
        <v>41</v>
      </c>
      <c r="AN72" s="48" t="s">
        <v>41</v>
      </c>
      <c r="AO72" s="62" t="s">
        <v>4589</v>
      </c>
      <c r="AP72" s="62"/>
      <c r="AQ72" s="59"/>
    </row>
    <row r="73" spans="1:43" x14ac:dyDescent="0.2">
      <c r="A73">
        <v>72</v>
      </c>
      <c r="B73" s="33">
        <f>+B72+1</f>
        <v>72</v>
      </c>
      <c r="C73" s="34" t="s">
        <v>623</v>
      </c>
      <c r="D73" s="35" t="s">
        <v>624</v>
      </c>
      <c r="E73" s="36" t="s">
        <v>625</v>
      </c>
      <c r="F73" s="334">
        <v>31819</v>
      </c>
      <c r="G73" s="36" t="s">
        <v>54</v>
      </c>
      <c r="H73" s="34" t="s">
        <v>626</v>
      </c>
      <c r="I73" s="37" t="s">
        <v>176</v>
      </c>
      <c r="J73" s="425" t="s">
        <v>4767</v>
      </c>
      <c r="K73" s="37" t="s">
        <v>39</v>
      </c>
      <c r="L73" s="38" t="s">
        <v>627</v>
      </c>
      <c r="M73" s="72" t="s">
        <v>41</v>
      </c>
      <c r="N73" s="39" t="s">
        <v>42</v>
      </c>
      <c r="O73" s="53" t="s">
        <v>628</v>
      </c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42" t="s">
        <v>629</v>
      </c>
      <c r="AB73" s="58" t="s">
        <v>630</v>
      </c>
      <c r="AC73" s="84" t="s">
        <v>631</v>
      </c>
      <c r="AD73" s="45">
        <v>44650</v>
      </c>
      <c r="AE73" s="46" t="s">
        <v>30</v>
      </c>
      <c r="AF73" s="36" t="s">
        <v>26</v>
      </c>
      <c r="AG73" s="47" t="s">
        <v>49</v>
      </c>
      <c r="AH73" s="48" t="s">
        <v>49</v>
      </c>
      <c r="AI73" s="48" t="s">
        <v>49</v>
      </c>
      <c r="AJ73" s="48" t="s">
        <v>49</v>
      </c>
      <c r="AK73" s="48" t="s">
        <v>49</v>
      </c>
      <c r="AL73" s="48" t="s">
        <v>41</v>
      </c>
      <c r="AM73" s="49" t="s">
        <v>41</v>
      </c>
      <c r="AN73" s="48" t="s">
        <v>41</v>
      </c>
      <c r="AO73" s="62" t="s">
        <v>4589</v>
      </c>
      <c r="AP73" s="62"/>
      <c r="AQ73" s="59"/>
    </row>
    <row r="74" spans="1:43" x14ac:dyDescent="0.2">
      <c r="A74">
        <v>73</v>
      </c>
      <c r="B74" s="33">
        <f>+B73+1</f>
        <v>73</v>
      </c>
      <c r="C74" s="34" t="s">
        <v>632</v>
      </c>
      <c r="D74" s="35" t="s">
        <v>633</v>
      </c>
      <c r="E74" s="36" t="s">
        <v>634</v>
      </c>
      <c r="F74" s="334">
        <v>36730</v>
      </c>
      <c r="G74" s="36" t="s">
        <v>54</v>
      </c>
      <c r="H74" s="34" t="s">
        <v>635</v>
      </c>
      <c r="I74" s="37" t="s">
        <v>73</v>
      </c>
      <c r="J74" s="425" t="s">
        <v>4765</v>
      </c>
      <c r="K74" s="37" t="s">
        <v>73</v>
      </c>
      <c r="L74" s="38" t="s">
        <v>636</v>
      </c>
      <c r="M74" s="72" t="s">
        <v>41</v>
      </c>
      <c r="N74" s="39" t="s">
        <v>42</v>
      </c>
      <c r="O74" s="53">
        <v>45245</v>
      </c>
      <c r="P74" s="56"/>
      <c r="Q74" s="56"/>
      <c r="R74" s="56"/>
      <c r="S74" s="56"/>
      <c r="T74" s="56"/>
      <c r="U74" s="56"/>
      <c r="V74" s="56"/>
      <c r="W74" s="56" t="s">
        <v>44</v>
      </c>
      <c r="X74" s="56"/>
      <c r="Y74" s="56"/>
      <c r="Z74" s="56"/>
      <c r="AA74" s="42" t="s">
        <v>637</v>
      </c>
      <c r="AB74" s="83" t="s">
        <v>638</v>
      </c>
      <c r="AC74" s="84"/>
      <c r="AD74" s="45">
        <v>45642</v>
      </c>
      <c r="AE74" s="46"/>
      <c r="AF74" s="36"/>
      <c r="AG74" s="47" t="s">
        <v>49</v>
      </c>
      <c r="AH74" s="48" t="s">
        <v>41</v>
      </c>
      <c r="AI74" s="48" t="s">
        <v>41</v>
      </c>
      <c r="AJ74" s="48" t="s">
        <v>41</v>
      </c>
      <c r="AK74" s="48" t="s">
        <v>49</v>
      </c>
      <c r="AL74" s="48" t="s">
        <v>49</v>
      </c>
      <c r="AM74" s="49" t="s">
        <v>49</v>
      </c>
      <c r="AN74" s="48" t="s">
        <v>49</v>
      </c>
      <c r="AO74" s="62" t="s">
        <v>32</v>
      </c>
      <c r="AP74" s="62"/>
      <c r="AQ74" s="59"/>
    </row>
    <row r="75" spans="1:43" x14ac:dyDescent="0.2">
      <c r="A75">
        <v>74</v>
      </c>
      <c r="B75" s="33">
        <f>+B74+1</f>
        <v>74</v>
      </c>
      <c r="C75" s="34" t="s">
        <v>639</v>
      </c>
      <c r="D75" s="35" t="s">
        <v>640</v>
      </c>
      <c r="E75" s="73" t="s">
        <v>641</v>
      </c>
      <c r="F75" s="335">
        <v>29480</v>
      </c>
      <c r="G75" s="36" t="s">
        <v>54</v>
      </c>
      <c r="H75" s="98" t="s">
        <v>642</v>
      </c>
      <c r="I75" s="37" t="s">
        <v>456</v>
      </c>
      <c r="J75" s="425" t="s">
        <v>4770</v>
      </c>
      <c r="K75" s="37" t="s">
        <v>187</v>
      </c>
      <c r="L75" s="38" t="s">
        <v>643</v>
      </c>
      <c r="M75" s="34" t="s">
        <v>41</v>
      </c>
      <c r="N75" s="39" t="s">
        <v>42</v>
      </c>
      <c r="O75" s="120" t="s">
        <v>644</v>
      </c>
      <c r="P75" s="115"/>
      <c r="Q75" s="115"/>
      <c r="R75" s="115"/>
      <c r="S75" s="115"/>
      <c r="T75" s="115"/>
      <c r="U75" s="115"/>
      <c r="V75" s="115"/>
      <c r="W75" s="56"/>
      <c r="X75" s="56"/>
      <c r="Y75" s="56"/>
      <c r="Z75" s="56"/>
      <c r="AA75" s="42" t="s">
        <v>645</v>
      </c>
      <c r="AB75" s="58" t="s">
        <v>646</v>
      </c>
      <c r="AC75" s="44" t="s">
        <v>647</v>
      </c>
      <c r="AD75" s="45">
        <v>43200</v>
      </c>
      <c r="AE75" s="101" t="s">
        <v>30</v>
      </c>
      <c r="AF75" s="73" t="s">
        <v>26</v>
      </c>
      <c r="AG75" s="47" t="s">
        <v>49</v>
      </c>
      <c r="AH75" s="48" t="s">
        <v>49</v>
      </c>
      <c r="AI75" s="48" t="s">
        <v>49</v>
      </c>
      <c r="AJ75" s="48" t="s">
        <v>49</v>
      </c>
      <c r="AK75" s="48" t="s">
        <v>49</v>
      </c>
      <c r="AL75" s="48" t="s">
        <v>49</v>
      </c>
      <c r="AM75" s="49" t="s">
        <v>49</v>
      </c>
      <c r="AN75" s="48" t="s">
        <v>49</v>
      </c>
      <c r="AO75" s="62" t="s">
        <v>32</v>
      </c>
      <c r="AP75" s="62"/>
      <c r="AQ75" s="59"/>
    </row>
    <row r="76" spans="1:43" x14ac:dyDescent="0.2">
      <c r="A76">
        <v>75</v>
      </c>
      <c r="B76" s="33">
        <f>+B75+1</f>
        <v>75</v>
      </c>
      <c r="C76" s="122" t="s">
        <v>648</v>
      </c>
      <c r="D76" s="123" t="s">
        <v>649</v>
      </c>
      <c r="E76" s="124" t="s">
        <v>650</v>
      </c>
      <c r="F76" s="124"/>
      <c r="G76" s="36" t="s">
        <v>241</v>
      </c>
      <c r="H76" s="125" t="s">
        <v>651</v>
      </c>
      <c r="I76" s="126" t="s">
        <v>205</v>
      </c>
      <c r="J76" s="425" t="s">
        <v>4764</v>
      </c>
      <c r="K76" s="126" t="s">
        <v>205</v>
      </c>
      <c r="L76" s="122" t="s">
        <v>652</v>
      </c>
      <c r="M76" s="122" t="s">
        <v>41</v>
      </c>
      <c r="N76" s="128" t="s">
        <v>42</v>
      </c>
      <c r="O76" s="129">
        <v>30353</v>
      </c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42" t="s">
        <v>653</v>
      </c>
      <c r="AB76" s="69" t="s">
        <v>654</v>
      </c>
      <c r="AC76" s="44" t="s">
        <v>61</v>
      </c>
      <c r="AD76" s="131">
        <v>37208</v>
      </c>
      <c r="AE76" s="132" t="s">
        <v>30</v>
      </c>
      <c r="AF76" s="73" t="s">
        <v>26</v>
      </c>
      <c r="AG76" s="133" t="s">
        <v>49</v>
      </c>
      <c r="AH76" s="48" t="s">
        <v>49</v>
      </c>
      <c r="AI76" s="48" t="s">
        <v>41</v>
      </c>
      <c r="AJ76" s="48" t="s">
        <v>41</v>
      </c>
      <c r="AK76" s="48" t="s">
        <v>41</v>
      </c>
      <c r="AL76" s="48" t="s">
        <v>41</v>
      </c>
      <c r="AM76" s="49" t="s">
        <v>41</v>
      </c>
      <c r="AN76" s="48" t="s">
        <v>41</v>
      </c>
      <c r="AO76" s="62" t="s">
        <v>4587</v>
      </c>
      <c r="AP76" s="232"/>
      <c r="AQ76" s="134"/>
    </row>
    <row r="77" spans="1:43" x14ac:dyDescent="0.2">
      <c r="A77">
        <v>76</v>
      </c>
      <c r="B77" s="33">
        <f>+B76+1</f>
        <v>76</v>
      </c>
      <c r="C77" s="122" t="s">
        <v>655</v>
      </c>
      <c r="D77" s="123" t="s">
        <v>656</v>
      </c>
      <c r="E77" s="124" t="s">
        <v>657</v>
      </c>
      <c r="F77" s="338">
        <v>36190</v>
      </c>
      <c r="G77" s="36" t="s">
        <v>54</v>
      </c>
      <c r="H77" s="125" t="s">
        <v>658</v>
      </c>
      <c r="I77" s="126" t="s">
        <v>252</v>
      </c>
      <c r="J77" s="425" t="s">
        <v>4742</v>
      </c>
      <c r="K77" s="126" t="s">
        <v>57</v>
      </c>
      <c r="L77" s="127" t="s">
        <v>659</v>
      </c>
      <c r="M77" s="122"/>
      <c r="N77" s="128" t="s">
        <v>42</v>
      </c>
      <c r="O77" s="129">
        <v>45398</v>
      </c>
      <c r="P77" s="130"/>
      <c r="Q77" s="130"/>
      <c r="R77" s="130"/>
      <c r="S77" s="130"/>
      <c r="T77" s="130"/>
      <c r="U77" s="130"/>
      <c r="V77" s="130"/>
      <c r="W77" s="130"/>
      <c r="X77" s="130" t="s">
        <v>44</v>
      </c>
      <c r="Y77" s="130"/>
      <c r="Z77" s="130"/>
      <c r="AA77" s="127" t="s">
        <v>660</v>
      </c>
      <c r="AB77" s="58" t="s">
        <v>661</v>
      </c>
      <c r="AC77" s="44"/>
      <c r="AD77" s="131"/>
      <c r="AE77" s="132"/>
      <c r="AF77" s="73"/>
      <c r="AG77" s="133" t="s">
        <v>49</v>
      </c>
      <c r="AH77" s="48" t="s">
        <v>41</v>
      </c>
      <c r="AI77" s="48" t="s">
        <v>41</v>
      </c>
      <c r="AJ77" s="48" t="s">
        <v>41</v>
      </c>
      <c r="AK77" s="48" t="s">
        <v>41</v>
      </c>
      <c r="AL77" s="48" t="s">
        <v>49</v>
      </c>
      <c r="AM77" s="49" t="s">
        <v>41</v>
      </c>
      <c r="AN77" s="48" t="s">
        <v>41</v>
      </c>
      <c r="AO77" s="62" t="s">
        <v>276</v>
      </c>
      <c r="AP77" s="232"/>
      <c r="AQ77" s="134"/>
    </row>
    <row r="78" spans="1:43" x14ac:dyDescent="0.2">
      <c r="A78">
        <v>77</v>
      </c>
      <c r="B78" s="33">
        <f>+B77+1</f>
        <v>77</v>
      </c>
      <c r="C78" s="34" t="s">
        <v>662</v>
      </c>
      <c r="D78" s="35" t="s">
        <v>663</v>
      </c>
      <c r="E78" s="73" t="s">
        <v>664</v>
      </c>
      <c r="F78" s="73"/>
      <c r="G78" s="36" t="s">
        <v>36</v>
      </c>
      <c r="H78" s="34" t="s">
        <v>665</v>
      </c>
      <c r="I78" s="37" t="s">
        <v>360</v>
      </c>
      <c r="J78" s="425" t="s">
        <v>4749</v>
      </c>
      <c r="K78" s="37" t="s">
        <v>350</v>
      </c>
      <c r="L78" s="38" t="s">
        <v>666</v>
      </c>
      <c r="M78" s="34" t="s">
        <v>41</v>
      </c>
      <c r="N78" s="39" t="s">
        <v>42</v>
      </c>
      <c r="O78" s="40" t="s">
        <v>667</v>
      </c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42" t="s">
        <v>668</v>
      </c>
      <c r="AB78" s="58" t="s">
        <v>669</v>
      </c>
      <c r="AC78" s="44" t="s">
        <v>61</v>
      </c>
      <c r="AD78" s="45">
        <v>36803</v>
      </c>
      <c r="AE78" s="46" t="s">
        <v>30</v>
      </c>
      <c r="AF78" s="73"/>
      <c r="AG78" s="47" t="s">
        <v>49</v>
      </c>
      <c r="AH78" s="48" t="s">
        <v>41</v>
      </c>
      <c r="AI78" s="48" t="s">
        <v>41</v>
      </c>
      <c r="AJ78" s="48" t="s">
        <v>41</v>
      </c>
      <c r="AK78" s="48" t="s">
        <v>41</v>
      </c>
      <c r="AL78" s="48" t="s">
        <v>41</v>
      </c>
      <c r="AM78" s="49" t="s">
        <v>41</v>
      </c>
      <c r="AN78" s="48" t="s">
        <v>41</v>
      </c>
      <c r="AO78" s="82" t="s">
        <v>4591</v>
      </c>
      <c r="AP78" s="82"/>
      <c r="AQ78" s="59"/>
    </row>
    <row r="79" spans="1:43" x14ac:dyDescent="0.2">
      <c r="A79">
        <v>78</v>
      </c>
      <c r="B79" s="33">
        <f>+B78+1</f>
        <v>78</v>
      </c>
      <c r="C79" s="34" t="s">
        <v>670</v>
      </c>
      <c r="D79" s="35" t="s">
        <v>671</v>
      </c>
      <c r="E79" s="73" t="s">
        <v>672</v>
      </c>
      <c r="F79" s="335">
        <v>35419</v>
      </c>
      <c r="G79" s="36" t="s">
        <v>54</v>
      </c>
      <c r="H79" s="34" t="s">
        <v>673</v>
      </c>
      <c r="I79" s="37" t="s">
        <v>323</v>
      </c>
      <c r="J79" s="425" t="s">
        <v>4758</v>
      </c>
      <c r="K79" s="37" t="s">
        <v>39</v>
      </c>
      <c r="L79" s="38" t="s">
        <v>674</v>
      </c>
      <c r="M79" s="34" t="s">
        <v>41</v>
      </c>
      <c r="N79" s="39" t="s">
        <v>42</v>
      </c>
      <c r="O79" s="53">
        <v>44318</v>
      </c>
      <c r="P79" s="56"/>
      <c r="Q79" s="56"/>
      <c r="R79" s="56"/>
      <c r="S79" s="56"/>
      <c r="T79" s="56"/>
      <c r="U79" s="56" t="s">
        <v>44</v>
      </c>
      <c r="V79" s="56"/>
      <c r="W79" s="56"/>
      <c r="X79" s="56"/>
      <c r="Y79" s="56"/>
      <c r="Z79" s="56"/>
      <c r="AA79" s="42" t="s">
        <v>675</v>
      </c>
      <c r="AB79" s="58" t="s">
        <v>676</v>
      </c>
      <c r="AC79" s="44"/>
      <c r="AD79" s="45" t="s">
        <v>47</v>
      </c>
      <c r="AE79" s="46"/>
      <c r="AF79" s="73"/>
      <c r="AG79" s="47" t="s">
        <v>49</v>
      </c>
      <c r="AH79" s="48" t="s">
        <v>41</v>
      </c>
      <c r="AI79" s="48" t="s">
        <v>49</v>
      </c>
      <c r="AJ79" s="48" t="s">
        <v>49</v>
      </c>
      <c r="AK79" s="48" t="s">
        <v>49</v>
      </c>
      <c r="AL79" s="48" t="s">
        <v>49</v>
      </c>
      <c r="AM79" s="49" t="s">
        <v>41</v>
      </c>
      <c r="AN79" s="48" t="s">
        <v>41</v>
      </c>
      <c r="AO79" s="62" t="s">
        <v>276</v>
      </c>
      <c r="AP79" s="62"/>
      <c r="AQ79" s="59"/>
    </row>
    <row r="80" spans="1:43" x14ac:dyDescent="0.2">
      <c r="A80">
        <v>79</v>
      </c>
      <c r="B80" s="33">
        <f>+B79+1</f>
        <v>79</v>
      </c>
      <c r="C80" s="34" t="s">
        <v>677</v>
      </c>
      <c r="D80" s="35" t="s">
        <v>678</v>
      </c>
      <c r="E80" s="73" t="s">
        <v>679</v>
      </c>
      <c r="F80" s="335">
        <v>35997</v>
      </c>
      <c r="G80" s="36" t="s">
        <v>54</v>
      </c>
      <c r="H80" s="34" t="s">
        <v>680</v>
      </c>
      <c r="I80" s="37" t="s">
        <v>681</v>
      </c>
      <c r="J80" s="425" t="s">
        <v>4770</v>
      </c>
      <c r="K80" s="37" t="s">
        <v>378</v>
      </c>
      <c r="L80" s="38" t="s">
        <v>682</v>
      </c>
      <c r="M80" s="34" t="s">
        <v>41</v>
      </c>
      <c r="N80" s="39" t="s">
        <v>42</v>
      </c>
      <c r="O80" s="53">
        <v>45264</v>
      </c>
      <c r="P80" s="56"/>
      <c r="Q80" s="56"/>
      <c r="R80" s="56"/>
      <c r="S80" s="56"/>
      <c r="T80" s="56"/>
      <c r="U80" s="56"/>
      <c r="V80" s="56"/>
      <c r="W80" s="56" t="s">
        <v>44</v>
      </c>
      <c r="X80" s="56"/>
      <c r="Y80" s="56"/>
      <c r="Z80" s="56"/>
      <c r="AA80" s="38" t="s">
        <v>683</v>
      </c>
      <c r="AB80" s="58" t="s">
        <v>684</v>
      </c>
      <c r="AC80" s="44"/>
      <c r="AD80" s="45">
        <v>45642</v>
      </c>
      <c r="AE80" s="46"/>
      <c r="AF80" s="73"/>
      <c r="AG80" s="47" t="s">
        <v>49</v>
      </c>
      <c r="AH80" s="48" t="s">
        <v>41</v>
      </c>
      <c r="AI80" s="48" t="s">
        <v>41</v>
      </c>
      <c r="AJ80" s="48" t="s">
        <v>41</v>
      </c>
      <c r="AK80" s="48" t="s">
        <v>49</v>
      </c>
      <c r="AL80" s="48" t="s">
        <v>49</v>
      </c>
      <c r="AM80" s="49" t="s">
        <v>49</v>
      </c>
      <c r="AN80" s="48" t="s">
        <v>49</v>
      </c>
      <c r="AO80" s="62" t="s">
        <v>32</v>
      </c>
      <c r="AP80" s="62"/>
      <c r="AQ80" s="59"/>
    </row>
    <row r="81" spans="1:43" x14ac:dyDescent="0.2">
      <c r="A81">
        <v>80</v>
      </c>
      <c r="B81" s="33">
        <f>+B80+1</f>
        <v>80</v>
      </c>
      <c r="C81" s="34" t="s">
        <v>685</v>
      </c>
      <c r="D81" s="35" t="s">
        <v>686</v>
      </c>
      <c r="E81" s="36" t="s">
        <v>687</v>
      </c>
      <c r="F81" s="334">
        <v>36239</v>
      </c>
      <c r="G81" s="36" t="s">
        <v>54</v>
      </c>
      <c r="H81" s="185" t="s">
        <v>688</v>
      </c>
      <c r="I81" s="37" t="s">
        <v>252</v>
      </c>
      <c r="J81" s="425" t="s">
        <v>4742</v>
      </c>
      <c r="K81" s="37" t="s">
        <v>57</v>
      </c>
      <c r="L81" s="140" t="s">
        <v>689</v>
      </c>
      <c r="M81" s="34" t="s">
        <v>41</v>
      </c>
      <c r="N81" s="39" t="s">
        <v>42</v>
      </c>
      <c r="O81" s="53">
        <v>36895</v>
      </c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42" t="s">
        <v>4686</v>
      </c>
      <c r="AB81" s="43" t="s">
        <v>691</v>
      </c>
      <c r="AC81" s="44" t="s">
        <v>692</v>
      </c>
      <c r="AD81" s="45">
        <v>44041</v>
      </c>
      <c r="AE81" s="46" t="s">
        <v>30</v>
      </c>
      <c r="AF81" s="36" t="s">
        <v>26</v>
      </c>
      <c r="AG81" s="47" t="s">
        <v>49</v>
      </c>
      <c r="AH81" s="48" t="s">
        <v>49</v>
      </c>
      <c r="AI81" s="48" t="s">
        <v>49</v>
      </c>
      <c r="AJ81" s="48" t="s">
        <v>49</v>
      </c>
      <c r="AK81" s="48" t="s">
        <v>49</v>
      </c>
      <c r="AL81" s="48" t="s">
        <v>49</v>
      </c>
      <c r="AM81" s="49" t="s">
        <v>49</v>
      </c>
      <c r="AN81" s="48" t="s">
        <v>49</v>
      </c>
      <c r="AO81" s="65" t="s">
        <v>32</v>
      </c>
      <c r="AP81" s="65"/>
      <c r="AQ81" s="59"/>
    </row>
    <row r="82" spans="1:43" x14ac:dyDescent="0.2">
      <c r="A82">
        <v>81</v>
      </c>
      <c r="B82" s="33">
        <f>+B81+1</f>
        <v>81</v>
      </c>
      <c r="C82" s="108" t="s">
        <v>693</v>
      </c>
      <c r="D82" s="35" t="s">
        <v>694</v>
      </c>
      <c r="E82" s="36" t="s">
        <v>695</v>
      </c>
      <c r="F82" s="334">
        <v>26975</v>
      </c>
      <c r="G82" s="36" t="s">
        <v>36</v>
      </c>
      <c r="H82" s="34" t="s">
        <v>696</v>
      </c>
      <c r="I82" s="37" t="s">
        <v>528</v>
      </c>
      <c r="J82" s="425" t="s">
        <v>4756</v>
      </c>
      <c r="K82" s="37" t="s">
        <v>57</v>
      </c>
      <c r="L82" s="407" t="s">
        <v>697</v>
      </c>
      <c r="M82" s="34" t="s">
        <v>41</v>
      </c>
      <c r="N82" s="39" t="s">
        <v>42</v>
      </c>
      <c r="O82" s="53">
        <v>40497</v>
      </c>
      <c r="P82" s="41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42" t="s">
        <v>698</v>
      </c>
      <c r="AB82" s="58" t="s">
        <v>699</v>
      </c>
      <c r="AC82" s="44" t="s">
        <v>700</v>
      </c>
      <c r="AD82" s="45">
        <v>42325</v>
      </c>
      <c r="AE82" s="46" t="s">
        <v>30</v>
      </c>
      <c r="AF82" s="36" t="s">
        <v>26</v>
      </c>
      <c r="AG82" s="47" t="s">
        <v>49</v>
      </c>
      <c r="AH82" s="48" t="s">
        <v>49</v>
      </c>
      <c r="AI82" s="48" t="s">
        <v>49</v>
      </c>
      <c r="AJ82" s="48" t="s">
        <v>49</v>
      </c>
      <c r="AK82" s="48" t="s">
        <v>49</v>
      </c>
      <c r="AL82" s="48" t="s">
        <v>49</v>
      </c>
      <c r="AM82" s="49" t="s">
        <v>49</v>
      </c>
      <c r="AN82" s="48" t="s">
        <v>49</v>
      </c>
      <c r="AO82" s="62" t="s">
        <v>32</v>
      </c>
      <c r="AP82" s="324"/>
      <c r="AQ82" s="500" t="s">
        <v>41</v>
      </c>
    </row>
    <row r="83" spans="1:43" x14ac:dyDescent="0.2">
      <c r="A83">
        <v>82</v>
      </c>
      <c r="B83" s="33">
        <f>+B82+1</f>
        <v>82</v>
      </c>
      <c r="C83" s="395" t="s">
        <v>701</v>
      </c>
      <c r="D83" s="35" t="s">
        <v>702</v>
      </c>
      <c r="E83" s="36" t="s">
        <v>703</v>
      </c>
      <c r="F83" s="334">
        <v>34472</v>
      </c>
      <c r="G83" s="36" t="s">
        <v>54</v>
      </c>
      <c r="H83" s="34" t="s">
        <v>704</v>
      </c>
      <c r="I83" s="37" t="s">
        <v>73</v>
      </c>
      <c r="J83" s="425" t="s">
        <v>4765</v>
      </c>
      <c r="K83" s="37" t="s">
        <v>73</v>
      </c>
      <c r="L83" s="140" t="s">
        <v>705</v>
      </c>
      <c r="M83" s="34" t="s">
        <v>41</v>
      </c>
      <c r="N83" s="39" t="s">
        <v>42</v>
      </c>
      <c r="O83" s="53">
        <v>44323</v>
      </c>
      <c r="P83" s="41"/>
      <c r="Q83" s="41"/>
      <c r="R83" s="41"/>
      <c r="S83" s="41"/>
      <c r="T83" s="112"/>
      <c r="U83" s="112"/>
      <c r="V83" s="112"/>
      <c r="W83" s="41"/>
      <c r="X83" s="41"/>
      <c r="Y83" s="41"/>
      <c r="Z83" s="41"/>
      <c r="AA83" s="42" t="s">
        <v>706</v>
      </c>
      <c r="AB83" s="58" t="s">
        <v>707</v>
      </c>
      <c r="AC83" s="44" t="s">
        <v>708</v>
      </c>
      <c r="AD83" s="45">
        <v>44944</v>
      </c>
      <c r="AE83" s="46" t="s">
        <v>30</v>
      </c>
      <c r="AF83" s="36"/>
      <c r="AG83" s="47" t="s">
        <v>49</v>
      </c>
      <c r="AH83" s="48" t="s">
        <v>41</v>
      </c>
      <c r="AI83" s="48" t="s">
        <v>49</v>
      </c>
      <c r="AJ83" s="48" t="s">
        <v>49</v>
      </c>
      <c r="AK83" s="48" t="s">
        <v>49</v>
      </c>
      <c r="AL83" s="48" t="s">
        <v>49</v>
      </c>
      <c r="AM83" s="49" t="s">
        <v>41</v>
      </c>
      <c r="AN83" s="48" t="s">
        <v>41</v>
      </c>
      <c r="AO83" s="62" t="s">
        <v>276</v>
      </c>
      <c r="AP83" s="62"/>
      <c r="AQ83" s="67"/>
    </row>
    <row r="84" spans="1:43" x14ac:dyDescent="0.2">
      <c r="A84">
        <v>83</v>
      </c>
      <c r="B84" s="33">
        <f>+B83+1</f>
        <v>83</v>
      </c>
      <c r="C84" s="108" t="s">
        <v>709</v>
      </c>
      <c r="D84" s="35" t="s">
        <v>710</v>
      </c>
      <c r="E84" s="36" t="s">
        <v>711</v>
      </c>
      <c r="F84" s="334">
        <v>26264</v>
      </c>
      <c r="G84" s="36" t="s">
        <v>54</v>
      </c>
      <c r="H84" s="34" t="s">
        <v>712</v>
      </c>
      <c r="I84" s="37" t="s">
        <v>360</v>
      </c>
      <c r="J84" s="425" t="s">
        <v>4749</v>
      </c>
      <c r="K84" s="37" t="s">
        <v>350</v>
      </c>
      <c r="L84" s="140" t="s">
        <v>713</v>
      </c>
      <c r="M84" s="34" t="s">
        <v>41</v>
      </c>
      <c r="N84" s="39" t="s">
        <v>42</v>
      </c>
      <c r="O84" s="142" t="s">
        <v>714</v>
      </c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42" t="s">
        <v>715</v>
      </c>
      <c r="AB84" s="58" t="s">
        <v>716</v>
      </c>
      <c r="AC84" s="44" t="s">
        <v>717</v>
      </c>
      <c r="AD84" s="45">
        <v>42935</v>
      </c>
      <c r="AE84" s="46" t="s">
        <v>30</v>
      </c>
      <c r="AF84" s="36" t="s">
        <v>26</v>
      </c>
      <c r="AG84" s="47" t="s">
        <v>49</v>
      </c>
      <c r="AH84" s="48" t="s">
        <v>49</v>
      </c>
      <c r="AI84" s="48" t="s">
        <v>49</v>
      </c>
      <c r="AJ84" s="48" t="s">
        <v>49</v>
      </c>
      <c r="AK84" s="48" t="s">
        <v>49</v>
      </c>
      <c r="AL84" s="48" t="s">
        <v>49</v>
      </c>
      <c r="AM84" s="49" t="s">
        <v>49</v>
      </c>
      <c r="AN84" s="48" t="s">
        <v>49</v>
      </c>
      <c r="AO84" s="62" t="s">
        <v>32</v>
      </c>
      <c r="AP84" s="324" t="s">
        <v>4681</v>
      </c>
      <c r="AQ84" s="138"/>
    </row>
    <row r="85" spans="1:43" x14ac:dyDescent="0.2">
      <c r="A85">
        <v>84</v>
      </c>
      <c r="B85" s="33">
        <f>+B84+1</f>
        <v>84</v>
      </c>
      <c r="C85" s="395" t="s">
        <v>718</v>
      </c>
      <c r="D85" s="35" t="s">
        <v>719</v>
      </c>
      <c r="E85" s="36" t="s">
        <v>720</v>
      </c>
      <c r="F85" s="334">
        <v>25218</v>
      </c>
      <c r="G85" s="36" t="s">
        <v>54</v>
      </c>
      <c r="H85" s="34" t="s">
        <v>721</v>
      </c>
      <c r="I85" s="37" t="s">
        <v>360</v>
      </c>
      <c r="J85" s="425" t="s">
        <v>4749</v>
      </c>
      <c r="K85" s="37" t="s">
        <v>350</v>
      </c>
      <c r="L85" s="472" t="s">
        <v>722</v>
      </c>
      <c r="M85" s="34" t="s">
        <v>41</v>
      </c>
      <c r="N85" s="39" t="s">
        <v>42</v>
      </c>
      <c r="O85" s="142" t="s">
        <v>91</v>
      </c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42" t="s">
        <v>723</v>
      </c>
      <c r="AB85" s="58" t="s">
        <v>724</v>
      </c>
      <c r="AC85" s="44" t="s">
        <v>725</v>
      </c>
      <c r="AD85" s="45">
        <v>43200</v>
      </c>
      <c r="AE85" s="46" t="s">
        <v>30</v>
      </c>
      <c r="AF85" s="36" t="s">
        <v>26</v>
      </c>
      <c r="AG85" s="47" t="s">
        <v>49</v>
      </c>
      <c r="AH85" s="48" t="s">
        <v>49</v>
      </c>
      <c r="AI85" s="48" t="s">
        <v>49</v>
      </c>
      <c r="AJ85" s="48" t="s">
        <v>49</v>
      </c>
      <c r="AK85" s="48" t="s">
        <v>49</v>
      </c>
      <c r="AL85" s="48" t="s">
        <v>49</v>
      </c>
      <c r="AM85" s="49" t="s">
        <v>49</v>
      </c>
      <c r="AN85" s="48" t="s">
        <v>49</v>
      </c>
      <c r="AO85" s="62" t="s">
        <v>32</v>
      </c>
      <c r="AP85" s="324"/>
      <c r="AQ85" s="138"/>
    </row>
    <row r="86" spans="1:43" x14ac:dyDescent="0.2">
      <c r="A86">
        <v>85</v>
      </c>
      <c r="B86" s="33">
        <f>+B85+1</f>
        <v>85</v>
      </c>
      <c r="C86" s="108" t="s">
        <v>726</v>
      </c>
      <c r="D86" s="35" t="s">
        <v>727</v>
      </c>
      <c r="E86" s="36" t="s">
        <v>728</v>
      </c>
      <c r="F86" s="334">
        <v>28784</v>
      </c>
      <c r="G86" s="36" t="s">
        <v>54</v>
      </c>
      <c r="H86" s="34" t="s">
        <v>729</v>
      </c>
      <c r="I86" s="37" t="s">
        <v>205</v>
      </c>
      <c r="J86" s="425" t="s">
        <v>4764</v>
      </c>
      <c r="K86" s="37" t="s">
        <v>205</v>
      </c>
      <c r="L86" s="407" t="s">
        <v>730</v>
      </c>
      <c r="M86" s="34" t="s">
        <v>41</v>
      </c>
      <c r="N86" s="39" t="s">
        <v>42</v>
      </c>
      <c r="O86" s="142" t="s">
        <v>731</v>
      </c>
      <c r="P86" s="56"/>
      <c r="Q86" s="56" t="s">
        <v>179</v>
      </c>
      <c r="R86" s="56"/>
      <c r="S86" s="56">
        <v>2</v>
      </c>
      <c r="T86" s="56"/>
      <c r="U86" s="56"/>
      <c r="V86" s="56" t="s">
        <v>44</v>
      </c>
      <c r="W86" s="56"/>
      <c r="X86" s="56"/>
      <c r="Y86" s="56" t="s">
        <v>732</v>
      </c>
      <c r="Z86" s="56"/>
      <c r="AA86" s="42" t="s">
        <v>733</v>
      </c>
      <c r="AB86" s="58" t="s">
        <v>734</v>
      </c>
      <c r="AC86" s="84" t="s">
        <v>735</v>
      </c>
      <c r="AD86" s="45">
        <v>44650</v>
      </c>
      <c r="AE86" s="46" t="s">
        <v>129</v>
      </c>
      <c r="AF86" s="36"/>
      <c r="AG86" s="47" t="s">
        <v>49</v>
      </c>
      <c r="AH86" s="48" t="s">
        <v>41</v>
      </c>
      <c r="AI86" s="48" t="s">
        <v>41</v>
      </c>
      <c r="AJ86" s="48" t="s">
        <v>49</v>
      </c>
      <c r="AK86" s="48" t="s">
        <v>49</v>
      </c>
      <c r="AL86" s="48" t="s">
        <v>49</v>
      </c>
      <c r="AM86" s="49" t="s">
        <v>49</v>
      </c>
      <c r="AN86" s="48" t="s">
        <v>49</v>
      </c>
      <c r="AO86" s="62" t="s">
        <v>32</v>
      </c>
      <c r="AP86" s="62"/>
      <c r="AQ86" s="59"/>
    </row>
    <row r="87" spans="1:43" x14ac:dyDescent="0.2">
      <c r="A87">
        <v>86</v>
      </c>
      <c r="B87" s="33">
        <f>+B86+1</f>
        <v>86</v>
      </c>
      <c r="C87" s="108" t="s">
        <v>736</v>
      </c>
      <c r="D87" s="35" t="s">
        <v>737</v>
      </c>
      <c r="E87" s="36" t="s">
        <v>738</v>
      </c>
      <c r="F87" s="334">
        <v>33219</v>
      </c>
      <c r="G87" s="36" t="s">
        <v>36</v>
      </c>
      <c r="H87" s="34" t="s">
        <v>739</v>
      </c>
      <c r="I87" s="37" t="s">
        <v>73</v>
      </c>
      <c r="J87" s="425" t="s">
        <v>4765</v>
      </c>
      <c r="K87" s="37" t="s">
        <v>73</v>
      </c>
      <c r="L87" s="140" t="s">
        <v>740</v>
      </c>
      <c r="M87" s="34" t="s">
        <v>41</v>
      </c>
      <c r="N87" s="39" t="s">
        <v>42</v>
      </c>
      <c r="O87" s="142">
        <v>45310</v>
      </c>
      <c r="P87" s="56"/>
      <c r="Q87" s="56"/>
      <c r="R87" s="56"/>
      <c r="S87" s="56"/>
      <c r="T87" s="56"/>
      <c r="U87" s="56"/>
      <c r="V87" s="56"/>
      <c r="W87" s="56"/>
      <c r="X87" s="56" t="s">
        <v>44</v>
      </c>
      <c r="Y87" s="56"/>
      <c r="Z87" s="56"/>
      <c r="AA87" s="140" t="s">
        <v>741</v>
      </c>
      <c r="AB87" s="58" t="s">
        <v>742</v>
      </c>
      <c r="AC87" s="461"/>
      <c r="AD87" s="45"/>
      <c r="AE87" s="46"/>
      <c r="AF87" s="36"/>
      <c r="AG87" s="47" t="s">
        <v>49</v>
      </c>
      <c r="AH87" s="48" t="s">
        <v>41</v>
      </c>
      <c r="AI87" s="48" t="s">
        <v>41</v>
      </c>
      <c r="AJ87" s="48" t="s">
        <v>41</v>
      </c>
      <c r="AK87" s="48" t="s">
        <v>41</v>
      </c>
      <c r="AL87" s="48" t="s">
        <v>49</v>
      </c>
      <c r="AM87" s="49" t="s">
        <v>41</v>
      </c>
      <c r="AN87" s="48" t="s">
        <v>41</v>
      </c>
      <c r="AO87" s="62" t="s">
        <v>276</v>
      </c>
      <c r="AP87" s="62"/>
      <c r="AQ87" s="59"/>
    </row>
    <row r="88" spans="1:43" x14ac:dyDescent="0.2">
      <c r="A88">
        <v>87</v>
      </c>
      <c r="B88" s="33">
        <f>+B87+1</f>
        <v>87</v>
      </c>
      <c r="C88" s="108" t="s">
        <v>743</v>
      </c>
      <c r="D88" s="35" t="s">
        <v>744</v>
      </c>
      <c r="E88" s="36" t="s">
        <v>745</v>
      </c>
      <c r="F88" s="334">
        <v>27019</v>
      </c>
      <c r="G88" s="36" t="s">
        <v>54</v>
      </c>
      <c r="H88" s="34" t="s">
        <v>746</v>
      </c>
      <c r="I88" s="37" t="s">
        <v>747</v>
      </c>
      <c r="J88" s="425" t="s">
        <v>4755</v>
      </c>
      <c r="K88" s="37" t="s">
        <v>378</v>
      </c>
      <c r="L88" s="140" t="s">
        <v>748</v>
      </c>
      <c r="M88" s="34" t="s">
        <v>41</v>
      </c>
      <c r="N88" s="39" t="s">
        <v>42</v>
      </c>
      <c r="O88" s="142" t="s">
        <v>749</v>
      </c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42" t="s">
        <v>4687</v>
      </c>
      <c r="AB88" s="58" t="s">
        <v>751</v>
      </c>
      <c r="AC88" s="44" t="s">
        <v>752</v>
      </c>
      <c r="AD88" s="45">
        <v>44041</v>
      </c>
      <c r="AE88" s="46" t="s">
        <v>30</v>
      </c>
      <c r="AF88" s="36" t="s">
        <v>26</v>
      </c>
      <c r="AG88" s="47" t="s">
        <v>49</v>
      </c>
      <c r="AH88" s="48" t="s">
        <v>49</v>
      </c>
      <c r="AI88" s="48" t="s">
        <v>49</v>
      </c>
      <c r="AJ88" s="48" t="s">
        <v>49</v>
      </c>
      <c r="AK88" s="48" t="s">
        <v>49</v>
      </c>
      <c r="AL88" s="48" t="s">
        <v>49</v>
      </c>
      <c r="AM88" s="49" t="s">
        <v>49</v>
      </c>
      <c r="AN88" s="48" t="s">
        <v>49</v>
      </c>
      <c r="AO88" s="65" t="s">
        <v>32</v>
      </c>
      <c r="AP88" s="65"/>
      <c r="AQ88" s="59"/>
    </row>
    <row r="89" spans="1:43" x14ac:dyDescent="0.2">
      <c r="A89">
        <v>88</v>
      </c>
      <c r="B89" s="33">
        <f>+B88+1</f>
        <v>88</v>
      </c>
      <c r="C89" s="108" t="s">
        <v>753</v>
      </c>
      <c r="D89" s="35" t="s">
        <v>754</v>
      </c>
      <c r="E89" s="36" t="s">
        <v>4812</v>
      </c>
      <c r="F89" s="334">
        <v>22975</v>
      </c>
      <c r="G89" s="36" t="s">
        <v>54</v>
      </c>
      <c r="H89" s="34" t="s">
        <v>756</v>
      </c>
      <c r="I89" s="37" t="s">
        <v>398</v>
      </c>
      <c r="J89" s="425" t="s">
        <v>4745</v>
      </c>
      <c r="K89" s="37" t="s">
        <v>205</v>
      </c>
      <c r="L89" s="140" t="s">
        <v>757</v>
      </c>
      <c r="M89" s="34" t="s">
        <v>41</v>
      </c>
      <c r="N89" s="39" t="s">
        <v>42</v>
      </c>
      <c r="O89" s="142" t="s">
        <v>758</v>
      </c>
      <c r="P89" s="56"/>
      <c r="Q89" s="56"/>
      <c r="R89" s="56"/>
      <c r="S89" s="56"/>
      <c r="T89" s="56"/>
      <c r="U89" s="56"/>
      <c r="V89" s="56"/>
      <c r="W89" s="56" t="s">
        <v>44</v>
      </c>
      <c r="X89" s="56"/>
      <c r="Y89" s="56"/>
      <c r="Z89" s="56"/>
      <c r="AA89" s="42" t="s">
        <v>759</v>
      </c>
      <c r="AB89" s="58" t="s">
        <v>760</v>
      </c>
      <c r="AC89" s="44"/>
      <c r="AD89" s="45">
        <v>45642</v>
      </c>
      <c r="AE89" s="46"/>
      <c r="AF89" s="36"/>
      <c r="AG89" s="47" t="s">
        <v>49</v>
      </c>
      <c r="AH89" s="48" t="s">
        <v>41</v>
      </c>
      <c r="AI89" s="48" t="s">
        <v>41</v>
      </c>
      <c r="AJ89" s="48" t="s">
        <v>41</v>
      </c>
      <c r="AK89" s="48" t="s">
        <v>49</v>
      </c>
      <c r="AL89" s="48" t="s">
        <v>49</v>
      </c>
      <c r="AM89" s="49" t="s">
        <v>41</v>
      </c>
      <c r="AN89" s="48" t="s">
        <v>41</v>
      </c>
      <c r="AO89" s="65" t="s">
        <v>276</v>
      </c>
      <c r="AP89" s="65"/>
      <c r="AQ89" s="59"/>
    </row>
    <row r="90" spans="1:43" x14ac:dyDescent="0.2">
      <c r="A90">
        <v>89</v>
      </c>
      <c r="B90" s="33">
        <f>+B89+1</f>
        <v>89</v>
      </c>
      <c r="C90" s="34" t="s">
        <v>761</v>
      </c>
      <c r="D90" s="35" t="s">
        <v>762</v>
      </c>
      <c r="E90" s="36" t="s">
        <v>763</v>
      </c>
      <c r="F90" s="334">
        <v>34905</v>
      </c>
      <c r="G90" s="36" t="s">
        <v>54</v>
      </c>
      <c r="H90" s="34" t="s">
        <v>764</v>
      </c>
      <c r="I90" s="37" t="s">
        <v>176</v>
      </c>
      <c r="J90" s="425" t="s">
        <v>4761</v>
      </c>
      <c r="K90" s="37" t="s">
        <v>39</v>
      </c>
      <c r="L90" s="38" t="s">
        <v>765</v>
      </c>
      <c r="M90" s="34" t="s">
        <v>41</v>
      </c>
      <c r="N90" s="39" t="s">
        <v>42</v>
      </c>
      <c r="O90" s="40" t="s">
        <v>766</v>
      </c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42" t="s">
        <v>767</v>
      </c>
      <c r="AB90" s="58" t="s">
        <v>768</v>
      </c>
      <c r="AC90" s="44" t="s">
        <v>769</v>
      </c>
      <c r="AD90" s="45">
        <v>44944</v>
      </c>
      <c r="AE90" s="46" t="s">
        <v>30</v>
      </c>
      <c r="AF90" s="36" t="s">
        <v>26</v>
      </c>
      <c r="AG90" s="47" t="s">
        <v>49</v>
      </c>
      <c r="AH90" s="48" t="s">
        <v>49</v>
      </c>
      <c r="AI90" s="48" t="s">
        <v>49</v>
      </c>
      <c r="AJ90" s="48" t="s">
        <v>49</v>
      </c>
      <c r="AK90" s="48" t="s">
        <v>49</v>
      </c>
      <c r="AL90" s="48" t="s">
        <v>49</v>
      </c>
      <c r="AM90" s="49" t="s">
        <v>49</v>
      </c>
      <c r="AN90" s="48" t="s">
        <v>49</v>
      </c>
      <c r="AO90" s="62" t="s">
        <v>32</v>
      </c>
      <c r="AP90" s="62"/>
      <c r="AQ90" s="59"/>
    </row>
    <row r="91" spans="1:43" x14ac:dyDescent="0.2">
      <c r="A91">
        <v>90</v>
      </c>
      <c r="B91" s="33">
        <f>+B90+1</f>
        <v>90</v>
      </c>
      <c r="C91" s="34" t="s">
        <v>770</v>
      </c>
      <c r="D91" s="35" t="s">
        <v>771</v>
      </c>
      <c r="E91" s="36" t="s">
        <v>772</v>
      </c>
      <c r="F91" s="334">
        <v>30291</v>
      </c>
      <c r="G91" s="36" t="s">
        <v>54</v>
      </c>
      <c r="H91" s="34" t="s">
        <v>773</v>
      </c>
      <c r="I91" s="37" t="s">
        <v>252</v>
      </c>
      <c r="J91" s="425" t="s">
        <v>4742</v>
      </c>
      <c r="K91" s="37" t="s">
        <v>57</v>
      </c>
      <c r="L91" s="38" t="s">
        <v>774</v>
      </c>
      <c r="M91" s="34" t="s">
        <v>41</v>
      </c>
      <c r="N91" s="39" t="s">
        <v>42</v>
      </c>
      <c r="O91" s="53">
        <v>44938</v>
      </c>
      <c r="P91" s="56"/>
      <c r="Q91" s="56"/>
      <c r="R91" s="56"/>
      <c r="S91" s="56"/>
      <c r="T91" s="56"/>
      <c r="U91" s="56"/>
      <c r="V91" s="56"/>
      <c r="W91" s="56" t="s">
        <v>44</v>
      </c>
      <c r="X91" s="56"/>
      <c r="Y91" s="56"/>
      <c r="Z91" s="56"/>
      <c r="AA91" s="54" t="s">
        <v>775</v>
      </c>
      <c r="AB91" s="58" t="s">
        <v>776</v>
      </c>
      <c r="AC91" s="44" t="s">
        <v>777</v>
      </c>
      <c r="AD91" s="45">
        <v>42325</v>
      </c>
      <c r="AE91" s="46" t="s">
        <v>30</v>
      </c>
      <c r="AF91" s="36"/>
      <c r="AG91" s="47" t="s">
        <v>49</v>
      </c>
      <c r="AH91" s="48" t="s">
        <v>41</v>
      </c>
      <c r="AI91" s="48" t="s">
        <v>41</v>
      </c>
      <c r="AJ91" s="48" t="s">
        <v>41</v>
      </c>
      <c r="AK91" s="48" t="s">
        <v>49</v>
      </c>
      <c r="AL91" s="48" t="s">
        <v>49</v>
      </c>
      <c r="AM91" s="49" t="s">
        <v>49</v>
      </c>
      <c r="AN91" s="48" t="s">
        <v>49</v>
      </c>
      <c r="AO91" s="62" t="s">
        <v>32</v>
      </c>
      <c r="AP91" s="62"/>
      <c r="AQ91" s="59"/>
    </row>
    <row r="92" spans="1:43" x14ac:dyDescent="0.2">
      <c r="A92">
        <v>91</v>
      </c>
      <c r="B92" s="33">
        <f>+B91+1</f>
        <v>91</v>
      </c>
      <c r="C92" s="34" t="s">
        <v>778</v>
      </c>
      <c r="D92" s="35" t="s">
        <v>779</v>
      </c>
      <c r="E92" s="36" t="s">
        <v>780</v>
      </c>
      <c r="F92" s="334"/>
      <c r="G92" s="36" t="s">
        <v>54</v>
      </c>
      <c r="H92" s="34" t="s">
        <v>781</v>
      </c>
      <c r="I92" s="37" t="s">
        <v>176</v>
      </c>
      <c r="J92" s="425" t="s">
        <v>4761</v>
      </c>
      <c r="K92" s="37" t="s">
        <v>39</v>
      </c>
      <c r="L92" s="38" t="s">
        <v>782</v>
      </c>
      <c r="M92" s="34" t="s">
        <v>41</v>
      </c>
      <c r="N92" s="39" t="s">
        <v>42</v>
      </c>
      <c r="O92" s="40" t="s">
        <v>783</v>
      </c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7" t="s">
        <v>784</v>
      </c>
      <c r="AB92" s="58" t="s">
        <v>785</v>
      </c>
      <c r="AC92" s="44" t="s">
        <v>786</v>
      </c>
      <c r="AD92" s="45">
        <v>44944</v>
      </c>
      <c r="AE92" s="46" t="s">
        <v>30</v>
      </c>
      <c r="AF92" s="36" t="s">
        <v>26</v>
      </c>
      <c r="AG92" s="47" t="s">
        <v>49</v>
      </c>
      <c r="AH92" s="48" t="s">
        <v>49</v>
      </c>
      <c r="AI92" s="48" t="s">
        <v>41</v>
      </c>
      <c r="AJ92" s="48" t="s">
        <v>41</v>
      </c>
      <c r="AK92" s="48" t="s">
        <v>41</v>
      </c>
      <c r="AL92" s="48" t="s">
        <v>41</v>
      </c>
      <c r="AM92" s="49" t="s">
        <v>41</v>
      </c>
      <c r="AN92" s="48" t="s">
        <v>41</v>
      </c>
      <c r="AO92" s="62" t="s">
        <v>4587</v>
      </c>
      <c r="AP92" s="62"/>
      <c r="AQ92" s="59"/>
    </row>
    <row r="93" spans="1:43" x14ac:dyDescent="0.2">
      <c r="A93">
        <v>92</v>
      </c>
      <c r="B93" s="33">
        <f>+B92+1</f>
        <v>92</v>
      </c>
      <c r="C93" s="34" t="s">
        <v>787</v>
      </c>
      <c r="D93" s="35" t="s">
        <v>788</v>
      </c>
      <c r="E93" s="36" t="s">
        <v>789</v>
      </c>
      <c r="F93" s="334">
        <v>31552</v>
      </c>
      <c r="G93" s="36" t="s">
        <v>54</v>
      </c>
      <c r="H93" s="34" t="s">
        <v>790</v>
      </c>
      <c r="I93" s="37" t="s">
        <v>38</v>
      </c>
      <c r="J93" s="425" t="s">
        <v>4762</v>
      </c>
      <c r="K93" s="37" t="s">
        <v>39</v>
      </c>
      <c r="L93" s="34" t="s">
        <v>791</v>
      </c>
      <c r="M93" s="34" t="s">
        <v>41</v>
      </c>
      <c r="N93" s="39" t="s">
        <v>42</v>
      </c>
      <c r="O93" s="40" t="s">
        <v>792</v>
      </c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42" t="s">
        <v>793</v>
      </c>
      <c r="AB93" s="52" t="s">
        <v>794</v>
      </c>
      <c r="AC93" s="44" t="s">
        <v>795</v>
      </c>
      <c r="AD93" s="45">
        <v>44041</v>
      </c>
      <c r="AE93" s="46" t="s">
        <v>30</v>
      </c>
      <c r="AF93" s="36" t="s">
        <v>26</v>
      </c>
      <c r="AG93" s="47" t="s">
        <v>49</v>
      </c>
      <c r="AH93" s="48" t="s">
        <v>49</v>
      </c>
      <c r="AI93" s="48" t="s">
        <v>49</v>
      </c>
      <c r="AJ93" s="48" t="s">
        <v>49</v>
      </c>
      <c r="AK93" s="48" t="s">
        <v>49</v>
      </c>
      <c r="AL93" s="48" t="s">
        <v>49</v>
      </c>
      <c r="AM93" s="49" t="s">
        <v>49</v>
      </c>
      <c r="AN93" s="48" t="s">
        <v>49</v>
      </c>
      <c r="AO93" s="65" t="s">
        <v>32</v>
      </c>
      <c r="AP93" s="65"/>
      <c r="AQ93" s="59"/>
    </row>
    <row r="94" spans="1:43" x14ac:dyDescent="0.2">
      <c r="A94">
        <v>93</v>
      </c>
      <c r="B94" s="33">
        <f>+B93+1</f>
        <v>93</v>
      </c>
      <c r="C94" s="34" t="s">
        <v>796</v>
      </c>
      <c r="D94" s="35" t="s">
        <v>797</v>
      </c>
      <c r="E94" s="36" t="s">
        <v>4606</v>
      </c>
      <c r="F94" s="334">
        <v>37394</v>
      </c>
      <c r="G94" s="36" t="s">
        <v>36</v>
      </c>
      <c r="H94" s="34" t="s">
        <v>798</v>
      </c>
      <c r="I94" s="37" t="s">
        <v>39</v>
      </c>
      <c r="J94" s="425" t="s">
        <v>4766</v>
      </c>
      <c r="K94" s="37" t="s">
        <v>39</v>
      </c>
      <c r="L94" s="38" t="s">
        <v>799</v>
      </c>
      <c r="M94" s="34" t="s">
        <v>41</v>
      </c>
      <c r="N94" s="39" t="s">
        <v>42</v>
      </c>
      <c r="O94" s="40" t="s">
        <v>800</v>
      </c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 t="s">
        <v>732</v>
      </c>
      <c r="AA94" s="42" t="s">
        <v>801</v>
      </c>
      <c r="AB94" s="55" t="s">
        <v>802</v>
      </c>
      <c r="AC94" s="44" t="s">
        <v>61</v>
      </c>
      <c r="AD94" s="45">
        <v>43200</v>
      </c>
      <c r="AE94" s="46" t="s">
        <v>30</v>
      </c>
      <c r="AF94" s="36" t="s">
        <v>26</v>
      </c>
      <c r="AG94" s="47" t="s">
        <v>49</v>
      </c>
      <c r="AH94" s="48" t="s">
        <v>49</v>
      </c>
      <c r="AI94" s="48" t="s">
        <v>49</v>
      </c>
      <c r="AJ94" s="48" t="s">
        <v>49</v>
      </c>
      <c r="AK94" s="48" t="s">
        <v>49</v>
      </c>
      <c r="AL94" s="48" t="s">
        <v>49</v>
      </c>
      <c r="AM94" s="49" t="s">
        <v>49</v>
      </c>
      <c r="AN94" s="48" t="s">
        <v>49</v>
      </c>
      <c r="AO94" s="62" t="s">
        <v>32</v>
      </c>
      <c r="AP94" s="62"/>
      <c r="AQ94" s="59"/>
    </row>
    <row r="95" spans="1:43" x14ac:dyDescent="0.2">
      <c r="A95">
        <v>94</v>
      </c>
      <c r="B95" s="33">
        <f>+B94+1</f>
        <v>94</v>
      </c>
      <c r="C95" s="34" t="s">
        <v>803</v>
      </c>
      <c r="D95" s="35" t="s">
        <v>804</v>
      </c>
      <c r="E95" s="36" t="s">
        <v>805</v>
      </c>
      <c r="F95" s="334">
        <v>29047</v>
      </c>
      <c r="G95" s="36" t="s">
        <v>54</v>
      </c>
      <c r="H95" s="34" t="s">
        <v>806</v>
      </c>
      <c r="I95" s="37" t="s">
        <v>73</v>
      </c>
      <c r="J95" s="425" t="s">
        <v>4765</v>
      </c>
      <c r="K95" s="37" t="s">
        <v>73</v>
      </c>
      <c r="L95" s="34" t="s">
        <v>807</v>
      </c>
      <c r="M95" s="34" t="s">
        <v>41</v>
      </c>
      <c r="N95" s="39" t="s">
        <v>42</v>
      </c>
      <c r="O95" s="40" t="s">
        <v>808</v>
      </c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2" t="s">
        <v>809</v>
      </c>
      <c r="AB95" s="52" t="s">
        <v>810</v>
      </c>
      <c r="AC95" s="44" t="s">
        <v>61</v>
      </c>
      <c r="AD95" s="45">
        <v>40815</v>
      </c>
      <c r="AE95" s="46" t="s">
        <v>30</v>
      </c>
      <c r="AF95" s="36" t="s">
        <v>26</v>
      </c>
      <c r="AG95" s="47" t="s">
        <v>49</v>
      </c>
      <c r="AH95" s="48" t="s">
        <v>49</v>
      </c>
      <c r="AI95" s="48" t="s">
        <v>49</v>
      </c>
      <c r="AJ95" s="48" t="s">
        <v>49</v>
      </c>
      <c r="AK95" s="48" t="s">
        <v>49</v>
      </c>
      <c r="AL95" s="48" t="s">
        <v>49</v>
      </c>
      <c r="AM95" s="49" t="s">
        <v>49</v>
      </c>
      <c r="AN95" s="48" t="s">
        <v>49</v>
      </c>
      <c r="AO95" s="62" t="s">
        <v>32</v>
      </c>
      <c r="AP95" s="62"/>
      <c r="AQ95" s="59"/>
    </row>
    <row r="96" spans="1:43" x14ac:dyDescent="0.2">
      <c r="A96">
        <v>95</v>
      </c>
      <c r="B96" s="33">
        <f>+B95+1</f>
        <v>95</v>
      </c>
      <c r="C96" s="34" t="s">
        <v>811</v>
      </c>
      <c r="D96" s="35" t="s">
        <v>812</v>
      </c>
      <c r="E96" s="73" t="s">
        <v>813</v>
      </c>
      <c r="F96" s="335">
        <v>32210</v>
      </c>
      <c r="G96" s="36" t="s">
        <v>54</v>
      </c>
      <c r="H96" s="98" t="s">
        <v>814</v>
      </c>
      <c r="I96" s="37" t="s">
        <v>360</v>
      </c>
      <c r="J96" s="425" t="s">
        <v>4749</v>
      </c>
      <c r="K96" s="37" t="s">
        <v>350</v>
      </c>
      <c r="L96" s="34" t="s">
        <v>815</v>
      </c>
      <c r="M96" s="34" t="s">
        <v>41</v>
      </c>
      <c r="N96" s="39" t="s">
        <v>42</v>
      </c>
      <c r="O96" s="53" t="s">
        <v>816</v>
      </c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42" t="s">
        <v>817</v>
      </c>
      <c r="AB96" s="69" t="s">
        <v>818</v>
      </c>
      <c r="AC96" s="44" t="s">
        <v>819</v>
      </c>
      <c r="AD96" s="45">
        <v>43200</v>
      </c>
      <c r="AE96" s="46" t="s">
        <v>30</v>
      </c>
      <c r="AF96" s="73" t="s">
        <v>26</v>
      </c>
      <c r="AG96" s="47" t="s">
        <v>49</v>
      </c>
      <c r="AH96" s="48" t="s">
        <v>49</v>
      </c>
      <c r="AI96" s="48" t="s">
        <v>49</v>
      </c>
      <c r="AJ96" s="48" t="s">
        <v>49</v>
      </c>
      <c r="AK96" s="48" t="s">
        <v>49</v>
      </c>
      <c r="AL96" s="48" t="s">
        <v>41</v>
      </c>
      <c r="AM96" s="49" t="s">
        <v>41</v>
      </c>
      <c r="AN96" s="48" t="s">
        <v>41</v>
      </c>
      <c r="AO96" s="62" t="s">
        <v>4589</v>
      </c>
      <c r="AP96" s="62"/>
      <c r="AQ96" s="59"/>
    </row>
    <row r="97" spans="1:43" x14ac:dyDescent="0.2">
      <c r="A97">
        <v>96</v>
      </c>
      <c r="B97" s="33">
        <f>+B96+1</f>
        <v>96</v>
      </c>
      <c r="C97" s="34" t="s">
        <v>820</v>
      </c>
      <c r="D97" s="35" t="s">
        <v>821</v>
      </c>
      <c r="E97" s="36" t="s">
        <v>822</v>
      </c>
      <c r="F97" s="334">
        <v>33729</v>
      </c>
      <c r="G97" s="36" t="s">
        <v>54</v>
      </c>
      <c r="H97" s="34" t="s">
        <v>823</v>
      </c>
      <c r="I97" s="37" t="s">
        <v>528</v>
      </c>
      <c r="J97" s="425" t="s">
        <v>4756</v>
      </c>
      <c r="K97" s="37" t="s">
        <v>57</v>
      </c>
      <c r="L97" s="38" t="s">
        <v>824</v>
      </c>
      <c r="M97" s="34" t="s">
        <v>41</v>
      </c>
      <c r="N97" s="39" t="s">
        <v>42</v>
      </c>
      <c r="O97" s="40" t="s">
        <v>825</v>
      </c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2" t="s">
        <v>826</v>
      </c>
      <c r="AB97" s="52" t="s">
        <v>827</v>
      </c>
      <c r="AC97" s="44" t="s">
        <v>828</v>
      </c>
      <c r="AD97" s="45">
        <v>44041</v>
      </c>
      <c r="AE97" s="46" t="s">
        <v>30</v>
      </c>
      <c r="AF97" s="36" t="s">
        <v>26</v>
      </c>
      <c r="AG97" s="47" t="s">
        <v>49</v>
      </c>
      <c r="AH97" s="48" t="s">
        <v>49</v>
      </c>
      <c r="AI97" s="48" t="s">
        <v>49</v>
      </c>
      <c r="AJ97" s="48" t="s">
        <v>49</v>
      </c>
      <c r="AK97" s="48" t="s">
        <v>49</v>
      </c>
      <c r="AL97" s="49" t="s">
        <v>49</v>
      </c>
      <c r="AM97" s="49" t="s">
        <v>49</v>
      </c>
      <c r="AN97" s="48" t="s">
        <v>49</v>
      </c>
      <c r="AO97" s="62" t="s">
        <v>32</v>
      </c>
      <c r="AP97" s="62"/>
      <c r="AQ97" s="59"/>
    </row>
    <row r="98" spans="1:43" x14ac:dyDescent="0.2">
      <c r="A98">
        <v>97</v>
      </c>
      <c r="B98" s="33">
        <f>+B97+1</f>
        <v>97</v>
      </c>
      <c r="C98" s="34" t="s">
        <v>829</v>
      </c>
      <c r="D98" s="35" t="s">
        <v>4618</v>
      </c>
      <c r="E98" s="36" t="s">
        <v>830</v>
      </c>
      <c r="F98" s="334">
        <v>25396</v>
      </c>
      <c r="G98" s="36" t="s">
        <v>54</v>
      </c>
      <c r="H98" s="34" t="s">
        <v>831</v>
      </c>
      <c r="I98" s="37" t="s">
        <v>747</v>
      </c>
      <c r="J98" s="425" t="s">
        <v>4755</v>
      </c>
      <c r="K98" s="37" t="s">
        <v>378</v>
      </c>
      <c r="L98" s="38" t="s">
        <v>832</v>
      </c>
      <c r="M98" s="34" t="s">
        <v>41</v>
      </c>
      <c r="N98" s="39" t="s">
        <v>42</v>
      </c>
      <c r="O98" s="40" t="s">
        <v>833</v>
      </c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42" t="s">
        <v>834</v>
      </c>
      <c r="AB98" s="58" t="s">
        <v>835</v>
      </c>
      <c r="AC98" s="44" t="s">
        <v>836</v>
      </c>
      <c r="AD98" s="45">
        <v>41793</v>
      </c>
      <c r="AE98" s="46" t="s">
        <v>30</v>
      </c>
      <c r="AF98" s="36" t="s">
        <v>26</v>
      </c>
      <c r="AG98" s="47" t="s">
        <v>49</v>
      </c>
      <c r="AH98" s="48" t="s">
        <v>49</v>
      </c>
      <c r="AI98" s="48" t="s">
        <v>49</v>
      </c>
      <c r="AJ98" s="48" t="s">
        <v>49</v>
      </c>
      <c r="AK98" s="48" t="s">
        <v>49</v>
      </c>
      <c r="AL98" s="48" t="s">
        <v>49</v>
      </c>
      <c r="AM98" s="49" t="s">
        <v>49</v>
      </c>
      <c r="AN98" s="48" t="s">
        <v>49</v>
      </c>
      <c r="AO98" s="62" t="s">
        <v>32</v>
      </c>
      <c r="AP98" s="62"/>
      <c r="AQ98" s="59"/>
    </row>
    <row r="99" spans="1:43" x14ac:dyDescent="0.2">
      <c r="A99">
        <v>98</v>
      </c>
      <c r="B99" s="33">
        <f>+B98+1</f>
        <v>98</v>
      </c>
      <c r="C99" s="34" t="s">
        <v>837</v>
      </c>
      <c r="D99" s="35" t="s">
        <v>838</v>
      </c>
      <c r="E99" s="36" t="s">
        <v>839</v>
      </c>
      <c r="F99" s="334">
        <v>31395</v>
      </c>
      <c r="G99" s="36" t="s">
        <v>54</v>
      </c>
      <c r="H99" s="34" t="s">
        <v>840</v>
      </c>
      <c r="I99" s="37" t="s">
        <v>38</v>
      </c>
      <c r="J99" s="425" t="s">
        <v>4762</v>
      </c>
      <c r="K99" s="37" t="s">
        <v>39</v>
      </c>
      <c r="L99" s="34" t="s">
        <v>841</v>
      </c>
      <c r="M99" s="38" t="s">
        <v>842</v>
      </c>
      <c r="N99" s="39" t="s">
        <v>42</v>
      </c>
      <c r="O99" s="40" t="s">
        <v>843</v>
      </c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2" t="s">
        <v>844</v>
      </c>
      <c r="AB99" s="100" t="s">
        <v>845</v>
      </c>
      <c r="AC99" s="44" t="s">
        <v>61</v>
      </c>
      <c r="AD99" s="45">
        <v>40280</v>
      </c>
      <c r="AE99" s="46" t="s">
        <v>30</v>
      </c>
      <c r="AF99" s="36" t="s">
        <v>26</v>
      </c>
      <c r="AG99" s="47" t="s">
        <v>49</v>
      </c>
      <c r="AH99" s="48" t="s">
        <v>49</v>
      </c>
      <c r="AI99" s="48" t="s">
        <v>49</v>
      </c>
      <c r="AJ99" s="48" t="s">
        <v>49</v>
      </c>
      <c r="AK99" s="48" t="s">
        <v>49</v>
      </c>
      <c r="AL99" s="48" t="s">
        <v>49</v>
      </c>
      <c r="AM99" s="49" t="s">
        <v>49</v>
      </c>
      <c r="AN99" s="48" t="s">
        <v>49</v>
      </c>
      <c r="AO99" s="62" t="s">
        <v>32</v>
      </c>
      <c r="AP99" s="62" t="s">
        <v>4681</v>
      </c>
      <c r="AQ99" s="59"/>
    </row>
    <row r="100" spans="1:43" x14ac:dyDescent="0.2">
      <c r="A100">
        <v>99</v>
      </c>
      <c r="B100" s="33">
        <f>+B99+1</f>
        <v>99</v>
      </c>
      <c r="C100" s="34" t="s">
        <v>846</v>
      </c>
      <c r="D100" s="35" t="s">
        <v>847</v>
      </c>
      <c r="E100" s="36" t="s">
        <v>848</v>
      </c>
      <c r="F100" s="334">
        <v>29663</v>
      </c>
      <c r="G100" s="36" t="s">
        <v>54</v>
      </c>
      <c r="H100" s="34" t="s">
        <v>849</v>
      </c>
      <c r="I100" s="37" t="s">
        <v>73</v>
      </c>
      <c r="J100" s="425" t="s">
        <v>4765</v>
      </c>
      <c r="K100" s="37" t="s">
        <v>73</v>
      </c>
      <c r="L100" s="38" t="s">
        <v>850</v>
      </c>
      <c r="M100" s="38" t="s">
        <v>41</v>
      </c>
      <c r="N100" s="39" t="s">
        <v>42</v>
      </c>
      <c r="O100" s="40" t="s">
        <v>851</v>
      </c>
      <c r="P100" s="41"/>
      <c r="Q100" s="41"/>
      <c r="R100" s="41"/>
      <c r="S100" s="41"/>
      <c r="T100" s="41"/>
      <c r="U100" s="41"/>
      <c r="V100" s="41"/>
      <c r="W100" s="41" t="s">
        <v>44</v>
      </c>
      <c r="X100" s="41"/>
      <c r="Y100" s="41"/>
      <c r="Z100" s="41"/>
      <c r="AA100" s="42" t="s">
        <v>852</v>
      </c>
      <c r="AB100" s="146" t="s">
        <v>853</v>
      </c>
      <c r="AC100" s="44"/>
      <c r="AD100" s="45">
        <v>45642</v>
      </c>
      <c r="AE100" s="46"/>
      <c r="AF100" s="36"/>
      <c r="AG100" s="47" t="s">
        <v>49</v>
      </c>
      <c r="AH100" s="48" t="s">
        <v>41</v>
      </c>
      <c r="AI100" s="48" t="s">
        <v>41</v>
      </c>
      <c r="AJ100" s="48" t="s">
        <v>41</v>
      </c>
      <c r="AK100" s="48" t="s">
        <v>49</v>
      </c>
      <c r="AL100" s="48" t="s">
        <v>49</v>
      </c>
      <c r="AM100" s="49" t="s">
        <v>49</v>
      </c>
      <c r="AN100" s="48" t="s">
        <v>49</v>
      </c>
      <c r="AO100" s="62" t="s">
        <v>32</v>
      </c>
      <c r="AP100" s="62"/>
      <c r="AQ100" s="59"/>
    </row>
    <row r="101" spans="1:43" x14ac:dyDescent="0.2">
      <c r="A101">
        <v>100</v>
      </c>
      <c r="B101" s="33">
        <f>+B100+1</f>
        <v>100</v>
      </c>
      <c r="C101" s="34" t="s">
        <v>854</v>
      </c>
      <c r="D101" s="35" t="s">
        <v>855</v>
      </c>
      <c r="E101" s="36" t="s">
        <v>856</v>
      </c>
      <c r="F101" s="334">
        <v>34341</v>
      </c>
      <c r="G101" s="36" t="s">
        <v>36</v>
      </c>
      <c r="H101" s="34" t="s">
        <v>857</v>
      </c>
      <c r="I101" s="37" t="s">
        <v>858</v>
      </c>
      <c r="J101" s="425" t="s">
        <v>4740</v>
      </c>
      <c r="K101" s="37" t="s">
        <v>57</v>
      </c>
      <c r="L101" s="38" t="s">
        <v>859</v>
      </c>
      <c r="M101" s="38" t="s">
        <v>41</v>
      </c>
      <c r="N101" s="39" t="s">
        <v>42</v>
      </c>
      <c r="O101" s="53">
        <v>45078</v>
      </c>
      <c r="P101" s="41"/>
      <c r="Q101" s="41"/>
      <c r="R101" s="41"/>
      <c r="S101" s="41"/>
      <c r="T101" s="41"/>
      <c r="U101" s="41"/>
      <c r="V101" s="41"/>
      <c r="W101" s="41" t="s">
        <v>44</v>
      </c>
      <c r="X101" s="41"/>
      <c r="Y101" s="41"/>
      <c r="Z101" s="41"/>
      <c r="AA101" s="42" t="s">
        <v>860</v>
      </c>
      <c r="AB101" s="100" t="s">
        <v>861</v>
      </c>
      <c r="AC101" s="44" t="s">
        <v>862</v>
      </c>
      <c r="AD101" s="45">
        <v>44944</v>
      </c>
      <c r="AE101" s="46" t="s">
        <v>30</v>
      </c>
      <c r="AF101" s="36"/>
      <c r="AG101" s="47" t="s">
        <v>49</v>
      </c>
      <c r="AH101" s="48" t="s">
        <v>41</v>
      </c>
      <c r="AI101" s="48" t="s">
        <v>41</v>
      </c>
      <c r="AJ101" s="48" t="s">
        <v>41</v>
      </c>
      <c r="AK101" s="48" t="s">
        <v>49</v>
      </c>
      <c r="AL101" s="48" t="s">
        <v>41</v>
      </c>
      <c r="AM101" s="49" t="s">
        <v>41</v>
      </c>
      <c r="AN101" s="48" t="s">
        <v>41</v>
      </c>
      <c r="AO101" s="62" t="s">
        <v>4589</v>
      </c>
      <c r="AP101" s="62"/>
      <c r="AQ101" s="59"/>
    </row>
    <row r="102" spans="1:43" x14ac:dyDescent="0.2">
      <c r="A102">
        <v>101</v>
      </c>
      <c r="B102" s="33">
        <f>+B101+1</f>
        <v>101</v>
      </c>
      <c r="C102" s="34" t="s">
        <v>863</v>
      </c>
      <c r="D102" s="35" t="s">
        <v>864</v>
      </c>
      <c r="E102" s="462" t="s">
        <v>865</v>
      </c>
      <c r="F102" s="336">
        <v>31862</v>
      </c>
      <c r="G102" s="36" t="s">
        <v>54</v>
      </c>
      <c r="H102" s="108" t="s">
        <v>866</v>
      </c>
      <c r="I102" s="37" t="s">
        <v>73</v>
      </c>
      <c r="J102" s="425" t="s">
        <v>4765</v>
      </c>
      <c r="K102" s="37" t="s">
        <v>73</v>
      </c>
      <c r="L102" s="108" t="s">
        <v>867</v>
      </c>
      <c r="M102" s="108" t="s">
        <v>868</v>
      </c>
      <c r="N102" s="39" t="s">
        <v>42</v>
      </c>
      <c r="O102" s="40" t="s">
        <v>869</v>
      </c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42" t="s">
        <v>870</v>
      </c>
      <c r="AB102" s="58" t="s">
        <v>871</v>
      </c>
      <c r="AC102" s="44" t="s">
        <v>872</v>
      </c>
      <c r="AD102" s="45">
        <v>44041</v>
      </c>
      <c r="AE102" s="101" t="s">
        <v>30</v>
      </c>
      <c r="AF102" s="109" t="s">
        <v>26</v>
      </c>
      <c r="AG102" s="47" t="s">
        <v>49</v>
      </c>
      <c r="AH102" s="48" t="s">
        <v>49</v>
      </c>
      <c r="AI102" s="48" t="s">
        <v>49</v>
      </c>
      <c r="AJ102" s="48" t="s">
        <v>49</v>
      </c>
      <c r="AK102" s="48" t="s">
        <v>49</v>
      </c>
      <c r="AL102" s="48" t="s">
        <v>49</v>
      </c>
      <c r="AM102" s="49" t="s">
        <v>41</v>
      </c>
      <c r="AN102" s="48" t="s">
        <v>41</v>
      </c>
      <c r="AO102" s="62" t="s">
        <v>276</v>
      </c>
      <c r="AP102" s="62"/>
      <c r="AQ102" s="59"/>
    </row>
    <row r="103" spans="1:43" x14ac:dyDescent="0.2">
      <c r="A103">
        <v>102</v>
      </c>
      <c r="B103" s="33">
        <f>+B102+1</f>
        <v>102</v>
      </c>
      <c r="C103" s="34" t="s">
        <v>873</v>
      </c>
      <c r="D103" s="35" t="s">
        <v>874</v>
      </c>
      <c r="E103" s="73" t="s">
        <v>875</v>
      </c>
      <c r="F103" s="335">
        <v>25980</v>
      </c>
      <c r="G103" s="36" t="s">
        <v>54</v>
      </c>
      <c r="H103" s="98" t="s">
        <v>876</v>
      </c>
      <c r="I103" s="37" t="s">
        <v>398</v>
      </c>
      <c r="J103" s="425" t="s">
        <v>4745</v>
      </c>
      <c r="K103" s="37" t="s">
        <v>205</v>
      </c>
      <c r="L103" s="34" t="s">
        <v>877</v>
      </c>
      <c r="M103" s="34" t="s">
        <v>41</v>
      </c>
      <c r="N103" s="39" t="s">
        <v>42</v>
      </c>
      <c r="O103" s="40" t="s">
        <v>878</v>
      </c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42" t="s">
        <v>879</v>
      </c>
      <c r="AB103" s="55" t="s">
        <v>880</v>
      </c>
      <c r="AC103" s="44" t="s">
        <v>881</v>
      </c>
      <c r="AD103" s="45">
        <v>42935</v>
      </c>
      <c r="AE103" s="46" t="s">
        <v>30</v>
      </c>
      <c r="AF103" s="73" t="s">
        <v>26</v>
      </c>
      <c r="AG103" s="47" t="s">
        <v>49</v>
      </c>
      <c r="AH103" s="48" t="s">
        <v>49</v>
      </c>
      <c r="AI103" s="48" t="s">
        <v>49</v>
      </c>
      <c r="AJ103" s="48" t="s">
        <v>49</v>
      </c>
      <c r="AK103" s="48" t="s">
        <v>49</v>
      </c>
      <c r="AL103" s="48" t="s">
        <v>49</v>
      </c>
      <c r="AM103" s="49" t="s">
        <v>49</v>
      </c>
      <c r="AN103" s="48" t="s">
        <v>49</v>
      </c>
      <c r="AO103" s="65" t="s">
        <v>32</v>
      </c>
      <c r="AP103" s="65"/>
      <c r="AQ103" s="59"/>
    </row>
    <row r="104" spans="1:43" x14ac:dyDescent="0.2">
      <c r="A104">
        <v>103</v>
      </c>
      <c r="B104" s="33">
        <f>+B103+1</f>
        <v>103</v>
      </c>
      <c r="C104" s="34" t="s">
        <v>882</v>
      </c>
      <c r="D104" s="35" t="s">
        <v>883</v>
      </c>
      <c r="E104" s="36" t="s">
        <v>884</v>
      </c>
      <c r="F104" s="36"/>
      <c r="G104" s="36" t="s">
        <v>54</v>
      </c>
      <c r="H104" s="34" t="s">
        <v>885</v>
      </c>
      <c r="I104" s="37" t="s">
        <v>176</v>
      </c>
      <c r="J104" s="425" t="s">
        <v>4767</v>
      </c>
      <c r="K104" s="37" t="s">
        <v>39</v>
      </c>
      <c r="L104" s="34" t="s">
        <v>886</v>
      </c>
      <c r="M104" s="34" t="s">
        <v>41</v>
      </c>
      <c r="N104" s="39" t="s">
        <v>42</v>
      </c>
      <c r="O104" s="40" t="s">
        <v>887</v>
      </c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2" t="s">
        <v>888</v>
      </c>
      <c r="AB104" s="58" t="s">
        <v>889</v>
      </c>
      <c r="AC104" s="44" t="s">
        <v>61</v>
      </c>
      <c r="AD104" s="45">
        <v>38593</v>
      </c>
      <c r="AE104" s="46" t="s">
        <v>30</v>
      </c>
      <c r="AF104" s="36"/>
      <c r="AG104" s="47" t="s">
        <v>49</v>
      </c>
      <c r="AH104" s="48" t="s">
        <v>41</v>
      </c>
      <c r="AI104" s="48" t="s">
        <v>41</v>
      </c>
      <c r="AJ104" s="48" t="s">
        <v>41</v>
      </c>
      <c r="AK104" s="48" t="s">
        <v>41</v>
      </c>
      <c r="AL104" s="48" t="s">
        <v>41</v>
      </c>
      <c r="AM104" s="49" t="s">
        <v>41</v>
      </c>
      <c r="AN104" s="48" t="s">
        <v>41</v>
      </c>
      <c r="AO104" s="82" t="s">
        <v>4592</v>
      </c>
      <c r="AP104" s="82"/>
      <c r="AQ104" s="59" t="s">
        <v>890</v>
      </c>
    </row>
    <row r="105" spans="1:43" x14ac:dyDescent="0.2">
      <c r="A105">
        <v>104</v>
      </c>
      <c r="B105" s="33">
        <f>+B104+1</f>
        <v>104</v>
      </c>
      <c r="C105" s="34" t="s">
        <v>891</v>
      </c>
      <c r="D105" s="35" t="s">
        <v>892</v>
      </c>
      <c r="E105" s="36" t="s">
        <v>893</v>
      </c>
      <c r="F105" s="36"/>
      <c r="G105" s="36" t="s">
        <v>36</v>
      </c>
      <c r="H105" s="34" t="s">
        <v>894</v>
      </c>
      <c r="I105" s="37" t="s">
        <v>176</v>
      </c>
      <c r="J105" s="425" t="s">
        <v>4761</v>
      </c>
      <c r="K105" s="37" t="s">
        <v>39</v>
      </c>
      <c r="L105" s="34" t="s">
        <v>895</v>
      </c>
      <c r="M105" s="34" t="s">
        <v>41</v>
      </c>
      <c r="N105" s="39" t="s">
        <v>42</v>
      </c>
      <c r="O105" s="40" t="s">
        <v>896</v>
      </c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42" t="s">
        <v>897</v>
      </c>
      <c r="AB105" s="58" t="s">
        <v>898</v>
      </c>
      <c r="AC105" s="44" t="s">
        <v>899</v>
      </c>
      <c r="AD105" s="45">
        <v>42325</v>
      </c>
      <c r="AE105" s="46" t="s">
        <v>30</v>
      </c>
      <c r="AF105" s="36"/>
      <c r="AG105" s="47" t="s">
        <v>49</v>
      </c>
      <c r="AH105" s="48" t="s">
        <v>41</v>
      </c>
      <c r="AI105" s="48" t="s">
        <v>41</v>
      </c>
      <c r="AJ105" s="48" t="s">
        <v>41</v>
      </c>
      <c r="AK105" s="48" t="s">
        <v>41</v>
      </c>
      <c r="AL105" s="48" t="s">
        <v>41</v>
      </c>
      <c r="AM105" s="49" t="s">
        <v>41</v>
      </c>
      <c r="AN105" s="48" t="s">
        <v>41</v>
      </c>
      <c r="AO105" s="65" t="s">
        <v>4588</v>
      </c>
      <c r="AP105" s="65"/>
      <c r="AQ105" s="59"/>
    </row>
    <row r="106" spans="1:43" x14ac:dyDescent="0.2">
      <c r="A106">
        <v>105</v>
      </c>
      <c r="B106" s="33">
        <f>+B105+1</f>
        <v>105</v>
      </c>
      <c r="C106" s="34" t="s">
        <v>900</v>
      </c>
      <c r="D106" s="35" t="s">
        <v>901</v>
      </c>
      <c r="E106" s="36" t="s">
        <v>902</v>
      </c>
      <c r="F106" s="334">
        <v>26567</v>
      </c>
      <c r="G106" s="36" t="s">
        <v>54</v>
      </c>
      <c r="H106" s="87" t="s">
        <v>903</v>
      </c>
      <c r="I106" s="37" t="s">
        <v>73</v>
      </c>
      <c r="J106" s="425" t="s">
        <v>4765</v>
      </c>
      <c r="K106" s="37" t="s">
        <v>73</v>
      </c>
      <c r="L106" s="34" t="s">
        <v>904</v>
      </c>
      <c r="M106" s="34" t="s">
        <v>905</v>
      </c>
      <c r="N106" s="39" t="s">
        <v>42</v>
      </c>
      <c r="O106" s="53">
        <v>37051</v>
      </c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2" t="s">
        <v>906</v>
      </c>
      <c r="AB106" s="52" t="s">
        <v>907</v>
      </c>
      <c r="AC106" s="44" t="s">
        <v>908</v>
      </c>
      <c r="AD106" s="45">
        <v>42325</v>
      </c>
      <c r="AE106" s="46" t="s">
        <v>30</v>
      </c>
      <c r="AF106" s="36" t="s">
        <v>26</v>
      </c>
      <c r="AG106" s="47" t="s">
        <v>49</v>
      </c>
      <c r="AH106" s="48" t="s">
        <v>49</v>
      </c>
      <c r="AI106" s="48" t="s">
        <v>49</v>
      </c>
      <c r="AJ106" s="48" t="s">
        <v>49</v>
      </c>
      <c r="AK106" s="48" t="s">
        <v>49</v>
      </c>
      <c r="AL106" s="48" t="s">
        <v>41</v>
      </c>
      <c r="AM106" s="49" t="s">
        <v>41</v>
      </c>
      <c r="AN106" s="48" t="s">
        <v>41</v>
      </c>
      <c r="AO106" s="62" t="s">
        <v>4589</v>
      </c>
      <c r="AP106" s="62"/>
      <c r="AQ106" s="59"/>
    </row>
    <row r="107" spans="1:43" x14ac:dyDescent="0.2">
      <c r="A107">
        <v>106</v>
      </c>
      <c r="B107" s="33">
        <f>+B106+1</f>
        <v>106</v>
      </c>
      <c r="C107" s="34" t="s">
        <v>909</v>
      </c>
      <c r="D107" s="35" t="s">
        <v>910</v>
      </c>
      <c r="E107" s="36" t="s">
        <v>911</v>
      </c>
      <c r="F107" s="36"/>
      <c r="G107" s="36" t="s">
        <v>54</v>
      </c>
      <c r="H107" s="108" t="s">
        <v>912</v>
      </c>
      <c r="I107" s="37" t="s">
        <v>73</v>
      </c>
      <c r="J107" s="425" t="s">
        <v>4765</v>
      </c>
      <c r="K107" s="37" t="s">
        <v>73</v>
      </c>
      <c r="L107" s="34" t="s">
        <v>913</v>
      </c>
      <c r="M107" s="34" t="s">
        <v>914</v>
      </c>
      <c r="N107" s="39" t="s">
        <v>42</v>
      </c>
      <c r="O107" s="40" t="s">
        <v>915</v>
      </c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42" t="s">
        <v>916</v>
      </c>
      <c r="AB107" s="58" t="s">
        <v>917</v>
      </c>
      <c r="AC107" s="44"/>
      <c r="AD107" s="45" t="s">
        <v>47</v>
      </c>
      <c r="AE107" s="46"/>
      <c r="AF107" s="36">
        <v>1</v>
      </c>
      <c r="AG107" s="47" t="s">
        <v>49</v>
      </c>
      <c r="AH107" s="48" t="s">
        <v>41</v>
      </c>
      <c r="AI107" s="48" t="s">
        <v>41</v>
      </c>
      <c r="AJ107" s="48" t="s">
        <v>41</v>
      </c>
      <c r="AK107" s="48" t="s">
        <v>41</v>
      </c>
      <c r="AL107" s="48" t="s">
        <v>41</v>
      </c>
      <c r="AM107" s="49" t="s">
        <v>41</v>
      </c>
      <c r="AN107" s="48" t="s">
        <v>41</v>
      </c>
      <c r="AO107" s="65" t="s">
        <v>4591</v>
      </c>
      <c r="AP107" s="65"/>
      <c r="AQ107" s="59"/>
    </row>
    <row r="108" spans="1:43" x14ac:dyDescent="0.2">
      <c r="A108">
        <v>107</v>
      </c>
      <c r="B108" s="33">
        <f>+B107+1</f>
        <v>107</v>
      </c>
      <c r="C108" s="34" t="s">
        <v>918</v>
      </c>
      <c r="D108" s="35" t="s">
        <v>919</v>
      </c>
      <c r="E108" s="36" t="s">
        <v>920</v>
      </c>
      <c r="F108" s="334">
        <v>24628</v>
      </c>
      <c r="G108" s="36" t="s">
        <v>54</v>
      </c>
      <c r="H108" s="34" t="s">
        <v>921</v>
      </c>
      <c r="I108" s="37" t="s">
        <v>73</v>
      </c>
      <c r="J108" s="425" t="s">
        <v>4765</v>
      </c>
      <c r="K108" s="37" t="s">
        <v>73</v>
      </c>
      <c r="L108" s="38" t="s">
        <v>922</v>
      </c>
      <c r="M108" s="34" t="s">
        <v>41</v>
      </c>
      <c r="N108" s="39" t="s">
        <v>42</v>
      </c>
      <c r="O108" s="53">
        <v>44478</v>
      </c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2" t="s">
        <v>923</v>
      </c>
      <c r="AB108" s="43" t="s">
        <v>924</v>
      </c>
      <c r="AC108" s="44" t="s">
        <v>925</v>
      </c>
      <c r="AD108" s="45">
        <v>44944</v>
      </c>
      <c r="AE108" s="46" t="s">
        <v>30</v>
      </c>
      <c r="AF108" s="36"/>
      <c r="AG108" s="47" t="s">
        <v>49</v>
      </c>
      <c r="AH108" s="48" t="s">
        <v>41</v>
      </c>
      <c r="AI108" s="48" t="s">
        <v>49</v>
      </c>
      <c r="AJ108" s="48" t="s">
        <v>49</v>
      </c>
      <c r="AK108" s="48" t="s">
        <v>49</v>
      </c>
      <c r="AL108" s="48" t="s">
        <v>49</v>
      </c>
      <c r="AM108" s="49" t="s">
        <v>49</v>
      </c>
      <c r="AN108" s="48" t="s">
        <v>49</v>
      </c>
      <c r="AO108" s="62" t="s">
        <v>32</v>
      </c>
      <c r="AP108" s="62"/>
      <c r="AQ108" s="59"/>
    </row>
    <row r="109" spans="1:43" x14ac:dyDescent="0.2">
      <c r="A109">
        <v>108</v>
      </c>
      <c r="B109" s="33">
        <f>+B108+1</f>
        <v>108</v>
      </c>
      <c r="C109" s="34" t="s">
        <v>926</v>
      </c>
      <c r="D109" s="35" t="s">
        <v>927</v>
      </c>
      <c r="E109" s="36" t="s">
        <v>928</v>
      </c>
      <c r="F109" s="334">
        <v>30545</v>
      </c>
      <c r="G109" s="36" t="s">
        <v>54</v>
      </c>
      <c r="H109" s="34" t="s">
        <v>929</v>
      </c>
      <c r="I109" s="37" t="s">
        <v>73</v>
      </c>
      <c r="J109" s="425" t="s">
        <v>4765</v>
      </c>
      <c r="K109" s="37" t="s">
        <v>73</v>
      </c>
      <c r="L109" s="34" t="s">
        <v>930</v>
      </c>
      <c r="M109" s="34" t="s">
        <v>931</v>
      </c>
      <c r="N109" s="39" t="s">
        <v>42</v>
      </c>
      <c r="O109" s="99" t="s">
        <v>932</v>
      </c>
      <c r="P109" s="115"/>
      <c r="Q109" s="115"/>
      <c r="R109" s="115"/>
      <c r="S109" s="115"/>
      <c r="T109" s="115"/>
      <c r="U109" s="115"/>
      <c r="V109" s="115"/>
      <c r="W109" s="56"/>
      <c r="X109" s="56"/>
      <c r="Y109" s="56"/>
      <c r="Z109" s="56"/>
      <c r="AA109" s="42" t="s">
        <v>933</v>
      </c>
      <c r="AB109" s="58" t="s">
        <v>934</v>
      </c>
      <c r="AC109" s="44" t="s">
        <v>61</v>
      </c>
      <c r="AD109" s="45">
        <v>40815</v>
      </c>
      <c r="AE109" s="101" t="s">
        <v>30</v>
      </c>
      <c r="AF109" s="36" t="s">
        <v>26</v>
      </c>
      <c r="AG109" s="47" t="s">
        <v>49</v>
      </c>
      <c r="AH109" s="48" t="s">
        <v>49</v>
      </c>
      <c r="AI109" s="48" t="s">
        <v>49</v>
      </c>
      <c r="AJ109" s="48" t="s">
        <v>49</v>
      </c>
      <c r="AK109" s="48" t="s">
        <v>49</v>
      </c>
      <c r="AL109" s="48" t="s">
        <v>49</v>
      </c>
      <c r="AM109" s="49" t="s">
        <v>49</v>
      </c>
      <c r="AN109" s="48" t="s">
        <v>41</v>
      </c>
      <c r="AO109" s="62" t="s">
        <v>148</v>
      </c>
      <c r="AP109" s="62"/>
      <c r="AQ109" s="59"/>
    </row>
    <row r="110" spans="1:43" x14ac:dyDescent="0.2">
      <c r="A110">
        <v>109</v>
      </c>
      <c r="B110" s="33">
        <f>+B109+1</f>
        <v>109</v>
      </c>
      <c r="C110" s="396" t="s">
        <v>935</v>
      </c>
      <c r="D110" s="150" t="s">
        <v>936</v>
      </c>
      <c r="E110" s="73" t="s">
        <v>937</v>
      </c>
      <c r="F110" s="73"/>
      <c r="G110" s="36" t="s">
        <v>54</v>
      </c>
      <c r="H110" s="52" t="s">
        <v>938</v>
      </c>
      <c r="I110" s="151" t="s">
        <v>939</v>
      </c>
      <c r="J110" s="425" t="s">
        <v>4746</v>
      </c>
      <c r="K110" s="151" t="s">
        <v>205</v>
      </c>
      <c r="L110" s="458" t="s">
        <v>940</v>
      </c>
      <c r="M110" s="34"/>
      <c r="N110" s="39" t="s">
        <v>42</v>
      </c>
      <c r="O110" s="152" t="s">
        <v>941</v>
      </c>
      <c r="P110" s="115" t="s">
        <v>179</v>
      </c>
      <c r="Q110" s="147" t="s">
        <v>179</v>
      </c>
      <c r="R110" s="147"/>
      <c r="S110" s="147">
        <v>6</v>
      </c>
      <c r="T110" s="147" t="s">
        <v>942</v>
      </c>
      <c r="U110" s="147"/>
      <c r="V110" s="147"/>
      <c r="W110" s="115"/>
      <c r="X110" s="56"/>
      <c r="Y110" s="56"/>
      <c r="Z110" s="56"/>
      <c r="AA110" s="42" t="s">
        <v>943</v>
      </c>
      <c r="AB110" s="58" t="s">
        <v>944</v>
      </c>
      <c r="AC110" s="44" t="s">
        <v>945</v>
      </c>
      <c r="AD110" s="153">
        <v>43200</v>
      </c>
      <c r="AE110" s="419" t="s">
        <v>30</v>
      </c>
      <c r="AF110" s="73">
        <v>1</v>
      </c>
      <c r="AG110" s="47" t="s">
        <v>49</v>
      </c>
      <c r="AH110" s="48" t="s">
        <v>41</v>
      </c>
      <c r="AI110" s="48" t="s">
        <v>41</v>
      </c>
      <c r="AJ110" s="48" t="s">
        <v>41</v>
      </c>
      <c r="AK110" s="48" t="s">
        <v>41</v>
      </c>
      <c r="AL110" s="48" t="s">
        <v>41</v>
      </c>
      <c r="AM110" s="49" t="s">
        <v>41</v>
      </c>
      <c r="AN110" s="48" t="s">
        <v>41</v>
      </c>
      <c r="AO110" s="82" t="s">
        <v>4592</v>
      </c>
      <c r="AP110" s="82"/>
      <c r="AQ110" s="59"/>
    </row>
    <row r="111" spans="1:43" x14ac:dyDescent="0.2">
      <c r="A111">
        <v>110</v>
      </c>
      <c r="B111" s="33">
        <f>+B110+1</f>
        <v>110</v>
      </c>
      <c r="C111" s="394" t="s">
        <v>946</v>
      </c>
      <c r="D111" s="35" t="s">
        <v>947</v>
      </c>
      <c r="E111" s="36" t="s">
        <v>948</v>
      </c>
      <c r="F111" s="334">
        <v>34217</v>
      </c>
      <c r="G111" s="36" t="s">
        <v>54</v>
      </c>
      <c r="H111" s="34" t="s">
        <v>949</v>
      </c>
      <c r="I111" s="37" t="s">
        <v>73</v>
      </c>
      <c r="J111" s="425" t="s">
        <v>4765</v>
      </c>
      <c r="K111" s="37" t="s">
        <v>73</v>
      </c>
      <c r="L111" s="34" t="s">
        <v>950</v>
      </c>
      <c r="M111" s="34" t="s">
        <v>951</v>
      </c>
      <c r="N111" s="39" t="s">
        <v>42</v>
      </c>
      <c r="O111" s="120">
        <v>35919</v>
      </c>
      <c r="P111" s="115"/>
      <c r="Q111" s="147"/>
      <c r="R111" s="147"/>
      <c r="S111" s="147"/>
      <c r="T111" s="147"/>
      <c r="U111" s="147"/>
      <c r="V111" s="147"/>
      <c r="W111" s="115"/>
      <c r="X111" s="56"/>
      <c r="Y111" s="56"/>
      <c r="Z111" s="56"/>
      <c r="AA111" s="42" t="s">
        <v>952</v>
      </c>
      <c r="AB111" s="58" t="s">
        <v>953</v>
      </c>
      <c r="AC111" s="44" t="s">
        <v>61</v>
      </c>
      <c r="AD111" s="45">
        <v>36641</v>
      </c>
      <c r="AE111" s="101" t="s">
        <v>30</v>
      </c>
      <c r="AF111" s="36" t="s">
        <v>26</v>
      </c>
      <c r="AG111" s="47" t="s">
        <v>49</v>
      </c>
      <c r="AH111" s="48" t="s">
        <v>49</v>
      </c>
      <c r="AI111" s="48" t="s">
        <v>49</v>
      </c>
      <c r="AJ111" s="48" t="s">
        <v>49</v>
      </c>
      <c r="AK111" s="48" t="s">
        <v>49</v>
      </c>
      <c r="AL111" s="48" t="s">
        <v>49</v>
      </c>
      <c r="AM111" s="49" t="s">
        <v>41</v>
      </c>
      <c r="AN111" s="48" t="s">
        <v>41</v>
      </c>
      <c r="AO111" s="62" t="s">
        <v>276</v>
      </c>
      <c r="AP111" s="62"/>
      <c r="AQ111" s="59"/>
    </row>
    <row r="112" spans="1:43" x14ac:dyDescent="0.2">
      <c r="A112">
        <v>111</v>
      </c>
      <c r="B112" s="33">
        <f>+B111+1</f>
        <v>111</v>
      </c>
      <c r="C112" s="108" t="s">
        <v>954</v>
      </c>
      <c r="D112" s="35" t="s">
        <v>955</v>
      </c>
      <c r="E112" s="36" t="s">
        <v>956</v>
      </c>
      <c r="F112" s="334">
        <v>29044</v>
      </c>
      <c r="G112" s="36" t="s">
        <v>54</v>
      </c>
      <c r="H112" s="34" t="s">
        <v>957</v>
      </c>
      <c r="I112" s="37" t="s">
        <v>958</v>
      </c>
      <c r="J112" s="425" t="s">
        <v>4769</v>
      </c>
      <c r="K112" s="37" t="s">
        <v>187</v>
      </c>
      <c r="L112" s="38" t="s">
        <v>959</v>
      </c>
      <c r="M112" s="34" t="s">
        <v>41</v>
      </c>
      <c r="N112" s="39" t="s">
        <v>42</v>
      </c>
      <c r="O112" s="120">
        <v>41947</v>
      </c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2" t="s">
        <v>960</v>
      </c>
      <c r="AB112" s="69" t="s">
        <v>961</v>
      </c>
      <c r="AC112" s="44" t="s">
        <v>61</v>
      </c>
      <c r="AD112" s="45">
        <v>36641</v>
      </c>
      <c r="AE112" s="101" t="s">
        <v>30</v>
      </c>
      <c r="AF112" s="36" t="s">
        <v>26</v>
      </c>
      <c r="AG112" s="47" t="s">
        <v>49</v>
      </c>
      <c r="AH112" s="48" t="s">
        <v>49</v>
      </c>
      <c r="AI112" s="48" t="s">
        <v>49</v>
      </c>
      <c r="AJ112" s="48" t="s">
        <v>49</v>
      </c>
      <c r="AK112" s="48" t="s">
        <v>49</v>
      </c>
      <c r="AL112" s="48" t="s">
        <v>49</v>
      </c>
      <c r="AM112" s="49" t="s">
        <v>49</v>
      </c>
      <c r="AN112" s="48" t="s">
        <v>49</v>
      </c>
      <c r="AO112" s="65" t="s">
        <v>32</v>
      </c>
      <c r="AP112" s="65"/>
      <c r="AQ112" s="59"/>
    </row>
    <row r="113" spans="1:43" x14ac:dyDescent="0.2">
      <c r="A113">
        <v>112</v>
      </c>
      <c r="B113" s="33">
        <f>+B112+1</f>
        <v>112</v>
      </c>
      <c r="C113" s="52" t="s">
        <v>962</v>
      </c>
      <c r="D113" s="150" t="s">
        <v>963</v>
      </c>
      <c r="E113" s="73" t="s">
        <v>964</v>
      </c>
      <c r="F113" s="335">
        <v>29972</v>
      </c>
      <c r="G113" s="36" t="s">
        <v>36</v>
      </c>
      <c r="H113" s="52" t="s">
        <v>965</v>
      </c>
      <c r="I113" s="151" t="s">
        <v>243</v>
      </c>
      <c r="J113" s="425" t="s">
        <v>4744</v>
      </c>
      <c r="K113" s="151" t="s">
        <v>205</v>
      </c>
      <c r="L113" s="113" t="s">
        <v>966</v>
      </c>
      <c r="M113" s="34"/>
      <c r="N113" s="39" t="s">
        <v>42</v>
      </c>
      <c r="O113" s="152" t="s">
        <v>216</v>
      </c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42" t="s">
        <v>967</v>
      </c>
      <c r="AB113" s="58" t="s">
        <v>968</v>
      </c>
      <c r="AC113" s="119" t="s">
        <v>969</v>
      </c>
      <c r="AD113" s="45">
        <v>44041</v>
      </c>
      <c r="AE113" s="101" t="s">
        <v>30</v>
      </c>
      <c r="AF113" s="73"/>
      <c r="AG113" s="47" t="s">
        <v>49</v>
      </c>
      <c r="AH113" s="48" t="s">
        <v>41</v>
      </c>
      <c r="AI113" s="48" t="s">
        <v>49</v>
      </c>
      <c r="AJ113" s="48" t="s">
        <v>49</v>
      </c>
      <c r="AK113" s="48" t="s">
        <v>49</v>
      </c>
      <c r="AL113" s="48" t="s">
        <v>49</v>
      </c>
      <c r="AM113" s="49" t="s">
        <v>49</v>
      </c>
      <c r="AN113" s="48" t="s">
        <v>49</v>
      </c>
      <c r="AO113" s="65" t="s">
        <v>32</v>
      </c>
      <c r="AP113" s="65"/>
      <c r="AQ113" s="59"/>
    </row>
    <row r="114" spans="1:43" x14ac:dyDescent="0.2">
      <c r="A114">
        <v>113</v>
      </c>
      <c r="B114" s="33">
        <f>+B113+1</f>
        <v>113</v>
      </c>
      <c r="C114" s="34" t="s">
        <v>970</v>
      </c>
      <c r="D114" s="35" t="s">
        <v>971</v>
      </c>
      <c r="E114" s="36" t="s">
        <v>972</v>
      </c>
      <c r="F114" s="334">
        <v>23419</v>
      </c>
      <c r="G114" s="36" t="s">
        <v>241</v>
      </c>
      <c r="H114" s="34" t="s">
        <v>973</v>
      </c>
      <c r="I114" s="37" t="s">
        <v>205</v>
      </c>
      <c r="J114" s="425" t="s">
        <v>4764</v>
      </c>
      <c r="K114" s="37" t="s">
        <v>205</v>
      </c>
      <c r="L114" s="34" t="s">
        <v>974</v>
      </c>
      <c r="M114" s="34" t="s">
        <v>975</v>
      </c>
      <c r="N114" s="39" t="s">
        <v>42</v>
      </c>
      <c r="O114" s="120" t="s">
        <v>976</v>
      </c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2" t="s">
        <v>977</v>
      </c>
      <c r="AB114" s="58" t="s">
        <v>978</v>
      </c>
      <c r="AC114" s="121" t="s">
        <v>979</v>
      </c>
      <c r="AD114" s="153">
        <v>44650</v>
      </c>
      <c r="AE114" s="101" t="s">
        <v>30</v>
      </c>
      <c r="AF114" s="36" t="s">
        <v>26</v>
      </c>
      <c r="AG114" s="47" t="s">
        <v>49</v>
      </c>
      <c r="AH114" s="48" t="s">
        <v>49</v>
      </c>
      <c r="AI114" s="48" t="s">
        <v>49</v>
      </c>
      <c r="AJ114" s="48" t="s">
        <v>49</v>
      </c>
      <c r="AK114" s="48" t="s">
        <v>49</v>
      </c>
      <c r="AL114" s="48" t="s">
        <v>49</v>
      </c>
      <c r="AM114" s="49" t="s">
        <v>49</v>
      </c>
      <c r="AN114" s="48" t="s">
        <v>49</v>
      </c>
      <c r="AO114" s="62" t="s">
        <v>32</v>
      </c>
      <c r="AP114" s="62"/>
      <c r="AQ114" s="59"/>
    </row>
    <row r="115" spans="1:43" x14ac:dyDescent="0.2">
      <c r="A115">
        <v>114</v>
      </c>
      <c r="B115" s="33">
        <f>+B114+1</f>
        <v>114</v>
      </c>
      <c r="C115" s="459" t="s">
        <v>980</v>
      </c>
      <c r="D115" s="35" t="s">
        <v>981</v>
      </c>
      <c r="E115" s="154" t="s">
        <v>4798</v>
      </c>
      <c r="F115" s="154"/>
      <c r="G115" s="36" t="s">
        <v>54</v>
      </c>
      <c r="H115" s="69" t="s">
        <v>983</v>
      </c>
      <c r="I115" s="75" t="s">
        <v>205</v>
      </c>
      <c r="J115" s="425" t="s">
        <v>4764</v>
      </c>
      <c r="K115" s="75" t="s">
        <v>205</v>
      </c>
      <c r="L115" s="72" t="s">
        <v>984</v>
      </c>
      <c r="M115" s="72" t="s">
        <v>985</v>
      </c>
      <c r="N115" s="77" t="s">
        <v>986</v>
      </c>
      <c r="O115" s="155">
        <v>32911</v>
      </c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  <c r="AA115" s="42" t="s">
        <v>987</v>
      </c>
      <c r="AB115" s="58" t="s">
        <v>988</v>
      </c>
      <c r="AC115" s="44" t="s">
        <v>989</v>
      </c>
      <c r="AD115" s="45">
        <v>41793</v>
      </c>
      <c r="AE115" s="101" t="s">
        <v>30</v>
      </c>
      <c r="AF115" s="154"/>
      <c r="AG115" s="81" t="s">
        <v>49</v>
      </c>
      <c r="AH115" s="48" t="s">
        <v>41</v>
      </c>
      <c r="AI115" s="48" t="s">
        <v>41</v>
      </c>
      <c r="AJ115" s="48" t="s">
        <v>41</v>
      </c>
      <c r="AK115" s="48" t="s">
        <v>41</v>
      </c>
      <c r="AL115" s="48" t="s">
        <v>41</v>
      </c>
      <c r="AM115" s="49" t="s">
        <v>41</v>
      </c>
      <c r="AN115" s="48" t="s">
        <v>41</v>
      </c>
      <c r="AO115" s="65" t="s">
        <v>4592</v>
      </c>
      <c r="AP115" s="65"/>
      <c r="AQ115" s="59" t="s">
        <v>990</v>
      </c>
    </row>
    <row r="116" spans="1:43" x14ac:dyDescent="0.2">
      <c r="A116">
        <v>115</v>
      </c>
      <c r="B116" s="33">
        <f>+B115+1</f>
        <v>115</v>
      </c>
      <c r="C116" s="108" t="s">
        <v>991</v>
      </c>
      <c r="D116" s="35" t="s">
        <v>992</v>
      </c>
      <c r="E116" s="36" t="s">
        <v>993</v>
      </c>
      <c r="F116" s="334">
        <v>27493</v>
      </c>
      <c r="G116" s="36" t="s">
        <v>54</v>
      </c>
      <c r="H116" s="34" t="s">
        <v>994</v>
      </c>
      <c r="I116" s="37" t="s">
        <v>73</v>
      </c>
      <c r="J116" s="425" t="s">
        <v>4765</v>
      </c>
      <c r="K116" s="37" t="s">
        <v>73</v>
      </c>
      <c r="L116" s="38" t="s">
        <v>995</v>
      </c>
      <c r="M116" s="34" t="s">
        <v>41</v>
      </c>
      <c r="N116" s="39" t="s">
        <v>42</v>
      </c>
      <c r="O116" s="120" t="s">
        <v>996</v>
      </c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2" t="s">
        <v>997</v>
      </c>
      <c r="AB116" s="58" t="s">
        <v>998</v>
      </c>
      <c r="AC116" s="84" t="s">
        <v>999</v>
      </c>
      <c r="AD116" s="153">
        <v>44650</v>
      </c>
      <c r="AE116" s="101" t="s">
        <v>30</v>
      </c>
      <c r="AF116" s="36" t="s">
        <v>26</v>
      </c>
      <c r="AG116" s="47" t="s">
        <v>49</v>
      </c>
      <c r="AH116" s="48" t="s">
        <v>49</v>
      </c>
      <c r="AI116" s="48" t="s">
        <v>49</v>
      </c>
      <c r="AJ116" s="48" t="s">
        <v>49</v>
      </c>
      <c r="AK116" s="48" t="s">
        <v>49</v>
      </c>
      <c r="AL116" s="48" t="s">
        <v>49</v>
      </c>
      <c r="AM116" s="49" t="s">
        <v>41</v>
      </c>
      <c r="AN116" s="48" t="s">
        <v>41</v>
      </c>
      <c r="AO116" s="62" t="s">
        <v>276</v>
      </c>
      <c r="AP116" s="62"/>
      <c r="AQ116" s="59"/>
    </row>
    <row r="117" spans="1:43" x14ac:dyDescent="0.2">
      <c r="A117">
        <v>116</v>
      </c>
      <c r="B117" s="33">
        <f>+B116+1</f>
        <v>116</v>
      </c>
      <c r="C117" s="34" t="s">
        <v>1000</v>
      </c>
      <c r="D117" s="35" t="s">
        <v>1001</v>
      </c>
      <c r="E117" s="36" t="s">
        <v>1002</v>
      </c>
      <c r="F117" s="334">
        <v>27497</v>
      </c>
      <c r="G117" s="36" t="s">
        <v>54</v>
      </c>
      <c r="H117" s="34" t="s">
        <v>1003</v>
      </c>
      <c r="I117" s="37" t="s">
        <v>73</v>
      </c>
      <c r="J117" s="425" t="s">
        <v>4765</v>
      </c>
      <c r="K117" s="37" t="s">
        <v>73</v>
      </c>
      <c r="L117" s="38" t="s">
        <v>1004</v>
      </c>
      <c r="M117" s="38" t="s">
        <v>1005</v>
      </c>
      <c r="N117" s="39" t="s">
        <v>42</v>
      </c>
      <c r="O117" s="99" t="s">
        <v>1006</v>
      </c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2" t="s">
        <v>1007</v>
      </c>
      <c r="AB117" s="52" t="s">
        <v>1008</v>
      </c>
      <c r="AC117" s="44" t="s">
        <v>61</v>
      </c>
      <c r="AD117" s="45">
        <v>37877</v>
      </c>
      <c r="AE117" s="101" t="s">
        <v>30</v>
      </c>
      <c r="AF117" s="36" t="s">
        <v>26</v>
      </c>
      <c r="AG117" s="47" t="s">
        <v>49</v>
      </c>
      <c r="AH117" s="48" t="s">
        <v>49</v>
      </c>
      <c r="AI117" s="48" t="s">
        <v>49</v>
      </c>
      <c r="AJ117" s="48" t="s">
        <v>49</v>
      </c>
      <c r="AK117" s="48" t="s">
        <v>49</v>
      </c>
      <c r="AL117" s="48" t="s">
        <v>49</v>
      </c>
      <c r="AM117" s="49" t="s">
        <v>49</v>
      </c>
      <c r="AN117" s="48" t="s">
        <v>49</v>
      </c>
      <c r="AO117" s="62" t="s">
        <v>32</v>
      </c>
      <c r="AP117" s="62"/>
      <c r="AQ117" s="59"/>
    </row>
    <row r="118" spans="1:43" x14ac:dyDescent="0.2">
      <c r="A118">
        <v>117</v>
      </c>
      <c r="B118" s="33">
        <f>+B117+1</f>
        <v>117</v>
      </c>
      <c r="C118" s="34" t="s">
        <v>1009</v>
      </c>
      <c r="D118" s="35" t="s">
        <v>1010</v>
      </c>
      <c r="E118" s="36" t="s">
        <v>1011</v>
      </c>
      <c r="F118" s="334">
        <v>32661</v>
      </c>
      <c r="G118" s="36" t="s">
        <v>54</v>
      </c>
      <c r="H118" s="34" t="s">
        <v>1012</v>
      </c>
      <c r="I118" s="37" t="s">
        <v>73</v>
      </c>
      <c r="J118" s="425" t="s">
        <v>4765</v>
      </c>
      <c r="K118" s="37" t="s">
        <v>73</v>
      </c>
      <c r="L118" s="38" t="s">
        <v>1013</v>
      </c>
      <c r="M118" s="38"/>
      <c r="N118" s="39" t="s">
        <v>42</v>
      </c>
      <c r="O118" s="99" t="s">
        <v>1014</v>
      </c>
      <c r="P118" s="41"/>
      <c r="Q118" s="41"/>
      <c r="R118" s="41"/>
      <c r="S118" s="41"/>
      <c r="T118" s="41"/>
      <c r="U118" s="41"/>
      <c r="V118" s="41"/>
      <c r="W118" s="41" t="s">
        <v>44</v>
      </c>
      <c r="X118" s="41"/>
      <c r="Y118" s="41"/>
      <c r="Z118" s="41"/>
      <c r="AA118" s="42" t="s">
        <v>1015</v>
      </c>
      <c r="AB118" s="43" t="s">
        <v>1016</v>
      </c>
      <c r="AC118" s="44"/>
      <c r="AD118" s="45">
        <v>45642</v>
      </c>
      <c r="AE118" s="101"/>
      <c r="AF118" s="36"/>
      <c r="AG118" s="47" t="s">
        <v>49</v>
      </c>
      <c r="AH118" s="48" t="s">
        <v>41</v>
      </c>
      <c r="AI118" s="48" t="s">
        <v>41</v>
      </c>
      <c r="AJ118" s="48" t="s">
        <v>41</v>
      </c>
      <c r="AK118" s="48" t="s">
        <v>49</v>
      </c>
      <c r="AL118" s="48" t="s">
        <v>49</v>
      </c>
      <c r="AM118" s="49" t="s">
        <v>49</v>
      </c>
      <c r="AN118" s="48" t="s">
        <v>49</v>
      </c>
      <c r="AO118" s="65" t="s">
        <v>32</v>
      </c>
      <c r="AP118" s="65"/>
      <c r="AQ118" s="423" t="s">
        <v>41</v>
      </c>
    </row>
    <row r="119" spans="1:43" x14ac:dyDescent="0.2">
      <c r="A119">
        <v>118</v>
      </c>
      <c r="B119" s="33">
        <f>+B118+1</f>
        <v>118</v>
      </c>
      <c r="C119" s="34" t="s">
        <v>1017</v>
      </c>
      <c r="D119" s="35" t="s">
        <v>1018</v>
      </c>
      <c r="E119" s="36" t="s">
        <v>1019</v>
      </c>
      <c r="F119" s="334">
        <v>27645</v>
      </c>
      <c r="G119" s="36" t="s">
        <v>54</v>
      </c>
      <c r="H119" s="34" t="s">
        <v>1020</v>
      </c>
      <c r="I119" s="37" t="s">
        <v>73</v>
      </c>
      <c r="J119" s="425" t="s">
        <v>4765</v>
      </c>
      <c r="K119" s="37" t="s">
        <v>73</v>
      </c>
      <c r="L119" s="38" t="s">
        <v>1021</v>
      </c>
      <c r="M119" s="38" t="s">
        <v>41</v>
      </c>
      <c r="N119" s="39" t="s">
        <v>42</v>
      </c>
      <c r="O119" s="99" t="s">
        <v>1022</v>
      </c>
      <c r="P119" s="41"/>
      <c r="Q119" s="41"/>
      <c r="R119" s="41"/>
      <c r="S119" s="41"/>
      <c r="T119" s="41"/>
      <c r="U119" s="41"/>
      <c r="V119" s="41" t="s">
        <v>44</v>
      </c>
      <c r="W119" s="41"/>
      <c r="X119" s="41"/>
      <c r="Y119" s="41"/>
      <c r="Z119" s="41"/>
      <c r="AA119" s="42" t="s">
        <v>1023</v>
      </c>
      <c r="AB119" s="55" t="s">
        <v>1024</v>
      </c>
      <c r="AC119" s="44" t="s">
        <v>1025</v>
      </c>
      <c r="AD119" s="45">
        <v>44944</v>
      </c>
      <c r="AE119" s="101" t="s">
        <v>30</v>
      </c>
      <c r="AF119" s="36"/>
      <c r="AG119" s="47" t="s">
        <v>49</v>
      </c>
      <c r="AH119" s="48" t="s">
        <v>41</v>
      </c>
      <c r="AI119" s="48" t="s">
        <v>41</v>
      </c>
      <c r="AJ119" s="48" t="s">
        <v>49</v>
      </c>
      <c r="AK119" s="48" t="s">
        <v>49</v>
      </c>
      <c r="AL119" s="48" t="s">
        <v>49</v>
      </c>
      <c r="AM119" s="49" t="s">
        <v>49</v>
      </c>
      <c r="AN119" s="48" t="s">
        <v>49</v>
      </c>
      <c r="AO119" s="62" t="s">
        <v>32</v>
      </c>
      <c r="AP119" s="62"/>
      <c r="AQ119" s="67"/>
    </row>
    <row r="120" spans="1:43" x14ac:dyDescent="0.2">
      <c r="A120">
        <v>119</v>
      </c>
      <c r="B120" s="33">
        <f>+B119+1</f>
        <v>119</v>
      </c>
      <c r="C120" s="34" t="s">
        <v>1026</v>
      </c>
      <c r="D120" s="35" t="s">
        <v>1027</v>
      </c>
      <c r="E120" s="36" t="s">
        <v>1028</v>
      </c>
      <c r="F120" s="334">
        <v>31686</v>
      </c>
      <c r="G120" s="36" t="s">
        <v>54</v>
      </c>
      <c r="H120" s="34" t="s">
        <v>1029</v>
      </c>
      <c r="I120" s="37" t="s">
        <v>858</v>
      </c>
      <c r="J120" s="425" t="s">
        <v>4740</v>
      </c>
      <c r="K120" s="37" t="s">
        <v>57</v>
      </c>
      <c r="L120" s="38" t="s">
        <v>1030</v>
      </c>
      <c r="M120" s="34"/>
      <c r="N120" s="39" t="s">
        <v>42</v>
      </c>
      <c r="O120" s="120">
        <v>43416</v>
      </c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42" t="s">
        <v>1031</v>
      </c>
      <c r="AB120" s="58" t="s">
        <v>1032</v>
      </c>
      <c r="AC120" s="44" t="s">
        <v>1033</v>
      </c>
      <c r="AD120" s="45">
        <v>44041</v>
      </c>
      <c r="AE120" s="101" t="s">
        <v>30</v>
      </c>
      <c r="AF120" s="36" t="s">
        <v>26</v>
      </c>
      <c r="AG120" s="47" t="s">
        <v>49</v>
      </c>
      <c r="AH120" s="48" t="s">
        <v>49</v>
      </c>
      <c r="AI120" s="48" t="s">
        <v>49</v>
      </c>
      <c r="AJ120" s="48" t="s">
        <v>41</v>
      </c>
      <c r="AK120" s="48" t="s">
        <v>41</v>
      </c>
      <c r="AL120" s="48" t="s">
        <v>41</v>
      </c>
      <c r="AM120" s="49" t="s">
        <v>41</v>
      </c>
      <c r="AN120" s="48" t="s">
        <v>41</v>
      </c>
      <c r="AO120" s="62" t="s">
        <v>110</v>
      </c>
      <c r="AP120" s="62"/>
      <c r="AQ120" s="59"/>
    </row>
    <row r="121" spans="1:43" x14ac:dyDescent="0.2">
      <c r="A121">
        <v>120</v>
      </c>
      <c r="B121" s="33">
        <f>+B120+1</f>
        <v>120</v>
      </c>
      <c r="C121" s="34" t="s">
        <v>1034</v>
      </c>
      <c r="D121" s="35" t="s">
        <v>1035</v>
      </c>
      <c r="E121" s="36" t="s">
        <v>1036</v>
      </c>
      <c r="F121" s="36"/>
      <c r="G121" s="36" t="s">
        <v>54</v>
      </c>
      <c r="H121" s="34" t="s">
        <v>1037</v>
      </c>
      <c r="I121" s="37" t="s">
        <v>73</v>
      </c>
      <c r="J121" s="425" t="s">
        <v>4765</v>
      </c>
      <c r="K121" s="37" t="s">
        <v>73</v>
      </c>
      <c r="L121" s="34" t="s">
        <v>1038</v>
      </c>
      <c r="M121" s="34" t="s">
        <v>1039</v>
      </c>
      <c r="N121" s="39" t="s">
        <v>42</v>
      </c>
      <c r="O121" s="99" t="s">
        <v>1040</v>
      </c>
      <c r="P121" s="56" t="s">
        <v>179</v>
      </c>
      <c r="Q121" s="56" t="s">
        <v>179</v>
      </c>
      <c r="R121" s="56"/>
      <c r="S121" s="56">
        <v>4</v>
      </c>
      <c r="T121" s="56" t="s">
        <v>1041</v>
      </c>
      <c r="U121" s="56"/>
      <c r="V121" s="56"/>
      <c r="W121" s="56"/>
      <c r="X121" s="56"/>
      <c r="Y121" s="56"/>
      <c r="Z121" s="56"/>
      <c r="AA121" s="42" t="s">
        <v>1042</v>
      </c>
      <c r="AB121" s="58" t="s">
        <v>1043</v>
      </c>
      <c r="AC121" s="44"/>
      <c r="AD121" s="45" t="s">
        <v>47</v>
      </c>
      <c r="AE121" s="101"/>
      <c r="AF121" s="36" t="s">
        <v>26</v>
      </c>
      <c r="AG121" s="47" t="s">
        <v>49</v>
      </c>
      <c r="AH121" s="48" t="s">
        <v>49</v>
      </c>
      <c r="AI121" s="48" t="s">
        <v>41</v>
      </c>
      <c r="AJ121" s="48" t="s">
        <v>41</v>
      </c>
      <c r="AK121" s="48" t="s">
        <v>41</v>
      </c>
      <c r="AL121" s="48" t="s">
        <v>41</v>
      </c>
      <c r="AM121" s="49" t="s">
        <v>41</v>
      </c>
      <c r="AN121" s="48" t="s">
        <v>41</v>
      </c>
      <c r="AO121" s="62" t="s">
        <v>4587</v>
      </c>
      <c r="AP121" s="62"/>
      <c r="AQ121" s="59"/>
    </row>
    <row r="122" spans="1:43" x14ac:dyDescent="0.2">
      <c r="A122">
        <v>121</v>
      </c>
      <c r="B122" s="33">
        <f>+B121+1</f>
        <v>121</v>
      </c>
      <c r="C122" s="34" t="s">
        <v>1044</v>
      </c>
      <c r="D122" s="35" t="s">
        <v>1045</v>
      </c>
      <c r="E122" s="36" t="s">
        <v>1046</v>
      </c>
      <c r="F122" s="334">
        <v>34618</v>
      </c>
      <c r="G122" s="36" t="s">
        <v>54</v>
      </c>
      <c r="H122" s="34" t="s">
        <v>1047</v>
      </c>
      <c r="I122" s="37" t="s">
        <v>73</v>
      </c>
      <c r="J122" s="425" t="s">
        <v>4765</v>
      </c>
      <c r="K122" s="37" t="s">
        <v>73</v>
      </c>
      <c r="L122" s="414" t="s">
        <v>1048</v>
      </c>
      <c r="M122" s="157" t="s">
        <v>1049</v>
      </c>
      <c r="N122" s="39" t="s">
        <v>42</v>
      </c>
      <c r="O122" s="120">
        <v>40287</v>
      </c>
      <c r="P122" s="41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42" t="s">
        <v>1050</v>
      </c>
      <c r="AB122" s="55" t="s">
        <v>1051</v>
      </c>
      <c r="AC122" s="55"/>
      <c r="AD122" s="45" t="s">
        <v>47</v>
      </c>
      <c r="AE122" s="101"/>
      <c r="AF122" s="36" t="s">
        <v>26</v>
      </c>
      <c r="AG122" s="47" t="s">
        <v>49</v>
      </c>
      <c r="AH122" s="48" t="s">
        <v>49</v>
      </c>
      <c r="AI122" s="48" t="s">
        <v>49</v>
      </c>
      <c r="AJ122" s="48" t="s">
        <v>49</v>
      </c>
      <c r="AK122" s="48" t="s">
        <v>49</v>
      </c>
      <c r="AL122" s="48" t="s">
        <v>49</v>
      </c>
      <c r="AM122" s="49" t="s">
        <v>49</v>
      </c>
      <c r="AN122" s="48" t="s">
        <v>49</v>
      </c>
      <c r="AO122" s="62" t="s">
        <v>32</v>
      </c>
      <c r="AP122" s="62"/>
      <c r="AQ122" s="59"/>
    </row>
    <row r="123" spans="1:43" x14ac:dyDescent="0.2">
      <c r="A123">
        <v>122</v>
      </c>
      <c r="B123" s="33">
        <f>+B122+1</f>
        <v>122</v>
      </c>
      <c r="C123" s="34" t="s">
        <v>1052</v>
      </c>
      <c r="D123" s="35" t="s">
        <v>1053</v>
      </c>
      <c r="E123" s="36" t="s">
        <v>1054</v>
      </c>
      <c r="F123" s="36"/>
      <c r="G123" s="36" t="s">
        <v>54</v>
      </c>
      <c r="H123" s="34" t="s">
        <v>1055</v>
      </c>
      <c r="I123" s="37" t="s">
        <v>456</v>
      </c>
      <c r="J123" s="425" t="s">
        <v>4770</v>
      </c>
      <c r="K123" s="37" t="s">
        <v>187</v>
      </c>
      <c r="L123" s="38" t="s">
        <v>1056</v>
      </c>
      <c r="M123" s="38" t="s">
        <v>1057</v>
      </c>
      <c r="N123" s="39" t="s">
        <v>42</v>
      </c>
      <c r="O123" s="99" t="s">
        <v>1058</v>
      </c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2" t="s">
        <v>1059</v>
      </c>
      <c r="AB123" s="58" t="s">
        <v>1060</v>
      </c>
      <c r="AC123" s="44" t="s">
        <v>61</v>
      </c>
      <c r="AD123" s="45">
        <v>40280</v>
      </c>
      <c r="AE123" s="101" t="s">
        <v>30</v>
      </c>
      <c r="AF123" s="36" t="s">
        <v>26</v>
      </c>
      <c r="AG123" s="47" t="s">
        <v>49</v>
      </c>
      <c r="AH123" s="48" t="s">
        <v>49</v>
      </c>
      <c r="AI123" s="48" t="s">
        <v>41</v>
      </c>
      <c r="AJ123" s="48" t="s">
        <v>41</v>
      </c>
      <c r="AK123" s="48" t="s">
        <v>41</v>
      </c>
      <c r="AL123" s="48" t="s">
        <v>41</v>
      </c>
      <c r="AM123" s="49" t="s">
        <v>41</v>
      </c>
      <c r="AN123" s="48" t="s">
        <v>41</v>
      </c>
      <c r="AO123" s="62" t="s">
        <v>4587</v>
      </c>
      <c r="AP123" s="62"/>
      <c r="AQ123" s="59"/>
    </row>
    <row r="124" spans="1:43" x14ac:dyDescent="0.2">
      <c r="A124">
        <v>123</v>
      </c>
      <c r="B124" s="33">
        <f>+B123+1</f>
        <v>123</v>
      </c>
      <c r="C124" s="34" t="s">
        <v>1061</v>
      </c>
      <c r="D124" s="35" t="s">
        <v>1062</v>
      </c>
      <c r="E124" s="36" t="s">
        <v>1063</v>
      </c>
      <c r="F124" s="36"/>
      <c r="G124" s="36" t="s">
        <v>36</v>
      </c>
      <c r="H124" s="34" t="s">
        <v>1064</v>
      </c>
      <c r="I124" s="37" t="s">
        <v>73</v>
      </c>
      <c r="J124" s="425" t="s">
        <v>4765</v>
      </c>
      <c r="K124" s="37" t="s">
        <v>73</v>
      </c>
      <c r="L124" s="34" t="s">
        <v>1065</v>
      </c>
      <c r="M124" s="34" t="s">
        <v>41</v>
      </c>
      <c r="N124" s="39" t="s">
        <v>42</v>
      </c>
      <c r="O124" s="120">
        <v>37718</v>
      </c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2" t="s">
        <v>1066</v>
      </c>
      <c r="AB124" s="52" t="s">
        <v>1067</v>
      </c>
      <c r="AC124" s="44" t="s">
        <v>61</v>
      </c>
      <c r="AD124" s="45">
        <v>37877</v>
      </c>
      <c r="AE124" s="101" t="s">
        <v>30</v>
      </c>
      <c r="AF124" s="36"/>
      <c r="AG124" s="47" t="s">
        <v>49</v>
      </c>
      <c r="AH124" s="48" t="s">
        <v>41</v>
      </c>
      <c r="AI124" s="48" t="s">
        <v>41</v>
      </c>
      <c r="AJ124" s="48" t="s">
        <v>41</v>
      </c>
      <c r="AK124" s="48" t="s">
        <v>41</v>
      </c>
      <c r="AL124" s="48" t="s">
        <v>41</v>
      </c>
      <c r="AM124" s="49" t="s">
        <v>41</v>
      </c>
      <c r="AN124" s="48" t="s">
        <v>41</v>
      </c>
      <c r="AO124" s="65" t="s">
        <v>4590</v>
      </c>
      <c r="AP124" s="65"/>
      <c r="AQ124" s="59" t="s">
        <v>1068</v>
      </c>
    </row>
    <row r="125" spans="1:43" x14ac:dyDescent="0.2">
      <c r="A125">
        <v>124</v>
      </c>
      <c r="B125" s="33">
        <f>+B124+1</f>
        <v>124</v>
      </c>
      <c r="C125" s="34" t="s">
        <v>1069</v>
      </c>
      <c r="D125" s="35" t="s">
        <v>1070</v>
      </c>
      <c r="E125" s="36" t="s">
        <v>1071</v>
      </c>
      <c r="F125" s="334">
        <v>27106</v>
      </c>
      <c r="G125" s="36" t="s">
        <v>54</v>
      </c>
      <c r="H125" s="34" t="s">
        <v>1072</v>
      </c>
      <c r="I125" s="37" t="s">
        <v>4660</v>
      </c>
      <c r="J125" s="425" t="s">
        <v>4760</v>
      </c>
      <c r="K125" s="37" t="s">
        <v>39</v>
      </c>
      <c r="L125" s="34" t="s">
        <v>1073</v>
      </c>
      <c r="M125" s="34" t="s">
        <v>41</v>
      </c>
      <c r="N125" s="39" t="s">
        <v>42</v>
      </c>
      <c r="O125" s="99" t="s">
        <v>1074</v>
      </c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2" t="s">
        <v>1075</v>
      </c>
      <c r="AB125" s="100" t="s">
        <v>1076</v>
      </c>
      <c r="AC125" s="44" t="s">
        <v>61</v>
      </c>
      <c r="AD125" s="45">
        <v>37877</v>
      </c>
      <c r="AE125" s="101" t="s">
        <v>30</v>
      </c>
      <c r="AF125" s="36" t="s">
        <v>26</v>
      </c>
      <c r="AG125" s="47" t="s">
        <v>49</v>
      </c>
      <c r="AH125" s="48" t="s">
        <v>49</v>
      </c>
      <c r="AI125" s="48" t="s">
        <v>49</v>
      </c>
      <c r="AJ125" s="48" t="s">
        <v>49</v>
      </c>
      <c r="AK125" s="48" t="s">
        <v>49</v>
      </c>
      <c r="AL125" s="48" t="s">
        <v>49</v>
      </c>
      <c r="AM125" s="49" t="s">
        <v>49</v>
      </c>
      <c r="AN125" s="48" t="s">
        <v>49</v>
      </c>
      <c r="AO125" s="62" t="s">
        <v>32</v>
      </c>
      <c r="AP125" s="62"/>
      <c r="AQ125" s="59"/>
    </row>
    <row r="126" spans="1:43" x14ac:dyDescent="0.2">
      <c r="A126">
        <v>125</v>
      </c>
      <c r="B126" s="33">
        <f>+B125+1</f>
        <v>125</v>
      </c>
      <c r="C126" s="34" t="s">
        <v>1077</v>
      </c>
      <c r="D126" s="35" t="s">
        <v>1078</v>
      </c>
      <c r="E126" s="73" t="s">
        <v>1079</v>
      </c>
      <c r="F126" s="335">
        <v>28802</v>
      </c>
      <c r="G126" s="36" t="s">
        <v>54</v>
      </c>
      <c r="H126" s="98" t="s">
        <v>1080</v>
      </c>
      <c r="I126" s="37" t="s">
        <v>252</v>
      </c>
      <c r="J126" s="425" t="s">
        <v>4763</v>
      </c>
      <c r="K126" s="37" t="s">
        <v>57</v>
      </c>
      <c r="L126" s="38" t="s">
        <v>1081</v>
      </c>
      <c r="M126" s="38" t="s">
        <v>41</v>
      </c>
      <c r="N126" s="39" t="s">
        <v>42</v>
      </c>
      <c r="O126" s="99" t="s">
        <v>1082</v>
      </c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42" t="s">
        <v>1083</v>
      </c>
      <c r="AB126" s="69" t="s">
        <v>1084</v>
      </c>
      <c r="AC126" s="44" t="s">
        <v>1085</v>
      </c>
      <c r="AD126" s="45">
        <v>44041</v>
      </c>
      <c r="AE126" s="101" t="s">
        <v>30</v>
      </c>
      <c r="AF126" s="73" t="s">
        <v>26</v>
      </c>
      <c r="AG126" s="47" t="s">
        <v>49</v>
      </c>
      <c r="AH126" s="48" t="s">
        <v>49</v>
      </c>
      <c r="AI126" s="48" t="s">
        <v>49</v>
      </c>
      <c r="AJ126" s="48" t="s">
        <v>49</v>
      </c>
      <c r="AK126" s="48" t="s">
        <v>49</v>
      </c>
      <c r="AL126" s="48" t="s">
        <v>49</v>
      </c>
      <c r="AM126" s="49" t="s">
        <v>49</v>
      </c>
      <c r="AN126" s="48" t="s">
        <v>41</v>
      </c>
      <c r="AO126" s="65" t="s">
        <v>148</v>
      </c>
      <c r="AP126" s="65"/>
      <c r="AQ126" s="59"/>
    </row>
    <row r="127" spans="1:43" x14ac:dyDescent="0.2">
      <c r="A127">
        <v>126</v>
      </c>
      <c r="B127" s="33">
        <f>+B126+1</f>
        <v>126</v>
      </c>
      <c r="C127" s="34" t="s">
        <v>1086</v>
      </c>
      <c r="D127" s="35" t="s">
        <v>1087</v>
      </c>
      <c r="E127" s="36" t="s">
        <v>1088</v>
      </c>
      <c r="F127" s="334">
        <v>25890</v>
      </c>
      <c r="G127" s="36" t="s">
        <v>54</v>
      </c>
      <c r="H127" s="34" t="s">
        <v>1089</v>
      </c>
      <c r="I127" s="37" t="s">
        <v>73</v>
      </c>
      <c r="J127" s="425" t="s">
        <v>4765</v>
      </c>
      <c r="K127" s="37" t="s">
        <v>73</v>
      </c>
      <c r="L127" s="34" t="s">
        <v>1090</v>
      </c>
      <c r="M127" s="34" t="s">
        <v>41</v>
      </c>
      <c r="N127" s="39" t="s">
        <v>42</v>
      </c>
      <c r="O127" s="99" t="s">
        <v>1091</v>
      </c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2" t="s">
        <v>1092</v>
      </c>
      <c r="AB127" s="69" t="s">
        <v>1093</v>
      </c>
      <c r="AC127" s="44" t="s">
        <v>1094</v>
      </c>
      <c r="AD127" s="45">
        <v>43200</v>
      </c>
      <c r="AE127" s="101" t="s">
        <v>30</v>
      </c>
      <c r="AF127" s="36" t="s">
        <v>26</v>
      </c>
      <c r="AG127" s="47" t="s">
        <v>49</v>
      </c>
      <c r="AH127" s="48" t="s">
        <v>49</v>
      </c>
      <c r="AI127" s="48" t="s">
        <v>49</v>
      </c>
      <c r="AJ127" s="48" t="s">
        <v>49</v>
      </c>
      <c r="AK127" s="48" t="s">
        <v>49</v>
      </c>
      <c r="AL127" s="48" t="s">
        <v>41</v>
      </c>
      <c r="AM127" s="49" t="s">
        <v>41</v>
      </c>
      <c r="AN127" s="48" t="s">
        <v>41</v>
      </c>
      <c r="AO127" s="62" t="s">
        <v>4589</v>
      </c>
      <c r="AP127" s="62"/>
      <c r="AQ127" s="59"/>
    </row>
    <row r="128" spans="1:43" x14ac:dyDescent="0.2">
      <c r="A128">
        <v>127</v>
      </c>
      <c r="B128" s="33">
        <f>+B127+1</f>
        <v>127</v>
      </c>
      <c r="C128" s="34" t="s">
        <v>1095</v>
      </c>
      <c r="D128" s="35" t="s">
        <v>1096</v>
      </c>
      <c r="E128" s="73" t="s">
        <v>1097</v>
      </c>
      <c r="F128" s="335">
        <v>32399</v>
      </c>
      <c r="G128" s="36" t="s">
        <v>36</v>
      </c>
      <c r="H128" s="98" t="s">
        <v>1098</v>
      </c>
      <c r="I128" s="37" t="s">
        <v>73</v>
      </c>
      <c r="J128" s="425" t="s">
        <v>4765</v>
      </c>
      <c r="K128" s="37" t="s">
        <v>73</v>
      </c>
      <c r="L128" s="38" t="s">
        <v>1099</v>
      </c>
      <c r="M128" s="38" t="s">
        <v>41</v>
      </c>
      <c r="N128" s="39" t="s">
        <v>42</v>
      </c>
      <c r="O128" s="99" t="s">
        <v>1100</v>
      </c>
      <c r="P128" s="56"/>
      <c r="Q128" s="56"/>
      <c r="R128" s="56"/>
      <c r="S128" s="56"/>
      <c r="T128" s="56"/>
      <c r="U128" s="56"/>
      <c r="V128" s="56" t="s">
        <v>44</v>
      </c>
      <c r="W128" s="56"/>
      <c r="X128" s="56"/>
      <c r="Y128" s="56"/>
      <c r="Z128" s="56"/>
      <c r="AA128" s="42" t="s">
        <v>1101</v>
      </c>
      <c r="AB128" s="58" t="s">
        <v>1102</v>
      </c>
      <c r="AC128" s="44" t="s">
        <v>1103</v>
      </c>
      <c r="AD128" s="45">
        <v>44944</v>
      </c>
      <c r="AE128" s="101" t="s">
        <v>30</v>
      </c>
      <c r="AF128" s="73"/>
      <c r="AG128" s="47" t="s">
        <v>49</v>
      </c>
      <c r="AH128" s="48" t="s">
        <v>41</v>
      </c>
      <c r="AI128" s="48" t="s">
        <v>41</v>
      </c>
      <c r="AJ128" s="48" t="s">
        <v>49</v>
      </c>
      <c r="AK128" s="48" t="s">
        <v>49</v>
      </c>
      <c r="AL128" s="48" t="s">
        <v>41</v>
      </c>
      <c r="AM128" s="49" t="s">
        <v>41</v>
      </c>
      <c r="AN128" s="48" t="s">
        <v>41</v>
      </c>
      <c r="AO128" s="62" t="s">
        <v>4589</v>
      </c>
      <c r="AP128" s="62"/>
      <c r="AQ128" s="59"/>
    </row>
    <row r="129" spans="1:43" x14ac:dyDescent="0.2">
      <c r="A129">
        <v>128</v>
      </c>
      <c r="B129" s="33">
        <f>+B128+1</f>
        <v>128</v>
      </c>
      <c r="C129" s="34" t="s">
        <v>1104</v>
      </c>
      <c r="D129" s="35" t="s">
        <v>1105</v>
      </c>
      <c r="E129" s="36" t="s">
        <v>1106</v>
      </c>
      <c r="F129" s="334">
        <v>32591</v>
      </c>
      <c r="G129" s="36" t="s">
        <v>54</v>
      </c>
      <c r="H129" s="34" t="s">
        <v>1107</v>
      </c>
      <c r="I129" s="37" t="s">
        <v>252</v>
      </c>
      <c r="J129" s="425" t="s">
        <v>4763</v>
      </c>
      <c r="K129" s="37" t="s">
        <v>57</v>
      </c>
      <c r="L129" s="38" t="s">
        <v>1108</v>
      </c>
      <c r="M129" s="34" t="s">
        <v>41</v>
      </c>
      <c r="N129" s="39" t="s">
        <v>42</v>
      </c>
      <c r="O129" s="158" t="s">
        <v>1109</v>
      </c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2" t="s">
        <v>1110</v>
      </c>
      <c r="AB129" s="58" t="s">
        <v>1111</v>
      </c>
      <c r="AC129" s="44" t="s">
        <v>1112</v>
      </c>
      <c r="AD129" s="45">
        <v>44041</v>
      </c>
      <c r="AE129" s="101" t="s">
        <v>30</v>
      </c>
      <c r="AF129" s="36" t="s">
        <v>26</v>
      </c>
      <c r="AG129" s="47" t="s">
        <v>49</v>
      </c>
      <c r="AH129" s="48" t="s">
        <v>49</v>
      </c>
      <c r="AI129" s="48" t="s">
        <v>49</v>
      </c>
      <c r="AJ129" s="48" t="s">
        <v>49</v>
      </c>
      <c r="AK129" s="48" t="s">
        <v>49</v>
      </c>
      <c r="AL129" s="48" t="s">
        <v>49</v>
      </c>
      <c r="AM129" s="49" t="s">
        <v>49</v>
      </c>
      <c r="AN129" s="48" t="s">
        <v>49</v>
      </c>
      <c r="AO129" s="62" t="s">
        <v>32</v>
      </c>
      <c r="AP129" s="62"/>
      <c r="AQ129" s="59"/>
    </row>
    <row r="130" spans="1:43" x14ac:dyDescent="0.2">
      <c r="A130">
        <v>129</v>
      </c>
      <c r="B130" s="33">
        <f>+B129+1</f>
        <v>129</v>
      </c>
      <c r="C130" s="34" t="s">
        <v>1113</v>
      </c>
      <c r="D130" s="35" t="s">
        <v>1114</v>
      </c>
      <c r="E130" s="36" t="s">
        <v>4829</v>
      </c>
      <c r="F130" s="334">
        <v>16966</v>
      </c>
      <c r="G130" s="36" t="s">
        <v>54</v>
      </c>
      <c r="H130" s="98" t="s">
        <v>1116</v>
      </c>
      <c r="I130" s="37" t="s">
        <v>73</v>
      </c>
      <c r="J130" s="425" t="s">
        <v>4765</v>
      </c>
      <c r="K130" s="37" t="s">
        <v>73</v>
      </c>
      <c r="L130" s="34" t="s">
        <v>1117</v>
      </c>
      <c r="M130" s="34" t="s">
        <v>1118</v>
      </c>
      <c r="N130" s="39" t="s">
        <v>42</v>
      </c>
      <c r="O130" s="99" t="s">
        <v>1119</v>
      </c>
      <c r="P130" s="56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42" t="s">
        <v>1120</v>
      </c>
      <c r="AB130" s="58" t="s">
        <v>1121</v>
      </c>
      <c r="AC130" s="44" t="s">
        <v>61</v>
      </c>
      <c r="AD130" s="45">
        <v>38593</v>
      </c>
      <c r="AE130" s="101" t="s">
        <v>30</v>
      </c>
      <c r="AF130" s="36" t="s">
        <v>26</v>
      </c>
      <c r="AG130" s="47" t="s">
        <v>49</v>
      </c>
      <c r="AH130" s="48" t="s">
        <v>49</v>
      </c>
      <c r="AI130" s="48" t="s">
        <v>49</v>
      </c>
      <c r="AJ130" s="48" t="s">
        <v>49</v>
      </c>
      <c r="AK130" s="48" t="s">
        <v>49</v>
      </c>
      <c r="AL130" s="48" t="s">
        <v>49</v>
      </c>
      <c r="AM130" s="49" t="s">
        <v>49</v>
      </c>
      <c r="AN130" s="48" t="s">
        <v>41</v>
      </c>
      <c r="AO130" s="62" t="s">
        <v>148</v>
      </c>
      <c r="AP130" s="62"/>
      <c r="AQ130" s="59"/>
    </row>
    <row r="131" spans="1:43" x14ac:dyDescent="0.2">
      <c r="A131">
        <v>130</v>
      </c>
      <c r="B131" s="33">
        <f>+B130+1</f>
        <v>130</v>
      </c>
      <c r="C131" s="34" t="s">
        <v>1122</v>
      </c>
      <c r="D131" s="35" t="s">
        <v>1123</v>
      </c>
      <c r="E131" s="36" t="s">
        <v>1124</v>
      </c>
      <c r="F131" s="334"/>
      <c r="G131" s="36" t="s">
        <v>36</v>
      </c>
      <c r="H131" s="34" t="s">
        <v>1125</v>
      </c>
      <c r="I131" s="37" t="s">
        <v>73</v>
      </c>
      <c r="J131" s="425" t="s">
        <v>4765</v>
      </c>
      <c r="K131" s="37" t="s">
        <v>73</v>
      </c>
      <c r="L131" s="34" t="s">
        <v>1126</v>
      </c>
      <c r="M131" s="34" t="s">
        <v>41</v>
      </c>
      <c r="N131" s="39" t="s">
        <v>42</v>
      </c>
      <c r="O131" s="120">
        <v>34156</v>
      </c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42" t="s">
        <v>1127</v>
      </c>
      <c r="AB131" s="58" t="s">
        <v>1128</v>
      </c>
      <c r="AC131" s="44" t="s">
        <v>1129</v>
      </c>
      <c r="AD131" s="45" t="s">
        <v>1130</v>
      </c>
      <c r="AE131" s="101" t="s">
        <v>30</v>
      </c>
      <c r="AF131" s="36"/>
      <c r="AG131" s="47" t="s">
        <v>49</v>
      </c>
      <c r="AH131" s="48" t="s">
        <v>41</v>
      </c>
      <c r="AI131" s="48" t="s">
        <v>41</v>
      </c>
      <c r="AJ131" s="48" t="s">
        <v>41</v>
      </c>
      <c r="AK131" s="48" t="s">
        <v>41</v>
      </c>
      <c r="AL131" s="48" t="s">
        <v>41</v>
      </c>
      <c r="AM131" s="49" t="s">
        <v>41</v>
      </c>
      <c r="AN131" s="48" t="s">
        <v>41</v>
      </c>
      <c r="AO131" s="65" t="s">
        <v>4592</v>
      </c>
      <c r="AP131" s="65"/>
      <c r="AQ131" s="59" t="s">
        <v>1068</v>
      </c>
    </row>
    <row r="132" spans="1:43" x14ac:dyDescent="0.2">
      <c r="A132">
        <v>131</v>
      </c>
      <c r="B132" s="33">
        <f>+B131+1</f>
        <v>131</v>
      </c>
      <c r="C132" s="34" t="s">
        <v>1131</v>
      </c>
      <c r="D132" s="35" t="s">
        <v>1132</v>
      </c>
      <c r="E132" s="36" t="s">
        <v>4778</v>
      </c>
      <c r="F132" s="334">
        <v>22989</v>
      </c>
      <c r="G132" s="36" t="s">
        <v>54</v>
      </c>
      <c r="H132" s="34" t="s">
        <v>1134</v>
      </c>
      <c r="I132" s="37" t="s">
        <v>73</v>
      </c>
      <c r="J132" s="425" t="s">
        <v>4765</v>
      </c>
      <c r="K132" s="37" t="s">
        <v>73</v>
      </c>
      <c r="L132" s="34" t="s">
        <v>1135</v>
      </c>
      <c r="M132" s="34" t="s">
        <v>1136</v>
      </c>
      <c r="N132" s="39" t="s">
        <v>42</v>
      </c>
      <c r="O132" s="120">
        <v>31057</v>
      </c>
      <c r="P132" s="41" t="s">
        <v>179</v>
      </c>
      <c r="Q132" s="41" t="s">
        <v>179</v>
      </c>
      <c r="R132" s="41"/>
      <c r="S132" s="41">
        <v>1</v>
      </c>
      <c r="T132" s="41" t="s">
        <v>732</v>
      </c>
      <c r="U132" s="41"/>
      <c r="V132" s="41"/>
      <c r="W132" s="41"/>
      <c r="X132" s="41"/>
      <c r="Y132" s="41"/>
      <c r="Z132" s="41"/>
      <c r="AA132" s="42" t="s">
        <v>1137</v>
      </c>
      <c r="AB132" s="69" t="s">
        <v>1138</v>
      </c>
      <c r="AC132" s="44" t="s">
        <v>61</v>
      </c>
      <c r="AD132" s="45">
        <v>34597</v>
      </c>
      <c r="AE132" s="101" t="s">
        <v>30</v>
      </c>
      <c r="AF132" s="36" t="s">
        <v>26</v>
      </c>
      <c r="AG132" s="64" t="s">
        <v>120</v>
      </c>
      <c r="AH132" s="48" t="s">
        <v>120</v>
      </c>
      <c r="AI132" s="48" t="s">
        <v>120</v>
      </c>
      <c r="AJ132" s="48" t="s">
        <v>120</v>
      </c>
      <c r="AK132" s="48" t="s">
        <v>120</v>
      </c>
      <c r="AL132" s="48" t="s">
        <v>120</v>
      </c>
      <c r="AM132" s="49" t="s">
        <v>41</v>
      </c>
      <c r="AN132" s="48" t="s">
        <v>41</v>
      </c>
      <c r="AO132" s="62" t="s">
        <v>276</v>
      </c>
      <c r="AP132" s="62"/>
      <c r="AQ132" s="59"/>
    </row>
    <row r="133" spans="1:43" x14ac:dyDescent="0.2">
      <c r="A133">
        <v>132</v>
      </c>
      <c r="B133" s="33">
        <f>+B132+1</f>
        <v>132</v>
      </c>
      <c r="C133" s="34" t="s">
        <v>1139</v>
      </c>
      <c r="D133" s="35" t="s">
        <v>1140</v>
      </c>
      <c r="E133" s="36" t="s">
        <v>4826</v>
      </c>
      <c r="F133" s="36"/>
      <c r="G133" s="36" t="s">
        <v>54</v>
      </c>
      <c r="H133" s="87" t="s">
        <v>1142</v>
      </c>
      <c r="I133" s="37" t="s">
        <v>252</v>
      </c>
      <c r="J133" s="425" t="s">
        <v>4763</v>
      </c>
      <c r="K133" s="37" t="s">
        <v>57</v>
      </c>
      <c r="L133" s="394" t="s">
        <v>1143</v>
      </c>
      <c r="M133" s="34" t="s">
        <v>1144</v>
      </c>
      <c r="N133" s="39" t="s">
        <v>42</v>
      </c>
      <c r="O133" s="120">
        <v>30355</v>
      </c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2" t="s">
        <v>1145</v>
      </c>
      <c r="AB133" s="58" t="s">
        <v>1146</v>
      </c>
      <c r="AC133" s="44" t="s">
        <v>61</v>
      </c>
      <c r="AD133" s="45">
        <v>34597</v>
      </c>
      <c r="AE133" s="101" t="s">
        <v>30</v>
      </c>
      <c r="AF133" s="36"/>
      <c r="AG133" s="47" t="s">
        <v>49</v>
      </c>
      <c r="AH133" s="48" t="s">
        <v>41</v>
      </c>
      <c r="AI133" s="48" t="s">
        <v>41</v>
      </c>
      <c r="AJ133" s="48" t="s">
        <v>41</v>
      </c>
      <c r="AK133" s="48" t="s">
        <v>41</v>
      </c>
      <c r="AL133" s="48" t="s">
        <v>41</v>
      </c>
      <c r="AM133" s="49" t="s">
        <v>41</v>
      </c>
      <c r="AN133" s="48" t="s">
        <v>41</v>
      </c>
      <c r="AO133" s="65" t="s">
        <v>4592</v>
      </c>
      <c r="AP133" s="65"/>
      <c r="AQ133" s="59" t="s">
        <v>50</v>
      </c>
    </row>
    <row r="134" spans="1:43" x14ac:dyDescent="0.2">
      <c r="A134">
        <v>133</v>
      </c>
      <c r="B134" s="33">
        <f>+B133+1</f>
        <v>133</v>
      </c>
      <c r="C134" s="34" t="s">
        <v>1147</v>
      </c>
      <c r="D134" s="35" t="s">
        <v>1148</v>
      </c>
      <c r="E134" s="36" t="s">
        <v>1149</v>
      </c>
      <c r="F134" s="334">
        <v>29422</v>
      </c>
      <c r="G134" s="36" t="s">
        <v>36</v>
      </c>
      <c r="H134" s="98" t="s">
        <v>1150</v>
      </c>
      <c r="I134" s="37" t="s">
        <v>4605</v>
      </c>
      <c r="J134" s="425" t="s">
        <v>4747</v>
      </c>
      <c r="K134" s="37" t="s">
        <v>205</v>
      </c>
      <c r="L134" s="38" t="s">
        <v>1151</v>
      </c>
      <c r="M134" s="38" t="s">
        <v>41</v>
      </c>
      <c r="N134" s="39" t="s">
        <v>42</v>
      </c>
      <c r="O134" s="120">
        <v>44290</v>
      </c>
      <c r="P134" s="56"/>
      <c r="Q134" s="56"/>
      <c r="R134" s="56"/>
      <c r="S134" s="56"/>
      <c r="T134" s="56"/>
      <c r="U134" s="56" t="s">
        <v>44</v>
      </c>
      <c r="V134" s="56"/>
      <c r="W134" s="56"/>
      <c r="X134" s="56"/>
      <c r="Y134" s="56"/>
      <c r="Z134" s="56"/>
      <c r="AA134" s="42" t="s">
        <v>1152</v>
      </c>
      <c r="AB134" s="58" t="s">
        <v>1153</v>
      </c>
      <c r="AC134" s="44" t="s">
        <v>1154</v>
      </c>
      <c r="AD134" s="45">
        <v>44944</v>
      </c>
      <c r="AE134" s="101" t="s">
        <v>30</v>
      </c>
      <c r="AF134" s="36"/>
      <c r="AG134" s="47" t="s">
        <v>49</v>
      </c>
      <c r="AH134" s="48" t="s">
        <v>41</v>
      </c>
      <c r="AI134" s="48" t="s">
        <v>49</v>
      </c>
      <c r="AJ134" s="48" t="s">
        <v>49</v>
      </c>
      <c r="AK134" s="48" t="s">
        <v>49</v>
      </c>
      <c r="AL134" s="48" t="s">
        <v>49</v>
      </c>
      <c r="AM134" s="49" t="s">
        <v>49</v>
      </c>
      <c r="AN134" s="48" t="s">
        <v>49</v>
      </c>
      <c r="AO134" s="62" t="s">
        <v>32</v>
      </c>
      <c r="AP134" s="62"/>
      <c r="AQ134" s="59"/>
    </row>
    <row r="135" spans="1:43" x14ac:dyDescent="0.2">
      <c r="A135">
        <v>134</v>
      </c>
      <c r="B135" s="33">
        <f>+B134+1</f>
        <v>134</v>
      </c>
      <c r="C135" s="34" t="s">
        <v>1155</v>
      </c>
      <c r="D135" s="35" t="s">
        <v>1156</v>
      </c>
      <c r="E135" s="36" t="s">
        <v>1157</v>
      </c>
      <c r="F135" s="334">
        <v>30412</v>
      </c>
      <c r="G135" s="36" t="s">
        <v>54</v>
      </c>
      <c r="H135" s="108" t="s">
        <v>1158</v>
      </c>
      <c r="I135" s="37" t="s">
        <v>73</v>
      </c>
      <c r="J135" s="425" t="s">
        <v>4765</v>
      </c>
      <c r="K135" s="37" t="s">
        <v>73</v>
      </c>
      <c r="L135" s="108" t="s">
        <v>1159</v>
      </c>
      <c r="M135" s="34" t="s">
        <v>41</v>
      </c>
      <c r="N135" s="39" t="s">
        <v>42</v>
      </c>
      <c r="O135" s="99" t="s">
        <v>1160</v>
      </c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42" t="s">
        <v>1161</v>
      </c>
      <c r="AB135" s="58" t="s">
        <v>1162</v>
      </c>
      <c r="AC135" s="44" t="s">
        <v>61</v>
      </c>
      <c r="AD135" s="45">
        <v>42935</v>
      </c>
      <c r="AE135" s="101" t="s">
        <v>30</v>
      </c>
      <c r="AF135" s="36" t="s">
        <v>26</v>
      </c>
      <c r="AG135" s="47" t="s">
        <v>49</v>
      </c>
      <c r="AH135" s="48" t="s">
        <v>49</v>
      </c>
      <c r="AI135" s="48" t="s">
        <v>49</v>
      </c>
      <c r="AJ135" s="48" t="s">
        <v>49</v>
      </c>
      <c r="AK135" s="48" t="s">
        <v>49</v>
      </c>
      <c r="AL135" s="48" t="s">
        <v>49</v>
      </c>
      <c r="AM135" s="49" t="s">
        <v>49</v>
      </c>
      <c r="AN135" s="48" t="s">
        <v>49</v>
      </c>
      <c r="AO135" s="62" t="s">
        <v>32</v>
      </c>
      <c r="AP135" s="62"/>
      <c r="AQ135" s="59"/>
    </row>
    <row r="136" spans="1:43" x14ac:dyDescent="0.2">
      <c r="A136">
        <v>135</v>
      </c>
      <c r="B136" s="33">
        <f>+B135+1</f>
        <v>135</v>
      </c>
      <c r="C136" s="34" t="s">
        <v>1163</v>
      </c>
      <c r="D136" s="35" t="s">
        <v>1164</v>
      </c>
      <c r="E136" s="73" t="s">
        <v>1165</v>
      </c>
      <c r="F136" s="335">
        <v>28826</v>
      </c>
      <c r="G136" s="36" t="s">
        <v>54</v>
      </c>
      <c r="H136" s="98" t="s">
        <v>1166</v>
      </c>
      <c r="I136" s="37" t="s">
        <v>56</v>
      </c>
      <c r="J136" s="425" t="s">
        <v>4739</v>
      </c>
      <c r="K136" s="37" t="s">
        <v>57</v>
      </c>
      <c r="L136" s="140" t="s">
        <v>1167</v>
      </c>
      <c r="M136" s="34" t="s">
        <v>41</v>
      </c>
      <c r="N136" s="39" t="s">
        <v>42</v>
      </c>
      <c r="O136" s="120">
        <v>41951</v>
      </c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7" t="s">
        <v>1168</v>
      </c>
      <c r="AB136" s="58" t="s">
        <v>1169</v>
      </c>
      <c r="AC136" s="44" t="s">
        <v>61</v>
      </c>
      <c r="AD136" s="45">
        <v>41793</v>
      </c>
      <c r="AE136" s="101" t="s">
        <v>30</v>
      </c>
      <c r="AF136" s="73" t="s">
        <v>26</v>
      </c>
      <c r="AG136" s="47" t="s">
        <v>49</v>
      </c>
      <c r="AH136" s="48" t="s">
        <v>49</v>
      </c>
      <c r="AI136" s="48" t="s">
        <v>49</v>
      </c>
      <c r="AJ136" s="48" t="s">
        <v>49</v>
      </c>
      <c r="AK136" s="48" t="s">
        <v>49</v>
      </c>
      <c r="AL136" s="48" t="s">
        <v>49</v>
      </c>
      <c r="AM136" s="49" t="s">
        <v>49</v>
      </c>
      <c r="AN136" s="48" t="s">
        <v>49</v>
      </c>
      <c r="AO136" s="65" t="s">
        <v>32</v>
      </c>
      <c r="AP136" s="65"/>
      <c r="AQ136" s="59"/>
    </row>
    <row r="137" spans="1:43" x14ac:dyDescent="0.2">
      <c r="A137">
        <v>136</v>
      </c>
      <c r="B137" s="33">
        <f>+B136+1</f>
        <v>136</v>
      </c>
      <c r="C137" s="34" t="s">
        <v>1170</v>
      </c>
      <c r="D137" s="35" t="s">
        <v>1171</v>
      </c>
      <c r="E137" s="36" t="s">
        <v>1172</v>
      </c>
      <c r="F137" s="334">
        <v>28247</v>
      </c>
      <c r="G137" s="36" t="s">
        <v>54</v>
      </c>
      <c r="H137" s="34" t="s">
        <v>1173</v>
      </c>
      <c r="I137" s="37" t="s">
        <v>349</v>
      </c>
      <c r="J137" s="425" t="s">
        <v>4750</v>
      </c>
      <c r="K137" s="37" t="s">
        <v>350</v>
      </c>
      <c r="L137" s="34" t="s">
        <v>1174</v>
      </c>
      <c r="M137" s="38" t="s">
        <v>1175</v>
      </c>
      <c r="N137" s="39" t="s">
        <v>42</v>
      </c>
      <c r="O137" s="99" t="s">
        <v>59</v>
      </c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2" t="s">
        <v>1176</v>
      </c>
      <c r="AB137" s="43" t="s">
        <v>1177</v>
      </c>
      <c r="AC137" s="44" t="s">
        <v>1178</v>
      </c>
      <c r="AD137" s="45">
        <v>44041</v>
      </c>
      <c r="AE137" s="101" t="s">
        <v>30</v>
      </c>
      <c r="AF137" s="36" t="s">
        <v>26</v>
      </c>
      <c r="AG137" s="47" t="s">
        <v>49</v>
      </c>
      <c r="AH137" s="48" t="s">
        <v>49</v>
      </c>
      <c r="AI137" s="48" t="s">
        <v>49</v>
      </c>
      <c r="AJ137" s="48" t="s">
        <v>49</v>
      </c>
      <c r="AK137" s="48" t="s">
        <v>49</v>
      </c>
      <c r="AL137" s="48" t="s">
        <v>41</v>
      </c>
      <c r="AM137" s="49" t="s">
        <v>41</v>
      </c>
      <c r="AN137" s="48" t="s">
        <v>41</v>
      </c>
      <c r="AO137" s="62" t="s">
        <v>4589</v>
      </c>
      <c r="AP137" s="62"/>
      <c r="AQ137" s="59"/>
    </row>
    <row r="138" spans="1:43" x14ac:dyDescent="0.2">
      <c r="A138">
        <v>137</v>
      </c>
      <c r="B138" s="33">
        <f>+B137+1</f>
        <v>137</v>
      </c>
      <c r="C138" s="34" t="s">
        <v>1179</v>
      </c>
      <c r="D138" s="35" t="s">
        <v>1180</v>
      </c>
      <c r="E138" s="36" t="s">
        <v>1181</v>
      </c>
      <c r="F138" s="334">
        <v>23265</v>
      </c>
      <c r="G138" s="36" t="s">
        <v>36</v>
      </c>
      <c r="H138" s="34" t="s">
        <v>1182</v>
      </c>
      <c r="I138" s="37" t="s">
        <v>456</v>
      </c>
      <c r="J138" s="425" t="s">
        <v>4770</v>
      </c>
      <c r="K138" s="37" t="s">
        <v>187</v>
      </c>
      <c r="L138" s="38" t="s">
        <v>1183</v>
      </c>
      <c r="M138" s="38" t="s">
        <v>41</v>
      </c>
      <c r="N138" s="39" t="s">
        <v>42</v>
      </c>
      <c r="O138" s="99" t="s">
        <v>1184</v>
      </c>
      <c r="P138" s="41"/>
      <c r="Q138" s="41"/>
      <c r="R138" s="41"/>
      <c r="S138" s="41"/>
      <c r="T138" s="41"/>
      <c r="U138" s="41"/>
      <c r="V138" s="41" t="s">
        <v>44</v>
      </c>
      <c r="W138" s="41"/>
      <c r="X138" s="41"/>
      <c r="Y138" s="41"/>
      <c r="Z138" s="41"/>
      <c r="AA138" s="54" t="s">
        <v>1185</v>
      </c>
      <c r="AB138" s="43" t="s">
        <v>1186</v>
      </c>
      <c r="AC138" s="44" t="s">
        <v>1154</v>
      </c>
      <c r="AD138" s="45">
        <v>44944</v>
      </c>
      <c r="AE138" s="101" t="s">
        <v>30</v>
      </c>
      <c r="AF138" s="36"/>
      <c r="AG138" s="47" t="s">
        <v>49</v>
      </c>
      <c r="AH138" s="48" t="s">
        <v>41</v>
      </c>
      <c r="AI138" s="48" t="s">
        <v>41</v>
      </c>
      <c r="AJ138" s="48" t="s">
        <v>49</v>
      </c>
      <c r="AK138" s="48" t="s">
        <v>49</v>
      </c>
      <c r="AL138" s="48" t="s">
        <v>41</v>
      </c>
      <c r="AM138" s="49" t="s">
        <v>41</v>
      </c>
      <c r="AN138" s="48" t="s">
        <v>41</v>
      </c>
      <c r="AO138" s="62" t="s">
        <v>4589</v>
      </c>
      <c r="AP138" s="62"/>
      <c r="AQ138" s="59"/>
    </row>
    <row r="139" spans="1:43" x14ac:dyDescent="0.2">
      <c r="A139">
        <v>138</v>
      </c>
      <c r="B139" s="33">
        <f>+B138+1</f>
        <v>138</v>
      </c>
      <c r="C139" s="34" t="s">
        <v>1187</v>
      </c>
      <c r="D139" s="35" t="s">
        <v>1188</v>
      </c>
      <c r="E139" s="73" t="s">
        <v>1189</v>
      </c>
      <c r="F139" s="335">
        <v>30478</v>
      </c>
      <c r="G139" s="36" t="s">
        <v>54</v>
      </c>
      <c r="H139" s="98" t="s">
        <v>1190</v>
      </c>
      <c r="I139" s="37" t="s">
        <v>858</v>
      </c>
      <c r="J139" s="425" t="s">
        <v>4740</v>
      </c>
      <c r="K139" s="37" t="s">
        <v>57</v>
      </c>
      <c r="L139" s="140" t="s">
        <v>1191</v>
      </c>
      <c r="M139" s="38" t="s">
        <v>1192</v>
      </c>
      <c r="N139" s="39" t="s">
        <v>42</v>
      </c>
      <c r="O139" s="161" t="s">
        <v>1193</v>
      </c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42" t="s">
        <v>1194</v>
      </c>
      <c r="AB139" s="58" t="s">
        <v>1195</v>
      </c>
      <c r="AC139" s="44" t="s">
        <v>1196</v>
      </c>
      <c r="AD139" s="45">
        <v>44041</v>
      </c>
      <c r="AE139" s="160" t="s">
        <v>30</v>
      </c>
      <c r="AF139" s="73" t="s">
        <v>26</v>
      </c>
      <c r="AG139" s="47" t="s">
        <v>49</v>
      </c>
      <c r="AH139" s="48" t="s">
        <v>49</v>
      </c>
      <c r="AI139" s="48" t="s">
        <v>49</v>
      </c>
      <c r="AJ139" s="48" t="s">
        <v>49</v>
      </c>
      <c r="AK139" s="48" t="s">
        <v>49</v>
      </c>
      <c r="AL139" s="48" t="s">
        <v>41</v>
      </c>
      <c r="AM139" s="49" t="s">
        <v>41</v>
      </c>
      <c r="AN139" s="48" t="s">
        <v>41</v>
      </c>
      <c r="AO139" s="62" t="s">
        <v>4589</v>
      </c>
      <c r="AP139" s="324"/>
      <c r="AQ139" s="138"/>
    </row>
    <row r="140" spans="1:43" x14ac:dyDescent="0.2">
      <c r="A140">
        <v>139</v>
      </c>
      <c r="B140" s="33">
        <f>+B139+1</f>
        <v>139</v>
      </c>
      <c r="C140" s="34" t="s">
        <v>1197</v>
      </c>
      <c r="D140" s="35" t="s">
        <v>1198</v>
      </c>
      <c r="E140" s="36" t="s">
        <v>1199</v>
      </c>
      <c r="F140" s="334">
        <v>27548</v>
      </c>
      <c r="G140" s="36" t="s">
        <v>36</v>
      </c>
      <c r="H140" s="34" t="s">
        <v>1200</v>
      </c>
      <c r="I140" s="37" t="s">
        <v>73</v>
      </c>
      <c r="J140" s="425" t="s">
        <v>4765</v>
      </c>
      <c r="K140" s="37" t="s">
        <v>73</v>
      </c>
      <c r="L140" s="34" t="s">
        <v>1201</v>
      </c>
      <c r="M140" s="34" t="s">
        <v>1202</v>
      </c>
      <c r="N140" s="39" t="s">
        <v>42</v>
      </c>
      <c r="O140" s="159" t="s">
        <v>1203</v>
      </c>
      <c r="P140" s="68"/>
      <c r="Q140" s="68"/>
      <c r="R140" s="68"/>
      <c r="S140" s="68"/>
      <c r="T140" s="68"/>
      <c r="U140" s="68"/>
      <c r="V140" s="68"/>
      <c r="W140" s="68" t="s">
        <v>732</v>
      </c>
      <c r="X140" s="68"/>
      <c r="Y140" s="68"/>
      <c r="Z140" s="68"/>
      <c r="AA140" s="42" t="s">
        <v>1204</v>
      </c>
      <c r="AB140" s="58" t="s">
        <v>1205</v>
      </c>
      <c r="AC140" s="162"/>
      <c r="AD140" s="45" t="s">
        <v>47</v>
      </c>
      <c r="AE140" s="160"/>
      <c r="AF140" s="36" t="s">
        <v>26</v>
      </c>
      <c r="AG140" s="47" t="s">
        <v>49</v>
      </c>
      <c r="AH140" s="48" t="s">
        <v>49</v>
      </c>
      <c r="AI140" s="48" t="s">
        <v>49</v>
      </c>
      <c r="AJ140" s="48" t="s">
        <v>49</v>
      </c>
      <c r="AK140" s="48" t="s">
        <v>49</v>
      </c>
      <c r="AL140" s="48" t="s">
        <v>49</v>
      </c>
      <c r="AM140" s="49" t="s">
        <v>49</v>
      </c>
      <c r="AN140" s="48" t="s">
        <v>49</v>
      </c>
      <c r="AO140" s="62" t="s">
        <v>32</v>
      </c>
      <c r="AP140" s="324"/>
      <c r="AQ140" s="138"/>
    </row>
    <row r="141" spans="1:43" x14ac:dyDescent="0.2">
      <c r="A141">
        <v>140</v>
      </c>
      <c r="B141" s="33">
        <f>+B140+1</f>
        <v>140</v>
      </c>
      <c r="C141" s="34" t="s">
        <v>1206</v>
      </c>
      <c r="D141" s="35" t="s">
        <v>1207</v>
      </c>
      <c r="E141" s="36" t="s">
        <v>1208</v>
      </c>
      <c r="F141" s="334">
        <v>25985</v>
      </c>
      <c r="G141" s="36" t="s">
        <v>54</v>
      </c>
      <c r="H141" s="34" t="s">
        <v>1209</v>
      </c>
      <c r="I141" s="37" t="s">
        <v>176</v>
      </c>
      <c r="J141" s="425" t="s">
        <v>4767</v>
      </c>
      <c r="K141" s="37" t="s">
        <v>39</v>
      </c>
      <c r="L141" s="34" t="s">
        <v>1210</v>
      </c>
      <c r="M141" s="38" t="s">
        <v>1211</v>
      </c>
      <c r="N141" s="39" t="s">
        <v>42</v>
      </c>
      <c r="O141" s="159" t="s">
        <v>825</v>
      </c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42" t="s">
        <v>1212</v>
      </c>
      <c r="AB141" s="58" t="s">
        <v>1213</v>
      </c>
      <c r="AC141" s="119" t="s">
        <v>61</v>
      </c>
      <c r="AD141" s="45">
        <v>39286</v>
      </c>
      <c r="AE141" s="160" t="s">
        <v>30</v>
      </c>
      <c r="AF141" s="36" t="s">
        <v>26</v>
      </c>
      <c r="AG141" s="47" t="s">
        <v>49</v>
      </c>
      <c r="AH141" s="48" t="s">
        <v>49</v>
      </c>
      <c r="AI141" s="48" t="s">
        <v>49</v>
      </c>
      <c r="AJ141" s="48" t="s">
        <v>49</v>
      </c>
      <c r="AK141" s="48" t="s">
        <v>49</v>
      </c>
      <c r="AL141" s="48" t="s">
        <v>49</v>
      </c>
      <c r="AM141" s="49" t="s">
        <v>49</v>
      </c>
      <c r="AN141" s="48" t="s">
        <v>49</v>
      </c>
      <c r="AO141" s="62" t="s">
        <v>32</v>
      </c>
      <c r="AP141" s="324"/>
      <c r="AQ141" s="138"/>
    </row>
    <row r="142" spans="1:43" x14ac:dyDescent="0.2">
      <c r="A142">
        <v>141</v>
      </c>
      <c r="B142" s="33">
        <f>+B141+1</f>
        <v>141</v>
      </c>
      <c r="C142" s="394" t="s">
        <v>1214</v>
      </c>
      <c r="D142" s="35" t="s">
        <v>1215</v>
      </c>
      <c r="E142" s="36" t="s">
        <v>1216</v>
      </c>
      <c r="F142" s="334">
        <v>30122</v>
      </c>
      <c r="G142" s="36" t="s">
        <v>36</v>
      </c>
      <c r="H142" s="34" t="s">
        <v>1217</v>
      </c>
      <c r="I142" s="37" t="s">
        <v>73</v>
      </c>
      <c r="J142" s="425" t="s">
        <v>4765</v>
      </c>
      <c r="K142" s="37" t="s">
        <v>73</v>
      </c>
      <c r="L142" s="34">
        <v>85781123929</v>
      </c>
      <c r="M142" s="34" t="s">
        <v>41</v>
      </c>
      <c r="N142" s="39" t="s">
        <v>42</v>
      </c>
      <c r="O142" s="99" t="s">
        <v>1218</v>
      </c>
      <c r="P142" s="115"/>
      <c r="Q142" s="147"/>
      <c r="R142" s="147"/>
      <c r="S142" s="147"/>
      <c r="T142" s="147"/>
      <c r="U142" s="147"/>
      <c r="V142" s="115"/>
      <c r="W142" s="114"/>
      <c r="X142" s="115"/>
      <c r="Y142" s="56"/>
      <c r="Z142" s="56"/>
      <c r="AA142" s="42" t="s">
        <v>1219</v>
      </c>
      <c r="AB142" s="58" t="s">
        <v>1220</v>
      </c>
      <c r="AC142" s="121" t="s">
        <v>1221</v>
      </c>
      <c r="AD142" s="45">
        <v>44650</v>
      </c>
      <c r="AE142" s="101" t="s">
        <v>30</v>
      </c>
      <c r="AF142" s="36" t="s">
        <v>26</v>
      </c>
      <c r="AG142" s="47" t="s">
        <v>49</v>
      </c>
      <c r="AH142" s="48" t="s">
        <v>49</v>
      </c>
      <c r="AI142" s="48" t="s">
        <v>49</v>
      </c>
      <c r="AJ142" s="48" t="s">
        <v>49</v>
      </c>
      <c r="AK142" s="48" t="s">
        <v>49</v>
      </c>
      <c r="AL142" s="48" t="s">
        <v>49</v>
      </c>
      <c r="AM142" s="49" t="s">
        <v>49</v>
      </c>
      <c r="AN142" s="48" t="s">
        <v>49</v>
      </c>
      <c r="AO142" s="65" t="s">
        <v>32</v>
      </c>
      <c r="AP142" s="323"/>
      <c r="AQ142" s="500"/>
    </row>
    <row r="143" spans="1:43" x14ac:dyDescent="0.2">
      <c r="A143">
        <v>142</v>
      </c>
      <c r="B143" s="33">
        <f>+B142+1</f>
        <v>142</v>
      </c>
      <c r="C143" s="34" t="s">
        <v>1222</v>
      </c>
      <c r="D143" s="35" t="s">
        <v>1223</v>
      </c>
      <c r="E143" s="73" t="s">
        <v>1224</v>
      </c>
      <c r="F143" s="73"/>
      <c r="G143" s="36" t="s">
        <v>54</v>
      </c>
      <c r="H143" s="98" t="s">
        <v>1225</v>
      </c>
      <c r="I143" s="37" t="s">
        <v>73</v>
      </c>
      <c r="J143" s="425" t="s">
        <v>4765</v>
      </c>
      <c r="K143" s="37" t="s">
        <v>73</v>
      </c>
      <c r="L143" s="140" t="s">
        <v>1226</v>
      </c>
      <c r="M143" s="34" t="s">
        <v>41</v>
      </c>
      <c r="N143" s="39" t="s">
        <v>42</v>
      </c>
      <c r="O143" s="165" t="s">
        <v>1227</v>
      </c>
      <c r="P143" s="115" t="s">
        <v>179</v>
      </c>
      <c r="Q143" s="147" t="s">
        <v>179</v>
      </c>
      <c r="R143" s="147"/>
      <c r="S143" s="147">
        <v>6</v>
      </c>
      <c r="T143" s="147" t="s">
        <v>1041</v>
      </c>
      <c r="U143" s="147"/>
      <c r="V143" s="115"/>
      <c r="W143" s="114"/>
      <c r="X143" s="115"/>
      <c r="Y143" s="56"/>
      <c r="Z143" s="56"/>
      <c r="AA143" s="42" t="s">
        <v>1228</v>
      </c>
      <c r="AB143" s="58" t="s">
        <v>1229</v>
      </c>
      <c r="AC143" s="44"/>
      <c r="AD143" s="45" t="s">
        <v>47</v>
      </c>
      <c r="AE143" s="164"/>
      <c r="AF143" s="73"/>
      <c r="AG143" s="47" t="s">
        <v>49</v>
      </c>
      <c r="AH143" s="48" t="s">
        <v>41</v>
      </c>
      <c r="AI143" s="48" t="s">
        <v>41</v>
      </c>
      <c r="AJ143" s="48" t="s">
        <v>41</v>
      </c>
      <c r="AK143" s="48" t="s">
        <v>41</v>
      </c>
      <c r="AL143" s="48" t="s">
        <v>41</v>
      </c>
      <c r="AM143" s="49" t="s">
        <v>41</v>
      </c>
      <c r="AN143" s="48" t="s">
        <v>41</v>
      </c>
      <c r="AO143" s="65" t="s">
        <v>4588</v>
      </c>
      <c r="AP143" s="65"/>
      <c r="AQ143" s="67" t="s">
        <v>1230</v>
      </c>
    </row>
    <row r="144" spans="1:43" x14ac:dyDescent="0.2">
      <c r="A144">
        <v>143</v>
      </c>
      <c r="B144" s="33">
        <f>+B143+1</f>
        <v>143</v>
      </c>
      <c r="C144" s="38" t="s">
        <v>1231</v>
      </c>
      <c r="D144" s="35" t="s">
        <v>1232</v>
      </c>
      <c r="E144" s="36" t="s">
        <v>1233</v>
      </c>
      <c r="F144" s="334">
        <v>23355</v>
      </c>
      <c r="G144" s="36" t="s">
        <v>54</v>
      </c>
      <c r="H144" s="34" t="s">
        <v>1234</v>
      </c>
      <c r="I144" s="37" t="s">
        <v>39</v>
      </c>
      <c r="J144" s="425" t="s">
        <v>4766</v>
      </c>
      <c r="K144" s="37" t="s">
        <v>39</v>
      </c>
      <c r="L144" s="38" t="s">
        <v>1235</v>
      </c>
      <c r="M144" s="34" t="s">
        <v>41</v>
      </c>
      <c r="N144" s="39" t="s">
        <v>42</v>
      </c>
      <c r="O144" s="163" t="s">
        <v>1236</v>
      </c>
      <c r="P144" s="115"/>
      <c r="Q144" s="147"/>
      <c r="R144" s="147"/>
      <c r="S144" s="147"/>
      <c r="T144" s="147"/>
      <c r="U144" s="147"/>
      <c r="V144" s="115" t="s">
        <v>44</v>
      </c>
      <c r="W144" s="114" t="s">
        <v>732</v>
      </c>
      <c r="X144" s="115"/>
      <c r="Y144" s="56"/>
      <c r="Z144" s="56"/>
      <c r="AA144" s="42" t="s">
        <v>1237</v>
      </c>
      <c r="AB144" s="58" t="s">
        <v>1238</v>
      </c>
      <c r="AC144" s="121" t="s">
        <v>1239</v>
      </c>
      <c r="AD144" s="45">
        <v>44650</v>
      </c>
      <c r="AE144" s="164" t="s">
        <v>30</v>
      </c>
      <c r="AF144" s="36"/>
      <c r="AG144" s="47" t="s">
        <v>49</v>
      </c>
      <c r="AH144" s="48" t="s">
        <v>41</v>
      </c>
      <c r="AI144" s="48" t="s">
        <v>41</v>
      </c>
      <c r="AJ144" s="48" t="s">
        <v>49</v>
      </c>
      <c r="AK144" s="48" t="s">
        <v>49</v>
      </c>
      <c r="AL144" s="48" t="s">
        <v>49</v>
      </c>
      <c r="AM144" s="49" t="s">
        <v>49</v>
      </c>
      <c r="AN144" s="48" t="s">
        <v>49</v>
      </c>
      <c r="AO144" s="65" t="s">
        <v>32</v>
      </c>
      <c r="AP144" s="65"/>
      <c r="AQ144" s="59"/>
    </row>
    <row r="145" spans="1:43" x14ac:dyDescent="0.2">
      <c r="A145">
        <v>144</v>
      </c>
      <c r="B145" s="33">
        <f>+B144+1</f>
        <v>144</v>
      </c>
      <c r="C145" s="34" t="s">
        <v>1240</v>
      </c>
      <c r="D145" s="35" t="s">
        <v>1241</v>
      </c>
      <c r="E145" s="36" t="s">
        <v>1242</v>
      </c>
      <c r="F145" s="334">
        <v>31721</v>
      </c>
      <c r="G145" s="36" t="s">
        <v>54</v>
      </c>
      <c r="H145" s="34" t="s">
        <v>4625</v>
      </c>
      <c r="I145" s="37" t="s">
        <v>360</v>
      </c>
      <c r="J145" s="425" t="s">
        <v>4749</v>
      </c>
      <c r="K145" s="37" t="s">
        <v>350</v>
      </c>
      <c r="L145" s="38" t="s">
        <v>1244</v>
      </c>
      <c r="M145" s="34"/>
      <c r="N145" s="39" t="s">
        <v>42</v>
      </c>
      <c r="O145" s="165" t="s">
        <v>1245</v>
      </c>
      <c r="P145" s="115"/>
      <c r="Q145" s="147"/>
      <c r="R145" s="147"/>
      <c r="S145" s="147"/>
      <c r="T145" s="147"/>
      <c r="U145" s="147"/>
      <c r="V145" s="115"/>
      <c r="W145" s="114"/>
      <c r="X145" s="115"/>
      <c r="Y145" s="56"/>
      <c r="Z145" s="56"/>
      <c r="AA145" s="42" t="s">
        <v>1246</v>
      </c>
      <c r="AB145" s="58" t="s">
        <v>1247</v>
      </c>
      <c r="AC145" s="84" t="s">
        <v>1248</v>
      </c>
      <c r="AD145" s="45">
        <v>44650</v>
      </c>
      <c r="AE145" s="164" t="s">
        <v>30</v>
      </c>
      <c r="AF145" s="36" t="s">
        <v>26</v>
      </c>
      <c r="AG145" s="47" t="s">
        <v>49</v>
      </c>
      <c r="AH145" s="48" t="s">
        <v>49</v>
      </c>
      <c r="AI145" s="48" t="s">
        <v>49</v>
      </c>
      <c r="AJ145" s="48" t="s">
        <v>49</v>
      </c>
      <c r="AK145" s="48" t="s">
        <v>49</v>
      </c>
      <c r="AL145" s="48" t="s">
        <v>49</v>
      </c>
      <c r="AM145" s="49" t="s">
        <v>49</v>
      </c>
      <c r="AN145" s="48" t="s">
        <v>49</v>
      </c>
      <c r="AO145" s="65" t="s">
        <v>32</v>
      </c>
      <c r="AP145" s="65"/>
      <c r="AQ145" s="59"/>
    </row>
    <row r="146" spans="1:43" x14ac:dyDescent="0.2">
      <c r="A146">
        <v>145</v>
      </c>
      <c r="B146" s="33">
        <f>+B145+1</f>
        <v>145</v>
      </c>
      <c r="C146" s="34" t="s">
        <v>1396</v>
      </c>
      <c r="D146" s="35" t="s">
        <v>1397</v>
      </c>
      <c r="E146" s="36" t="s">
        <v>1398</v>
      </c>
      <c r="F146" s="334">
        <v>28600</v>
      </c>
      <c r="G146" s="36" t="s">
        <v>54</v>
      </c>
      <c r="H146" s="34" t="s">
        <v>1399</v>
      </c>
      <c r="I146" s="37" t="s">
        <v>205</v>
      </c>
      <c r="J146" s="425" t="s">
        <v>4764</v>
      </c>
      <c r="K146" s="37" t="s">
        <v>205</v>
      </c>
      <c r="L146" s="34" t="s">
        <v>1400</v>
      </c>
      <c r="M146" s="34" t="s">
        <v>41</v>
      </c>
      <c r="N146" s="39" t="s">
        <v>42</v>
      </c>
      <c r="O146" s="163" t="s">
        <v>1401</v>
      </c>
      <c r="P146" s="41"/>
      <c r="Q146" s="112"/>
      <c r="R146" s="177"/>
      <c r="S146" s="112"/>
      <c r="T146" s="177"/>
      <c r="U146" s="112"/>
      <c r="V146" s="112"/>
      <c r="W146" s="177"/>
      <c r="X146" s="112"/>
      <c r="Y146" s="41"/>
      <c r="Z146" s="41"/>
      <c r="AA146" s="42" t="s">
        <v>1402</v>
      </c>
      <c r="AB146" s="58" t="s">
        <v>1403</v>
      </c>
      <c r="AC146" s="417" t="s">
        <v>61</v>
      </c>
      <c r="AD146" s="45">
        <v>36641</v>
      </c>
      <c r="AE146" s="164" t="s">
        <v>30</v>
      </c>
      <c r="AF146" s="36" t="s">
        <v>26</v>
      </c>
      <c r="AG146" s="47" t="s">
        <v>49</v>
      </c>
      <c r="AH146" s="48" t="s">
        <v>49</v>
      </c>
      <c r="AI146" s="48" t="s">
        <v>49</v>
      </c>
      <c r="AJ146" s="48" t="s">
        <v>49</v>
      </c>
      <c r="AK146" s="48" t="s">
        <v>49</v>
      </c>
      <c r="AL146" s="48" t="s">
        <v>49</v>
      </c>
      <c r="AM146" s="49" t="s">
        <v>49</v>
      </c>
      <c r="AN146" s="48" t="s">
        <v>49</v>
      </c>
      <c r="AO146" s="65" t="s">
        <v>32</v>
      </c>
      <c r="AP146" s="65"/>
      <c r="AQ146" s="59"/>
    </row>
    <row r="147" spans="1:43" x14ac:dyDescent="0.2">
      <c r="A147">
        <v>146</v>
      </c>
      <c r="B147" s="33">
        <f>+B146+1</f>
        <v>146</v>
      </c>
      <c r="C147" s="34" t="s">
        <v>1249</v>
      </c>
      <c r="D147" s="35" t="s">
        <v>1250</v>
      </c>
      <c r="E147" s="36" t="s">
        <v>1251</v>
      </c>
      <c r="F147" s="334">
        <v>31139</v>
      </c>
      <c r="G147" s="36" t="s">
        <v>54</v>
      </c>
      <c r="H147" s="34" t="s">
        <v>1252</v>
      </c>
      <c r="I147" s="37" t="s">
        <v>176</v>
      </c>
      <c r="J147" s="425" t="s">
        <v>4761</v>
      </c>
      <c r="K147" s="37" t="s">
        <v>39</v>
      </c>
      <c r="L147" s="34" t="s">
        <v>1253</v>
      </c>
      <c r="M147" s="34" t="s">
        <v>41</v>
      </c>
      <c r="N147" s="39" t="s">
        <v>42</v>
      </c>
      <c r="O147" s="166" t="s">
        <v>1254</v>
      </c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2" t="s">
        <v>1255</v>
      </c>
      <c r="AB147" s="52" t="s">
        <v>1256</v>
      </c>
      <c r="AC147" s="44" t="s">
        <v>1257</v>
      </c>
      <c r="AD147" s="45">
        <v>42935</v>
      </c>
      <c r="AE147" s="101" t="s">
        <v>30</v>
      </c>
      <c r="AF147" s="36" t="s">
        <v>26</v>
      </c>
      <c r="AG147" s="47" t="s">
        <v>49</v>
      </c>
      <c r="AH147" s="48" t="s">
        <v>49</v>
      </c>
      <c r="AI147" s="48" t="s">
        <v>49</v>
      </c>
      <c r="AJ147" s="48" t="s">
        <v>49</v>
      </c>
      <c r="AK147" s="48" t="s">
        <v>49</v>
      </c>
      <c r="AL147" s="48" t="s">
        <v>49</v>
      </c>
      <c r="AM147" s="49" t="s">
        <v>49</v>
      </c>
      <c r="AN147" s="48" t="s">
        <v>49</v>
      </c>
      <c r="AO147" s="62" t="s">
        <v>32</v>
      </c>
      <c r="AP147" s="62"/>
      <c r="AQ147" s="59"/>
    </row>
    <row r="148" spans="1:43" x14ac:dyDescent="0.2">
      <c r="A148">
        <v>147</v>
      </c>
      <c r="B148" s="33">
        <f>+B147+1</f>
        <v>147</v>
      </c>
      <c r="C148" s="34" t="s">
        <v>1265</v>
      </c>
      <c r="D148" s="35" t="s">
        <v>1266</v>
      </c>
      <c r="E148" s="36" t="s">
        <v>1267</v>
      </c>
      <c r="F148" s="334">
        <v>30385</v>
      </c>
      <c r="G148" s="36" t="s">
        <v>36</v>
      </c>
      <c r="H148" s="34" t="s">
        <v>1268</v>
      </c>
      <c r="I148" s="37" t="s">
        <v>73</v>
      </c>
      <c r="J148" s="425" t="s">
        <v>4765</v>
      </c>
      <c r="K148" s="37" t="s">
        <v>73</v>
      </c>
      <c r="L148" s="57" t="s">
        <v>1269</v>
      </c>
      <c r="M148" s="34"/>
      <c r="N148" s="39" t="s">
        <v>42</v>
      </c>
      <c r="O148" s="120">
        <v>45607</v>
      </c>
      <c r="P148" s="56" t="s">
        <v>179</v>
      </c>
      <c r="Q148" s="56" t="s">
        <v>179</v>
      </c>
      <c r="R148" s="56"/>
      <c r="S148" s="56">
        <v>1</v>
      </c>
      <c r="T148" s="56"/>
      <c r="U148" s="56"/>
      <c r="V148" s="56"/>
      <c r="W148" s="56"/>
      <c r="X148" s="56" t="s">
        <v>44</v>
      </c>
      <c r="Y148" s="56"/>
      <c r="Z148" s="56"/>
      <c r="AA148" s="42" t="s">
        <v>1270</v>
      </c>
      <c r="AB148" s="58" t="s">
        <v>1271</v>
      </c>
      <c r="AC148" s="121"/>
      <c r="AD148" s="45"/>
      <c r="AE148" s="101"/>
      <c r="AF148" s="36"/>
      <c r="AG148" s="47" t="s">
        <v>49</v>
      </c>
      <c r="AH148" s="48" t="s">
        <v>41</v>
      </c>
      <c r="AI148" s="48" t="s">
        <v>41</v>
      </c>
      <c r="AJ148" s="48" t="s">
        <v>41</v>
      </c>
      <c r="AK148" s="48" t="s">
        <v>41</v>
      </c>
      <c r="AL148" s="48" t="s">
        <v>49</v>
      </c>
      <c r="AM148" s="49" t="s">
        <v>41</v>
      </c>
      <c r="AN148" s="48" t="s">
        <v>41</v>
      </c>
      <c r="AO148" s="62" t="s">
        <v>276</v>
      </c>
      <c r="AP148" s="62"/>
      <c r="AQ148" s="59"/>
    </row>
    <row r="149" spans="1:43" x14ac:dyDescent="0.2">
      <c r="A149">
        <v>148</v>
      </c>
      <c r="B149" s="33">
        <f>+B148+1</f>
        <v>148</v>
      </c>
      <c r="C149" s="34" t="s">
        <v>1258</v>
      </c>
      <c r="D149" s="35" t="s">
        <v>1259</v>
      </c>
      <c r="E149" s="36" t="s">
        <v>1260</v>
      </c>
      <c r="F149" s="334">
        <v>34228</v>
      </c>
      <c r="G149" s="36" t="s">
        <v>54</v>
      </c>
      <c r="H149" s="34" t="s">
        <v>1261</v>
      </c>
      <c r="I149" s="37" t="s">
        <v>73</v>
      </c>
      <c r="J149" s="425" t="s">
        <v>4765</v>
      </c>
      <c r="K149" s="37" t="s">
        <v>73</v>
      </c>
      <c r="L149" s="54" t="s">
        <v>1262</v>
      </c>
      <c r="M149" s="34"/>
      <c r="N149" s="39" t="s">
        <v>42</v>
      </c>
      <c r="O149" s="120">
        <v>45376</v>
      </c>
      <c r="P149" s="56"/>
      <c r="Q149" s="56"/>
      <c r="R149" s="56"/>
      <c r="S149" s="56"/>
      <c r="T149" s="56"/>
      <c r="U149" s="56"/>
      <c r="V149" s="56"/>
      <c r="W149" s="56"/>
      <c r="X149" s="56" t="s">
        <v>44</v>
      </c>
      <c r="Y149" s="56"/>
      <c r="Z149" s="56"/>
      <c r="AA149" s="42" t="s">
        <v>1263</v>
      </c>
      <c r="AB149" s="58" t="s">
        <v>1264</v>
      </c>
      <c r="AC149" s="121"/>
      <c r="AD149" s="45"/>
      <c r="AE149" s="101"/>
      <c r="AF149" s="36"/>
      <c r="AG149" s="47" t="s">
        <v>49</v>
      </c>
      <c r="AH149" s="48" t="s">
        <v>41</v>
      </c>
      <c r="AI149" s="48" t="s">
        <v>41</v>
      </c>
      <c r="AJ149" s="48" t="s">
        <v>41</v>
      </c>
      <c r="AK149" s="48" t="s">
        <v>41</v>
      </c>
      <c r="AL149" s="48" t="s">
        <v>49</v>
      </c>
      <c r="AM149" s="49" t="s">
        <v>49</v>
      </c>
      <c r="AN149" s="48" t="s">
        <v>49</v>
      </c>
      <c r="AO149" s="62" t="s">
        <v>32</v>
      </c>
      <c r="AP149" s="62"/>
      <c r="AQ149" s="59"/>
    </row>
    <row r="150" spans="1:43" x14ac:dyDescent="0.2">
      <c r="A150">
        <v>149</v>
      </c>
      <c r="B150" s="33">
        <f>+B149+1</f>
        <v>149</v>
      </c>
      <c r="C150" s="34" t="s">
        <v>1272</v>
      </c>
      <c r="D150" s="35" t="s">
        <v>1273</v>
      </c>
      <c r="E150" s="36" t="s">
        <v>1274</v>
      </c>
      <c r="F150" s="334">
        <v>24217</v>
      </c>
      <c r="G150" s="36" t="s">
        <v>36</v>
      </c>
      <c r="H150" s="34" t="s">
        <v>1275</v>
      </c>
      <c r="I150" s="37" t="s">
        <v>73</v>
      </c>
      <c r="J150" s="425" t="s">
        <v>4765</v>
      </c>
      <c r="K150" s="37" t="s">
        <v>73</v>
      </c>
      <c r="L150" s="38" t="s">
        <v>1276</v>
      </c>
      <c r="M150" s="34" t="s">
        <v>41</v>
      </c>
      <c r="N150" s="39" t="s">
        <v>42</v>
      </c>
      <c r="O150" s="166" t="s">
        <v>1277</v>
      </c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2" t="s">
        <v>1278</v>
      </c>
      <c r="AB150" s="52" t="s">
        <v>1279</v>
      </c>
      <c r="AC150" s="44" t="s">
        <v>1280</v>
      </c>
      <c r="AD150" s="45">
        <v>41793</v>
      </c>
      <c r="AE150" s="101" t="s">
        <v>30</v>
      </c>
      <c r="AF150" s="36" t="s">
        <v>26</v>
      </c>
      <c r="AG150" s="47" t="s">
        <v>49</v>
      </c>
      <c r="AH150" s="48" t="s">
        <v>49</v>
      </c>
      <c r="AI150" s="48" t="s">
        <v>49</v>
      </c>
      <c r="AJ150" s="48" t="s">
        <v>49</v>
      </c>
      <c r="AK150" s="48" t="s">
        <v>49</v>
      </c>
      <c r="AL150" s="48" t="s">
        <v>41</v>
      </c>
      <c r="AM150" s="49" t="s">
        <v>41</v>
      </c>
      <c r="AN150" s="48" t="s">
        <v>41</v>
      </c>
      <c r="AO150" s="62" t="s">
        <v>4589</v>
      </c>
      <c r="AP150" s="62"/>
      <c r="AQ150" s="59"/>
    </row>
    <row r="151" spans="1:43" x14ac:dyDescent="0.2">
      <c r="A151">
        <v>150</v>
      </c>
      <c r="B151" s="33">
        <f>+B150+1</f>
        <v>150</v>
      </c>
      <c r="C151" s="34" t="s">
        <v>1281</v>
      </c>
      <c r="D151" s="35" t="s">
        <v>1282</v>
      </c>
      <c r="E151" s="36" t="s">
        <v>1283</v>
      </c>
      <c r="F151" s="334">
        <v>26769</v>
      </c>
      <c r="G151" s="36" t="s">
        <v>54</v>
      </c>
      <c r="H151" s="34" t="s">
        <v>1284</v>
      </c>
      <c r="I151" s="37" t="s">
        <v>1285</v>
      </c>
      <c r="J151" s="425" t="s">
        <v>4752</v>
      </c>
      <c r="K151" s="37" t="s">
        <v>350</v>
      </c>
      <c r="L151" s="34" t="s">
        <v>1286</v>
      </c>
      <c r="M151" s="34" t="s">
        <v>41</v>
      </c>
      <c r="N151" s="39" t="s">
        <v>42</v>
      </c>
      <c r="O151" s="158" t="s">
        <v>1287</v>
      </c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42" t="s">
        <v>1288</v>
      </c>
      <c r="AB151" s="58" t="s">
        <v>1289</v>
      </c>
      <c r="AC151" s="44" t="s">
        <v>1290</v>
      </c>
      <c r="AD151" s="45">
        <v>42935</v>
      </c>
      <c r="AE151" s="101" t="s">
        <v>30</v>
      </c>
      <c r="AF151" s="36" t="s">
        <v>26</v>
      </c>
      <c r="AG151" s="47" t="s">
        <v>49</v>
      </c>
      <c r="AH151" s="48" t="s">
        <v>49</v>
      </c>
      <c r="AI151" s="48" t="s">
        <v>49</v>
      </c>
      <c r="AJ151" s="48" t="s">
        <v>49</v>
      </c>
      <c r="AK151" s="48" t="s">
        <v>49</v>
      </c>
      <c r="AL151" s="48" t="s">
        <v>49</v>
      </c>
      <c r="AM151" s="49" t="s">
        <v>41</v>
      </c>
      <c r="AN151" s="48" t="s">
        <v>41</v>
      </c>
      <c r="AO151" s="62" t="s">
        <v>276</v>
      </c>
      <c r="AP151" s="62"/>
      <c r="AQ151" s="59"/>
    </row>
    <row r="152" spans="1:43" x14ac:dyDescent="0.2">
      <c r="A152">
        <v>151</v>
      </c>
      <c r="B152" s="33"/>
      <c r="C152" s="252" t="s">
        <v>4518</v>
      </c>
      <c r="D152" s="253" t="s">
        <v>4519</v>
      </c>
      <c r="E152" s="252" t="s">
        <v>4795</v>
      </c>
      <c r="F152" s="252"/>
      <c r="G152" s="252"/>
      <c r="H152" s="252" t="s">
        <v>4521</v>
      </c>
      <c r="I152" s="252"/>
      <c r="J152" s="425" t="s">
        <v>4764</v>
      </c>
      <c r="K152" s="252"/>
      <c r="L152" s="252" t="s">
        <v>4522</v>
      </c>
      <c r="M152" s="252" t="s">
        <v>41</v>
      </c>
      <c r="N152" s="254"/>
      <c r="O152" s="262" t="s">
        <v>307</v>
      </c>
      <c r="P152" s="263"/>
      <c r="Q152" s="263"/>
      <c r="R152" s="263"/>
      <c r="S152" s="263"/>
      <c r="T152" s="263"/>
      <c r="U152" s="263"/>
      <c r="V152" s="263"/>
      <c r="W152" s="263"/>
      <c r="X152" s="263"/>
      <c r="Y152" s="263"/>
      <c r="Z152" s="263"/>
      <c r="AA152" s="257" t="s">
        <v>4523</v>
      </c>
      <c r="AB152" s="258" t="s">
        <v>4524</v>
      </c>
      <c r="AC152" s="258"/>
      <c r="AD152" s="258"/>
      <c r="AE152" s="252" t="s">
        <v>30</v>
      </c>
      <c r="AF152" s="252"/>
      <c r="AG152" s="47"/>
      <c r="AH152" s="48" t="s">
        <v>41</v>
      </c>
      <c r="AI152" s="48" t="s">
        <v>41</v>
      </c>
      <c r="AJ152" s="48" t="s">
        <v>41</v>
      </c>
      <c r="AK152" s="48" t="s">
        <v>41</v>
      </c>
      <c r="AL152" s="48" t="s">
        <v>41</v>
      </c>
      <c r="AM152" s="49" t="s">
        <v>41</v>
      </c>
      <c r="AN152" s="48" t="s">
        <v>41</v>
      </c>
      <c r="AO152" s="65"/>
      <c r="AP152" s="65"/>
      <c r="AQ152" s="59" t="s">
        <v>460</v>
      </c>
    </row>
    <row r="153" spans="1:43" x14ac:dyDescent="0.2">
      <c r="A153">
        <v>152</v>
      </c>
      <c r="B153" s="33">
        <f>+B152+1</f>
        <v>1</v>
      </c>
      <c r="C153" s="34" t="s">
        <v>1299</v>
      </c>
      <c r="D153" s="35" t="s">
        <v>1300</v>
      </c>
      <c r="E153" s="36" t="s">
        <v>1301</v>
      </c>
      <c r="F153" s="334">
        <v>26717</v>
      </c>
      <c r="G153" s="36" t="s">
        <v>54</v>
      </c>
      <c r="H153" s="34" t="s">
        <v>1302</v>
      </c>
      <c r="I153" s="37" t="s">
        <v>186</v>
      </c>
      <c r="J153" s="425" t="s">
        <v>4768</v>
      </c>
      <c r="K153" s="37" t="s">
        <v>187</v>
      </c>
      <c r="L153" s="167" t="s">
        <v>1303</v>
      </c>
      <c r="M153" s="57" t="s">
        <v>41</v>
      </c>
      <c r="N153" s="39" t="s">
        <v>42</v>
      </c>
      <c r="O153" s="120">
        <v>45694</v>
      </c>
      <c r="P153" s="56"/>
      <c r="Q153" s="56"/>
      <c r="R153" s="56"/>
      <c r="S153" s="56"/>
      <c r="T153" s="56"/>
      <c r="U153" s="56"/>
      <c r="V153" s="56"/>
      <c r="W153" s="56"/>
      <c r="X153" s="56"/>
      <c r="Y153" s="56" t="s">
        <v>44</v>
      </c>
      <c r="Z153" s="56"/>
      <c r="AA153" s="167" t="s">
        <v>1304</v>
      </c>
      <c r="AB153" s="146" t="s">
        <v>1305</v>
      </c>
      <c r="AC153" s="44"/>
      <c r="AD153" s="45"/>
      <c r="AE153" s="101"/>
      <c r="AF153" s="36"/>
      <c r="AG153" s="47" t="s">
        <v>49</v>
      </c>
      <c r="AH153" s="48" t="s">
        <v>41</v>
      </c>
      <c r="AI153" s="48" t="s">
        <v>41</v>
      </c>
      <c r="AJ153" s="48" t="s">
        <v>41</v>
      </c>
      <c r="AK153" s="48" t="s">
        <v>41</v>
      </c>
      <c r="AL153" s="48" t="s">
        <v>41</v>
      </c>
      <c r="AM153" s="49" t="s">
        <v>49</v>
      </c>
      <c r="AN153" s="48" t="s">
        <v>49</v>
      </c>
      <c r="AO153" s="65" t="s">
        <v>32</v>
      </c>
      <c r="AP153" s="65"/>
      <c r="AQ153" s="59"/>
    </row>
    <row r="154" spans="1:43" x14ac:dyDescent="0.2">
      <c r="A154">
        <v>153</v>
      </c>
      <c r="B154" s="33">
        <f>+B153+1</f>
        <v>2</v>
      </c>
      <c r="C154" s="34" t="s">
        <v>1291</v>
      </c>
      <c r="D154" s="35" t="s">
        <v>1292</v>
      </c>
      <c r="E154" s="36" t="s">
        <v>1293</v>
      </c>
      <c r="F154" s="36"/>
      <c r="G154" s="36" t="s">
        <v>54</v>
      </c>
      <c r="H154" s="34" t="s">
        <v>1294</v>
      </c>
      <c r="I154" s="37" t="s">
        <v>73</v>
      </c>
      <c r="J154" s="425" t="s">
        <v>4765</v>
      </c>
      <c r="K154" s="37" t="s">
        <v>73</v>
      </c>
      <c r="L154" s="167" t="s">
        <v>1295</v>
      </c>
      <c r="M154" s="57" t="s">
        <v>1296</v>
      </c>
      <c r="N154" s="39" t="s">
        <v>42</v>
      </c>
      <c r="O154" s="99" t="s">
        <v>307</v>
      </c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42" t="s">
        <v>1297</v>
      </c>
      <c r="AB154" s="100" t="s">
        <v>1298</v>
      </c>
      <c r="AC154" s="44" t="s">
        <v>61</v>
      </c>
      <c r="AD154" s="45">
        <v>39286</v>
      </c>
      <c r="AE154" s="101" t="s">
        <v>30</v>
      </c>
      <c r="AF154" s="36"/>
      <c r="AG154" s="47" t="s">
        <v>49</v>
      </c>
      <c r="AH154" s="48" t="s">
        <v>41</v>
      </c>
      <c r="AI154" s="48" t="s">
        <v>41</v>
      </c>
      <c r="AJ154" s="48" t="s">
        <v>41</v>
      </c>
      <c r="AK154" s="48" t="s">
        <v>41</v>
      </c>
      <c r="AL154" s="48" t="s">
        <v>41</v>
      </c>
      <c r="AM154" s="49" t="s">
        <v>41</v>
      </c>
      <c r="AN154" s="48" t="s">
        <v>41</v>
      </c>
      <c r="AO154" s="65" t="s">
        <v>4590</v>
      </c>
      <c r="AP154" s="65"/>
      <c r="AQ154" s="59" t="s">
        <v>192</v>
      </c>
    </row>
    <row r="155" spans="1:43" x14ac:dyDescent="0.2">
      <c r="A155">
        <v>154</v>
      </c>
      <c r="B155" s="33">
        <f>+B154+1</f>
        <v>3</v>
      </c>
      <c r="C155" s="34" t="s">
        <v>1306</v>
      </c>
      <c r="D155" s="35" t="s">
        <v>1307</v>
      </c>
      <c r="E155" s="36" t="s">
        <v>1308</v>
      </c>
      <c r="F155" s="334">
        <v>24723</v>
      </c>
      <c r="G155" s="36" t="s">
        <v>54</v>
      </c>
      <c r="H155" s="34" t="s">
        <v>1309</v>
      </c>
      <c r="I155" s="37" t="s">
        <v>186</v>
      </c>
      <c r="J155" s="425" t="s">
        <v>4768</v>
      </c>
      <c r="K155" s="37" t="s">
        <v>187</v>
      </c>
      <c r="L155" s="34" t="s">
        <v>1310</v>
      </c>
      <c r="M155" s="34" t="s">
        <v>41</v>
      </c>
      <c r="N155" s="39" t="s">
        <v>42</v>
      </c>
      <c r="O155" s="158" t="s">
        <v>1311</v>
      </c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2" t="s">
        <v>1312</v>
      </c>
      <c r="AB155" s="58" t="s">
        <v>1313</v>
      </c>
      <c r="AC155" s="119" t="s">
        <v>61</v>
      </c>
      <c r="AD155" s="45">
        <v>37208</v>
      </c>
      <c r="AE155" s="101" t="s">
        <v>30</v>
      </c>
      <c r="AF155" s="36" t="s">
        <v>26</v>
      </c>
      <c r="AG155" s="47" t="s">
        <v>49</v>
      </c>
      <c r="AH155" s="48" t="s">
        <v>49</v>
      </c>
      <c r="AI155" s="48" t="s">
        <v>49</v>
      </c>
      <c r="AJ155" s="48" t="s">
        <v>49</v>
      </c>
      <c r="AK155" s="48" t="s">
        <v>49</v>
      </c>
      <c r="AL155" s="48" t="s">
        <v>49</v>
      </c>
      <c r="AM155" s="49" t="s">
        <v>49</v>
      </c>
      <c r="AN155" s="48" t="s">
        <v>41</v>
      </c>
      <c r="AO155" s="65" t="s">
        <v>148</v>
      </c>
      <c r="AP155" s="65"/>
      <c r="AQ155" s="59"/>
    </row>
    <row r="156" spans="1:43" x14ac:dyDescent="0.2">
      <c r="A156">
        <v>155</v>
      </c>
      <c r="B156" s="33">
        <f>+B155+1</f>
        <v>4</v>
      </c>
      <c r="C156" s="34" t="s">
        <v>1314</v>
      </c>
      <c r="D156" s="35" t="s">
        <v>1315</v>
      </c>
      <c r="E156" s="36" t="s">
        <v>1316</v>
      </c>
      <c r="F156" s="334">
        <v>26688</v>
      </c>
      <c r="G156" s="36" t="s">
        <v>54</v>
      </c>
      <c r="H156" s="34" t="s">
        <v>1317</v>
      </c>
      <c r="I156" s="37" t="s">
        <v>858</v>
      </c>
      <c r="J156" s="425" t="s">
        <v>4740</v>
      </c>
      <c r="K156" s="37" t="s">
        <v>57</v>
      </c>
      <c r="L156" s="38" t="s">
        <v>1318</v>
      </c>
      <c r="M156" s="34" t="s">
        <v>41</v>
      </c>
      <c r="N156" s="39" t="s">
        <v>42</v>
      </c>
      <c r="O156" s="158" t="s">
        <v>1319</v>
      </c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2" t="s">
        <v>1320</v>
      </c>
      <c r="AB156" s="58" t="s">
        <v>1321</v>
      </c>
      <c r="AC156" s="44" t="s">
        <v>1322</v>
      </c>
      <c r="AD156" s="45">
        <v>44944</v>
      </c>
      <c r="AE156" s="101" t="s">
        <v>30</v>
      </c>
      <c r="AF156" s="36" t="s">
        <v>26</v>
      </c>
      <c r="AG156" s="47" t="s">
        <v>49</v>
      </c>
      <c r="AH156" s="48" t="s">
        <v>49</v>
      </c>
      <c r="AI156" s="48" t="s">
        <v>49</v>
      </c>
      <c r="AJ156" s="48" t="s">
        <v>49</v>
      </c>
      <c r="AK156" s="48" t="s">
        <v>49</v>
      </c>
      <c r="AL156" s="48" t="s">
        <v>41</v>
      </c>
      <c r="AM156" s="49" t="s">
        <v>41</v>
      </c>
      <c r="AN156" s="48" t="s">
        <v>41</v>
      </c>
      <c r="AO156" s="62" t="s">
        <v>4589</v>
      </c>
      <c r="AP156" s="62"/>
      <c r="AQ156" s="59"/>
    </row>
    <row r="157" spans="1:43" x14ac:dyDescent="0.2">
      <c r="A157">
        <v>156</v>
      </c>
      <c r="B157" s="33">
        <f>+B156+1</f>
        <v>5</v>
      </c>
      <c r="C157" s="34" t="s">
        <v>1323</v>
      </c>
      <c r="D157" s="35" t="s">
        <v>1324</v>
      </c>
      <c r="E157" s="36" t="s">
        <v>1325</v>
      </c>
      <c r="F157" s="334">
        <v>31714</v>
      </c>
      <c r="G157" s="36" t="s">
        <v>36</v>
      </c>
      <c r="H157" s="34" t="s">
        <v>1326</v>
      </c>
      <c r="I157" s="37" t="s">
        <v>377</v>
      </c>
      <c r="J157" s="425" t="s">
        <v>4757</v>
      </c>
      <c r="K157" s="37" t="s">
        <v>378</v>
      </c>
      <c r="L157" s="38" t="s">
        <v>1327</v>
      </c>
      <c r="M157" s="34" t="s">
        <v>41</v>
      </c>
      <c r="N157" s="39" t="s">
        <v>42</v>
      </c>
      <c r="O157" s="158" t="s">
        <v>1328</v>
      </c>
      <c r="P157" s="41"/>
      <c r="Q157" s="41"/>
      <c r="R157" s="41"/>
      <c r="S157" s="41"/>
      <c r="T157" s="41"/>
      <c r="U157" s="41"/>
      <c r="V157" s="168" t="s">
        <v>44</v>
      </c>
      <c r="W157" s="41"/>
      <c r="X157" s="41"/>
      <c r="Y157" s="41"/>
      <c r="Z157" s="41"/>
      <c r="AA157" s="42" t="s">
        <v>1329</v>
      </c>
      <c r="AB157" s="58" t="s">
        <v>1330</v>
      </c>
      <c r="AC157" s="121" t="s">
        <v>1331</v>
      </c>
      <c r="AD157" s="45">
        <v>44650</v>
      </c>
      <c r="AE157" s="101" t="s">
        <v>30</v>
      </c>
      <c r="AF157" s="36"/>
      <c r="AG157" s="47" t="s">
        <v>49</v>
      </c>
      <c r="AH157" s="48"/>
      <c r="AI157" s="48" t="s">
        <v>41</v>
      </c>
      <c r="AJ157" s="48" t="s">
        <v>49</v>
      </c>
      <c r="AK157" s="48" t="s">
        <v>41</v>
      </c>
      <c r="AL157" s="48" t="s">
        <v>41</v>
      </c>
      <c r="AM157" s="49" t="s">
        <v>41</v>
      </c>
      <c r="AN157" s="48" t="s">
        <v>41</v>
      </c>
      <c r="AO157" s="62" t="s">
        <v>139</v>
      </c>
      <c r="AP157" s="62"/>
      <c r="AQ157" s="59"/>
    </row>
    <row r="158" spans="1:43" x14ac:dyDescent="0.2">
      <c r="A158">
        <v>157</v>
      </c>
      <c r="B158" s="33">
        <f>+B157+1</f>
        <v>6</v>
      </c>
      <c r="C158" s="34" t="s">
        <v>1332</v>
      </c>
      <c r="D158" s="35" t="s">
        <v>1333</v>
      </c>
      <c r="E158" s="36" t="s">
        <v>1334</v>
      </c>
      <c r="F158" s="334">
        <v>31255</v>
      </c>
      <c r="G158" s="36" t="s">
        <v>54</v>
      </c>
      <c r="H158" s="34" t="s">
        <v>1335</v>
      </c>
      <c r="I158" s="37" t="s">
        <v>73</v>
      </c>
      <c r="J158" s="425" t="s">
        <v>4765</v>
      </c>
      <c r="K158" s="37" t="s">
        <v>73</v>
      </c>
      <c r="L158" s="34" t="s">
        <v>1336</v>
      </c>
      <c r="M158" s="34" t="s">
        <v>1337</v>
      </c>
      <c r="N158" s="39" t="s">
        <v>42</v>
      </c>
      <c r="O158" s="158" t="s">
        <v>1338</v>
      </c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42" t="s">
        <v>1339</v>
      </c>
      <c r="AB158" s="58" t="s">
        <v>1340</v>
      </c>
      <c r="AC158" s="44" t="s">
        <v>1341</v>
      </c>
      <c r="AD158" s="45">
        <v>44944</v>
      </c>
      <c r="AE158" s="101" t="s">
        <v>30</v>
      </c>
      <c r="AF158" s="36" t="s">
        <v>26</v>
      </c>
      <c r="AG158" s="64" t="s">
        <v>120</v>
      </c>
      <c r="AH158" s="48" t="s">
        <v>120</v>
      </c>
      <c r="AI158" s="48" t="s">
        <v>120</v>
      </c>
      <c r="AJ158" s="48" t="s">
        <v>120</v>
      </c>
      <c r="AK158" s="48" t="s">
        <v>120</v>
      </c>
      <c r="AL158" s="48" t="s">
        <v>120</v>
      </c>
      <c r="AM158" s="49" t="s">
        <v>120</v>
      </c>
      <c r="AN158" s="48" t="s">
        <v>120</v>
      </c>
      <c r="AO158" s="62" t="s">
        <v>32</v>
      </c>
      <c r="AP158" s="62"/>
      <c r="AQ158" s="59"/>
    </row>
    <row r="159" spans="1:43" x14ac:dyDescent="0.2">
      <c r="A159">
        <v>158</v>
      </c>
      <c r="B159" s="33">
        <f>+B158+1</f>
        <v>7</v>
      </c>
      <c r="C159" s="34" t="s">
        <v>1342</v>
      </c>
      <c r="D159" s="35" t="s">
        <v>1343</v>
      </c>
      <c r="E159" s="36" t="s">
        <v>4616</v>
      </c>
      <c r="F159" s="334">
        <v>29541</v>
      </c>
      <c r="G159" s="36" t="s">
        <v>54</v>
      </c>
      <c r="H159" s="34" t="s">
        <v>1345</v>
      </c>
      <c r="I159" s="37" t="s">
        <v>176</v>
      </c>
      <c r="J159" s="425" t="s">
        <v>4767</v>
      </c>
      <c r="K159" s="37" t="s">
        <v>39</v>
      </c>
      <c r="L159" s="34" t="s">
        <v>1346</v>
      </c>
      <c r="M159" s="34" t="s">
        <v>41</v>
      </c>
      <c r="N159" s="39" t="s">
        <v>42</v>
      </c>
      <c r="O159" s="169" t="s">
        <v>1347</v>
      </c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42" t="s">
        <v>4617</v>
      </c>
      <c r="AB159" s="69" t="s">
        <v>1349</v>
      </c>
      <c r="AC159" s="69"/>
      <c r="AD159" s="45" t="s">
        <v>47</v>
      </c>
      <c r="AE159" s="46"/>
      <c r="AF159" s="36" t="s">
        <v>26</v>
      </c>
      <c r="AG159" s="47" t="s">
        <v>49</v>
      </c>
      <c r="AH159" s="48" t="s">
        <v>49</v>
      </c>
      <c r="AI159" s="48" t="s">
        <v>49</v>
      </c>
      <c r="AJ159" s="48" t="s">
        <v>49</v>
      </c>
      <c r="AK159" s="48" t="s">
        <v>49</v>
      </c>
      <c r="AL159" s="48" t="s">
        <v>49</v>
      </c>
      <c r="AM159" s="49" t="s">
        <v>49</v>
      </c>
      <c r="AN159" s="48" t="s">
        <v>49</v>
      </c>
      <c r="AO159" s="62" t="s">
        <v>32</v>
      </c>
      <c r="AP159" s="62"/>
      <c r="AQ159" s="59"/>
    </row>
    <row r="160" spans="1:43" x14ac:dyDescent="0.2">
      <c r="A160">
        <v>159</v>
      </c>
      <c r="B160" s="33">
        <f>+B159+1</f>
        <v>8</v>
      </c>
      <c r="C160" s="34" t="s">
        <v>1350</v>
      </c>
      <c r="D160" s="35" t="s">
        <v>1351</v>
      </c>
      <c r="E160" s="36" t="s">
        <v>1352</v>
      </c>
      <c r="F160" s="36"/>
      <c r="G160" s="36" t="s">
        <v>36</v>
      </c>
      <c r="H160" s="98" t="s">
        <v>1353</v>
      </c>
      <c r="I160" s="37" t="s">
        <v>1354</v>
      </c>
      <c r="J160" s="425" t="s">
        <v>4741</v>
      </c>
      <c r="K160" s="37" t="s">
        <v>57</v>
      </c>
      <c r="L160" s="38" t="s">
        <v>1355</v>
      </c>
      <c r="M160" s="34" t="s">
        <v>41</v>
      </c>
      <c r="N160" s="39" t="s">
        <v>42</v>
      </c>
      <c r="O160" s="169" t="s">
        <v>59</v>
      </c>
      <c r="P160" s="56" t="s">
        <v>179</v>
      </c>
      <c r="Q160" s="56" t="s">
        <v>179</v>
      </c>
      <c r="R160" s="56"/>
      <c r="S160" s="56">
        <v>6</v>
      </c>
      <c r="T160" s="56" t="s">
        <v>942</v>
      </c>
      <c r="U160" s="56"/>
      <c r="V160" s="56"/>
      <c r="W160" s="56"/>
      <c r="X160" s="56"/>
      <c r="Y160" s="56"/>
      <c r="Z160" s="56"/>
      <c r="AA160" s="42" t="s">
        <v>1356</v>
      </c>
      <c r="AB160" s="58" t="s">
        <v>1357</v>
      </c>
      <c r="AC160" s="58"/>
      <c r="AD160" s="45" t="s">
        <v>47</v>
      </c>
      <c r="AE160" s="46"/>
      <c r="AF160" s="73"/>
      <c r="AG160" s="47" t="s">
        <v>49</v>
      </c>
      <c r="AH160" s="48" t="s">
        <v>41</v>
      </c>
      <c r="AI160" s="48" t="s">
        <v>41</v>
      </c>
      <c r="AJ160" s="48" t="s">
        <v>41</v>
      </c>
      <c r="AK160" s="48" t="s">
        <v>41</v>
      </c>
      <c r="AL160" s="48" t="s">
        <v>41</v>
      </c>
      <c r="AM160" s="49" t="s">
        <v>41</v>
      </c>
      <c r="AN160" s="48" t="s">
        <v>41</v>
      </c>
      <c r="AO160" s="65" t="s">
        <v>4591</v>
      </c>
      <c r="AP160" s="65"/>
      <c r="AQ160" s="59"/>
    </row>
    <row r="161" spans="1:43" x14ac:dyDescent="0.2">
      <c r="A161">
        <v>160</v>
      </c>
      <c r="B161" s="33">
        <f>+B160+1</f>
        <v>9</v>
      </c>
      <c r="C161" s="34" t="s">
        <v>1358</v>
      </c>
      <c r="D161" s="35" t="s">
        <v>1359</v>
      </c>
      <c r="E161" s="36" t="s">
        <v>1360</v>
      </c>
      <c r="F161" s="36"/>
      <c r="G161" s="36" t="s">
        <v>36</v>
      </c>
      <c r="H161" s="34" t="s">
        <v>1361</v>
      </c>
      <c r="I161" s="37" t="s">
        <v>252</v>
      </c>
      <c r="J161" s="425" t="s">
        <v>4763</v>
      </c>
      <c r="K161" s="37" t="s">
        <v>57</v>
      </c>
      <c r="L161" s="34" t="s">
        <v>1362</v>
      </c>
      <c r="M161" s="34" t="s">
        <v>41</v>
      </c>
      <c r="N161" s="39" t="s">
        <v>42</v>
      </c>
      <c r="O161" s="166" t="s">
        <v>1363</v>
      </c>
      <c r="P161" s="41" t="s">
        <v>179</v>
      </c>
      <c r="Q161" s="41" t="s">
        <v>179</v>
      </c>
      <c r="R161" s="41"/>
      <c r="S161" s="41">
        <v>6</v>
      </c>
      <c r="T161" s="41" t="s">
        <v>942</v>
      </c>
      <c r="U161" s="41"/>
      <c r="V161" s="41"/>
      <c r="W161" s="41"/>
      <c r="X161" s="41"/>
      <c r="Y161" s="41"/>
      <c r="Z161" s="41"/>
      <c r="AA161" s="42" t="s">
        <v>1145</v>
      </c>
      <c r="AB161" s="58" t="s">
        <v>1364</v>
      </c>
      <c r="AC161" s="58"/>
      <c r="AD161" s="45" t="s">
        <v>47</v>
      </c>
      <c r="AE161" s="101"/>
      <c r="AF161" s="36"/>
      <c r="AG161" s="47" t="s">
        <v>49</v>
      </c>
      <c r="AH161" s="48" t="s">
        <v>41</v>
      </c>
      <c r="AI161" s="48" t="s">
        <v>41</v>
      </c>
      <c r="AJ161" s="48" t="s">
        <v>41</v>
      </c>
      <c r="AK161" s="48" t="s">
        <v>41</v>
      </c>
      <c r="AL161" s="48" t="s">
        <v>41</v>
      </c>
      <c r="AM161" s="49" t="s">
        <v>41</v>
      </c>
      <c r="AN161" s="48" t="s">
        <v>41</v>
      </c>
      <c r="AO161" s="65" t="s">
        <v>4591</v>
      </c>
      <c r="AP161" s="65"/>
      <c r="AQ161" s="59" t="s">
        <v>460</v>
      </c>
    </row>
    <row r="162" spans="1:43" x14ac:dyDescent="0.2">
      <c r="A162">
        <v>161</v>
      </c>
      <c r="B162" s="33">
        <f>+B161+1</f>
        <v>10</v>
      </c>
      <c r="C162" s="34" t="s">
        <v>1365</v>
      </c>
      <c r="D162" s="35" t="s">
        <v>1366</v>
      </c>
      <c r="E162" s="36" t="s">
        <v>1367</v>
      </c>
      <c r="F162" s="334">
        <v>28678</v>
      </c>
      <c r="G162" s="36" t="s">
        <v>54</v>
      </c>
      <c r="H162" s="34" t="s">
        <v>1368</v>
      </c>
      <c r="I162" s="37" t="s">
        <v>350</v>
      </c>
      <c r="J162" s="425" t="s">
        <v>4751</v>
      </c>
      <c r="K162" s="37" t="s">
        <v>350</v>
      </c>
      <c r="L162" s="34">
        <v>81226003225</v>
      </c>
      <c r="M162" s="34" t="s">
        <v>41</v>
      </c>
      <c r="N162" s="39" t="s">
        <v>42</v>
      </c>
      <c r="O162" s="158" t="s">
        <v>1369</v>
      </c>
      <c r="P162" s="56"/>
      <c r="Q162" s="56"/>
      <c r="R162" s="56"/>
      <c r="S162" s="56"/>
      <c r="T162" s="56"/>
      <c r="U162" s="56"/>
      <c r="V162" s="56"/>
      <c r="W162" s="56"/>
      <c r="X162" s="56" t="s">
        <v>44</v>
      </c>
      <c r="Y162" s="56"/>
      <c r="Z162" s="56"/>
      <c r="AA162" s="57" t="s">
        <v>1370</v>
      </c>
      <c r="AB162" s="58" t="s">
        <v>1371</v>
      </c>
      <c r="AC162" s="69"/>
      <c r="AD162" s="45"/>
      <c r="AE162" s="101"/>
      <c r="AF162" s="36"/>
      <c r="AG162" s="47" t="s">
        <v>49</v>
      </c>
      <c r="AH162" s="48" t="s">
        <v>41</v>
      </c>
      <c r="AI162" s="48" t="s">
        <v>41</v>
      </c>
      <c r="AJ162" s="48" t="s">
        <v>41</v>
      </c>
      <c r="AK162" s="48" t="s">
        <v>41</v>
      </c>
      <c r="AL162" s="48" t="s">
        <v>49</v>
      </c>
      <c r="AM162" s="49" t="s">
        <v>49</v>
      </c>
      <c r="AN162" s="48" t="s">
        <v>49</v>
      </c>
      <c r="AO162" s="62" t="s">
        <v>32</v>
      </c>
      <c r="AP162" s="62"/>
      <c r="AQ162" s="59"/>
    </row>
    <row r="163" spans="1:43" x14ac:dyDescent="0.2">
      <c r="A163">
        <v>162</v>
      </c>
      <c r="B163" s="33">
        <f>+B162+1</f>
        <v>11</v>
      </c>
      <c r="C163" s="34" t="s">
        <v>4634</v>
      </c>
      <c r="D163" s="35" t="s">
        <v>4635</v>
      </c>
      <c r="E163" s="36" t="s">
        <v>4636</v>
      </c>
      <c r="F163" s="334">
        <v>35716</v>
      </c>
      <c r="G163" s="36" t="s">
        <v>4169</v>
      </c>
      <c r="H163" s="34" t="s">
        <v>4637</v>
      </c>
      <c r="I163" s="37" t="s">
        <v>73</v>
      </c>
      <c r="J163" s="425" t="s">
        <v>4765</v>
      </c>
      <c r="K163" s="37" t="s">
        <v>73</v>
      </c>
      <c r="L163" s="38" t="s">
        <v>4638</v>
      </c>
      <c r="M163" s="34"/>
      <c r="N163" s="39" t="s">
        <v>42</v>
      </c>
      <c r="O163" s="166">
        <v>46085</v>
      </c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 t="s">
        <v>44</v>
      </c>
      <c r="AA163" s="54" t="s">
        <v>4639</v>
      </c>
      <c r="AB163" s="310" t="s">
        <v>4640</v>
      </c>
      <c r="AC163" s="69"/>
      <c r="AD163" s="45"/>
      <c r="AE163" s="101"/>
      <c r="AF163" s="36"/>
      <c r="AG163" s="47" t="s">
        <v>49</v>
      </c>
      <c r="AH163" s="48" t="s">
        <v>41</v>
      </c>
      <c r="AI163" s="48" t="s">
        <v>41</v>
      </c>
      <c r="AJ163" s="48" t="s">
        <v>41</v>
      </c>
      <c r="AK163" s="48" t="s">
        <v>41</v>
      </c>
      <c r="AL163" s="48" t="s">
        <v>41</v>
      </c>
      <c r="AM163" s="49" t="s">
        <v>41</v>
      </c>
      <c r="AN163" s="48" t="s">
        <v>49</v>
      </c>
      <c r="AO163" s="62" t="s">
        <v>32</v>
      </c>
      <c r="AP163" s="62"/>
      <c r="AQ163" s="59"/>
    </row>
    <row r="164" spans="1:43" x14ac:dyDescent="0.2">
      <c r="A164">
        <v>163</v>
      </c>
      <c r="B164" s="33">
        <f>+B163+1</f>
        <v>12</v>
      </c>
      <c r="C164" s="34" t="s">
        <v>1372</v>
      </c>
      <c r="D164" s="35" t="s">
        <v>1373</v>
      </c>
      <c r="E164" s="170" t="s">
        <v>1374</v>
      </c>
      <c r="F164" s="170"/>
      <c r="G164" s="36" t="s">
        <v>54</v>
      </c>
      <c r="H164" s="34" t="s">
        <v>1375</v>
      </c>
      <c r="I164" s="37" t="s">
        <v>73</v>
      </c>
      <c r="J164" s="425" t="s">
        <v>4765</v>
      </c>
      <c r="K164" s="37" t="s">
        <v>73</v>
      </c>
      <c r="L164" s="395" t="s">
        <v>1376</v>
      </c>
      <c r="M164" s="474" t="s">
        <v>1377</v>
      </c>
      <c r="N164" s="172" t="s">
        <v>42</v>
      </c>
      <c r="O164" s="159" t="s">
        <v>1378</v>
      </c>
      <c r="P164" s="68" t="s">
        <v>179</v>
      </c>
      <c r="Q164" s="409" t="s">
        <v>179</v>
      </c>
      <c r="R164" s="409"/>
      <c r="S164" s="409">
        <v>4</v>
      </c>
      <c r="T164" s="115" t="s">
        <v>1041</v>
      </c>
      <c r="U164" s="115"/>
      <c r="V164" s="115"/>
      <c r="W164" s="56"/>
      <c r="X164" s="56"/>
      <c r="Y164" s="56"/>
      <c r="Z164" s="56"/>
      <c r="AA164" s="42" t="s">
        <v>1379</v>
      </c>
      <c r="AB164" s="58" t="s">
        <v>1380</v>
      </c>
      <c r="AC164" s="44"/>
      <c r="AD164" s="45" t="s">
        <v>47</v>
      </c>
      <c r="AE164" s="160"/>
      <c r="AF164" s="36" t="s">
        <v>26</v>
      </c>
      <c r="AG164" s="47" t="s">
        <v>49</v>
      </c>
      <c r="AH164" s="48" t="s">
        <v>49</v>
      </c>
      <c r="AI164" s="48" t="s">
        <v>41</v>
      </c>
      <c r="AJ164" s="48" t="s">
        <v>41</v>
      </c>
      <c r="AK164" s="48" t="s">
        <v>41</v>
      </c>
      <c r="AL164" s="48" t="s">
        <v>41</v>
      </c>
      <c r="AM164" s="49" t="s">
        <v>41</v>
      </c>
      <c r="AN164" s="48" t="s">
        <v>41</v>
      </c>
      <c r="AO164" s="62" t="s">
        <v>4587</v>
      </c>
      <c r="AP164" s="62"/>
      <c r="AQ164" s="59"/>
    </row>
    <row r="165" spans="1:43" x14ac:dyDescent="0.2">
      <c r="A165">
        <v>164</v>
      </c>
      <c r="B165" s="33">
        <f>+B164+1</f>
        <v>13</v>
      </c>
      <c r="C165" s="34" t="s">
        <v>1381</v>
      </c>
      <c r="D165" s="35" t="s">
        <v>1382</v>
      </c>
      <c r="E165" s="170" t="s">
        <v>1383</v>
      </c>
      <c r="F165" s="170"/>
      <c r="G165" s="36" t="s">
        <v>54</v>
      </c>
      <c r="H165" s="34" t="s">
        <v>1384</v>
      </c>
      <c r="I165" s="37" t="s">
        <v>73</v>
      </c>
      <c r="J165" s="425" t="s">
        <v>4765</v>
      </c>
      <c r="K165" s="37" t="s">
        <v>73</v>
      </c>
      <c r="L165" s="34" t="s">
        <v>1385</v>
      </c>
      <c r="M165" s="34" t="s">
        <v>41</v>
      </c>
      <c r="N165" s="39" t="s">
        <v>42</v>
      </c>
      <c r="O165" s="166" t="s">
        <v>1363</v>
      </c>
      <c r="P165" s="112"/>
      <c r="Q165" s="112"/>
      <c r="R165" s="112"/>
      <c r="S165" s="112"/>
      <c r="T165" s="112"/>
      <c r="U165" s="112"/>
      <c r="V165" s="112"/>
      <c r="W165" s="41"/>
      <c r="X165" s="41"/>
      <c r="Y165" s="41"/>
      <c r="Z165" s="41"/>
      <c r="AA165" s="42" t="s">
        <v>1386</v>
      </c>
      <c r="AB165" s="58" t="s">
        <v>1387</v>
      </c>
      <c r="AC165" s="44" t="s">
        <v>61</v>
      </c>
      <c r="AD165" s="45">
        <v>41793</v>
      </c>
      <c r="AE165" s="101" t="s">
        <v>30</v>
      </c>
      <c r="AF165" s="36" t="s">
        <v>26</v>
      </c>
      <c r="AG165" s="47" t="s">
        <v>49</v>
      </c>
      <c r="AH165" s="48" t="s">
        <v>49</v>
      </c>
      <c r="AI165" s="48" t="s">
        <v>41</v>
      </c>
      <c r="AJ165" s="48" t="s">
        <v>41</v>
      </c>
      <c r="AK165" s="48" t="s">
        <v>41</v>
      </c>
      <c r="AL165" s="48" t="s">
        <v>41</v>
      </c>
      <c r="AM165" s="49" t="s">
        <v>41</v>
      </c>
      <c r="AN165" s="48" t="s">
        <v>41</v>
      </c>
      <c r="AO165" s="62" t="s">
        <v>4587</v>
      </c>
      <c r="AP165" s="62"/>
      <c r="AQ165" s="59"/>
    </row>
    <row r="166" spans="1:43" x14ac:dyDescent="0.2">
      <c r="A166">
        <v>165</v>
      </c>
      <c r="B166" s="33">
        <f>+B165+1</f>
        <v>14</v>
      </c>
      <c r="C166" s="34" t="s">
        <v>1388</v>
      </c>
      <c r="D166" s="35" t="s">
        <v>1389</v>
      </c>
      <c r="E166" s="170" t="s">
        <v>4788</v>
      </c>
      <c r="F166" s="339">
        <v>24435</v>
      </c>
      <c r="G166" s="36" t="s">
        <v>36</v>
      </c>
      <c r="H166" s="34" t="s">
        <v>1391</v>
      </c>
      <c r="I166" s="37" t="s">
        <v>73</v>
      </c>
      <c r="J166" s="425" t="s">
        <v>4765</v>
      </c>
      <c r="K166" s="37" t="s">
        <v>73</v>
      </c>
      <c r="L166" s="108" t="s">
        <v>1392</v>
      </c>
      <c r="M166" s="108" t="s">
        <v>41</v>
      </c>
      <c r="N166" s="39" t="s">
        <v>42</v>
      </c>
      <c r="O166" s="99" t="s">
        <v>1393</v>
      </c>
      <c r="P166" s="56" t="s">
        <v>179</v>
      </c>
      <c r="Q166" s="56" t="s">
        <v>179</v>
      </c>
      <c r="R166" s="56"/>
      <c r="S166" s="56">
        <v>3</v>
      </c>
      <c r="T166" s="56"/>
      <c r="U166" s="56" t="s">
        <v>44</v>
      </c>
      <c r="V166" s="56"/>
      <c r="W166" s="56"/>
      <c r="X166" s="56"/>
      <c r="Y166" s="56"/>
      <c r="Z166" s="56"/>
      <c r="AA166" s="42" t="s">
        <v>1394</v>
      </c>
      <c r="AB166" s="58" t="s">
        <v>1395</v>
      </c>
      <c r="AC166" s="58"/>
      <c r="AD166" s="45" t="s">
        <v>47</v>
      </c>
      <c r="AE166" s="101"/>
      <c r="AF166" s="36"/>
      <c r="AG166" s="47" t="s">
        <v>49</v>
      </c>
      <c r="AH166" s="48" t="s">
        <v>41</v>
      </c>
      <c r="AI166" s="48" t="s">
        <v>49</v>
      </c>
      <c r="AJ166" s="48" t="s">
        <v>49</v>
      </c>
      <c r="AK166" s="48" t="s">
        <v>49</v>
      </c>
      <c r="AL166" s="48" t="s">
        <v>49</v>
      </c>
      <c r="AM166" s="49" t="s">
        <v>49</v>
      </c>
      <c r="AN166" s="48" t="s">
        <v>49</v>
      </c>
      <c r="AO166" s="62" t="s">
        <v>32</v>
      </c>
      <c r="AP166" s="62"/>
      <c r="AQ166" s="59"/>
    </row>
    <row r="167" spans="1:43" x14ac:dyDescent="0.2">
      <c r="A167">
        <v>166</v>
      </c>
      <c r="B167" s="33">
        <f>+B166+1</f>
        <v>15</v>
      </c>
      <c r="C167" s="34" t="s">
        <v>1404</v>
      </c>
      <c r="D167" s="35" t="s">
        <v>1405</v>
      </c>
      <c r="E167" s="174" t="s">
        <v>1406</v>
      </c>
      <c r="F167" s="341">
        <v>29030</v>
      </c>
      <c r="G167" s="36" t="s">
        <v>54</v>
      </c>
      <c r="H167" s="34" t="s">
        <v>1407</v>
      </c>
      <c r="I167" s="37" t="s">
        <v>858</v>
      </c>
      <c r="J167" s="425" t="s">
        <v>4740</v>
      </c>
      <c r="K167" s="37" t="s">
        <v>57</v>
      </c>
      <c r="L167" s="34" t="s">
        <v>1408</v>
      </c>
      <c r="M167" s="34" t="s">
        <v>41</v>
      </c>
      <c r="N167" s="39" t="s">
        <v>42</v>
      </c>
      <c r="O167" s="99" t="s">
        <v>1409</v>
      </c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42" t="s">
        <v>1410</v>
      </c>
      <c r="AB167" s="58" t="s">
        <v>1411</v>
      </c>
      <c r="AC167" s="44" t="s">
        <v>1412</v>
      </c>
      <c r="AD167" s="45">
        <v>42935</v>
      </c>
      <c r="AE167" s="101" t="s">
        <v>30</v>
      </c>
      <c r="AF167" s="109" t="s">
        <v>26</v>
      </c>
      <c r="AG167" s="47" t="s">
        <v>49</v>
      </c>
      <c r="AH167" s="48" t="s">
        <v>49</v>
      </c>
      <c r="AI167" s="48" t="s">
        <v>49</v>
      </c>
      <c r="AJ167" s="48" t="s">
        <v>49</v>
      </c>
      <c r="AK167" s="48" t="s">
        <v>49</v>
      </c>
      <c r="AL167" s="48" t="s">
        <v>49</v>
      </c>
      <c r="AM167" s="49" t="s">
        <v>49</v>
      </c>
      <c r="AN167" s="48" t="s">
        <v>49</v>
      </c>
      <c r="AO167" s="62" t="s">
        <v>32</v>
      </c>
      <c r="AP167" s="62" t="s">
        <v>4681</v>
      </c>
      <c r="AQ167" s="59"/>
    </row>
    <row r="168" spans="1:43" x14ac:dyDescent="0.2">
      <c r="A168">
        <v>167</v>
      </c>
      <c r="B168" s="33" t="e">
        <f>+#REF!+1</f>
        <v>#REF!</v>
      </c>
      <c r="C168" s="34" t="s">
        <v>1413</v>
      </c>
      <c r="D168" s="35" t="s">
        <v>1414</v>
      </c>
      <c r="E168" s="36" t="s">
        <v>1415</v>
      </c>
      <c r="F168" s="36"/>
      <c r="G168" s="36" t="s">
        <v>54</v>
      </c>
      <c r="H168" s="34" t="s">
        <v>1416</v>
      </c>
      <c r="I168" s="37" t="s">
        <v>1417</v>
      </c>
      <c r="J168" s="456" t="s">
        <v>4738</v>
      </c>
      <c r="K168" s="37" t="s">
        <v>187</v>
      </c>
      <c r="L168" s="34" t="s">
        <v>1418</v>
      </c>
      <c r="M168" s="34" t="s">
        <v>1419</v>
      </c>
      <c r="N168" s="39" t="s">
        <v>42</v>
      </c>
      <c r="O168" s="158" t="s">
        <v>1420</v>
      </c>
      <c r="P168" s="56" t="s">
        <v>179</v>
      </c>
      <c r="Q168" s="56" t="s">
        <v>179</v>
      </c>
      <c r="R168" s="56"/>
      <c r="S168" s="56">
        <v>6</v>
      </c>
      <c r="T168" s="56" t="s">
        <v>942</v>
      </c>
      <c r="U168" s="56"/>
      <c r="V168" s="56"/>
      <c r="W168" s="56"/>
      <c r="X168" s="56"/>
      <c r="Y168" s="56"/>
      <c r="Z168" s="56"/>
      <c r="AA168" s="42" t="s">
        <v>1421</v>
      </c>
      <c r="AB168" s="58" t="s">
        <v>1422</v>
      </c>
      <c r="AC168" s="58"/>
      <c r="AD168" s="45" t="s">
        <v>47</v>
      </c>
      <c r="AE168" s="101"/>
      <c r="AF168" s="36"/>
      <c r="AG168" s="47" t="s">
        <v>49</v>
      </c>
      <c r="AH168" s="48" t="s">
        <v>41</v>
      </c>
      <c r="AI168" s="48" t="s">
        <v>41</v>
      </c>
      <c r="AJ168" s="48" t="s">
        <v>41</v>
      </c>
      <c r="AK168" s="48" t="s">
        <v>41</v>
      </c>
      <c r="AL168" s="48" t="s">
        <v>41</v>
      </c>
      <c r="AM168" s="49" t="s">
        <v>41</v>
      </c>
      <c r="AN168" s="48" t="s">
        <v>41</v>
      </c>
      <c r="AO168" s="65" t="s">
        <v>4588</v>
      </c>
      <c r="AP168" s="65"/>
      <c r="AQ168" s="59"/>
    </row>
    <row r="169" spans="1:43" x14ac:dyDescent="0.2">
      <c r="A169">
        <v>168</v>
      </c>
      <c r="B169" s="33" t="e">
        <f>+B168+1</f>
        <v>#REF!</v>
      </c>
      <c r="C169" s="34" t="s">
        <v>1423</v>
      </c>
      <c r="D169" s="35" t="s">
        <v>1424</v>
      </c>
      <c r="E169" s="36" t="s">
        <v>1425</v>
      </c>
      <c r="F169" s="36"/>
      <c r="G169" s="36" t="s">
        <v>36</v>
      </c>
      <c r="H169" s="87" t="s">
        <v>1426</v>
      </c>
      <c r="I169" s="37" t="s">
        <v>360</v>
      </c>
      <c r="J169" s="425" t="s">
        <v>4749</v>
      </c>
      <c r="K169" s="37" t="s">
        <v>350</v>
      </c>
      <c r="L169" s="34" t="s">
        <v>1427</v>
      </c>
      <c r="M169" s="34" t="s">
        <v>41</v>
      </c>
      <c r="N169" s="39" t="s">
        <v>42</v>
      </c>
      <c r="O169" s="158" t="s">
        <v>1428</v>
      </c>
      <c r="P169" s="56" t="s">
        <v>179</v>
      </c>
      <c r="Q169" s="56" t="s">
        <v>179</v>
      </c>
      <c r="R169" s="56"/>
      <c r="S169" s="56">
        <v>6</v>
      </c>
      <c r="T169" s="56" t="s">
        <v>942</v>
      </c>
      <c r="U169" s="56"/>
      <c r="V169" s="56"/>
      <c r="W169" s="56"/>
      <c r="X169" s="56"/>
      <c r="Y169" s="56"/>
      <c r="Z169" s="56"/>
      <c r="AA169" s="42" t="s">
        <v>1429</v>
      </c>
      <c r="AB169" s="52" t="s">
        <v>1430</v>
      </c>
      <c r="AC169" s="52"/>
      <c r="AD169" s="45" t="s">
        <v>47</v>
      </c>
      <c r="AE169" s="101"/>
      <c r="AF169" s="36">
        <v>1</v>
      </c>
      <c r="AG169" s="47" t="s">
        <v>49</v>
      </c>
      <c r="AH169" s="48" t="s">
        <v>41</v>
      </c>
      <c r="AI169" s="48" t="s">
        <v>41</v>
      </c>
      <c r="AJ169" s="48" t="s">
        <v>41</v>
      </c>
      <c r="AK169" s="48" t="s">
        <v>41</v>
      </c>
      <c r="AL169" s="48" t="s">
        <v>41</v>
      </c>
      <c r="AM169" s="49" t="s">
        <v>41</v>
      </c>
      <c r="AN169" s="48" t="s">
        <v>41</v>
      </c>
      <c r="AO169" s="65" t="s">
        <v>4588</v>
      </c>
      <c r="AP169" s="65"/>
      <c r="AQ169" s="59" t="s">
        <v>1431</v>
      </c>
    </row>
    <row r="170" spans="1:43" x14ac:dyDescent="0.2">
      <c r="A170">
        <v>169</v>
      </c>
      <c r="B170" s="33" t="e">
        <f>+B169+1</f>
        <v>#REF!</v>
      </c>
      <c r="C170" s="34" t="s">
        <v>1432</v>
      </c>
      <c r="D170" s="35" t="s">
        <v>1433</v>
      </c>
      <c r="E170" s="36" t="s">
        <v>1434</v>
      </c>
      <c r="F170" s="334">
        <v>26378</v>
      </c>
      <c r="G170" s="36" t="s">
        <v>54</v>
      </c>
      <c r="H170" s="34" t="s">
        <v>1435</v>
      </c>
      <c r="I170" s="37" t="s">
        <v>38</v>
      </c>
      <c r="J170" s="425" t="s">
        <v>4762</v>
      </c>
      <c r="K170" s="37" t="s">
        <v>39</v>
      </c>
      <c r="L170" s="38" t="s">
        <v>1436</v>
      </c>
      <c r="M170" s="34" t="s">
        <v>41</v>
      </c>
      <c r="N170" s="39" t="s">
        <v>42</v>
      </c>
      <c r="O170" s="166" t="s">
        <v>1437</v>
      </c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42" t="s">
        <v>1438</v>
      </c>
      <c r="AB170" s="58" t="s">
        <v>1439</v>
      </c>
      <c r="AC170" s="44" t="s">
        <v>1440</v>
      </c>
      <c r="AD170" s="45">
        <v>44041</v>
      </c>
      <c r="AE170" s="101" t="s">
        <v>30</v>
      </c>
      <c r="AF170" s="36" t="s">
        <v>26</v>
      </c>
      <c r="AG170" s="175" t="s">
        <v>49</v>
      </c>
      <c r="AH170" s="48" t="s">
        <v>49</v>
      </c>
      <c r="AI170" s="48" t="s">
        <v>49</v>
      </c>
      <c r="AJ170" s="48" t="s">
        <v>49</v>
      </c>
      <c r="AK170" s="48" t="s">
        <v>49</v>
      </c>
      <c r="AL170" s="48" t="s">
        <v>49</v>
      </c>
      <c r="AM170" s="49" t="s">
        <v>41</v>
      </c>
      <c r="AN170" s="48" t="s">
        <v>41</v>
      </c>
      <c r="AO170" s="62" t="s">
        <v>276</v>
      </c>
      <c r="AP170" s="62"/>
      <c r="AQ170" s="59"/>
    </row>
    <row r="171" spans="1:43" x14ac:dyDescent="0.2">
      <c r="A171">
        <v>170</v>
      </c>
      <c r="B171" s="33" t="e">
        <f>+B170+1</f>
        <v>#REF!</v>
      </c>
      <c r="C171" s="34" t="s">
        <v>1441</v>
      </c>
      <c r="D171" s="35" t="s">
        <v>1442</v>
      </c>
      <c r="E171" s="36" t="s">
        <v>4832</v>
      </c>
      <c r="F171" s="334">
        <v>19666</v>
      </c>
      <c r="G171" s="36" t="s">
        <v>54</v>
      </c>
      <c r="H171" s="34" t="s">
        <v>1444</v>
      </c>
      <c r="I171" s="37" t="s">
        <v>73</v>
      </c>
      <c r="J171" s="425" t="s">
        <v>4765</v>
      </c>
      <c r="K171" s="37" t="s">
        <v>73</v>
      </c>
      <c r="L171" s="34" t="s">
        <v>1445</v>
      </c>
      <c r="M171" s="34" t="s">
        <v>1445</v>
      </c>
      <c r="N171" s="39" t="s">
        <v>42</v>
      </c>
      <c r="O171" s="166" t="s">
        <v>1446</v>
      </c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42" t="s">
        <v>1447</v>
      </c>
      <c r="AB171" s="58" t="s">
        <v>1448</v>
      </c>
      <c r="AC171" s="44" t="s">
        <v>61</v>
      </c>
      <c r="AD171" s="45">
        <v>34597</v>
      </c>
      <c r="AE171" s="101" t="s">
        <v>30</v>
      </c>
      <c r="AF171" s="36" t="s">
        <v>26</v>
      </c>
      <c r="AG171" s="47" t="s">
        <v>49</v>
      </c>
      <c r="AH171" s="48" t="s">
        <v>49</v>
      </c>
      <c r="AI171" s="48" t="s">
        <v>49</v>
      </c>
      <c r="AJ171" s="48" t="s">
        <v>49</v>
      </c>
      <c r="AK171" s="48" t="s">
        <v>49</v>
      </c>
      <c r="AL171" s="48" t="s">
        <v>49</v>
      </c>
      <c r="AM171" s="49" t="s">
        <v>49</v>
      </c>
      <c r="AN171" s="48" t="s">
        <v>49</v>
      </c>
      <c r="AO171" s="65" t="s">
        <v>32</v>
      </c>
      <c r="AP171" s="65"/>
      <c r="AQ171" s="59"/>
    </row>
    <row r="172" spans="1:43" x14ac:dyDescent="0.2">
      <c r="A172">
        <v>171</v>
      </c>
      <c r="B172" s="33" t="e">
        <f>+B171+1</f>
        <v>#REF!</v>
      </c>
      <c r="C172" s="34" t="s">
        <v>1449</v>
      </c>
      <c r="D172" s="35" t="s">
        <v>1450</v>
      </c>
      <c r="E172" s="36" t="s">
        <v>1451</v>
      </c>
      <c r="F172" s="334">
        <v>29786</v>
      </c>
      <c r="G172" s="36" t="s">
        <v>54</v>
      </c>
      <c r="H172" s="34" t="s">
        <v>1452</v>
      </c>
      <c r="I172" s="37" t="s">
        <v>73</v>
      </c>
      <c r="J172" s="425" t="s">
        <v>4765</v>
      </c>
      <c r="K172" s="37" t="s">
        <v>73</v>
      </c>
      <c r="L172" s="34" t="s">
        <v>1453</v>
      </c>
      <c r="M172" s="34" t="s">
        <v>41</v>
      </c>
      <c r="N172" s="39" t="s">
        <v>42</v>
      </c>
      <c r="O172" s="166" t="s">
        <v>1454</v>
      </c>
      <c r="P172" s="56"/>
      <c r="Q172" s="56"/>
      <c r="R172" s="56"/>
      <c r="S172" s="56"/>
      <c r="T172" s="56"/>
      <c r="U172" s="56" t="s">
        <v>44</v>
      </c>
      <c r="V172" s="56"/>
      <c r="W172" s="56"/>
      <c r="X172" s="56"/>
      <c r="Y172" s="56"/>
      <c r="Z172" s="56"/>
      <c r="AA172" s="42" t="s">
        <v>1455</v>
      </c>
      <c r="AB172" s="58" t="s">
        <v>1456</v>
      </c>
      <c r="AC172" s="84" t="s">
        <v>1457</v>
      </c>
      <c r="AD172" s="45">
        <v>44650</v>
      </c>
      <c r="AE172" s="101" t="s">
        <v>129</v>
      </c>
      <c r="AF172" s="36"/>
      <c r="AG172" s="47" t="s">
        <v>49</v>
      </c>
      <c r="AH172" s="48" t="s">
        <v>41</v>
      </c>
      <c r="AI172" s="48" t="s">
        <v>49</v>
      </c>
      <c r="AJ172" s="48" t="s">
        <v>41</v>
      </c>
      <c r="AK172" s="48" t="s">
        <v>41</v>
      </c>
      <c r="AL172" s="48" t="s">
        <v>41</v>
      </c>
      <c r="AM172" s="49" t="s">
        <v>41</v>
      </c>
      <c r="AN172" s="48" t="s">
        <v>41</v>
      </c>
      <c r="AO172" s="62" t="s">
        <v>110</v>
      </c>
      <c r="AP172" s="62"/>
      <c r="AQ172" s="59"/>
    </row>
    <row r="173" spans="1:43" x14ac:dyDescent="0.2">
      <c r="A173">
        <v>172</v>
      </c>
      <c r="B173" s="33" t="e">
        <f>+B172+1</f>
        <v>#REF!</v>
      </c>
      <c r="C173" s="34" t="s">
        <v>1468</v>
      </c>
      <c r="D173" s="35" t="s">
        <v>1469</v>
      </c>
      <c r="E173" s="36" t="s">
        <v>1470</v>
      </c>
      <c r="F173" s="334">
        <v>35888</v>
      </c>
      <c r="G173" s="36" t="s">
        <v>36</v>
      </c>
      <c r="H173" s="34" t="s">
        <v>1471</v>
      </c>
      <c r="I173" s="176" t="s">
        <v>38</v>
      </c>
      <c r="J173" s="425" t="s">
        <v>4762</v>
      </c>
      <c r="K173" s="176" t="s">
        <v>39</v>
      </c>
      <c r="L173" s="38" t="s">
        <v>1472</v>
      </c>
      <c r="M173" s="34" t="s">
        <v>41</v>
      </c>
      <c r="N173" s="39" t="s">
        <v>42</v>
      </c>
      <c r="O173" s="120">
        <v>45320</v>
      </c>
      <c r="P173" s="56"/>
      <c r="Q173" s="56"/>
      <c r="R173" s="56"/>
      <c r="S173" s="56"/>
      <c r="T173" s="56"/>
      <c r="U173" s="56"/>
      <c r="V173" s="56"/>
      <c r="W173" s="56"/>
      <c r="X173" s="56" t="s">
        <v>44</v>
      </c>
      <c r="Y173" s="56"/>
      <c r="Z173" s="56"/>
      <c r="AA173" s="42" t="s">
        <v>1473</v>
      </c>
      <c r="AB173" s="83" t="s">
        <v>1474</v>
      </c>
      <c r="AC173" s="44"/>
      <c r="AD173" s="45"/>
      <c r="AE173" s="101"/>
      <c r="AF173" s="36"/>
      <c r="AG173" s="47" t="s">
        <v>49</v>
      </c>
      <c r="AH173" s="48" t="s">
        <v>41</v>
      </c>
      <c r="AI173" s="48" t="s">
        <v>41</v>
      </c>
      <c r="AJ173" s="48" t="s">
        <v>41</v>
      </c>
      <c r="AK173" s="48" t="s">
        <v>41</v>
      </c>
      <c r="AL173" s="48" t="s">
        <v>49</v>
      </c>
      <c r="AM173" s="49" t="s">
        <v>49</v>
      </c>
      <c r="AN173" s="48" t="s">
        <v>41</v>
      </c>
      <c r="AO173" s="65" t="s">
        <v>148</v>
      </c>
      <c r="AP173" s="65"/>
      <c r="AQ173" s="59"/>
    </row>
    <row r="174" spans="1:43" x14ac:dyDescent="0.2">
      <c r="A174">
        <v>173</v>
      </c>
      <c r="B174" s="33" t="e">
        <f>+B173+1</f>
        <v>#REF!</v>
      </c>
      <c r="C174" s="34" t="s">
        <v>1458</v>
      </c>
      <c r="D174" s="35" t="s">
        <v>1459</v>
      </c>
      <c r="E174" s="36" t="s">
        <v>1460</v>
      </c>
      <c r="F174" s="334">
        <v>28722</v>
      </c>
      <c r="G174" s="36" t="s">
        <v>54</v>
      </c>
      <c r="H174" s="34" t="s">
        <v>1461</v>
      </c>
      <c r="I174" s="176" t="s">
        <v>4660</v>
      </c>
      <c r="J174" s="425" t="s">
        <v>4760</v>
      </c>
      <c r="K174" s="176" t="s">
        <v>39</v>
      </c>
      <c r="L174" s="34" t="s">
        <v>1462</v>
      </c>
      <c r="M174" s="34" t="s">
        <v>1463</v>
      </c>
      <c r="N174" s="39" t="s">
        <v>42</v>
      </c>
      <c r="O174" s="99" t="s">
        <v>1464</v>
      </c>
      <c r="P174" s="56"/>
      <c r="Q174" s="56"/>
      <c r="R174" s="56"/>
      <c r="S174" s="56"/>
      <c r="T174" s="56"/>
      <c r="U174" s="115"/>
      <c r="V174" s="56"/>
      <c r="W174" s="56"/>
      <c r="X174" s="56"/>
      <c r="Y174" s="56"/>
      <c r="Z174" s="56"/>
      <c r="AA174" s="42" t="s">
        <v>1465</v>
      </c>
      <c r="AB174" s="58" t="s">
        <v>1466</v>
      </c>
      <c r="AC174" s="44" t="s">
        <v>1467</v>
      </c>
      <c r="AD174" s="45">
        <v>44041</v>
      </c>
      <c r="AE174" s="101" t="s">
        <v>129</v>
      </c>
      <c r="AF174" s="36" t="s">
        <v>26</v>
      </c>
      <c r="AG174" s="47" t="s">
        <v>49</v>
      </c>
      <c r="AH174" s="48" t="s">
        <v>49</v>
      </c>
      <c r="AI174" s="48" t="s">
        <v>49</v>
      </c>
      <c r="AJ174" s="48" t="s">
        <v>49</v>
      </c>
      <c r="AK174" s="48" t="s">
        <v>49</v>
      </c>
      <c r="AL174" s="48" t="s">
        <v>49</v>
      </c>
      <c r="AM174" s="49" t="s">
        <v>49</v>
      </c>
      <c r="AN174" s="48" t="s">
        <v>49</v>
      </c>
      <c r="AO174" s="62" t="s">
        <v>32</v>
      </c>
      <c r="AP174" s="62"/>
      <c r="AQ174" s="59"/>
    </row>
    <row r="175" spans="1:43" x14ac:dyDescent="0.2">
      <c r="A175">
        <v>174</v>
      </c>
      <c r="B175" s="33" t="e">
        <f>+B174+1</f>
        <v>#REF!</v>
      </c>
      <c r="C175" s="34" t="s">
        <v>1475</v>
      </c>
      <c r="D175" s="35" t="s">
        <v>1476</v>
      </c>
      <c r="E175" s="36" t="s">
        <v>1477</v>
      </c>
      <c r="F175" s="334">
        <v>33764</v>
      </c>
      <c r="G175" s="36" t="s">
        <v>36</v>
      </c>
      <c r="H175" s="34" t="s">
        <v>1478</v>
      </c>
      <c r="I175" s="37" t="s">
        <v>205</v>
      </c>
      <c r="J175" s="425" t="s">
        <v>4764</v>
      </c>
      <c r="K175" s="37" t="s">
        <v>205</v>
      </c>
      <c r="L175" s="34" t="s">
        <v>1479</v>
      </c>
      <c r="M175" s="34" t="s">
        <v>1480</v>
      </c>
      <c r="N175" s="39" t="s">
        <v>42</v>
      </c>
      <c r="O175" s="120">
        <v>37112</v>
      </c>
      <c r="P175" s="41"/>
      <c r="Q175" s="41"/>
      <c r="R175" s="41"/>
      <c r="S175" s="41"/>
      <c r="T175" s="41"/>
      <c r="U175" s="177"/>
      <c r="V175" s="112"/>
      <c r="W175" s="41" t="s">
        <v>732</v>
      </c>
      <c r="X175" s="41"/>
      <c r="Y175" s="41"/>
      <c r="Z175" s="41"/>
      <c r="AA175" s="42" t="s">
        <v>1481</v>
      </c>
      <c r="AB175" s="58" t="s">
        <v>1482</v>
      </c>
      <c r="AC175" s="58"/>
      <c r="AD175" s="45">
        <v>45642</v>
      </c>
      <c r="AE175" s="101"/>
      <c r="AF175" s="36" t="s">
        <v>26</v>
      </c>
      <c r="AG175" s="47" t="s">
        <v>49</v>
      </c>
      <c r="AH175" s="48" t="s">
        <v>49</v>
      </c>
      <c r="AI175" s="48" t="s">
        <v>49</v>
      </c>
      <c r="AJ175" s="48" t="s">
        <v>49</v>
      </c>
      <c r="AK175" s="48" t="s">
        <v>49</v>
      </c>
      <c r="AL175" s="48" t="s">
        <v>49</v>
      </c>
      <c r="AM175" s="49" t="s">
        <v>49</v>
      </c>
      <c r="AN175" s="48" t="s">
        <v>49</v>
      </c>
      <c r="AO175" s="65" t="s">
        <v>32</v>
      </c>
      <c r="AP175" s="65"/>
      <c r="AQ175" s="59"/>
    </row>
    <row r="176" spans="1:43" x14ac:dyDescent="0.2">
      <c r="A176">
        <v>175</v>
      </c>
      <c r="B176" s="33" t="e">
        <f>+B175+1</f>
        <v>#REF!</v>
      </c>
      <c r="C176" s="34" t="s">
        <v>1483</v>
      </c>
      <c r="D176" s="35" t="s">
        <v>1484</v>
      </c>
      <c r="E176" s="36" t="s">
        <v>1485</v>
      </c>
      <c r="F176" s="334">
        <v>28719</v>
      </c>
      <c r="G176" s="36" t="s">
        <v>54</v>
      </c>
      <c r="H176" s="34" t="s">
        <v>1486</v>
      </c>
      <c r="I176" s="37" t="s">
        <v>73</v>
      </c>
      <c r="J176" s="425" t="s">
        <v>4765</v>
      </c>
      <c r="K176" s="37" t="s">
        <v>73</v>
      </c>
      <c r="L176" s="34" t="s">
        <v>1445</v>
      </c>
      <c r="M176" s="34" t="s">
        <v>1445</v>
      </c>
      <c r="N176" s="39" t="s">
        <v>42</v>
      </c>
      <c r="O176" s="166" t="s">
        <v>1487</v>
      </c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2" t="s">
        <v>1488</v>
      </c>
      <c r="AB176" s="43" t="s">
        <v>1489</v>
      </c>
      <c r="AC176" s="44" t="s">
        <v>61</v>
      </c>
      <c r="AD176" s="45">
        <v>39286</v>
      </c>
      <c r="AE176" s="101" t="s">
        <v>30</v>
      </c>
      <c r="AF176" s="36" t="s">
        <v>26</v>
      </c>
      <c r="AG176" s="47" t="s">
        <v>49</v>
      </c>
      <c r="AH176" s="48" t="s">
        <v>49</v>
      </c>
      <c r="AI176" s="48" t="s">
        <v>49</v>
      </c>
      <c r="AJ176" s="48" t="s">
        <v>49</v>
      </c>
      <c r="AK176" s="48" t="s">
        <v>49</v>
      </c>
      <c r="AL176" s="48" t="s">
        <v>49</v>
      </c>
      <c r="AM176" s="49" t="s">
        <v>49</v>
      </c>
      <c r="AN176" s="48" t="s">
        <v>49</v>
      </c>
      <c r="AO176" s="65" t="s">
        <v>32</v>
      </c>
      <c r="AP176" s="65"/>
      <c r="AQ176" s="59"/>
    </row>
    <row r="177" spans="1:43" x14ac:dyDescent="0.2">
      <c r="A177">
        <v>176</v>
      </c>
      <c r="B177" s="33" t="e">
        <f>+B176+1</f>
        <v>#REF!</v>
      </c>
      <c r="C177" s="34" t="s">
        <v>1490</v>
      </c>
      <c r="D177" s="35" t="s">
        <v>1491</v>
      </c>
      <c r="E177" s="36" t="s">
        <v>4804</v>
      </c>
      <c r="F177" s="36"/>
      <c r="G177" s="36" t="s">
        <v>54</v>
      </c>
      <c r="H177" s="98" t="s">
        <v>1493</v>
      </c>
      <c r="I177" s="37" t="s">
        <v>528</v>
      </c>
      <c r="J177" s="425" t="s">
        <v>4756</v>
      </c>
      <c r="K177" s="37" t="s">
        <v>57</v>
      </c>
      <c r="L177" s="34" t="s">
        <v>1494</v>
      </c>
      <c r="M177" s="34" t="s">
        <v>1495</v>
      </c>
      <c r="N177" s="39" t="s">
        <v>42</v>
      </c>
      <c r="O177" s="99" t="s">
        <v>1496</v>
      </c>
      <c r="P177" s="115"/>
      <c r="Q177" s="115"/>
      <c r="R177" s="115"/>
      <c r="S177" s="115"/>
      <c r="T177" s="115"/>
      <c r="U177" s="115"/>
      <c r="V177" s="115"/>
      <c r="W177" s="56"/>
      <c r="X177" s="56"/>
      <c r="Y177" s="56"/>
      <c r="Z177" s="56"/>
      <c r="AA177" s="42" t="s">
        <v>1497</v>
      </c>
      <c r="AB177" s="58" t="s">
        <v>1498</v>
      </c>
      <c r="AC177" s="44" t="s">
        <v>61</v>
      </c>
      <c r="AD177" s="45">
        <v>36641</v>
      </c>
      <c r="AE177" s="101" t="s">
        <v>30</v>
      </c>
      <c r="AF177" s="36" t="s">
        <v>26</v>
      </c>
      <c r="AG177" s="47" t="s">
        <v>49</v>
      </c>
      <c r="AH177" s="48" t="s">
        <v>49</v>
      </c>
      <c r="AI177" s="48" t="s">
        <v>41</v>
      </c>
      <c r="AJ177" s="48" t="s">
        <v>41</v>
      </c>
      <c r="AK177" s="48" t="s">
        <v>41</v>
      </c>
      <c r="AL177" s="48" t="s">
        <v>41</v>
      </c>
      <c r="AM177" s="49" t="s">
        <v>41</v>
      </c>
      <c r="AN177" s="48" t="s">
        <v>41</v>
      </c>
      <c r="AO177" s="62" t="s">
        <v>4587</v>
      </c>
      <c r="AP177" s="62"/>
      <c r="AQ177" s="59"/>
    </row>
    <row r="178" spans="1:43" x14ac:dyDescent="0.2">
      <c r="A178">
        <v>177</v>
      </c>
      <c r="B178" s="33" t="e">
        <f>+B177+1</f>
        <v>#REF!</v>
      </c>
      <c r="C178" s="34" t="s">
        <v>1499</v>
      </c>
      <c r="D178" s="35" t="s">
        <v>1500</v>
      </c>
      <c r="E178" s="36" t="s">
        <v>4611</v>
      </c>
      <c r="F178" s="334">
        <v>34891</v>
      </c>
      <c r="G178" s="36" t="s">
        <v>54</v>
      </c>
      <c r="H178" s="34" t="s">
        <v>1501</v>
      </c>
      <c r="I178" s="37" t="s">
        <v>73</v>
      </c>
      <c r="J178" s="425" t="s">
        <v>4765</v>
      </c>
      <c r="K178" s="37" t="s">
        <v>73</v>
      </c>
      <c r="L178" s="34" t="s">
        <v>1502</v>
      </c>
      <c r="M178" s="34" t="s">
        <v>41</v>
      </c>
      <c r="N178" s="39" t="s">
        <v>42</v>
      </c>
      <c r="O178" s="99" t="s">
        <v>1503</v>
      </c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42" t="s">
        <v>4612</v>
      </c>
      <c r="AB178" s="58" t="s">
        <v>1504</v>
      </c>
      <c r="AC178" s="44" t="s">
        <v>61</v>
      </c>
      <c r="AD178" s="45">
        <v>36641</v>
      </c>
      <c r="AE178" s="101" t="s">
        <v>30</v>
      </c>
      <c r="AF178" s="36" t="s">
        <v>26</v>
      </c>
      <c r="AG178" s="47" t="s">
        <v>49</v>
      </c>
      <c r="AH178" s="48" t="s">
        <v>49</v>
      </c>
      <c r="AI178" s="48" t="s">
        <v>49</v>
      </c>
      <c r="AJ178" s="48" t="s">
        <v>49</v>
      </c>
      <c r="AK178" s="48" t="s">
        <v>49</v>
      </c>
      <c r="AL178" s="48" t="s">
        <v>49</v>
      </c>
      <c r="AM178" s="49" t="s">
        <v>49</v>
      </c>
      <c r="AN178" s="48" t="s">
        <v>49</v>
      </c>
      <c r="AO178" s="65" t="s">
        <v>32</v>
      </c>
      <c r="AP178" s="65"/>
      <c r="AQ178" s="59"/>
    </row>
    <row r="179" spans="1:43" x14ac:dyDescent="0.2">
      <c r="A179">
        <v>178</v>
      </c>
      <c r="B179" s="33" t="e">
        <f>+B178+1</f>
        <v>#REF!</v>
      </c>
      <c r="C179" s="34" t="s">
        <v>1505</v>
      </c>
      <c r="D179" s="35" t="s">
        <v>1506</v>
      </c>
      <c r="E179" s="36" t="s">
        <v>1507</v>
      </c>
      <c r="F179" s="334">
        <v>27331</v>
      </c>
      <c r="G179" s="36" t="s">
        <v>54</v>
      </c>
      <c r="H179" s="34" t="s">
        <v>1508</v>
      </c>
      <c r="I179" s="37" t="s">
        <v>176</v>
      </c>
      <c r="J179" s="425" t="s">
        <v>4761</v>
      </c>
      <c r="K179" s="37" t="s">
        <v>39</v>
      </c>
      <c r="L179" s="34" t="s">
        <v>1509</v>
      </c>
      <c r="M179" s="34" t="s">
        <v>1509</v>
      </c>
      <c r="N179" s="39" t="s">
        <v>42</v>
      </c>
      <c r="O179" s="158" t="s">
        <v>1510</v>
      </c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2" t="s">
        <v>1511</v>
      </c>
      <c r="AB179" s="69" t="s">
        <v>1512</v>
      </c>
      <c r="AC179" s="44" t="s">
        <v>61</v>
      </c>
      <c r="AD179" s="45">
        <v>36803</v>
      </c>
      <c r="AE179" s="101" t="s">
        <v>30</v>
      </c>
      <c r="AF179" s="36"/>
      <c r="AG179" s="47" t="s">
        <v>49</v>
      </c>
      <c r="AH179" s="48" t="s">
        <v>49</v>
      </c>
      <c r="AI179" s="48" t="s">
        <v>49</v>
      </c>
      <c r="AJ179" s="48" t="s">
        <v>49</v>
      </c>
      <c r="AK179" s="48" t="s">
        <v>49</v>
      </c>
      <c r="AL179" s="48" t="s">
        <v>49</v>
      </c>
      <c r="AM179" s="49" t="s">
        <v>49</v>
      </c>
      <c r="AN179" s="48" t="s">
        <v>49</v>
      </c>
      <c r="AO179" s="65" t="s">
        <v>32</v>
      </c>
      <c r="AP179" s="65"/>
      <c r="AQ179" s="59"/>
    </row>
    <row r="180" spans="1:43" x14ac:dyDescent="0.2">
      <c r="A180">
        <v>179</v>
      </c>
      <c r="B180" s="33" t="e">
        <f>+B179+1</f>
        <v>#REF!</v>
      </c>
      <c r="C180" s="34" t="s">
        <v>1513</v>
      </c>
      <c r="D180" s="35" t="s">
        <v>1514</v>
      </c>
      <c r="E180" s="89" t="s">
        <v>1515</v>
      </c>
      <c r="F180" s="340">
        <v>32336</v>
      </c>
      <c r="G180" s="36" t="s">
        <v>36</v>
      </c>
      <c r="H180" s="34" t="s">
        <v>1516</v>
      </c>
      <c r="I180" s="37" t="s">
        <v>205</v>
      </c>
      <c r="J180" s="425" t="s">
        <v>4764</v>
      </c>
      <c r="K180" s="37" t="s">
        <v>205</v>
      </c>
      <c r="L180" s="38" t="s">
        <v>1517</v>
      </c>
      <c r="M180" s="394" t="s">
        <v>41</v>
      </c>
      <c r="N180" s="39" t="s">
        <v>42</v>
      </c>
      <c r="O180" s="158" t="s">
        <v>1518</v>
      </c>
      <c r="P180" s="41"/>
      <c r="Q180" s="41"/>
      <c r="R180" s="41"/>
      <c r="S180" s="41"/>
      <c r="T180" s="41"/>
      <c r="U180" s="41"/>
      <c r="V180" s="41"/>
      <c r="W180" s="41" t="s">
        <v>44</v>
      </c>
      <c r="X180" s="41"/>
      <c r="Y180" s="41"/>
      <c r="Z180" s="41"/>
      <c r="AA180" s="42" t="s">
        <v>1519</v>
      </c>
      <c r="AB180" s="58" t="s">
        <v>1520</v>
      </c>
      <c r="AC180" s="44"/>
      <c r="AD180" s="45">
        <v>45642</v>
      </c>
      <c r="AE180" s="101"/>
      <c r="AF180" s="36"/>
      <c r="AG180" s="47" t="s">
        <v>49</v>
      </c>
      <c r="AH180" s="48" t="s">
        <v>41</v>
      </c>
      <c r="AI180" s="48" t="s">
        <v>41</v>
      </c>
      <c r="AJ180" s="48" t="s">
        <v>41</v>
      </c>
      <c r="AK180" s="48" t="s">
        <v>49</v>
      </c>
      <c r="AL180" s="48" t="s">
        <v>49</v>
      </c>
      <c r="AM180" s="49" t="s">
        <v>49</v>
      </c>
      <c r="AN180" s="48" t="s">
        <v>49</v>
      </c>
      <c r="AO180" s="65" t="s">
        <v>32</v>
      </c>
      <c r="AP180" s="65"/>
      <c r="AQ180" s="59"/>
    </row>
    <row r="181" spans="1:43" x14ac:dyDescent="0.2">
      <c r="A181">
        <v>180</v>
      </c>
      <c r="B181" s="33" t="e">
        <f>+B180+1</f>
        <v>#REF!</v>
      </c>
      <c r="C181" s="34" t="s">
        <v>1521</v>
      </c>
      <c r="D181" s="35" t="s">
        <v>1522</v>
      </c>
      <c r="E181" s="36" t="s">
        <v>1523</v>
      </c>
      <c r="F181" s="334">
        <v>27941</v>
      </c>
      <c r="G181" s="36" t="s">
        <v>54</v>
      </c>
      <c r="H181" s="34" t="s">
        <v>1524</v>
      </c>
      <c r="I181" s="37" t="s">
        <v>73</v>
      </c>
      <c r="J181" s="425" t="s">
        <v>4765</v>
      </c>
      <c r="K181" s="37" t="s">
        <v>73</v>
      </c>
      <c r="L181" s="38" t="s">
        <v>1525</v>
      </c>
      <c r="M181" s="38" t="s">
        <v>1525</v>
      </c>
      <c r="N181" s="178" t="s">
        <v>42</v>
      </c>
      <c r="O181" s="158" t="s">
        <v>1526</v>
      </c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42" t="s">
        <v>1527</v>
      </c>
      <c r="AB181" s="58" t="s">
        <v>1528</v>
      </c>
      <c r="AC181" s="44" t="s">
        <v>1529</v>
      </c>
      <c r="AD181" s="45">
        <v>42935</v>
      </c>
      <c r="AE181" s="180" t="s">
        <v>30</v>
      </c>
      <c r="AF181" s="36" t="s">
        <v>26</v>
      </c>
      <c r="AG181" s="181" t="s">
        <v>49</v>
      </c>
      <c r="AH181" s="48" t="s">
        <v>49</v>
      </c>
      <c r="AI181" s="48" t="s">
        <v>49</v>
      </c>
      <c r="AJ181" s="48" t="s">
        <v>41</v>
      </c>
      <c r="AK181" s="48" t="s">
        <v>41</v>
      </c>
      <c r="AL181" s="48" t="s">
        <v>41</v>
      </c>
      <c r="AM181" s="49" t="s">
        <v>41</v>
      </c>
      <c r="AN181" s="48" t="s">
        <v>41</v>
      </c>
      <c r="AO181" s="62" t="s">
        <v>110</v>
      </c>
      <c r="AP181" s="62"/>
      <c r="AQ181" s="59"/>
    </row>
    <row r="182" spans="1:43" x14ac:dyDescent="0.2">
      <c r="A182">
        <v>181</v>
      </c>
      <c r="B182" s="33" t="e">
        <f>+B181+1</f>
        <v>#REF!</v>
      </c>
      <c r="C182" s="34" t="s">
        <v>1530</v>
      </c>
      <c r="D182" s="35" t="s">
        <v>1531</v>
      </c>
      <c r="E182" s="36" t="s">
        <v>4783</v>
      </c>
      <c r="F182" s="334">
        <v>24182</v>
      </c>
      <c r="G182" s="36" t="s">
        <v>36</v>
      </c>
      <c r="H182" s="87" t="s">
        <v>1533</v>
      </c>
      <c r="I182" s="182" t="s">
        <v>73</v>
      </c>
      <c r="J182" s="425" t="s">
        <v>4765</v>
      </c>
      <c r="K182" s="182" t="s">
        <v>73</v>
      </c>
      <c r="L182" s="405" t="s">
        <v>1534</v>
      </c>
      <c r="M182" s="38" t="s">
        <v>1534</v>
      </c>
      <c r="N182" s="178" t="s">
        <v>42</v>
      </c>
      <c r="O182" s="158" t="s">
        <v>1535</v>
      </c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42" t="s">
        <v>1536</v>
      </c>
      <c r="AB182" s="58" t="s">
        <v>1537</v>
      </c>
      <c r="AC182" s="119" t="s">
        <v>1538</v>
      </c>
      <c r="AD182" s="45">
        <v>42935</v>
      </c>
      <c r="AE182" s="180" t="s">
        <v>30</v>
      </c>
      <c r="AF182" s="36" t="s">
        <v>26</v>
      </c>
      <c r="AG182" s="181" t="s">
        <v>49</v>
      </c>
      <c r="AH182" s="48" t="s">
        <v>49</v>
      </c>
      <c r="AI182" s="48" t="s">
        <v>49</v>
      </c>
      <c r="AJ182" s="48" t="s">
        <v>49</v>
      </c>
      <c r="AK182" s="48" t="s">
        <v>49</v>
      </c>
      <c r="AL182" s="48" t="s">
        <v>49</v>
      </c>
      <c r="AM182" s="49" t="s">
        <v>49</v>
      </c>
      <c r="AN182" s="48" t="s">
        <v>49</v>
      </c>
      <c r="AO182" s="65" t="s">
        <v>32</v>
      </c>
      <c r="AP182" s="65"/>
      <c r="AQ182" s="184"/>
    </row>
    <row r="183" spans="1:43" x14ac:dyDescent="0.2">
      <c r="A183">
        <v>182</v>
      </c>
      <c r="B183" s="33" t="e">
        <f>+B182+1</f>
        <v>#REF!</v>
      </c>
      <c r="C183" s="34" t="s">
        <v>1539</v>
      </c>
      <c r="D183" s="35" t="s">
        <v>1540</v>
      </c>
      <c r="E183" s="174" t="s">
        <v>4614</v>
      </c>
      <c r="F183" s="341">
        <v>32896</v>
      </c>
      <c r="G183" s="36" t="s">
        <v>54</v>
      </c>
      <c r="H183" s="108" t="s">
        <v>1542</v>
      </c>
      <c r="I183" s="37" t="s">
        <v>1285</v>
      </c>
      <c r="J183" s="425" t="s">
        <v>4752</v>
      </c>
      <c r="K183" s="37" t="s">
        <v>350</v>
      </c>
      <c r="L183" s="140" t="s">
        <v>1543</v>
      </c>
      <c r="M183" s="108" t="s">
        <v>41</v>
      </c>
      <c r="N183" s="39" t="s">
        <v>42</v>
      </c>
      <c r="O183" s="158" t="s">
        <v>1544</v>
      </c>
      <c r="P183" s="56"/>
      <c r="Q183" s="56"/>
      <c r="R183" s="56"/>
      <c r="S183" s="56"/>
      <c r="T183" s="56"/>
      <c r="U183" s="56"/>
      <c r="V183" s="56"/>
      <c r="W183" s="56" t="s">
        <v>44</v>
      </c>
      <c r="X183" s="56"/>
      <c r="Y183" s="56"/>
      <c r="Z183" s="56"/>
      <c r="AA183" s="42" t="s">
        <v>1545</v>
      </c>
      <c r="AB183" s="58" t="s">
        <v>1546</v>
      </c>
      <c r="AC183" s="58"/>
      <c r="AD183" s="45">
        <v>45642</v>
      </c>
      <c r="AE183" s="101"/>
      <c r="AF183" s="109"/>
      <c r="AG183" s="47" t="s">
        <v>49</v>
      </c>
      <c r="AH183" s="48" t="s">
        <v>41</v>
      </c>
      <c r="AI183" s="48" t="s">
        <v>41</v>
      </c>
      <c r="AJ183" s="48" t="s">
        <v>41</v>
      </c>
      <c r="AK183" s="48" t="s">
        <v>49</v>
      </c>
      <c r="AL183" s="48" t="s">
        <v>49</v>
      </c>
      <c r="AM183" s="49" t="s">
        <v>49</v>
      </c>
      <c r="AN183" s="48" t="s">
        <v>49</v>
      </c>
      <c r="AO183" s="65" t="s">
        <v>32</v>
      </c>
      <c r="AP183" s="65"/>
      <c r="AQ183" s="59"/>
    </row>
    <row r="184" spans="1:43" x14ac:dyDescent="0.2">
      <c r="A184">
        <v>183</v>
      </c>
      <c r="B184" s="33" t="e">
        <f>+B183+1</f>
        <v>#REF!</v>
      </c>
      <c r="C184" s="34" t="s">
        <v>1547</v>
      </c>
      <c r="D184" s="35" t="s">
        <v>1548</v>
      </c>
      <c r="E184" s="174" t="s">
        <v>4786</v>
      </c>
      <c r="F184" s="341">
        <v>24722</v>
      </c>
      <c r="G184" s="36" t="s">
        <v>54</v>
      </c>
      <c r="H184" s="185" t="s">
        <v>1550</v>
      </c>
      <c r="I184" s="126" t="s">
        <v>73</v>
      </c>
      <c r="J184" s="425" t="s">
        <v>4765</v>
      </c>
      <c r="K184" s="126" t="s">
        <v>73</v>
      </c>
      <c r="L184" s="395" t="s">
        <v>1551</v>
      </c>
      <c r="M184" s="108" t="s">
        <v>1552</v>
      </c>
      <c r="N184" s="39" t="s">
        <v>42</v>
      </c>
      <c r="O184" s="158" t="s">
        <v>1553</v>
      </c>
      <c r="P184" s="56"/>
      <c r="Q184" s="137"/>
      <c r="R184" s="137"/>
      <c r="S184" s="137"/>
      <c r="T184" s="137"/>
      <c r="U184" s="409"/>
      <c r="V184" s="115"/>
      <c r="W184" s="56"/>
      <c r="X184" s="56"/>
      <c r="Y184" s="56"/>
      <c r="Z184" s="56"/>
      <c r="AA184" s="42" t="s">
        <v>1554</v>
      </c>
      <c r="AB184" s="58" t="s">
        <v>1555</v>
      </c>
      <c r="AC184" s="121" t="s">
        <v>1556</v>
      </c>
      <c r="AD184" s="45">
        <v>44650</v>
      </c>
      <c r="AE184" s="101" t="s">
        <v>30</v>
      </c>
      <c r="AF184" s="109" t="s">
        <v>26</v>
      </c>
      <c r="AG184" s="47" t="s">
        <v>49</v>
      </c>
      <c r="AH184" s="48" t="s">
        <v>49</v>
      </c>
      <c r="AI184" s="48" t="s">
        <v>49</v>
      </c>
      <c r="AJ184" s="48" t="s">
        <v>49</v>
      </c>
      <c r="AK184" s="48" t="s">
        <v>49</v>
      </c>
      <c r="AL184" s="48" t="s">
        <v>49</v>
      </c>
      <c r="AM184" s="49" t="s">
        <v>49</v>
      </c>
      <c r="AN184" s="48" t="s">
        <v>49</v>
      </c>
      <c r="AO184" s="62" t="s">
        <v>32</v>
      </c>
      <c r="AP184" s="62"/>
      <c r="AQ184" s="59"/>
    </row>
    <row r="185" spans="1:43" x14ac:dyDescent="0.2">
      <c r="A185">
        <v>184</v>
      </c>
      <c r="B185" s="33" t="e">
        <f>+B184+1</f>
        <v>#REF!</v>
      </c>
      <c r="C185" s="34" t="s">
        <v>1557</v>
      </c>
      <c r="D185" s="35" t="s">
        <v>1558</v>
      </c>
      <c r="E185" s="174" t="s">
        <v>1559</v>
      </c>
      <c r="F185" s="341">
        <v>29384</v>
      </c>
      <c r="G185" s="36" t="s">
        <v>54</v>
      </c>
      <c r="H185" s="108" t="s">
        <v>1560</v>
      </c>
      <c r="I185" s="37" t="s">
        <v>73</v>
      </c>
      <c r="J185" s="425" t="s">
        <v>4765</v>
      </c>
      <c r="K185" s="37" t="s">
        <v>73</v>
      </c>
      <c r="L185" s="140" t="s">
        <v>1561</v>
      </c>
      <c r="M185" s="108"/>
      <c r="N185" s="39" t="s">
        <v>42</v>
      </c>
      <c r="O185" s="158" t="s">
        <v>1562</v>
      </c>
      <c r="P185" s="56"/>
      <c r="Q185" s="56"/>
      <c r="R185" s="56"/>
      <c r="S185" s="56"/>
      <c r="T185" s="115"/>
      <c r="U185" s="115" t="s">
        <v>44</v>
      </c>
      <c r="V185" s="115"/>
      <c r="W185" s="56"/>
      <c r="X185" s="56"/>
      <c r="Y185" s="56"/>
      <c r="Z185" s="56"/>
      <c r="AA185" s="42" t="s">
        <v>1563</v>
      </c>
      <c r="AB185" s="58" t="s">
        <v>1564</v>
      </c>
      <c r="AC185" s="44" t="s">
        <v>1565</v>
      </c>
      <c r="AD185" s="45">
        <v>44944</v>
      </c>
      <c r="AE185" s="101" t="s">
        <v>30</v>
      </c>
      <c r="AF185" s="109"/>
      <c r="AG185" s="47" t="s">
        <v>49</v>
      </c>
      <c r="AH185" s="48" t="s">
        <v>41</v>
      </c>
      <c r="AI185" s="48" t="s">
        <v>49</v>
      </c>
      <c r="AJ185" s="48" t="s">
        <v>49</v>
      </c>
      <c r="AK185" s="48" t="s">
        <v>49</v>
      </c>
      <c r="AL185" s="48" t="s">
        <v>49</v>
      </c>
      <c r="AM185" s="49" t="s">
        <v>49</v>
      </c>
      <c r="AN185" s="48" t="s">
        <v>49</v>
      </c>
      <c r="AO185" s="62" t="s">
        <v>32</v>
      </c>
      <c r="AP185" s="62"/>
      <c r="AQ185" s="59"/>
    </row>
    <row r="186" spans="1:43" x14ac:dyDescent="0.2">
      <c r="A186">
        <v>185</v>
      </c>
      <c r="B186" s="33" t="e">
        <f>+B185+1</f>
        <v>#REF!</v>
      </c>
      <c r="C186" s="34" t="s">
        <v>1566</v>
      </c>
      <c r="D186" s="35" t="s">
        <v>1567</v>
      </c>
      <c r="E186" s="36" t="s">
        <v>1568</v>
      </c>
      <c r="F186" s="36"/>
      <c r="G186" s="36" t="s">
        <v>54</v>
      </c>
      <c r="H186" s="98" t="s">
        <v>1569</v>
      </c>
      <c r="I186" s="37" t="s">
        <v>73</v>
      </c>
      <c r="J186" s="425" t="s">
        <v>4765</v>
      </c>
      <c r="K186" s="37" t="s">
        <v>73</v>
      </c>
      <c r="L186" s="34" t="s">
        <v>1570</v>
      </c>
      <c r="M186" s="34" t="s">
        <v>1571</v>
      </c>
      <c r="N186" s="39" t="s">
        <v>42</v>
      </c>
      <c r="O186" s="158" t="s">
        <v>1572</v>
      </c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2" t="s">
        <v>1573</v>
      </c>
      <c r="AB186" s="52" t="s">
        <v>1574</v>
      </c>
      <c r="AC186" s="44" t="s">
        <v>61</v>
      </c>
      <c r="AD186" s="45">
        <v>36641</v>
      </c>
      <c r="AE186" s="101" t="s">
        <v>30</v>
      </c>
      <c r="AF186" s="36"/>
      <c r="AG186" s="47" t="s">
        <v>49</v>
      </c>
      <c r="AH186" s="48" t="s">
        <v>41</v>
      </c>
      <c r="AI186" s="48" t="s">
        <v>41</v>
      </c>
      <c r="AJ186" s="48" t="s">
        <v>41</v>
      </c>
      <c r="AK186" s="48" t="s">
        <v>41</v>
      </c>
      <c r="AL186" s="48" t="s">
        <v>41</v>
      </c>
      <c r="AM186" s="49" t="s">
        <v>41</v>
      </c>
      <c r="AN186" s="48" t="s">
        <v>41</v>
      </c>
      <c r="AO186" s="65" t="s">
        <v>4592</v>
      </c>
      <c r="AP186" s="65"/>
      <c r="AQ186" s="59"/>
    </row>
    <row r="187" spans="1:43" x14ac:dyDescent="0.2">
      <c r="A187">
        <v>186</v>
      </c>
      <c r="B187" s="33" t="e">
        <f>+B186+1</f>
        <v>#REF!</v>
      </c>
      <c r="C187" s="34" t="s">
        <v>1575</v>
      </c>
      <c r="D187" s="35" t="s">
        <v>1576</v>
      </c>
      <c r="E187" s="36" t="s">
        <v>1577</v>
      </c>
      <c r="F187" s="334">
        <v>32317</v>
      </c>
      <c r="G187" s="36" t="s">
        <v>54</v>
      </c>
      <c r="H187" s="34" t="s">
        <v>1578</v>
      </c>
      <c r="I187" s="37" t="s">
        <v>73</v>
      </c>
      <c r="J187" s="425" t="s">
        <v>4765</v>
      </c>
      <c r="K187" s="37" t="s">
        <v>73</v>
      </c>
      <c r="L187" s="34" t="s">
        <v>1579</v>
      </c>
      <c r="M187" s="34" t="s">
        <v>1579</v>
      </c>
      <c r="N187" s="39" t="s">
        <v>42</v>
      </c>
      <c r="O187" s="99" t="s">
        <v>1580</v>
      </c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42" t="s">
        <v>1581</v>
      </c>
      <c r="AB187" s="52" t="s">
        <v>1582</v>
      </c>
      <c r="AC187" s="44" t="s">
        <v>61</v>
      </c>
      <c r="AD187" s="45">
        <v>40815</v>
      </c>
      <c r="AE187" s="101" t="s">
        <v>129</v>
      </c>
      <c r="AF187" s="73" t="s">
        <v>26</v>
      </c>
      <c r="AG187" s="61" t="s">
        <v>49</v>
      </c>
      <c r="AH187" s="48" t="s">
        <v>49</v>
      </c>
      <c r="AI187" s="48" t="s">
        <v>49</v>
      </c>
      <c r="AJ187" s="48" t="s">
        <v>49</v>
      </c>
      <c r="AK187" s="48" t="s">
        <v>49</v>
      </c>
      <c r="AL187" s="48" t="s">
        <v>49</v>
      </c>
      <c r="AM187" s="49" t="s">
        <v>49</v>
      </c>
      <c r="AN187" s="48" t="s">
        <v>49</v>
      </c>
      <c r="AO187" s="65" t="s">
        <v>32</v>
      </c>
      <c r="AP187" s="65"/>
      <c r="AQ187" s="59"/>
    </row>
    <row r="188" spans="1:43" x14ac:dyDescent="0.2">
      <c r="A188">
        <v>187</v>
      </c>
      <c r="B188" s="33" t="e">
        <f>+B187+1</f>
        <v>#REF!</v>
      </c>
      <c r="C188" s="34" t="s">
        <v>1583</v>
      </c>
      <c r="D188" s="35" t="s">
        <v>1584</v>
      </c>
      <c r="E188" s="36" t="s">
        <v>1585</v>
      </c>
      <c r="F188" s="334">
        <v>34372</v>
      </c>
      <c r="G188" s="36" t="s">
        <v>54</v>
      </c>
      <c r="H188" s="98" t="s">
        <v>1586</v>
      </c>
      <c r="I188" s="37" t="s">
        <v>73</v>
      </c>
      <c r="J188" s="425" t="s">
        <v>4765</v>
      </c>
      <c r="K188" s="37" t="s">
        <v>73</v>
      </c>
      <c r="L188" s="54" t="s">
        <v>1587</v>
      </c>
      <c r="M188" s="34" t="s">
        <v>41</v>
      </c>
      <c r="N188" s="39" t="s">
        <v>42</v>
      </c>
      <c r="O188" s="158" t="s">
        <v>1588</v>
      </c>
      <c r="P188" s="56"/>
      <c r="Q188" s="56"/>
      <c r="R188" s="56"/>
      <c r="S188" s="56"/>
      <c r="T188" s="56"/>
      <c r="U188" s="56"/>
      <c r="V188" s="56"/>
      <c r="W188" s="56"/>
      <c r="X188" s="56"/>
      <c r="Y188" s="56" t="s">
        <v>732</v>
      </c>
      <c r="Z188" s="56"/>
      <c r="AA188" s="54" t="s">
        <v>1589</v>
      </c>
      <c r="AB188" s="58" t="s">
        <v>1590</v>
      </c>
      <c r="AC188" s="44"/>
      <c r="AD188" s="45"/>
      <c r="AE188" s="101" t="s">
        <v>30</v>
      </c>
      <c r="AF188" s="36" t="s">
        <v>26</v>
      </c>
      <c r="AG188" s="47" t="s">
        <v>49</v>
      </c>
      <c r="AH188" s="48" t="s">
        <v>49</v>
      </c>
      <c r="AI188" s="48" t="s">
        <v>49</v>
      </c>
      <c r="AJ188" s="48" t="s">
        <v>49</v>
      </c>
      <c r="AK188" s="48" t="s">
        <v>49</v>
      </c>
      <c r="AL188" s="48" t="s">
        <v>49</v>
      </c>
      <c r="AM188" s="49" t="s">
        <v>49</v>
      </c>
      <c r="AN188" s="48" t="s">
        <v>49</v>
      </c>
      <c r="AO188" s="62" t="s">
        <v>32</v>
      </c>
      <c r="AP188" s="62"/>
      <c r="AQ188" s="59"/>
    </row>
    <row r="189" spans="1:43" x14ac:dyDescent="0.2">
      <c r="A189">
        <v>188</v>
      </c>
      <c r="B189" s="33" t="e">
        <f>+B188+1</f>
        <v>#REF!</v>
      </c>
      <c r="C189" s="34" t="s">
        <v>1591</v>
      </c>
      <c r="D189" s="35" t="s">
        <v>1592</v>
      </c>
      <c r="E189" s="36" t="s">
        <v>1593</v>
      </c>
      <c r="F189" s="334">
        <v>30522</v>
      </c>
      <c r="G189" s="36" t="s">
        <v>54</v>
      </c>
      <c r="H189" s="98" t="s">
        <v>1594</v>
      </c>
      <c r="I189" s="37" t="s">
        <v>4605</v>
      </c>
      <c r="J189" s="425" t="s">
        <v>4747</v>
      </c>
      <c r="K189" s="37" t="s">
        <v>205</v>
      </c>
      <c r="L189" s="38" t="s">
        <v>1595</v>
      </c>
      <c r="M189" s="34" t="s">
        <v>41</v>
      </c>
      <c r="N189" s="39" t="s">
        <v>42</v>
      </c>
      <c r="O189" s="158" t="s">
        <v>1596</v>
      </c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42" t="s">
        <v>1152</v>
      </c>
      <c r="AB189" s="52" t="s">
        <v>1597</v>
      </c>
      <c r="AC189" s="44" t="s">
        <v>1598</v>
      </c>
      <c r="AD189" s="45">
        <v>44041</v>
      </c>
      <c r="AE189" s="101" t="s">
        <v>30</v>
      </c>
      <c r="AF189" s="36" t="s">
        <v>26</v>
      </c>
      <c r="AG189" s="47" t="s">
        <v>49</v>
      </c>
      <c r="AH189" s="48" t="s">
        <v>49</v>
      </c>
      <c r="AI189" s="48" t="s">
        <v>49</v>
      </c>
      <c r="AJ189" s="48" t="s">
        <v>49</v>
      </c>
      <c r="AK189" s="48" t="s">
        <v>49</v>
      </c>
      <c r="AL189" s="48" t="s">
        <v>49</v>
      </c>
      <c r="AM189" s="49" t="s">
        <v>49</v>
      </c>
      <c r="AN189" s="48" t="s">
        <v>49</v>
      </c>
      <c r="AO189" s="62" t="s">
        <v>32</v>
      </c>
      <c r="AP189" s="62"/>
      <c r="AQ189" s="59"/>
    </row>
    <row r="190" spans="1:43" x14ac:dyDescent="0.2">
      <c r="A190">
        <v>189</v>
      </c>
      <c r="B190" s="33" t="e">
        <f>+B189+1</f>
        <v>#REF!</v>
      </c>
      <c r="C190" s="34" t="s">
        <v>1599</v>
      </c>
      <c r="D190" s="35" t="s">
        <v>1600</v>
      </c>
      <c r="E190" s="36" t="s">
        <v>1601</v>
      </c>
      <c r="F190" s="334">
        <v>33756</v>
      </c>
      <c r="G190" s="36" t="s">
        <v>54</v>
      </c>
      <c r="H190" s="98" t="s">
        <v>1602</v>
      </c>
      <c r="I190" s="37" t="s">
        <v>176</v>
      </c>
      <c r="J190" s="425" t="s">
        <v>4761</v>
      </c>
      <c r="K190" s="37" t="s">
        <v>39</v>
      </c>
      <c r="L190" s="57" t="s">
        <v>1603</v>
      </c>
      <c r="M190" s="34" t="s">
        <v>41</v>
      </c>
      <c r="N190" s="39" t="s">
        <v>42</v>
      </c>
      <c r="O190" s="158" t="s">
        <v>1604</v>
      </c>
      <c r="P190" s="56"/>
      <c r="Q190" s="56"/>
      <c r="R190" s="56"/>
      <c r="S190" s="56"/>
      <c r="T190" s="56"/>
      <c r="U190" s="56"/>
      <c r="V190" s="56"/>
      <c r="W190" s="56" t="s">
        <v>44</v>
      </c>
      <c r="X190" s="56"/>
      <c r="Y190" s="56" t="s">
        <v>732</v>
      </c>
      <c r="Z190" s="56"/>
      <c r="AA190" s="42" t="s">
        <v>1605</v>
      </c>
      <c r="AB190" s="58" t="s">
        <v>1606</v>
      </c>
      <c r="AC190" s="58"/>
      <c r="AD190" s="45">
        <v>45642</v>
      </c>
      <c r="AE190" s="101"/>
      <c r="AF190" s="36"/>
      <c r="AG190" s="47" t="s">
        <v>49</v>
      </c>
      <c r="AH190" s="48" t="s">
        <v>41</v>
      </c>
      <c r="AI190" s="48" t="s">
        <v>41</v>
      </c>
      <c r="AJ190" s="48" t="s">
        <v>41</v>
      </c>
      <c r="AK190" s="48" t="s">
        <v>49</v>
      </c>
      <c r="AL190" s="48" t="s">
        <v>49</v>
      </c>
      <c r="AM190" s="49" t="s">
        <v>49</v>
      </c>
      <c r="AN190" s="48" t="s">
        <v>49</v>
      </c>
      <c r="AO190" s="65" t="s">
        <v>32</v>
      </c>
      <c r="AP190" s="65" t="s">
        <v>4681</v>
      </c>
      <c r="AQ190" s="59"/>
    </row>
    <row r="191" spans="1:43" x14ac:dyDescent="0.2">
      <c r="A191">
        <v>190</v>
      </c>
      <c r="B191" s="33" t="e">
        <f>+B190+1</f>
        <v>#REF!</v>
      </c>
      <c r="C191" s="34" t="s">
        <v>1607</v>
      </c>
      <c r="D191" s="35" t="s">
        <v>1608</v>
      </c>
      <c r="E191" s="36" t="s">
        <v>1609</v>
      </c>
      <c r="F191" s="334">
        <v>30193</v>
      </c>
      <c r="G191" s="36" t="s">
        <v>36</v>
      </c>
      <c r="H191" s="98" t="s">
        <v>1610</v>
      </c>
      <c r="I191" s="37" t="s">
        <v>252</v>
      </c>
      <c r="J191" s="425" t="s">
        <v>4742</v>
      </c>
      <c r="K191" s="37" t="s">
        <v>57</v>
      </c>
      <c r="L191" s="38" t="s">
        <v>1611</v>
      </c>
      <c r="M191" s="34" t="s">
        <v>41</v>
      </c>
      <c r="N191" s="39" t="s">
        <v>42</v>
      </c>
      <c r="O191" s="158" t="s">
        <v>1604</v>
      </c>
      <c r="P191" s="56"/>
      <c r="Q191" s="56"/>
      <c r="R191" s="56"/>
      <c r="S191" s="56"/>
      <c r="T191" s="56"/>
      <c r="U191" s="56"/>
      <c r="V191" s="56"/>
      <c r="W191" s="56" t="s">
        <v>44</v>
      </c>
      <c r="X191" s="56"/>
      <c r="Y191" s="56"/>
      <c r="Z191" s="56"/>
      <c r="AA191" s="42" t="s">
        <v>1612</v>
      </c>
      <c r="AB191" s="58" t="s">
        <v>1613</v>
      </c>
      <c r="AC191" s="58"/>
      <c r="AD191" s="45">
        <v>45642</v>
      </c>
      <c r="AE191" s="101"/>
      <c r="AF191" s="36"/>
      <c r="AG191" s="47" t="s">
        <v>49</v>
      </c>
      <c r="AH191" s="48" t="s">
        <v>41</v>
      </c>
      <c r="AI191" s="48" t="s">
        <v>41</v>
      </c>
      <c r="AJ191" s="48" t="s">
        <v>41</v>
      </c>
      <c r="AK191" s="48" t="s">
        <v>49</v>
      </c>
      <c r="AL191" s="48" t="s">
        <v>41</v>
      </c>
      <c r="AM191" s="49" t="s">
        <v>41</v>
      </c>
      <c r="AN191" s="48" t="s">
        <v>41</v>
      </c>
      <c r="AO191" s="62" t="s">
        <v>4589</v>
      </c>
      <c r="AP191" s="62"/>
      <c r="AQ191" s="59"/>
    </row>
    <row r="192" spans="1:43" x14ac:dyDescent="0.2">
      <c r="A192">
        <v>191</v>
      </c>
      <c r="B192" s="33" t="e">
        <f>+B191+1</f>
        <v>#REF!</v>
      </c>
      <c r="C192" s="34" t="s">
        <v>1614</v>
      </c>
      <c r="D192" s="35" t="s">
        <v>1615</v>
      </c>
      <c r="E192" s="36" t="s">
        <v>1616</v>
      </c>
      <c r="F192" s="334">
        <v>28992</v>
      </c>
      <c r="G192" s="36" t="s">
        <v>54</v>
      </c>
      <c r="H192" s="98" t="s">
        <v>1166</v>
      </c>
      <c r="I192" s="37" t="s">
        <v>56</v>
      </c>
      <c r="J192" s="425" t="s">
        <v>4739</v>
      </c>
      <c r="K192" s="37" t="s">
        <v>57</v>
      </c>
      <c r="L192" s="38" t="s">
        <v>1617</v>
      </c>
      <c r="M192" s="34" t="s">
        <v>41</v>
      </c>
      <c r="N192" s="39" t="s">
        <v>42</v>
      </c>
      <c r="O192" s="158" t="s">
        <v>1618</v>
      </c>
      <c r="P192" s="115"/>
      <c r="Q192" s="115"/>
      <c r="R192" s="115"/>
      <c r="S192" s="115"/>
      <c r="T192" s="115"/>
      <c r="U192" s="115" t="s">
        <v>44</v>
      </c>
      <c r="V192" s="115"/>
      <c r="W192" s="56"/>
      <c r="X192" s="56"/>
      <c r="Y192" s="56"/>
      <c r="Z192" s="56"/>
      <c r="AA192" s="42" t="s">
        <v>1619</v>
      </c>
      <c r="AB192" s="43" t="s">
        <v>1620</v>
      </c>
      <c r="AC192" s="44" t="s">
        <v>1621</v>
      </c>
      <c r="AD192" s="45">
        <v>44650</v>
      </c>
      <c r="AE192" s="101" t="s">
        <v>30</v>
      </c>
      <c r="AF192" s="36"/>
      <c r="AG192" s="47" t="s">
        <v>49</v>
      </c>
      <c r="AH192" s="48" t="s">
        <v>41</v>
      </c>
      <c r="AI192" s="48" t="s">
        <v>49</v>
      </c>
      <c r="AJ192" s="48" t="s">
        <v>49</v>
      </c>
      <c r="AK192" s="48" t="s">
        <v>49</v>
      </c>
      <c r="AL192" s="48" t="s">
        <v>49</v>
      </c>
      <c r="AM192" s="49" t="s">
        <v>49</v>
      </c>
      <c r="AN192" s="48" t="s">
        <v>49</v>
      </c>
      <c r="AO192" s="65" t="s">
        <v>32</v>
      </c>
      <c r="AP192" s="65"/>
      <c r="AQ192" s="59"/>
    </row>
    <row r="193" spans="1:47" x14ac:dyDescent="0.2">
      <c r="A193">
        <v>192</v>
      </c>
      <c r="B193" s="33" t="e">
        <f>+B192+1</f>
        <v>#REF!</v>
      </c>
      <c r="C193" s="34" t="s">
        <v>1622</v>
      </c>
      <c r="D193" s="35" t="s">
        <v>1623</v>
      </c>
      <c r="E193" s="36" t="s">
        <v>1624</v>
      </c>
      <c r="F193" s="334">
        <v>30143</v>
      </c>
      <c r="G193" s="36" t="s">
        <v>54</v>
      </c>
      <c r="H193" s="34" t="s">
        <v>1625</v>
      </c>
      <c r="I193" s="37" t="s">
        <v>73</v>
      </c>
      <c r="J193" s="425" t="s">
        <v>4765</v>
      </c>
      <c r="K193" s="37" t="s">
        <v>73</v>
      </c>
      <c r="L193" s="38" t="s">
        <v>1626</v>
      </c>
      <c r="M193" s="34" t="s">
        <v>41</v>
      </c>
      <c r="N193" s="39" t="s">
        <v>42</v>
      </c>
      <c r="O193" s="187">
        <v>45315</v>
      </c>
      <c r="P193" s="188"/>
      <c r="Q193" s="188"/>
      <c r="R193" s="188"/>
      <c r="S193" s="188"/>
      <c r="T193" s="188"/>
      <c r="U193" s="188"/>
      <c r="V193" s="188"/>
      <c r="W193" s="188"/>
      <c r="X193" s="188" t="s">
        <v>44</v>
      </c>
      <c r="Y193" s="188"/>
      <c r="Z193" s="188"/>
      <c r="AA193" s="38" t="s">
        <v>1627</v>
      </c>
      <c r="AB193" s="43" t="s">
        <v>1628</v>
      </c>
      <c r="AC193" s="44"/>
      <c r="AD193" s="45"/>
      <c r="AE193" s="164"/>
      <c r="AF193" s="36"/>
      <c r="AG193" s="47" t="s">
        <v>49</v>
      </c>
      <c r="AH193" s="48" t="s">
        <v>41</v>
      </c>
      <c r="AI193" s="48" t="s">
        <v>41</v>
      </c>
      <c r="AJ193" s="48" t="s">
        <v>41</v>
      </c>
      <c r="AK193" s="48" t="s">
        <v>41</v>
      </c>
      <c r="AL193" s="48" t="s">
        <v>49</v>
      </c>
      <c r="AM193" s="49" t="s">
        <v>49</v>
      </c>
      <c r="AN193" s="48" t="s">
        <v>49</v>
      </c>
      <c r="AO193" s="65" t="s">
        <v>32</v>
      </c>
      <c r="AP193" s="65"/>
      <c r="AQ193" s="59"/>
    </row>
    <row r="194" spans="1:47" x14ac:dyDescent="0.2">
      <c r="A194">
        <v>193</v>
      </c>
      <c r="B194" s="33" t="e">
        <f>+B193+1</f>
        <v>#REF!</v>
      </c>
      <c r="C194" s="34" t="s">
        <v>1629</v>
      </c>
      <c r="D194" s="35" t="s">
        <v>1630</v>
      </c>
      <c r="E194" s="36" t="s">
        <v>1631</v>
      </c>
      <c r="F194" s="334">
        <v>35033</v>
      </c>
      <c r="G194" s="36" t="s">
        <v>54</v>
      </c>
      <c r="H194" s="98" t="s">
        <v>1632</v>
      </c>
      <c r="I194" s="37" t="s">
        <v>360</v>
      </c>
      <c r="J194" s="425" t="s">
        <v>4749</v>
      </c>
      <c r="K194" s="37" t="s">
        <v>350</v>
      </c>
      <c r="L194" s="34" t="s">
        <v>1633</v>
      </c>
      <c r="M194" s="34" t="s">
        <v>41</v>
      </c>
      <c r="N194" s="39" t="s">
        <v>42</v>
      </c>
      <c r="O194" s="165" t="s">
        <v>1634</v>
      </c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42" t="s">
        <v>1635</v>
      </c>
      <c r="AB194" s="58" t="s">
        <v>1636</v>
      </c>
      <c r="AC194" s="44" t="s">
        <v>1637</v>
      </c>
      <c r="AD194" s="45">
        <v>44041</v>
      </c>
      <c r="AE194" s="164" t="s">
        <v>30</v>
      </c>
      <c r="AF194" s="36" t="s">
        <v>26</v>
      </c>
      <c r="AG194" s="47" t="s">
        <v>49</v>
      </c>
      <c r="AH194" s="48" t="s">
        <v>49</v>
      </c>
      <c r="AI194" s="48" t="s">
        <v>49</v>
      </c>
      <c r="AJ194" s="48" t="s">
        <v>49</v>
      </c>
      <c r="AK194" s="48" t="s">
        <v>49</v>
      </c>
      <c r="AL194" s="48" t="s">
        <v>49</v>
      </c>
      <c r="AM194" s="49" t="s">
        <v>49</v>
      </c>
      <c r="AN194" s="48" t="s">
        <v>41</v>
      </c>
      <c r="AO194" s="62" t="s">
        <v>148</v>
      </c>
      <c r="AP194" s="62"/>
      <c r="AQ194" s="59"/>
    </row>
    <row r="195" spans="1:47" x14ac:dyDescent="0.2">
      <c r="A195">
        <v>194</v>
      </c>
      <c r="B195" s="33" t="e">
        <f>+B194+1</f>
        <v>#REF!</v>
      </c>
      <c r="C195" s="34" t="s">
        <v>1638</v>
      </c>
      <c r="D195" s="35" t="s">
        <v>1639</v>
      </c>
      <c r="E195" s="36" t="s">
        <v>1640</v>
      </c>
      <c r="F195" s="36"/>
      <c r="G195" s="36" t="s">
        <v>54</v>
      </c>
      <c r="H195" s="98" t="s">
        <v>1641</v>
      </c>
      <c r="I195" s="37" t="s">
        <v>73</v>
      </c>
      <c r="J195" s="425" t="s">
        <v>4765</v>
      </c>
      <c r="K195" s="37" t="s">
        <v>73</v>
      </c>
      <c r="L195" s="34" t="s">
        <v>1642</v>
      </c>
      <c r="M195" s="34" t="s">
        <v>41</v>
      </c>
      <c r="N195" s="39" t="s">
        <v>42</v>
      </c>
      <c r="O195" s="165">
        <v>31054</v>
      </c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42" t="s">
        <v>1643</v>
      </c>
      <c r="AB195" s="58" t="s">
        <v>1644</v>
      </c>
      <c r="AC195" s="44" t="s">
        <v>61</v>
      </c>
      <c r="AD195" s="45">
        <v>36641</v>
      </c>
      <c r="AE195" s="164" t="s">
        <v>30</v>
      </c>
      <c r="AF195" s="36"/>
      <c r="AG195" s="47" t="s">
        <v>49</v>
      </c>
      <c r="AH195" s="48" t="s">
        <v>41</v>
      </c>
      <c r="AI195" s="48" t="s">
        <v>41</v>
      </c>
      <c r="AJ195" s="48" t="s">
        <v>41</v>
      </c>
      <c r="AK195" s="48" t="s">
        <v>41</v>
      </c>
      <c r="AL195" s="48" t="s">
        <v>41</v>
      </c>
      <c r="AM195" s="49" t="s">
        <v>41</v>
      </c>
      <c r="AN195" s="48" t="s">
        <v>41</v>
      </c>
      <c r="AO195" s="62" t="s">
        <v>4590</v>
      </c>
      <c r="AP195" s="62"/>
      <c r="AQ195" s="59" t="s">
        <v>192</v>
      </c>
    </row>
    <row r="196" spans="1:47" x14ac:dyDescent="0.2">
      <c r="A196">
        <v>195</v>
      </c>
      <c r="B196" s="33" t="e">
        <f>+B195+1</f>
        <v>#REF!</v>
      </c>
      <c r="C196" s="34" t="s">
        <v>1645</v>
      </c>
      <c r="D196" s="35" t="s">
        <v>1646</v>
      </c>
      <c r="E196" s="36" t="s">
        <v>1647</v>
      </c>
      <c r="F196" s="334">
        <v>25636</v>
      </c>
      <c r="G196" s="36" t="s">
        <v>54</v>
      </c>
      <c r="H196" s="34" t="s">
        <v>1648</v>
      </c>
      <c r="I196" s="37" t="s">
        <v>73</v>
      </c>
      <c r="J196" s="425" t="s">
        <v>4765</v>
      </c>
      <c r="K196" s="37" t="s">
        <v>73</v>
      </c>
      <c r="L196" s="34" t="s">
        <v>1649</v>
      </c>
      <c r="M196" s="34" t="s">
        <v>41</v>
      </c>
      <c r="N196" s="39" t="s">
        <v>42</v>
      </c>
      <c r="O196" s="189" t="s">
        <v>1650</v>
      </c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90" t="s">
        <v>1651</v>
      </c>
      <c r="AB196" s="58" t="s">
        <v>1652</v>
      </c>
      <c r="AC196" s="44" t="s">
        <v>61</v>
      </c>
      <c r="AD196" s="45">
        <v>36640</v>
      </c>
      <c r="AE196" s="191" t="s">
        <v>129</v>
      </c>
      <c r="AF196" s="36" t="s">
        <v>26</v>
      </c>
      <c r="AG196" s="47" t="s">
        <v>49</v>
      </c>
      <c r="AH196" s="48" t="s">
        <v>49</v>
      </c>
      <c r="AI196" s="48" t="s">
        <v>49</v>
      </c>
      <c r="AJ196" s="48" t="s">
        <v>49</v>
      </c>
      <c r="AK196" s="48" t="s">
        <v>49</v>
      </c>
      <c r="AL196" s="48" t="s">
        <v>49</v>
      </c>
      <c r="AM196" s="49" t="s">
        <v>49</v>
      </c>
      <c r="AN196" s="48" t="s">
        <v>49</v>
      </c>
      <c r="AO196" s="62" t="s">
        <v>32</v>
      </c>
      <c r="AP196" s="62"/>
      <c r="AQ196" s="59"/>
    </row>
    <row r="197" spans="1:47" x14ac:dyDescent="0.2">
      <c r="A197">
        <v>196</v>
      </c>
      <c r="B197" s="33" t="e">
        <f>+B196+1</f>
        <v>#REF!</v>
      </c>
      <c r="C197" s="34" t="s">
        <v>1653</v>
      </c>
      <c r="D197" s="35" t="s">
        <v>1654</v>
      </c>
      <c r="E197" s="36" t="s">
        <v>1655</v>
      </c>
      <c r="F197" s="334">
        <v>24628</v>
      </c>
      <c r="G197" s="36" t="s">
        <v>241</v>
      </c>
      <c r="H197" s="34" t="s">
        <v>1656</v>
      </c>
      <c r="I197" s="37" t="s">
        <v>73</v>
      </c>
      <c r="J197" s="425" t="s">
        <v>4765</v>
      </c>
      <c r="K197" s="37" t="s">
        <v>73</v>
      </c>
      <c r="L197" s="34" t="s">
        <v>1657</v>
      </c>
      <c r="M197" s="34" t="s">
        <v>41</v>
      </c>
      <c r="N197" s="39" t="s">
        <v>42</v>
      </c>
      <c r="O197" s="158" t="s">
        <v>556</v>
      </c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  <c r="AA197" s="57" t="s">
        <v>1658</v>
      </c>
      <c r="AB197" s="43" t="s">
        <v>1659</v>
      </c>
      <c r="AC197" s="44" t="s">
        <v>61</v>
      </c>
      <c r="AD197" s="45">
        <v>36641</v>
      </c>
      <c r="AE197" s="101" t="s">
        <v>30</v>
      </c>
      <c r="AF197" s="36" t="s">
        <v>26</v>
      </c>
      <c r="AG197" s="47" t="s">
        <v>49</v>
      </c>
      <c r="AH197" s="48" t="s">
        <v>49</v>
      </c>
      <c r="AI197" s="48" t="s">
        <v>49</v>
      </c>
      <c r="AJ197" s="48" t="s">
        <v>49</v>
      </c>
      <c r="AK197" s="48" t="s">
        <v>49</v>
      </c>
      <c r="AL197" s="48" t="s">
        <v>49</v>
      </c>
      <c r="AM197" s="49" t="s">
        <v>49</v>
      </c>
      <c r="AN197" s="48" t="s">
        <v>49</v>
      </c>
      <c r="AO197" s="65" t="s">
        <v>32</v>
      </c>
      <c r="AP197" s="65"/>
      <c r="AQ197" s="103" t="s">
        <v>41</v>
      </c>
    </row>
    <row r="198" spans="1:47" x14ac:dyDescent="0.2">
      <c r="A198">
        <v>197</v>
      </c>
      <c r="B198" s="33" t="e">
        <f>+B197+1</f>
        <v>#REF!</v>
      </c>
      <c r="C198" s="34" t="s">
        <v>4669</v>
      </c>
      <c r="D198" s="35" t="s">
        <v>4670</v>
      </c>
      <c r="E198" s="36" t="s">
        <v>4671</v>
      </c>
      <c r="F198" s="334">
        <v>30667</v>
      </c>
      <c r="G198" s="36" t="s">
        <v>4169</v>
      </c>
      <c r="H198" s="34" t="s">
        <v>4672</v>
      </c>
      <c r="I198" s="37" t="s">
        <v>243</v>
      </c>
      <c r="J198" s="425" t="s">
        <v>4744</v>
      </c>
      <c r="K198" s="37" t="s">
        <v>205</v>
      </c>
      <c r="L198" s="34"/>
      <c r="M198" s="34"/>
      <c r="N198" s="39" t="s">
        <v>42</v>
      </c>
      <c r="O198" s="166">
        <v>46129</v>
      </c>
      <c r="P198" s="41" t="s">
        <v>179</v>
      </c>
      <c r="Q198" s="41" t="s">
        <v>179</v>
      </c>
      <c r="R198" s="41"/>
      <c r="S198" s="41"/>
      <c r="T198" s="41"/>
      <c r="U198" s="41"/>
      <c r="V198" s="41"/>
      <c r="W198" s="41"/>
      <c r="X198" s="41"/>
      <c r="Y198" s="41"/>
      <c r="Z198" s="41" t="s">
        <v>44</v>
      </c>
      <c r="AA198" s="42" t="s">
        <v>4673</v>
      </c>
      <c r="AB198" s="322" t="s">
        <v>4674</v>
      </c>
      <c r="AC198" s="44"/>
      <c r="AD198" s="45"/>
      <c r="AE198" s="101"/>
      <c r="AF198" s="36"/>
      <c r="AG198" s="47" t="s">
        <v>49</v>
      </c>
      <c r="AH198" s="48" t="s">
        <v>41</v>
      </c>
      <c r="AI198" s="48" t="s">
        <v>41</v>
      </c>
      <c r="AJ198" s="48" t="s">
        <v>41</v>
      </c>
      <c r="AK198" s="48" t="s">
        <v>41</v>
      </c>
      <c r="AL198" s="48" t="s">
        <v>41</v>
      </c>
      <c r="AM198" s="48" t="s">
        <v>41</v>
      </c>
      <c r="AN198" s="48" t="s">
        <v>49</v>
      </c>
      <c r="AO198" s="65" t="s">
        <v>32</v>
      </c>
      <c r="AP198" s="65" t="s">
        <v>4681</v>
      </c>
      <c r="AQ198" s="103"/>
    </row>
    <row r="199" spans="1:47" x14ac:dyDescent="0.2">
      <c r="A199">
        <v>198</v>
      </c>
      <c r="B199" s="33" t="e">
        <f>+B198+1</f>
        <v>#REF!</v>
      </c>
      <c r="C199" s="34" t="s">
        <v>1660</v>
      </c>
      <c r="D199" s="35" t="s">
        <v>1661</v>
      </c>
      <c r="E199" s="36" t="s">
        <v>1662</v>
      </c>
      <c r="F199" s="334">
        <v>30308</v>
      </c>
      <c r="G199" s="36" t="s">
        <v>36</v>
      </c>
      <c r="H199" s="34" t="s">
        <v>1663</v>
      </c>
      <c r="I199" s="37" t="s">
        <v>73</v>
      </c>
      <c r="J199" s="425" t="s">
        <v>4765</v>
      </c>
      <c r="K199" s="37" t="s">
        <v>73</v>
      </c>
      <c r="L199" s="34" t="s">
        <v>1664</v>
      </c>
      <c r="M199" s="34" t="s">
        <v>41</v>
      </c>
      <c r="N199" s="39" t="s">
        <v>42</v>
      </c>
      <c r="O199" s="120">
        <v>45143</v>
      </c>
      <c r="P199" s="56"/>
      <c r="Q199" s="56"/>
      <c r="R199" s="56"/>
      <c r="S199" s="56"/>
      <c r="T199" s="56"/>
      <c r="U199" s="56"/>
      <c r="V199" s="56"/>
      <c r="W199" s="56" t="s">
        <v>44</v>
      </c>
      <c r="X199" s="56"/>
      <c r="Y199" s="56"/>
      <c r="Z199" s="56"/>
      <c r="AA199" s="42" t="s">
        <v>1665</v>
      </c>
      <c r="AB199" s="83" t="s">
        <v>1666</v>
      </c>
      <c r="AC199" s="44"/>
      <c r="AD199" s="45">
        <v>45642</v>
      </c>
      <c r="AE199" s="101"/>
      <c r="AF199" s="36"/>
      <c r="AG199" s="64" t="s">
        <v>120</v>
      </c>
      <c r="AH199" s="48" t="s">
        <v>41</v>
      </c>
      <c r="AI199" s="48" t="s">
        <v>41</v>
      </c>
      <c r="AJ199" s="48" t="s">
        <v>41</v>
      </c>
      <c r="AK199" s="48" t="s">
        <v>120</v>
      </c>
      <c r="AL199" s="48" t="s">
        <v>120</v>
      </c>
      <c r="AM199" s="49" t="s">
        <v>120</v>
      </c>
      <c r="AN199" s="48" t="s">
        <v>120</v>
      </c>
      <c r="AO199" s="62" t="s">
        <v>32</v>
      </c>
      <c r="AP199" s="62"/>
      <c r="AQ199" s="59"/>
    </row>
    <row r="200" spans="1:47" x14ac:dyDescent="0.2">
      <c r="A200">
        <v>199</v>
      </c>
      <c r="B200" s="33" t="e">
        <f>+B199+1</f>
        <v>#REF!</v>
      </c>
      <c r="C200" s="34" t="s">
        <v>1667</v>
      </c>
      <c r="D200" s="35" t="s">
        <v>1668</v>
      </c>
      <c r="E200" s="36" t="s">
        <v>4848</v>
      </c>
      <c r="F200" s="334">
        <v>22975</v>
      </c>
      <c r="G200" s="36" t="s">
        <v>54</v>
      </c>
      <c r="H200" s="34" t="s">
        <v>1670</v>
      </c>
      <c r="I200" s="37" t="s">
        <v>73</v>
      </c>
      <c r="J200" s="425" t="s">
        <v>4765</v>
      </c>
      <c r="K200" s="37" t="s">
        <v>73</v>
      </c>
      <c r="L200" s="34" t="s">
        <v>1671</v>
      </c>
      <c r="M200" s="34" t="s">
        <v>1671</v>
      </c>
      <c r="N200" s="39" t="s">
        <v>42</v>
      </c>
      <c r="O200" s="163" t="s">
        <v>1040</v>
      </c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42" t="s">
        <v>1672</v>
      </c>
      <c r="AB200" s="43" t="s">
        <v>1673</v>
      </c>
      <c r="AC200" s="44" t="s">
        <v>61</v>
      </c>
      <c r="AD200" s="45">
        <v>36803</v>
      </c>
      <c r="AE200" s="164" t="s">
        <v>30</v>
      </c>
      <c r="AF200" s="36" t="s">
        <v>26</v>
      </c>
      <c r="AG200" s="61" t="s">
        <v>49</v>
      </c>
      <c r="AH200" s="48" t="s">
        <v>49</v>
      </c>
      <c r="AI200" s="48" t="s">
        <v>49</v>
      </c>
      <c r="AJ200" s="48" t="s">
        <v>49</v>
      </c>
      <c r="AK200" s="48" t="s">
        <v>49</v>
      </c>
      <c r="AL200" s="48" t="s">
        <v>49</v>
      </c>
      <c r="AM200" s="49" t="s">
        <v>49</v>
      </c>
      <c r="AN200" s="48" t="s">
        <v>49</v>
      </c>
      <c r="AO200" s="65" t="s">
        <v>32</v>
      </c>
      <c r="AP200" s="65"/>
      <c r="AQ200" s="59"/>
    </row>
    <row r="201" spans="1:47" x14ac:dyDescent="0.2">
      <c r="A201">
        <v>200</v>
      </c>
      <c r="B201" s="33" t="e">
        <f>+B200+1</f>
        <v>#REF!</v>
      </c>
      <c r="C201" s="34" t="s">
        <v>1674</v>
      </c>
      <c r="D201" s="35" t="s">
        <v>1675</v>
      </c>
      <c r="E201" s="36" t="s">
        <v>4683</v>
      </c>
      <c r="F201" s="334">
        <v>31412</v>
      </c>
      <c r="G201" s="36" t="s">
        <v>36</v>
      </c>
      <c r="H201" s="87" t="s">
        <v>4684</v>
      </c>
      <c r="I201" s="37" t="s">
        <v>73</v>
      </c>
      <c r="J201" s="425" t="s">
        <v>4765</v>
      </c>
      <c r="K201" s="37" t="s">
        <v>73</v>
      </c>
      <c r="L201" s="34" t="s">
        <v>1678</v>
      </c>
      <c r="M201" s="34" t="s">
        <v>1679</v>
      </c>
      <c r="N201" s="39" t="s">
        <v>42</v>
      </c>
      <c r="O201" s="120">
        <v>34984</v>
      </c>
      <c r="P201" s="41" t="s">
        <v>179</v>
      </c>
      <c r="Q201" s="41"/>
      <c r="R201" s="41"/>
      <c r="S201" s="41"/>
      <c r="T201" s="41"/>
      <c r="U201" s="41"/>
      <c r="V201" s="41"/>
      <c r="W201" s="41"/>
      <c r="X201" s="41"/>
      <c r="Y201" s="41"/>
      <c r="Z201" s="41" t="s">
        <v>732</v>
      </c>
      <c r="AA201" s="42" t="s">
        <v>1680</v>
      </c>
      <c r="AB201" s="43" t="s">
        <v>1681</v>
      </c>
      <c r="AC201" s="44" t="s">
        <v>61</v>
      </c>
      <c r="AD201" s="45">
        <v>40815</v>
      </c>
      <c r="AE201" s="101" t="s">
        <v>30</v>
      </c>
      <c r="AF201" s="36" t="s">
        <v>26</v>
      </c>
      <c r="AG201" s="47" t="s">
        <v>49</v>
      </c>
      <c r="AH201" s="48" t="s">
        <v>49</v>
      </c>
      <c r="AI201" s="48" t="s">
        <v>49</v>
      </c>
      <c r="AJ201" s="48" t="s">
        <v>49</v>
      </c>
      <c r="AK201" s="48" t="s">
        <v>49</v>
      </c>
      <c r="AL201" s="48" t="s">
        <v>49</v>
      </c>
      <c r="AM201" s="49" t="s">
        <v>49</v>
      </c>
      <c r="AN201" s="48" t="s">
        <v>49</v>
      </c>
      <c r="AO201" s="65" t="s">
        <v>32</v>
      </c>
      <c r="AP201" s="65"/>
      <c r="AQ201" s="103" t="s">
        <v>41</v>
      </c>
    </row>
    <row r="202" spans="1:47" x14ac:dyDescent="0.2">
      <c r="A202">
        <v>201</v>
      </c>
      <c r="B202" s="33"/>
      <c r="C202" s="252" t="s">
        <v>4525</v>
      </c>
      <c r="D202" s="253" t="s">
        <v>4526</v>
      </c>
      <c r="E202" s="252" t="s">
        <v>4527</v>
      </c>
      <c r="F202" s="252"/>
      <c r="G202" s="252"/>
      <c r="H202" s="265" t="s">
        <v>4528</v>
      </c>
      <c r="I202" s="252"/>
      <c r="J202" s="425" t="s">
        <v>4765</v>
      </c>
      <c r="K202" s="252"/>
      <c r="L202" s="266" t="s">
        <v>4529</v>
      </c>
      <c r="M202" s="252"/>
      <c r="N202" s="254"/>
      <c r="O202" s="267" t="s">
        <v>2375</v>
      </c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  <c r="AA202" s="483" t="s">
        <v>4530</v>
      </c>
      <c r="AB202" s="258" t="s">
        <v>4531</v>
      </c>
      <c r="AC202" s="258"/>
      <c r="AD202" s="258"/>
      <c r="AE202" s="252"/>
      <c r="AF202" s="270" t="s">
        <v>26</v>
      </c>
      <c r="AG202" s="47"/>
      <c r="AH202" s="48" t="s">
        <v>41</v>
      </c>
      <c r="AI202" s="48" t="s">
        <v>41</v>
      </c>
      <c r="AJ202" s="48" t="s">
        <v>41</v>
      </c>
      <c r="AK202" s="48" t="s">
        <v>41</v>
      </c>
      <c r="AL202" s="48" t="s">
        <v>41</v>
      </c>
      <c r="AM202" s="49" t="s">
        <v>41</v>
      </c>
      <c r="AN202" s="48" t="s">
        <v>41</v>
      </c>
      <c r="AO202" s="62"/>
      <c r="AP202" s="232"/>
      <c r="AQ202" s="134" t="s">
        <v>4517</v>
      </c>
      <c r="AR202" s="198"/>
      <c r="AS202" s="198"/>
      <c r="AT202" s="198"/>
      <c r="AU202" s="198"/>
    </row>
    <row r="203" spans="1:47" x14ac:dyDescent="0.2">
      <c r="A203">
        <v>202</v>
      </c>
      <c r="B203" s="33">
        <f>+B202+1</f>
        <v>1</v>
      </c>
      <c r="C203" s="98" t="s">
        <v>1682</v>
      </c>
      <c r="D203" s="35" t="s">
        <v>1683</v>
      </c>
      <c r="E203" s="73" t="s">
        <v>1684</v>
      </c>
      <c r="F203" s="335">
        <v>35023</v>
      </c>
      <c r="G203" s="36" t="s">
        <v>36</v>
      </c>
      <c r="H203" s="192" t="s">
        <v>1685</v>
      </c>
      <c r="I203" s="37" t="s">
        <v>73</v>
      </c>
      <c r="J203" s="425" t="s">
        <v>4765</v>
      </c>
      <c r="K203" s="37" t="s">
        <v>73</v>
      </c>
      <c r="L203" s="193" t="s">
        <v>41</v>
      </c>
      <c r="M203" s="193" t="s">
        <v>1686</v>
      </c>
      <c r="N203" s="39" t="s">
        <v>42</v>
      </c>
      <c r="O203" s="120">
        <v>45728</v>
      </c>
      <c r="P203" s="115"/>
      <c r="Q203" s="115"/>
      <c r="R203" s="115"/>
      <c r="S203" s="115"/>
      <c r="T203" s="115"/>
      <c r="U203" s="115"/>
      <c r="V203" s="115"/>
      <c r="W203" s="56"/>
      <c r="X203" s="56"/>
      <c r="Y203" s="56" t="s">
        <v>44</v>
      </c>
      <c r="Z203" s="56"/>
      <c r="AA203" s="412" t="s">
        <v>1687</v>
      </c>
      <c r="AB203" s="58" t="s">
        <v>4721</v>
      </c>
      <c r="AC203" s="58"/>
      <c r="AD203" s="58"/>
      <c r="AE203" s="101"/>
      <c r="AF203" s="36"/>
      <c r="AG203" s="47" t="s">
        <v>49</v>
      </c>
      <c r="AH203" s="48" t="s">
        <v>41</v>
      </c>
      <c r="AI203" s="48" t="s">
        <v>41</v>
      </c>
      <c r="AJ203" s="48" t="s">
        <v>41</v>
      </c>
      <c r="AK203" s="48" t="s">
        <v>41</v>
      </c>
      <c r="AL203" s="48" t="s">
        <v>41</v>
      </c>
      <c r="AM203" s="49" t="s">
        <v>49</v>
      </c>
      <c r="AN203" s="48" t="s">
        <v>49</v>
      </c>
      <c r="AO203" s="65" t="s">
        <v>32</v>
      </c>
      <c r="AP203" s="325"/>
      <c r="AQ203" s="134"/>
    </row>
    <row r="204" spans="1:47" x14ac:dyDescent="0.2">
      <c r="A204">
        <v>203</v>
      </c>
      <c r="B204" s="33">
        <f>+B203+1</f>
        <v>2</v>
      </c>
      <c r="C204" s="34" t="s">
        <v>1689</v>
      </c>
      <c r="D204" s="35" t="s">
        <v>1690</v>
      </c>
      <c r="E204" s="36" t="s">
        <v>4811</v>
      </c>
      <c r="F204" s="334">
        <v>20175</v>
      </c>
      <c r="G204" s="36" t="s">
        <v>54</v>
      </c>
      <c r="H204" s="34" t="s">
        <v>1692</v>
      </c>
      <c r="I204" s="37" t="s">
        <v>73</v>
      </c>
      <c r="J204" s="425" t="s">
        <v>4765</v>
      </c>
      <c r="K204" s="37" t="s">
        <v>73</v>
      </c>
      <c r="L204" s="34" t="s">
        <v>1671</v>
      </c>
      <c r="M204" s="34" t="s">
        <v>1671</v>
      </c>
      <c r="N204" s="39" t="s">
        <v>42</v>
      </c>
      <c r="O204" s="194">
        <v>30353</v>
      </c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42" t="s">
        <v>1693</v>
      </c>
      <c r="AB204" s="58" t="s">
        <v>1694</v>
      </c>
      <c r="AC204" s="44" t="s">
        <v>1695</v>
      </c>
      <c r="AD204" s="45">
        <v>42325</v>
      </c>
      <c r="AE204" s="191" t="s">
        <v>30</v>
      </c>
      <c r="AF204" s="36" t="s">
        <v>26</v>
      </c>
      <c r="AG204" s="64" t="s">
        <v>120</v>
      </c>
      <c r="AH204" s="48" t="s">
        <v>120</v>
      </c>
      <c r="AI204" s="48" t="s">
        <v>120</v>
      </c>
      <c r="AJ204" s="48" t="s">
        <v>120</v>
      </c>
      <c r="AK204" s="48" t="s">
        <v>120</v>
      </c>
      <c r="AL204" s="48" t="s">
        <v>120</v>
      </c>
      <c r="AM204" s="49" t="s">
        <v>120</v>
      </c>
      <c r="AN204" s="48" t="s">
        <v>120</v>
      </c>
      <c r="AO204" s="65" t="s">
        <v>32</v>
      </c>
      <c r="AP204" s="65"/>
      <c r="AQ204" s="59"/>
    </row>
    <row r="205" spans="1:47" x14ac:dyDescent="0.2">
      <c r="A205">
        <v>204</v>
      </c>
      <c r="B205" s="33">
        <f>+B204+1</f>
        <v>3</v>
      </c>
      <c r="C205" s="34" t="s">
        <v>1696</v>
      </c>
      <c r="D205" s="35" t="s">
        <v>1697</v>
      </c>
      <c r="E205" s="36" t="s">
        <v>4841</v>
      </c>
      <c r="F205" s="36"/>
      <c r="G205" s="36" t="s">
        <v>54</v>
      </c>
      <c r="H205" s="34" t="s">
        <v>1699</v>
      </c>
      <c r="I205" s="37" t="s">
        <v>73</v>
      </c>
      <c r="J205" s="425" t="s">
        <v>4765</v>
      </c>
      <c r="K205" s="37" t="s">
        <v>73</v>
      </c>
      <c r="L205" s="34" t="s">
        <v>1700</v>
      </c>
      <c r="M205" s="34" t="s">
        <v>1700</v>
      </c>
      <c r="N205" s="39" t="s">
        <v>42</v>
      </c>
      <c r="O205" s="120">
        <v>30353</v>
      </c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42" t="s">
        <v>1701</v>
      </c>
      <c r="AB205" s="58" t="s">
        <v>1702</v>
      </c>
      <c r="AC205" s="44" t="s">
        <v>61</v>
      </c>
      <c r="AD205" s="45">
        <v>34597</v>
      </c>
      <c r="AE205" s="101" t="s">
        <v>30</v>
      </c>
      <c r="AF205" s="36"/>
      <c r="AG205" s="47" t="s">
        <v>49</v>
      </c>
      <c r="AH205" s="48" t="s">
        <v>41</v>
      </c>
      <c r="AI205" s="48" t="s">
        <v>41</v>
      </c>
      <c r="AJ205" s="48" t="s">
        <v>41</v>
      </c>
      <c r="AK205" s="48" t="s">
        <v>41</v>
      </c>
      <c r="AL205" s="48" t="s">
        <v>41</v>
      </c>
      <c r="AM205" s="49" t="s">
        <v>41</v>
      </c>
      <c r="AN205" s="48" t="s">
        <v>41</v>
      </c>
      <c r="AO205" s="65" t="s">
        <v>4591</v>
      </c>
      <c r="AP205" s="65"/>
      <c r="AQ205" s="59" t="s">
        <v>460</v>
      </c>
    </row>
    <row r="206" spans="1:47" x14ac:dyDescent="0.2">
      <c r="A206">
        <v>205</v>
      </c>
      <c r="B206" s="33">
        <f>+B205+1</f>
        <v>4</v>
      </c>
      <c r="C206" s="34" t="s">
        <v>1703</v>
      </c>
      <c r="D206" s="35" t="s">
        <v>1704</v>
      </c>
      <c r="E206" s="36" t="s">
        <v>1705</v>
      </c>
      <c r="F206" s="334">
        <v>34367</v>
      </c>
      <c r="G206" s="36" t="s">
        <v>36</v>
      </c>
      <c r="H206" s="34" t="s">
        <v>1706</v>
      </c>
      <c r="I206" s="37" t="s">
        <v>214</v>
      </c>
      <c r="J206" s="425" t="s">
        <v>4743</v>
      </c>
      <c r="K206" s="37" t="s">
        <v>205</v>
      </c>
      <c r="L206" s="38" t="s">
        <v>1707</v>
      </c>
      <c r="M206" s="34"/>
      <c r="N206" s="39" t="s">
        <v>42</v>
      </c>
      <c r="O206" s="166" t="s">
        <v>1708</v>
      </c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42" t="s">
        <v>1709</v>
      </c>
      <c r="AB206" s="52" t="s">
        <v>1710</v>
      </c>
      <c r="AC206" s="44" t="s">
        <v>1711</v>
      </c>
      <c r="AD206" s="45">
        <v>44041</v>
      </c>
      <c r="AE206" s="101" t="s">
        <v>30</v>
      </c>
      <c r="AF206" s="36" t="s">
        <v>26</v>
      </c>
      <c r="AG206" s="47" t="s">
        <v>49</v>
      </c>
      <c r="AH206" s="48" t="s">
        <v>49</v>
      </c>
      <c r="AI206" s="48" t="s">
        <v>49</v>
      </c>
      <c r="AJ206" s="48" t="s">
        <v>49</v>
      </c>
      <c r="AK206" s="48" t="s">
        <v>49</v>
      </c>
      <c r="AL206" s="48" t="s">
        <v>49</v>
      </c>
      <c r="AM206" s="49" t="s">
        <v>49</v>
      </c>
      <c r="AN206" s="48" t="s">
        <v>49</v>
      </c>
      <c r="AO206" s="62" t="s">
        <v>32</v>
      </c>
      <c r="AP206" s="62"/>
      <c r="AQ206" s="59"/>
    </row>
    <row r="207" spans="1:47" x14ac:dyDescent="0.2">
      <c r="A207">
        <v>206</v>
      </c>
      <c r="B207" s="33">
        <f>+B206+1</f>
        <v>5</v>
      </c>
      <c r="C207" s="34" t="s">
        <v>4730</v>
      </c>
      <c r="D207" s="35" t="s">
        <v>4731</v>
      </c>
      <c r="E207" s="36" t="s">
        <v>4732</v>
      </c>
      <c r="F207" s="334"/>
      <c r="G207" s="36" t="s">
        <v>4169</v>
      </c>
      <c r="H207" s="34" t="s">
        <v>4733</v>
      </c>
      <c r="I207" s="37" t="s">
        <v>323</v>
      </c>
      <c r="J207" s="425" t="s">
        <v>4758</v>
      </c>
      <c r="K207" s="37" t="s">
        <v>39</v>
      </c>
      <c r="L207" s="38" t="s">
        <v>4734</v>
      </c>
      <c r="M207" s="34" t="s">
        <v>41</v>
      </c>
      <c r="N207" s="39" t="s">
        <v>42</v>
      </c>
      <c r="O207" s="166">
        <v>46179</v>
      </c>
      <c r="P207" s="56" t="s">
        <v>179</v>
      </c>
      <c r="Q207" s="56"/>
      <c r="R207" s="56"/>
      <c r="S207" s="56"/>
      <c r="T207" s="56"/>
      <c r="U207" s="56"/>
      <c r="V207" s="56"/>
      <c r="W207" s="56"/>
      <c r="X207" s="56"/>
      <c r="Y207" s="56"/>
      <c r="Z207" s="56" t="s">
        <v>44</v>
      </c>
      <c r="AA207" s="57" t="s">
        <v>4735</v>
      </c>
      <c r="AB207" s="52"/>
      <c r="AC207" s="44"/>
      <c r="AD207" s="45"/>
      <c r="AE207" s="101"/>
      <c r="AF207" s="36"/>
      <c r="AG207" s="47"/>
      <c r="AH207" s="48"/>
      <c r="AI207" s="48"/>
      <c r="AJ207" s="48"/>
      <c r="AK207" s="48"/>
      <c r="AL207" s="48"/>
      <c r="AM207" s="49"/>
      <c r="AN207" s="48"/>
      <c r="AO207" s="62"/>
      <c r="AP207" s="62"/>
      <c r="AQ207" s="59"/>
    </row>
    <row r="208" spans="1:47" x14ac:dyDescent="0.2">
      <c r="A208">
        <v>207</v>
      </c>
      <c r="B208" s="33">
        <f>+B207+1</f>
        <v>6</v>
      </c>
      <c r="C208" s="34" t="s">
        <v>1712</v>
      </c>
      <c r="D208" s="35" t="s">
        <v>1713</v>
      </c>
      <c r="E208" s="36" t="s">
        <v>1714</v>
      </c>
      <c r="F208" s="334">
        <v>36073</v>
      </c>
      <c r="G208" s="36" t="s">
        <v>36</v>
      </c>
      <c r="H208" s="34" t="s">
        <v>1715</v>
      </c>
      <c r="I208" s="37" t="s">
        <v>39</v>
      </c>
      <c r="J208" s="425" t="s">
        <v>4766</v>
      </c>
      <c r="K208" s="37" t="s">
        <v>39</v>
      </c>
      <c r="L208" s="34" t="s">
        <v>1716</v>
      </c>
      <c r="M208" s="34" t="s">
        <v>41</v>
      </c>
      <c r="N208" s="39" t="s">
        <v>42</v>
      </c>
      <c r="O208" s="120">
        <v>42010</v>
      </c>
      <c r="P208" s="56" t="s">
        <v>179</v>
      </c>
      <c r="Q208" s="56" t="s">
        <v>179</v>
      </c>
      <c r="R208" s="56"/>
      <c r="S208" s="56">
        <v>2</v>
      </c>
      <c r="T208" s="56"/>
      <c r="U208" s="56"/>
      <c r="V208" s="56"/>
      <c r="W208" s="56" t="s">
        <v>732</v>
      </c>
      <c r="X208" s="56"/>
      <c r="Y208" s="56"/>
      <c r="Z208" s="56"/>
      <c r="AA208" s="42" t="s">
        <v>1717</v>
      </c>
      <c r="AB208" s="100" t="s">
        <v>1718</v>
      </c>
      <c r="AC208" s="44" t="s">
        <v>1719</v>
      </c>
      <c r="AD208" s="45">
        <v>42325</v>
      </c>
      <c r="AE208" s="101" t="s">
        <v>30</v>
      </c>
      <c r="AF208" s="36" t="s">
        <v>26</v>
      </c>
      <c r="AG208" s="47" t="s">
        <v>49</v>
      </c>
      <c r="AH208" s="48" t="s">
        <v>49</v>
      </c>
      <c r="AI208" s="48" t="s">
        <v>49</v>
      </c>
      <c r="AJ208" s="48" t="s">
        <v>49</v>
      </c>
      <c r="AK208" s="48" t="s">
        <v>49</v>
      </c>
      <c r="AL208" s="48" t="s">
        <v>49</v>
      </c>
      <c r="AM208" s="49" t="s">
        <v>49</v>
      </c>
      <c r="AN208" s="48" t="s">
        <v>49</v>
      </c>
      <c r="AO208" s="62" t="s">
        <v>32</v>
      </c>
      <c r="AP208" s="62"/>
      <c r="AQ208" s="59"/>
    </row>
    <row r="209" spans="1:43" ht="15" customHeight="1" x14ac:dyDescent="0.2">
      <c r="A209">
        <v>208</v>
      </c>
      <c r="B209" s="33">
        <f>+B208+1</f>
        <v>7</v>
      </c>
      <c r="C209" s="34" t="s">
        <v>1720</v>
      </c>
      <c r="D209" s="35" t="s">
        <v>1721</v>
      </c>
      <c r="E209" s="36" t="s">
        <v>1722</v>
      </c>
      <c r="F209" s="334">
        <v>27459</v>
      </c>
      <c r="G209" s="36" t="s">
        <v>36</v>
      </c>
      <c r="H209" s="34" t="s">
        <v>1723</v>
      </c>
      <c r="I209" s="37" t="s">
        <v>398</v>
      </c>
      <c r="J209" s="425" t="s">
        <v>4745</v>
      </c>
      <c r="K209" s="37" t="s">
        <v>205</v>
      </c>
      <c r="L209" s="38" t="s">
        <v>1724</v>
      </c>
      <c r="M209" s="34" t="s">
        <v>41</v>
      </c>
      <c r="N209" s="39" t="s">
        <v>42</v>
      </c>
      <c r="O209" s="120" t="s">
        <v>1725</v>
      </c>
      <c r="P209" s="137"/>
      <c r="Q209" s="137"/>
      <c r="R209" s="137"/>
      <c r="S209" s="137"/>
      <c r="T209" s="137"/>
      <c r="U209" s="137"/>
      <c r="V209" s="137"/>
      <c r="W209" s="137" t="s">
        <v>44</v>
      </c>
      <c r="X209" s="137"/>
      <c r="Y209" s="137"/>
      <c r="Z209" s="137"/>
      <c r="AA209" s="54" t="s">
        <v>1726</v>
      </c>
      <c r="AB209" s="100" t="s">
        <v>1727</v>
      </c>
      <c r="AC209" s="44"/>
      <c r="AD209" s="45" t="s">
        <v>47</v>
      </c>
      <c r="AE209" s="101"/>
      <c r="AF209" s="36"/>
      <c r="AG209" s="47" t="s">
        <v>49</v>
      </c>
      <c r="AH209" s="48" t="s">
        <v>41</v>
      </c>
      <c r="AI209" s="48" t="s">
        <v>41</v>
      </c>
      <c r="AJ209" s="48" t="s">
        <v>49</v>
      </c>
      <c r="AK209" s="48" t="s">
        <v>49</v>
      </c>
      <c r="AL209" s="48" t="s">
        <v>49</v>
      </c>
      <c r="AM209" s="49" t="s">
        <v>49</v>
      </c>
      <c r="AN209" s="48" t="s">
        <v>49</v>
      </c>
      <c r="AO209" s="62" t="s">
        <v>32</v>
      </c>
      <c r="AP209" s="62"/>
      <c r="AQ209" s="59"/>
    </row>
    <row r="210" spans="1:43" ht="15" customHeight="1" x14ac:dyDescent="0.2">
      <c r="A210">
        <v>209</v>
      </c>
      <c r="B210" s="33">
        <f>+B209+1</f>
        <v>8</v>
      </c>
      <c r="C210" s="38" t="s">
        <v>1728</v>
      </c>
      <c r="D210" s="35" t="s">
        <v>1729</v>
      </c>
      <c r="E210" s="36" t="s">
        <v>4830</v>
      </c>
      <c r="F210" s="334">
        <v>24438</v>
      </c>
      <c r="G210" s="36" t="s">
        <v>54</v>
      </c>
      <c r="H210" s="34" t="s">
        <v>1731</v>
      </c>
      <c r="I210" s="37" t="s">
        <v>205</v>
      </c>
      <c r="J210" s="425" t="s">
        <v>4764</v>
      </c>
      <c r="K210" s="37" t="s">
        <v>205</v>
      </c>
      <c r="L210" s="199" t="s">
        <v>1732</v>
      </c>
      <c r="M210" s="34" t="s">
        <v>41</v>
      </c>
      <c r="N210" s="39" t="s">
        <v>42</v>
      </c>
      <c r="O210" s="120">
        <v>43292</v>
      </c>
      <c r="P210" s="115"/>
      <c r="Q210" s="115"/>
      <c r="R210" s="115"/>
      <c r="S210" s="115"/>
      <c r="T210" s="115"/>
      <c r="U210" s="115"/>
      <c r="V210" s="115"/>
      <c r="W210" s="115"/>
      <c r="X210" s="115"/>
      <c r="Y210" s="115" t="s">
        <v>732</v>
      </c>
      <c r="Z210" s="115"/>
      <c r="AA210" s="57" t="s">
        <v>1733</v>
      </c>
      <c r="AB210" s="100" t="s">
        <v>1734</v>
      </c>
      <c r="AC210" s="44"/>
      <c r="AD210" s="45">
        <v>44041</v>
      </c>
      <c r="AE210" s="101" t="s">
        <v>30</v>
      </c>
      <c r="AF210" s="36" t="s">
        <v>26</v>
      </c>
      <c r="AG210" s="47" t="s">
        <v>49</v>
      </c>
      <c r="AH210" s="48" t="s">
        <v>49</v>
      </c>
      <c r="AI210" s="48" t="s">
        <v>49</v>
      </c>
      <c r="AJ210" s="48" t="s">
        <v>49</v>
      </c>
      <c r="AK210" s="48" t="s">
        <v>49</v>
      </c>
      <c r="AL210" s="48" t="s">
        <v>49</v>
      </c>
      <c r="AM210" s="49" t="s">
        <v>49</v>
      </c>
      <c r="AN210" s="48" t="s">
        <v>49</v>
      </c>
      <c r="AO210" s="62" t="s">
        <v>32</v>
      </c>
      <c r="AP210" s="62"/>
      <c r="AQ210" s="59"/>
    </row>
    <row r="211" spans="1:43" x14ac:dyDescent="0.2">
      <c r="A211">
        <v>210</v>
      </c>
      <c r="B211" s="33">
        <f>+B210+1</f>
        <v>9</v>
      </c>
      <c r="C211" s="38" t="s">
        <v>1735</v>
      </c>
      <c r="D211" s="35" t="s">
        <v>1736</v>
      </c>
      <c r="E211" s="36" t="s">
        <v>1737</v>
      </c>
      <c r="F211" s="334">
        <v>35201</v>
      </c>
      <c r="G211" s="36" t="s">
        <v>54</v>
      </c>
      <c r="H211" s="34" t="s">
        <v>1738</v>
      </c>
      <c r="I211" s="37" t="s">
        <v>73</v>
      </c>
      <c r="J211" s="425" t="s">
        <v>4765</v>
      </c>
      <c r="K211" s="37" t="s">
        <v>73</v>
      </c>
      <c r="L211" s="199" t="s">
        <v>1739</v>
      </c>
      <c r="M211" s="34" t="s">
        <v>41</v>
      </c>
      <c r="N211" s="39" t="s">
        <v>42</v>
      </c>
      <c r="O211" s="194">
        <v>45610</v>
      </c>
      <c r="P211" s="115"/>
      <c r="Q211" s="114"/>
      <c r="R211" s="115"/>
      <c r="S211" s="114"/>
      <c r="T211" s="115"/>
      <c r="U211" s="115"/>
      <c r="V211" s="115"/>
      <c r="W211" s="56"/>
      <c r="X211" s="56" t="s">
        <v>44</v>
      </c>
      <c r="Y211" s="56"/>
      <c r="Z211" s="56"/>
      <c r="AA211" s="415" t="s">
        <v>1740</v>
      </c>
      <c r="AB211" s="100" t="s">
        <v>1741</v>
      </c>
      <c r="AC211" s="44"/>
      <c r="AD211" s="45"/>
      <c r="AE211" s="191"/>
      <c r="AF211" s="36"/>
      <c r="AG211" s="47" t="s">
        <v>49</v>
      </c>
      <c r="AH211" s="48" t="s">
        <v>41</v>
      </c>
      <c r="AI211" s="48" t="s">
        <v>41</v>
      </c>
      <c r="AJ211" s="48" t="s">
        <v>41</v>
      </c>
      <c r="AK211" s="48" t="s">
        <v>41</v>
      </c>
      <c r="AL211" s="48" t="s">
        <v>49</v>
      </c>
      <c r="AM211" s="49" t="s">
        <v>49</v>
      </c>
      <c r="AN211" s="48" t="s">
        <v>49</v>
      </c>
      <c r="AO211" s="62" t="s">
        <v>32</v>
      </c>
      <c r="AP211" s="62"/>
      <c r="AQ211" s="59"/>
    </row>
    <row r="212" spans="1:43" x14ac:dyDescent="0.2">
      <c r="A212">
        <v>211</v>
      </c>
      <c r="B212" s="33">
        <f>+B211+1</f>
        <v>10</v>
      </c>
      <c r="C212" s="34" t="s">
        <v>1742</v>
      </c>
      <c r="D212" s="35" t="s">
        <v>1743</v>
      </c>
      <c r="E212" s="36" t="s">
        <v>1744</v>
      </c>
      <c r="F212" s="334">
        <v>27625</v>
      </c>
      <c r="G212" s="36" t="s">
        <v>36</v>
      </c>
      <c r="H212" s="34" t="s">
        <v>1745</v>
      </c>
      <c r="I212" s="37" t="s">
        <v>323</v>
      </c>
      <c r="J212" s="425" t="s">
        <v>4758</v>
      </c>
      <c r="K212" s="37" t="s">
        <v>39</v>
      </c>
      <c r="L212" s="38" t="s">
        <v>1746</v>
      </c>
      <c r="M212" s="34"/>
      <c r="N212" s="39" t="s">
        <v>42</v>
      </c>
      <c r="O212" s="120">
        <v>42463</v>
      </c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42" t="s">
        <v>1747</v>
      </c>
      <c r="AB212" s="100" t="s">
        <v>1748</v>
      </c>
      <c r="AC212" s="44" t="s">
        <v>61</v>
      </c>
      <c r="AD212" s="45">
        <v>42935</v>
      </c>
      <c r="AE212" s="101" t="s">
        <v>30</v>
      </c>
      <c r="AF212" s="36" t="s">
        <v>26</v>
      </c>
      <c r="AG212" s="47" t="s">
        <v>49</v>
      </c>
      <c r="AH212" s="48" t="s">
        <v>49</v>
      </c>
      <c r="AI212" s="48" t="s">
        <v>49</v>
      </c>
      <c r="AJ212" s="48" t="s">
        <v>49</v>
      </c>
      <c r="AK212" s="48" t="s">
        <v>49</v>
      </c>
      <c r="AL212" s="48" t="s">
        <v>49</v>
      </c>
      <c r="AM212" s="49" t="s">
        <v>49</v>
      </c>
      <c r="AN212" s="48" t="s">
        <v>49</v>
      </c>
      <c r="AO212" s="62" t="s">
        <v>32</v>
      </c>
      <c r="AP212" s="62"/>
      <c r="AQ212" s="67"/>
    </row>
    <row r="213" spans="1:43" x14ac:dyDescent="0.2">
      <c r="A213">
        <v>212</v>
      </c>
      <c r="B213" s="33">
        <f>+B212+1</f>
        <v>11</v>
      </c>
      <c r="C213" s="34" t="s">
        <v>1749</v>
      </c>
      <c r="D213" s="35" t="s">
        <v>1750</v>
      </c>
      <c r="E213" s="36" t="s">
        <v>4843</v>
      </c>
      <c r="F213" s="334">
        <v>21005</v>
      </c>
      <c r="G213" s="36" t="s">
        <v>54</v>
      </c>
      <c r="H213" s="34" t="s">
        <v>1752</v>
      </c>
      <c r="I213" s="37" t="s">
        <v>73</v>
      </c>
      <c r="J213" s="425" t="s">
        <v>4765</v>
      </c>
      <c r="K213" s="37" t="s">
        <v>73</v>
      </c>
      <c r="L213" s="34" t="s">
        <v>1753</v>
      </c>
      <c r="M213" s="34" t="s">
        <v>1753</v>
      </c>
      <c r="N213" s="39" t="s">
        <v>42</v>
      </c>
      <c r="O213" s="158" t="s">
        <v>1311</v>
      </c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2" t="s">
        <v>1754</v>
      </c>
      <c r="AB213" s="58" t="s">
        <v>1755</v>
      </c>
      <c r="AC213" s="44" t="s">
        <v>61</v>
      </c>
      <c r="AD213" s="45">
        <v>37208</v>
      </c>
      <c r="AE213" s="101" t="s">
        <v>30</v>
      </c>
      <c r="AF213" s="36" t="s">
        <v>26</v>
      </c>
      <c r="AG213" s="47" t="s">
        <v>49</v>
      </c>
      <c r="AH213" s="48" t="s">
        <v>49</v>
      </c>
      <c r="AI213" s="48" t="s">
        <v>49</v>
      </c>
      <c r="AJ213" s="48" t="s">
        <v>49</v>
      </c>
      <c r="AK213" s="48" t="s">
        <v>49</v>
      </c>
      <c r="AL213" s="48" t="s">
        <v>49</v>
      </c>
      <c r="AM213" s="49" t="s">
        <v>49</v>
      </c>
      <c r="AN213" s="48" t="s">
        <v>41</v>
      </c>
      <c r="AO213" s="62" t="s">
        <v>148</v>
      </c>
      <c r="AP213" s="62"/>
      <c r="AQ213" s="423"/>
    </row>
    <row r="214" spans="1:43" x14ac:dyDescent="0.2">
      <c r="A214">
        <v>213</v>
      </c>
      <c r="B214" s="33">
        <f>+B213+1</f>
        <v>12</v>
      </c>
      <c r="C214" s="34" t="s">
        <v>1756</v>
      </c>
      <c r="D214" s="35" t="s">
        <v>1757</v>
      </c>
      <c r="E214" s="36" t="s">
        <v>1758</v>
      </c>
      <c r="F214" s="334">
        <v>29921</v>
      </c>
      <c r="G214" s="36" t="s">
        <v>54</v>
      </c>
      <c r="H214" s="34" t="s">
        <v>1759</v>
      </c>
      <c r="I214" s="37" t="s">
        <v>73</v>
      </c>
      <c r="J214" s="425" t="s">
        <v>4765</v>
      </c>
      <c r="K214" s="37" t="s">
        <v>73</v>
      </c>
      <c r="L214" s="34">
        <v>85741499797</v>
      </c>
      <c r="M214" s="34" t="s">
        <v>41</v>
      </c>
      <c r="N214" s="39" t="s">
        <v>42</v>
      </c>
      <c r="O214" s="158" t="s">
        <v>1760</v>
      </c>
      <c r="P214" s="41"/>
      <c r="Q214" s="41"/>
      <c r="R214" s="41"/>
      <c r="S214" s="41"/>
      <c r="T214" s="41"/>
      <c r="U214" s="41"/>
      <c r="V214" s="41"/>
      <c r="W214" s="41" t="s">
        <v>44</v>
      </c>
      <c r="X214" s="41"/>
      <c r="Y214" s="41"/>
      <c r="Z214" s="41"/>
      <c r="AA214" s="42" t="s">
        <v>1761</v>
      </c>
      <c r="AB214" s="58" t="s">
        <v>1762</v>
      </c>
      <c r="AC214" s="44"/>
      <c r="AD214" s="45">
        <v>45642</v>
      </c>
      <c r="AE214" s="101"/>
      <c r="AF214" s="36"/>
      <c r="AG214" s="47" t="s">
        <v>49</v>
      </c>
      <c r="AH214" s="48" t="s">
        <v>41</v>
      </c>
      <c r="AI214" s="48" t="s">
        <v>41</v>
      </c>
      <c r="AJ214" s="48" t="s">
        <v>1763</v>
      </c>
      <c r="AK214" s="48" t="s">
        <v>49</v>
      </c>
      <c r="AL214" s="48" t="s">
        <v>49</v>
      </c>
      <c r="AM214" s="49" t="s">
        <v>49</v>
      </c>
      <c r="AN214" s="48" t="s">
        <v>49</v>
      </c>
      <c r="AO214" s="62" t="s">
        <v>32</v>
      </c>
      <c r="AP214" s="62"/>
      <c r="AQ214" s="59"/>
    </row>
    <row r="215" spans="1:43" x14ac:dyDescent="0.2">
      <c r="A215">
        <v>214</v>
      </c>
      <c r="B215" s="33">
        <f>+B214+1</f>
        <v>13</v>
      </c>
      <c r="C215" s="34" t="s">
        <v>1764</v>
      </c>
      <c r="D215" s="35" t="s">
        <v>1765</v>
      </c>
      <c r="E215" s="36" t="s">
        <v>4664</v>
      </c>
      <c r="F215" s="334">
        <v>30843</v>
      </c>
      <c r="G215" s="36" t="s">
        <v>54</v>
      </c>
      <c r="H215" s="34" t="s">
        <v>1767</v>
      </c>
      <c r="I215" s="37" t="s">
        <v>73</v>
      </c>
      <c r="J215" s="425" t="s">
        <v>4765</v>
      </c>
      <c r="K215" s="37" t="s">
        <v>73</v>
      </c>
      <c r="L215" s="34" t="s">
        <v>1753</v>
      </c>
      <c r="M215" s="34" t="s">
        <v>1753</v>
      </c>
      <c r="N215" s="39" t="s">
        <v>42</v>
      </c>
      <c r="O215" s="120">
        <v>30353</v>
      </c>
      <c r="P215" s="41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42" t="s">
        <v>1768</v>
      </c>
      <c r="AB215" s="58" t="s">
        <v>1769</v>
      </c>
      <c r="AC215" s="44" t="s">
        <v>1770</v>
      </c>
      <c r="AD215" s="45">
        <v>44041</v>
      </c>
      <c r="AE215" s="101" t="s">
        <v>30</v>
      </c>
      <c r="AF215" s="36" t="s">
        <v>26</v>
      </c>
      <c r="AG215" s="64" t="s">
        <v>120</v>
      </c>
      <c r="AH215" s="48" t="s">
        <v>120</v>
      </c>
      <c r="AI215" s="48" t="s">
        <v>120</v>
      </c>
      <c r="AJ215" s="48" t="s">
        <v>120</v>
      </c>
      <c r="AK215" s="48" t="s">
        <v>120</v>
      </c>
      <c r="AL215" s="48" t="s">
        <v>120</v>
      </c>
      <c r="AM215" s="49" t="s">
        <v>120</v>
      </c>
      <c r="AN215" s="48" t="s">
        <v>120</v>
      </c>
      <c r="AO215" s="62" t="s">
        <v>32</v>
      </c>
      <c r="AP215" s="62"/>
      <c r="AQ215" s="59"/>
    </row>
    <row r="216" spans="1:43" x14ac:dyDescent="0.2">
      <c r="A216">
        <v>215</v>
      </c>
      <c r="B216" s="33">
        <f>+B215+1</f>
        <v>14</v>
      </c>
      <c r="C216" s="34" t="s">
        <v>1771</v>
      </c>
      <c r="D216" s="35" t="s">
        <v>1772</v>
      </c>
      <c r="E216" s="36" t="s">
        <v>1773</v>
      </c>
      <c r="F216" s="334">
        <v>28574</v>
      </c>
      <c r="G216" s="36" t="s">
        <v>54</v>
      </c>
      <c r="H216" s="34" t="s">
        <v>1774</v>
      </c>
      <c r="I216" s="37" t="s">
        <v>360</v>
      </c>
      <c r="J216" s="425" t="s">
        <v>4749</v>
      </c>
      <c r="K216" s="37" t="s">
        <v>350</v>
      </c>
      <c r="L216" s="34" t="s">
        <v>1775</v>
      </c>
      <c r="M216" s="34" t="s">
        <v>41</v>
      </c>
      <c r="N216" s="39" t="s">
        <v>42</v>
      </c>
      <c r="O216" s="158" t="s">
        <v>1776</v>
      </c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2" t="s">
        <v>1777</v>
      </c>
      <c r="AB216" s="52" t="s">
        <v>1778</v>
      </c>
      <c r="AC216" s="44" t="s">
        <v>61</v>
      </c>
      <c r="AD216" s="45">
        <v>40815</v>
      </c>
      <c r="AE216" s="101" t="s">
        <v>30</v>
      </c>
      <c r="AF216" s="36" t="s">
        <v>26</v>
      </c>
      <c r="AG216" s="47" t="s">
        <v>49</v>
      </c>
      <c r="AH216" s="48" t="s">
        <v>49</v>
      </c>
      <c r="AI216" s="48" t="s">
        <v>49</v>
      </c>
      <c r="AJ216" s="48" t="s">
        <v>49</v>
      </c>
      <c r="AK216" s="48" t="s">
        <v>49</v>
      </c>
      <c r="AL216" s="48" t="s">
        <v>49</v>
      </c>
      <c r="AM216" s="49" t="s">
        <v>49</v>
      </c>
      <c r="AN216" s="48" t="s">
        <v>49</v>
      </c>
      <c r="AO216" s="65" t="s">
        <v>32</v>
      </c>
      <c r="AP216" s="65"/>
      <c r="AQ216" s="59"/>
    </row>
    <row r="217" spans="1:43" x14ac:dyDescent="0.2">
      <c r="A217">
        <v>216</v>
      </c>
      <c r="B217" s="33">
        <f>+B216+1</f>
        <v>15</v>
      </c>
      <c r="C217" s="34" t="s">
        <v>1779</v>
      </c>
      <c r="D217" s="35" t="s">
        <v>1780</v>
      </c>
      <c r="E217" s="36" t="s">
        <v>1781</v>
      </c>
      <c r="F217" s="334">
        <v>32608</v>
      </c>
      <c r="G217" s="36" t="s">
        <v>36</v>
      </c>
      <c r="H217" s="34" t="s">
        <v>1782</v>
      </c>
      <c r="I217" s="37" t="s">
        <v>38</v>
      </c>
      <c r="J217" s="425" t="s">
        <v>4762</v>
      </c>
      <c r="K217" s="37" t="s">
        <v>39</v>
      </c>
      <c r="L217" s="38" t="s">
        <v>1783</v>
      </c>
      <c r="M217" s="34" t="s">
        <v>41</v>
      </c>
      <c r="N217" s="39" t="s">
        <v>42</v>
      </c>
      <c r="O217" s="99" t="s">
        <v>1650</v>
      </c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42" t="s">
        <v>1784</v>
      </c>
      <c r="AB217" s="52" t="s">
        <v>1785</v>
      </c>
      <c r="AC217" s="44" t="s">
        <v>1786</v>
      </c>
      <c r="AD217" s="45">
        <v>43200</v>
      </c>
      <c r="AE217" s="101" t="s">
        <v>30</v>
      </c>
      <c r="AF217" s="36" t="s">
        <v>26</v>
      </c>
      <c r="AG217" s="47" t="s">
        <v>49</v>
      </c>
      <c r="AH217" s="48" t="s">
        <v>49</v>
      </c>
      <c r="AI217" s="48" t="s">
        <v>49</v>
      </c>
      <c r="AJ217" s="48" t="s">
        <v>49</v>
      </c>
      <c r="AK217" s="48" t="s">
        <v>49</v>
      </c>
      <c r="AL217" s="48" t="s">
        <v>49</v>
      </c>
      <c r="AM217" s="49" t="s">
        <v>49</v>
      </c>
      <c r="AN217" s="48" t="s">
        <v>49</v>
      </c>
      <c r="AO217" s="65" t="s">
        <v>32</v>
      </c>
      <c r="AP217" s="65"/>
      <c r="AQ217" s="59"/>
    </row>
    <row r="218" spans="1:43" x14ac:dyDescent="0.2">
      <c r="A218">
        <v>217</v>
      </c>
      <c r="B218" s="33">
        <f>+B217+1</f>
        <v>16</v>
      </c>
      <c r="C218" s="34" t="s">
        <v>1787</v>
      </c>
      <c r="D218" s="35" t="s">
        <v>1788</v>
      </c>
      <c r="E218" s="36" t="s">
        <v>4837</v>
      </c>
      <c r="F218" s="36"/>
      <c r="G218" s="36" t="s">
        <v>54</v>
      </c>
      <c r="H218" s="87" t="s">
        <v>1790</v>
      </c>
      <c r="I218" s="37" t="s">
        <v>73</v>
      </c>
      <c r="J218" s="425" t="s">
        <v>4765</v>
      </c>
      <c r="K218" s="37" t="s">
        <v>73</v>
      </c>
      <c r="L218" s="34" t="s">
        <v>1791</v>
      </c>
      <c r="M218" s="34" t="s">
        <v>41</v>
      </c>
      <c r="N218" s="39" t="s">
        <v>42</v>
      </c>
      <c r="O218" s="99" t="s">
        <v>1650</v>
      </c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42" t="s">
        <v>1792</v>
      </c>
      <c r="AB218" s="100" t="s">
        <v>1793</v>
      </c>
      <c r="AC218" s="44" t="s">
        <v>61</v>
      </c>
      <c r="AD218" s="45">
        <v>37208</v>
      </c>
      <c r="AE218" s="101" t="s">
        <v>30</v>
      </c>
      <c r="AF218" s="36" t="s">
        <v>26</v>
      </c>
      <c r="AG218" s="47" t="s">
        <v>49</v>
      </c>
      <c r="AH218" s="48" t="s">
        <v>49</v>
      </c>
      <c r="AI218" s="48" t="s">
        <v>41</v>
      </c>
      <c r="AJ218" s="48" t="s">
        <v>41</v>
      </c>
      <c r="AK218" s="48" t="s">
        <v>41</v>
      </c>
      <c r="AL218" s="48" t="s">
        <v>41</v>
      </c>
      <c r="AM218" s="49" t="s">
        <v>41</v>
      </c>
      <c r="AN218" s="48" t="s">
        <v>41</v>
      </c>
      <c r="AO218" s="62" t="s">
        <v>4587</v>
      </c>
      <c r="AP218" s="62"/>
      <c r="AQ218" s="59"/>
    </row>
    <row r="219" spans="1:43" x14ac:dyDescent="0.2">
      <c r="A219">
        <v>218</v>
      </c>
      <c r="B219" s="33">
        <f>+B218+1</f>
        <v>17</v>
      </c>
      <c r="C219" s="34" t="s">
        <v>1794</v>
      </c>
      <c r="D219" s="35" t="s">
        <v>1795</v>
      </c>
      <c r="E219" s="36" t="s">
        <v>1796</v>
      </c>
      <c r="F219" s="334">
        <v>32574</v>
      </c>
      <c r="G219" s="36" t="s">
        <v>54</v>
      </c>
      <c r="H219" s="34" t="s">
        <v>1797</v>
      </c>
      <c r="I219" s="37" t="s">
        <v>4660</v>
      </c>
      <c r="J219" s="425" t="s">
        <v>4760</v>
      </c>
      <c r="K219" s="37" t="s">
        <v>39</v>
      </c>
      <c r="L219" s="38" t="s">
        <v>1798</v>
      </c>
      <c r="M219" s="34" t="s">
        <v>41</v>
      </c>
      <c r="N219" s="39" t="s">
        <v>42</v>
      </c>
      <c r="O219" s="158" t="s">
        <v>1799</v>
      </c>
      <c r="P219" s="56"/>
      <c r="Q219" s="56"/>
      <c r="R219" s="56"/>
      <c r="S219" s="56"/>
      <c r="T219" s="56"/>
      <c r="U219" s="56"/>
      <c r="V219" s="56"/>
      <c r="W219" s="56"/>
      <c r="X219" s="56"/>
      <c r="Y219" s="56" t="s">
        <v>732</v>
      </c>
      <c r="Z219" s="56"/>
      <c r="AA219" s="42" t="s">
        <v>1800</v>
      </c>
      <c r="AB219" s="69" t="s">
        <v>1801</v>
      </c>
      <c r="AC219" s="44"/>
      <c r="AD219" s="45"/>
      <c r="AE219" s="101"/>
      <c r="AF219" s="36" t="s">
        <v>26</v>
      </c>
      <c r="AG219" s="47" t="s">
        <v>49</v>
      </c>
      <c r="AH219" s="48" t="s">
        <v>49</v>
      </c>
      <c r="AI219" s="48" t="s">
        <v>49</v>
      </c>
      <c r="AJ219" s="48" t="s">
        <v>49</v>
      </c>
      <c r="AK219" s="48" t="s">
        <v>49</v>
      </c>
      <c r="AL219" s="48" t="s">
        <v>49</v>
      </c>
      <c r="AM219" s="49" t="s">
        <v>49</v>
      </c>
      <c r="AN219" s="48" t="s">
        <v>49</v>
      </c>
      <c r="AO219" s="65" t="s">
        <v>32</v>
      </c>
      <c r="AP219" s="65"/>
      <c r="AQ219" s="59"/>
    </row>
    <row r="220" spans="1:43" x14ac:dyDescent="0.2">
      <c r="A220">
        <v>219</v>
      </c>
      <c r="B220" s="33">
        <f>+B219+1</f>
        <v>18</v>
      </c>
      <c r="C220" s="34" t="s">
        <v>1802</v>
      </c>
      <c r="D220" s="35" t="s">
        <v>1803</v>
      </c>
      <c r="E220" s="89" t="s">
        <v>1804</v>
      </c>
      <c r="F220" s="340">
        <v>27220</v>
      </c>
      <c r="G220" s="36" t="s">
        <v>54</v>
      </c>
      <c r="H220" s="200" t="s">
        <v>1805</v>
      </c>
      <c r="I220" s="37" t="s">
        <v>528</v>
      </c>
      <c r="J220" s="425" t="s">
        <v>4756</v>
      </c>
      <c r="K220" s="37" t="s">
        <v>57</v>
      </c>
      <c r="L220" s="201" t="s">
        <v>1806</v>
      </c>
      <c r="M220" s="34" t="s">
        <v>41</v>
      </c>
      <c r="N220" s="39" t="s">
        <v>42</v>
      </c>
      <c r="O220" s="158" t="s">
        <v>1006</v>
      </c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57" t="s">
        <v>1807</v>
      </c>
      <c r="AB220" s="58" t="s">
        <v>1808</v>
      </c>
      <c r="AC220" s="44" t="s">
        <v>1809</v>
      </c>
      <c r="AD220" s="45">
        <v>43200</v>
      </c>
      <c r="AE220" s="101" t="s">
        <v>30</v>
      </c>
      <c r="AF220" s="36" t="s">
        <v>26</v>
      </c>
      <c r="AG220" s="47" t="s">
        <v>49</v>
      </c>
      <c r="AH220" s="48" t="s">
        <v>49</v>
      </c>
      <c r="AI220" s="48" t="s">
        <v>49</v>
      </c>
      <c r="AJ220" s="48" t="s">
        <v>49</v>
      </c>
      <c r="AK220" s="48" t="s">
        <v>49</v>
      </c>
      <c r="AL220" s="48" t="s">
        <v>49</v>
      </c>
      <c r="AM220" s="49" t="s">
        <v>41</v>
      </c>
      <c r="AN220" s="48" t="s">
        <v>41</v>
      </c>
      <c r="AO220" s="62" t="s">
        <v>276</v>
      </c>
      <c r="AP220" s="62"/>
      <c r="AQ220" s="59"/>
    </row>
    <row r="221" spans="1:43" x14ac:dyDescent="0.2">
      <c r="A221">
        <v>220</v>
      </c>
      <c r="B221" s="33">
        <f>+B220+1</f>
        <v>19</v>
      </c>
      <c r="C221" s="34" t="s">
        <v>1810</v>
      </c>
      <c r="D221" s="35" t="s">
        <v>1811</v>
      </c>
      <c r="E221" s="36" t="s">
        <v>1812</v>
      </c>
      <c r="F221" s="334">
        <v>31652</v>
      </c>
      <c r="G221" s="36" t="s">
        <v>36</v>
      </c>
      <c r="H221" s="200" t="s">
        <v>1813</v>
      </c>
      <c r="I221" s="37" t="s">
        <v>252</v>
      </c>
      <c r="J221" s="425" t="s">
        <v>4742</v>
      </c>
      <c r="K221" s="37" t="s">
        <v>57</v>
      </c>
      <c r="L221" s="201" t="s">
        <v>1814</v>
      </c>
      <c r="M221" s="34"/>
      <c r="N221" s="39" t="s">
        <v>42</v>
      </c>
      <c r="O221" s="158" t="s">
        <v>1815</v>
      </c>
      <c r="P221" s="41"/>
      <c r="Q221" s="41"/>
      <c r="R221" s="41"/>
      <c r="S221" s="41"/>
      <c r="T221" s="41"/>
      <c r="U221" s="41"/>
      <c r="V221" s="41"/>
      <c r="W221" s="41"/>
      <c r="X221" s="41"/>
      <c r="Y221" s="41" t="s">
        <v>44</v>
      </c>
      <c r="Z221" s="41"/>
      <c r="AA221" s="413" t="s">
        <v>1816</v>
      </c>
      <c r="AB221" s="58" t="s">
        <v>4722</v>
      </c>
      <c r="AC221" s="44"/>
      <c r="AD221" s="45"/>
      <c r="AE221" s="101"/>
      <c r="AF221" s="36"/>
      <c r="AG221" s="47" t="s">
        <v>49</v>
      </c>
      <c r="AH221" s="48" t="s">
        <v>41</v>
      </c>
      <c r="AI221" s="48" t="s">
        <v>41</v>
      </c>
      <c r="AJ221" s="48" t="s">
        <v>41</v>
      </c>
      <c r="AK221" s="48" t="s">
        <v>41</v>
      </c>
      <c r="AL221" s="48" t="s">
        <v>41</v>
      </c>
      <c r="AM221" s="49" t="s">
        <v>49</v>
      </c>
      <c r="AN221" s="48" t="s">
        <v>49</v>
      </c>
      <c r="AO221" s="65" t="s">
        <v>32</v>
      </c>
      <c r="AP221" s="65"/>
      <c r="AQ221" s="59"/>
    </row>
    <row r="222" spans="1:43" x14ac:dyDescent="0.2">
      <c r="A222">
        <v>221</v>
      </c>
      <c r="B222" s="33">
        <f>+B221+1</f>
        <v>20</v>
      </c>
      <c r="C222" s="34" t="s">
        <v>1818</v>
      </c>
      <c r="D222" s="35" t="s">
        <v>1819</v>
      </c>
      <c r="E222" s="174" t="s">
        <v>1820</v>
      </c>
      <c r="F222" s="341"/>
      <c r="G222" s="36" t="s">
        <v>54</v>
      </c>
      <c r="H222" s="34" t="s">
        <v>1821</v>
      </c>
      <c r="I222" s="37" t="s">
        <v>39</v>
      </c>
      <c r="J222" s="425" t="s">
        <v>4766</v>
      </c>
      <c r="K222" s="37" t="s">
        <v>39</v>
      </c>
      <c r="L222" s="34" t="s">
        <v>1822</v>
      </c>
      <c r="M222" s="34" t="s">
        <v>1823</v>
      </c>
      <c r="N222" s="39" t="s">
        <v>42</v>
      </c>
      <c r="O222" s="158" t="s">
        <v>1824</v>
      </c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2" t="s">
        <v>1825</v>
      </c>
      <c r="AB222" s="58" t="s">
        <v>1826</v>
      </c>
      <c r="AC222" s="44" t="s">
        <v>1827</v>
      </c>
      <c r="AD222" s="45">
        <v>43200</v>
      </c>
      <c r="AE222" s="101" t="s">
        <v>30</v>
      </c>
      <c r="AF222" s="109"/>
      <c r="AG222" s="47" t="s">
        <v>49</v>
      </c>
      <c r="AH222" s="48" t="s">
        <v>41</v>
      </c>
      <c r="AI222" s="48" t="s">
        <v>41</v>
      </c>
      <c r="AJ222" s="48" t="s">
        <v>41</v>
      </c>
      <c r="AK222" s="48" t="s">
        <v>41</v>
      </c>
      <c r="AL222" s="48" t="s">
        <v>41</v>
      </c>
      <c r="AM222" s="49" t="s">
        <v>41</v>
      </c>
      <c r="AN222" s="48" t="s">
        <v>41</v>
      </c>
      <c r="AO222" s="65" t="s">
        <v>4590</v>
      </c>
      <c r="AP222" s="65"/>
      <c r="AQ222" s="59" t="s">
        <v>1828</v>
      </c>
    </row>
    <row r="223" spans="1:43" x14ac:dyDescent="0.2">
      <c r="A223">
        <v>222</v>
      </c>
      <c r="B223" s="33">
        <f>+B222+1</f>
        <v>21</v>
      </c>
      <c r="C223" s="34" t="s">
        <v>1829</v>
      </c>
      <c r="D223" s="35" t="s">
        <v>1830</v>
      </c>
      <c r="E223" s="36" t="s">
        <v>1831</v>
      </c>
      <c r="F223" s="36"/>
      <c r="G223" s="36" t="s">
        <v>36</v>
      </c>
      <c r="H223" s="108" t="s">
        <v>1832</v>
      </c>
      <c r="I223" s="37" t="s">
        <v>73</v>
      </c>
      <c r="J223" s="425" t="s">
        <v>4765</v>
      </c>
      <c r="K223" s="37" t="s">
        <v>73</v>
      </c>
      <c r="L223" s="38" t="s">
        <v>1833</v>
      </c>
      <c r="M223" s="38" t="s">
        <v>1834</v>
      </c>
      <c r="N223" s="39" t="s">
        <v>42</v>
      </c>
      <c r="O223" s="99" t="s">
        <v>1835</v>
      </c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42" t="s">
        <v>1836</v>
      </c>
      <c r="AB223" s="58" t="s">
        <v>1837</v>
      </c>
      <c r="AC223" s="44" t="s">
        <v>1838</v>
      </c>
      <c r="AD223" s="45">
        <v>43200</v>
      </c>
      <c r="AE223" s="101" t="s">
        <v>30</v>
      </c>
      <c r="AF223" s="36" t="s">
        <v>26</v>
      </c>
      <c r="AG223" s="47" t="s">
        <v>49</v>
      </c>
      <c r="AH223" s="48" t="s">
        <v>49</v>
      </c>
      <c r="AI223" s="48" t="s">
        <v>41</v>
      </c>
      <c r="AJ223" s="48" t="s">
        <v>41</v>
      </c>
      <c r="AK223" s="48" t="s">
        <v>41</v>
      </c>
      <c r="AL223" s="48" t="s">
        <v>41</v>
      </c>
      <c r="AM223" s="49" t="s">
        <v>41</v>
      </c>
      <c r="AN223" s="48" t="s">
        <v>41</v>
      </c>
      <c r="AO223" s="62" t="s">
        <v>4587</v>
      </c>
      <c r="AP223" s="62"/>
      <c r="AQ223" s="59"/>
    </row>
    <row r="224" spans="1:43" x14ac:dyDescent="0.2">
      <c r="A224">
        <v>223</v>
      </c>
      <c r="B224" s="33">
        <f>+B223+1</f>
        <v>22</v>
      </c>
      <c r="C224" s="34" t="s">
        <v>1839</v>
      </c>
      <c r="D224" s="35" t="s">
        <v>1840</v>
      </c>
      <c r="E224" s="36" t="s">
        <v>1841</v>
      </c>
      <c r="F224" s="341">
        <v>28447</v>
      </c>
      <c r="G224" s="36" t="s">
        <v>36</v>
      </c>
      <c r="H224" s="108" t="s">
        <v>1842</v>
      </c>
      <c r="I224" s="37" t="s">
        <v>205</v>
      </c>
      <c r="J224" s="425" t="s">
        <v>4764</v>
      </c>
      <c r="K224" s="37" t="s">
        <v>205</v>
      </c>
      <c r="L224" s="38" t="s">
        <v>1843</v>
      </c>
      <c r="M224" s="38" t="s">
        <v>41</v>
      </c>
      <c r="N224" s="39" t="s">
        <v>42</v>
      </c>
      <c r="O224" s="120">
        <v>44658</v>
      </c>
      <c r="P224" s="56"/>
      <c r="Q224" s="56"/>
      <c r="R224" s="56"/>
      <c r="S224" s="56"/>
      <c r="T224" s="56"/>
      <c r="U224" s="56"/>
      <c r="V224" s="56" t="s">
        <v>44</v>
      </c>
      <c r="W224" s="56"/>
      <c r="X224" s="56"/>
      <c r="Y224" s="56"/>
      <c r="Z224" s="56"/>
      <c r="AA224" s="42" t="s">
        <v>1844</v>
      </c>
      <c r="AB224" s="58" t="s">
        <v>1845</v>
      </c>
      <c r="AC224" s="44" t="s">
        <v>1846</v>
      </c>
      <c r="AD224" s="45">
        <v>44944</v>
      </c>
      <c r="AE224" s="101" t="s">
        <v>30</v>
      </c>
      <c r="AF224" s="36"/>
      <c r="AG224" s="47" t="s">
        <v>49</v>
      </c>
      <c r="AH224" s="48" t="s">
        <v>41</v>
      </c>
      <c r="AI224" s="48" t="s">
        <v>41</v>
      </c>
      <c r="AJ224" s="48" t="s">
        <v>49</v>
      </c>
      <c r="AK224" s="48" t="s">
        <v>49</v>
      </c>
      <c r="AL224" s="48" t="s">
        <v>49</v>
      </c>
      <c r="AM224" s="49" t="s">
        <v>49</v>
      </c>
      <c r="AN224" s="48" t="s">
        <v>49</v>
      </c>
      <c r="AO224" s="62" t="s">
        <v>32</v>
      </c>
      <c r="AP224" s="62"/>
      <c r="AQ224" s="59"/>
    </row>
    <row r="225" spans="1:43" x14ac:dyDescent="0.2">
      <c r="A225">
        <v>224</v>
      </c>
      <c r="B225" s="33">
        <f>+B224+1</f>
        <v>23</v>
      </c>
      <c r="C225" s="108" t="s">
        <v>1847</v>
      </c>
      <c r="D225" s="35" t="s">
        <v>1848</v>
      </c>
      <c r="E225" s="397" t="s">
        <v>1849</v>
      </c>
      <c r="F225" s="400">
        <v>34020</v>
      </c>
      <c r="G225" s="36" t="s">
        <v>54</v>
      </c>
      <c r="H225" s="185" t="s">
        <v>1850</v>
      </c>
      <c r="I225" s="37" t="s">
        <v>73</v>
      </c>
      <c r="J225" s="425" t="s">
        <v>4765</v>
      </c>
      <c r="K225" s="37" t="s">
        <v>73</v>
      </c>
      <c r="L225" s="395" t="s">
        <v>1851</v>
      </c>
      <c r="M225" s="108" t="s">
        <v>1851</v>
      </c>
      <c r="N225" s="39" t="s">
        <v>42</v>
      </c>
      <c r="O225" s="158" t="s">
        <v>1852</v>
      </c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2" t="s">
        <v>1853</v>
      </c>
      <c r="AB225" s="58" t="s">
        <v>1854</v>
      </c>
      <c r="AC225" s="44" t="s">
        <v>1855</v>
      </c>
      <c r="AD225" s="45">
        <v>42935</v>
      </c>
      <c r="AE225" s="101" t="s">
        <v>30</v>
      </c>
      <c r="AF225" s="109" t="s">
        <v>26</v>
      </c>
      <c r="AG225" s="61" t="s">
        <v>49</v>
      </c>
      <c r="AH225" s="48" t="s">
        <v>49</v>
      </c>
      <c r="AI225" s="48" t="s">
        <v>49</v>
      </c>
      <c r="AJ225" s="48" t="s">
        <v>49</v>
      </c>
      <c r="AK225" s="48" t="s">
        <v>49</v>
      </c>
      <c r="AL225" s="48" t="s">
        <v>41</v>
      </c>
      <c r="AM225" s="49" t="s">
        <v>41</v>
      </c>
      <c r="AN225" s="48" t="s">
        <v>41</v>
      </c>
      <c r="AO225" s="62" t="s">
        <v>4589</v>
      </c>
      <c r="AP225" s="62"/>
      <c r="AQ225" s="59"/>
    </row>
    <row r="226" spans="1:43" x14ac:dyDescent="0.2">
      <c r="A226">
        <v>225</v>
      </c>
      <c r="B226" s="33">
        <f>+B225+1</f>
        <v>24</v>
      </c>
      <c r="C226" s="34" t="s">
        <v>1856</v>
      </c>
      <c r="D226" s="35" t="s">
        <v>1857</v>
      </c>
      <c r="E226" s="398" t="s">
        <v>1858</v>
      </c>
      <c r="F226" s="334">
        <v>26311</v>
      </c>
      <c r="G226" s="36" t="s">
        <v>54</v>
      </c>
      <c r="H226" s="34" t="s">
        <v>1859</v>
      </c>
      <c r="I226" s="37" t="s">
        <v>73</v>
      </c>
      <c r="J226" s="425" t="s">
        <v>4765</v>
      </c>
      <c r="K226" s="37" t="s">
        <v>73</v>
      </c>
      <c r="L226" s="34" t="s">
        <v>1860</v>
      </c>
      <c r="M226" s="34" t="s">
        <v>1861</v>
      </c>
      <c r="N226" s="39" t="s">
        <v>42</v>
      </c>
      <c r="O226" s="158" t="s">
        <v>1862</v>
      </c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2" t="s">
        <v>1863</v>
      </c>
      <c r="AB226" s="52" t="s">
        <v>1864</v>
      </c>
      <c r="AC226" s="44" t="s">
        <v>61</v>
      </c>
      <c r="AD226" s="45">
        <v>41793</v>
      </c>
      <c r="AE226" s="101" t="s">
        <v>30</v>
      </c>
      <c r="AF226" s="36" t="s">
        <v>26</v>
      </c>
      <c r="AG226" s="61" t="s">
        <v>49</v>
      </c>
      <c r="AH226" s="48" t="s">
        <v>49</v>
      </c>
      <c r="AI226" s="48" t="s">
        <v>49</v>
      </c>
      <c r="AJ226" s="48" t="s">
        <v>49</v>
      </c>
      <c r="AK226" s="48" t="s">
        <v>49</v>
      </c>
      <c r="AL226" s="48" t="s">
        <v>49</v>
      </c>
      <c r="AM226" s="49" t="s">
        <v>49</v>
      </c>
      <c r="AN226" s="48" t="s">
        <v>49</v>
      </c>
      <c r="AO226" s="65" t="s">
        <v>32</v>
      </c>
      <c r="AP226" s="65"/>
      <c r="AQ226" s="59"/>
    </row>
    <row r="227" spans="1:43" x14ac:dyDescent="0.2">
      <c r="A227">
        <v>226</v>
      </c>
      <c r="B227" s="33">
        <f>+B226+1</f>
        <v>25</v>
      </c>
      <c r="C227" s="34" t="s">
        <v>1865</v>
      </c>
      <c r="D227" s="35" t="s">
        <v>1866</v>
      </c>
      <c r="E227" s="36" t="s">
        <v>1867</v>
      </c>
      <c r="F227" s="334">
        <v>26129</v>
      </c>
      <c r="G227" s="36" t="s">
        <v>54</v>
      </c>
      <c r="H227" s="34" t="s">
        <v>1868</v>
      </c>
      <c r="I227" s="37" t="s">
        <v>73</v>
      </c>
      <c r="J227" s="425" t="s">
        <v>4765</v>
      </c>
      <c r="K227" s="37" t="s">
        <v>73</v>
      </c>
      <c r="L227" s="34" t="s">
        <v>1860</v>
      </c>
      <c r="M227" s="34" t="s">
        <v>1861</v>
      </c>
      <c r="N227" s="39" t="s">
        <v>42</v>
      </c>
      <c r="O227" s="99" t="s">
        <v>1869</v>
      </c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2" t="s">
        <v>1870</v>
      </c>
      <c r="AB227" s="52" t="s">
        <v>1871</v>
      </c>
      <c r="AC227" s="44" t="s">
        <v>1872</v>
      </c>
      <c r="AD227" s="45">
        <v>40876</v>
      </c>
      <c r="AE227" s="101" t="s">
        <v>30</v>
      </c>
      <c r="AF227" s="36" t="s">
        <v>26</v>
      </c>
      <c r="AG227" s="47" t="s">
        <v>49</v>
      </c>
      <c r="AH227" s="48" t="s">
        <v>49</v>
      </c>
      <c r="AI227" s="48" t="s">
        <v>49</v>
      </c>
      <c r="AJ227" s="48" t="s">
        <v>49</v>
      </c>
      <c r="AK227" s="48" t="s">
        <v>49</v>
      </c>
      <c r="AL227" s="48" t="s">
        <v>49</v>
      </c>
      <c r="AM227" s="49" t="s">
        <v>49</v>
      </c>
      <c r="AN227" s="48" t="s">
        <v>49</v>
      </c>
      <c r="AO227" s="65" t="s">
        <v>32</v>
      </c>
      <c r="AP227" s="65"/>
      <c r="AQ227" s="59"/>
    </row>
    <row r="228" spans="1:43" x14ac:dyDescent="0.2">
      <c r="A228">
        <v>227</v>
      </c>
      <c r="B228" s="33">
        <f>+B227+1</f>
        <v>26</v>
      </c>
      <c r="C228" s="34" t="s">
        <v>1873</v>
      </c>
      <c r="D228" s="35" t="s">
        <v>1874</v>
      </c>
      <c r="E228" s="174" t="s">
        <v>1875</v>
      </c>
      <c r="F228" s="341">
        <v>29307</v>
      </c>
      <c r="G228" s="36" t="s">
        <v>54</v>
      </c>
      <c r="H228" s="34" t="s">
        <v>1876</v>
      </c>
      <c r="I228" s="37" t="s">
        <v>73</v>
      </c>
      <c r="J228" s="425" t="s">
        <v>4765</v>
      </c>
      <c r="K228" s="37" t="s">
        <v>73</v>
      </c>
      <c r="L228" s="34" t="s">
        <v>1679</v>
      </c>
      <c r="M228" s="34" t="s">
        <v>1877</v>
      </c>
      <c r="N228" s="39" t="s">
        <v>42</v>
      </c>
      <c r="O228" s="120">
        <v>34984</v>
      </c>
      <c r="P228" s="56"/>
      <c r="Q228" s="56"/>
      <c r="R228" s="56"/>
      <c r="S228" s="56"/>
      <c r="T228" s="56"/>
      <c r="U228" s="56"/>
      <c r="V228" s="56"/>
      <c r="W228" s="56"/>
      <c r="X228" s="56" t="s">
        <v>732</v>
      </c>
      <c r="Y228" s="56"/>
      <c r="Z228" s="56"/>
      <c r="AA228" s="42" t="s">
        <v>1879</v>
      </c>
      <c r="AB228" s="58" t="s">
        <v>1880</v>
      </c>
      <c r="AC228" s="44"/>
      <c r="AD228" s="45"/>
      <c r="AE228" s="101"/>
      <c r="AF228" s="36" t="s">
        <v>26</v>
      </c>
      <c r="AG228" s="47" t="s">
        <v>49</v>
      </c>
      <c r="AH228" s="48" t="s">
        <v>49</v>
      </c>
      <c r="AI228" s="48" t="s">
        <v>49</v>
      </c>
      <c r="AJ228" s="48" t="s">
        <v>49</v>
      </c>
      <c r="AK228" s="48" t="s">
        <v>49</v>
      </c>
      <c r="AL228" s="48" t="s">
        <v>49</v>
      </c>
      <c r="AM228" s="49" t="s">
        <v>49</v>
      </c>
      <c r="AN228" s="48" t="s">
        <v>49</v>
      </c>
      <c r="AO228" s="65" t="s">
        <v>32</v>
      </c>
      <c r="AP228" s="65"/>
      <c r="AQ228" s="59"/>
    </row>
    <row r="229" spans="1:43" x14ac:dyDescent="0.2">
      <c r="A229">
        <v>228</v>
      </c>
      <c r="B229" s="33">
        <f>+B228+1</f>
        <v>27</v>
      </c>
      <c r="C229" s="34" t="s">
        <v>1881</v>
      </c>
      <c r="D229" s="35" t="s">
        <v>1882</v>
      </c>
      <c r="E229" s="174" t="s">
        <v>1883</v>
      </c>
      <c r="F229" s="341">
        <v>32123</v>
      </c>
      <c r="G229" s="36" t="s">
        <v>54</v>
      </c>
      <c r="H229" s="34" t="s">
        <v>1884</v>
      </c>
      <c r="I229" s="37" t="s">
        <v>73</v>
      </c>
      <c r="J229" s="425" t="s">
        <v>4765</v>
      </c>
      <c r="K229" s="37" t="s">
        <v>73</v>
      </c>
      <c r="L229" s="38" t="s">
        <v>1885</v>
      </c>
      <c r="M229" s="34" t="s">
        <v>1886</v>
      </c>
      <c r="N229" s="39" t="s">
        <v>42</v>
      </c>
      <c r="O229" s="120" t="s">
        <v>1887</v>
      </c>
      <c r="P229" s="56"/>
      <c r="Q229" s="409"/>
      <c r="R229" s="115"/>
      <c r="S229" s="409"/>
      <c r="T229" s="115"/>
      <c r="U229" s="115"/>
      <c r="V229" s="115"/>
      <c r="W229" s="56"/>
      <c r="X229" s="56"/>
      <c r="Y229" s="56"/>
      <c r="Z229" s="56"/>
      <c r="AA229" s="42" t="s">
        <v>1888</v>
      </c>
      <c r="AB229" s="58" t="s">
        <v>1889</v>
      </c>
      <c r="AC229" s="44" t="s">
        <v>1890</v>
      </c>
      <c r="AD229" s="45">
        <v>44041</v>
      </c>
      <c r="AE229" s="101" t="s">
        <v>30</v>
      </c>
      <c r="AF229" s="36" t="s">
        <v>26</v>
      </c>
      <c r="AG229" s="47" t="s">
        <v>49</v>
      </c>
      <c r="AH229" s="48" t="s">
        <v>49</v>
      </c>
      <c r="AI229" s="48" t="s">
        <v>49</v>
      </c>
      <c r="AJ229" s="48" t="s">
        <v>49</v>
      </c>
      <c r="AK229" s="48" t="s">
        <v>49</v>
      </c>
      <c r="AL229" s="48" t="s">
        <v>49</v>
      </c>
      <c r="AM229" s="49" t="s">
        <v>49</v>
      </c>
      <c r="AN229" s="48" t="s">
        <v>41</v>
      </c>
      <c r="AO229" s="65" t="s">
        <v>148</v>
      </c>
      <c r="AP229" s="65"/>
      <c r="AQ229" s="59"/>
    </row>
    <row r="230" spans="1:43" x14ac:dyDescent="0.2">
      <c r="A230">
        <v>229</v>
      </c>
      <c r="B230" s="33">
        <f>+B229+1</f>
        <v>28</v>
      </c>
      <c r="C230" s="72" t="s">
        <v>1891</v>
      </c>
      <c r="D230" s="35" t="s">
        <v>1892</v>
      </c>
      <c r="E230" s="36" t="s">
        <v>1893</v>
      </c>
      <c r="F230" s="334">
        <v>35650</v>
      </c>
      <c r="G230" s="36" t="s">
        <v>54</v>
      </c>
      <c r="H230" s="72" t="s">
        <v>1894</v>
      </c>
      <c r="I230" s="75" t="s">
        <v>252</v>
      </c>
      <c r="J230" s="425" t="s">
        <v>4742</v>
      </c>
      <c r="K230" s="75" t="s">
        <v>57</v>
      </c>
      <c r="L230" s="72" t="s">
        <v>1895</v>
      </c>
      <c r="M230" s="72" t="s">
        <v>41</v>
      </c>
      <c r="N230" s="77" t="s">
        <v>42</v>
      </c>
      <c r="O230" s="203" t="s">
        <v>556</v>
      </c>
      <c r="P230" s="156"/>
      <c r="Q230" s="411"/>
      <c r="R230" s="205"/>
      <c r="S230" s="411"/>
      <c r="T230" s="205"/>
      <c r="U230" s="205"/>
      <c r="V230" s="205"/>
      <c r="W230" s="156"/>
      <c r="X230" s="156" t="s">
        <v>732</v>
      </c>
      <c r="Y230" s="156"/>
      <c r="Z230" s="156"/>
      <c r="AA230" s="42" t="s">
        <v>1896</v>
      </c>
      <c r="AB230" s="52" t="s">
        <v>1897</v>
      </c>
      <c r="AC230" s="44"/>
      <c r="AD230" s="45"/>
      <c r="AE230" s="206"/>
      <c r="AF230" s="154" t="s">
        <v>26</v>
      </c>
      <c r="AG230" s="81" t="s">
        <v>49</v>
      </c>
      <c r="AH230" s="48" t="s">
        <v>49</v>
      </c>
      <c r="AI230" s="48" t="s">
        <v>49</v>
      </c>
      <c r="AJ230" s="48" t="s">
        <v>49</v>
      </c>
      <c r="AK230" s="48" t="s">
        <v>49</v>
      </c>
      <c r="AL230" s="48" t="s">
        <v>49</v>
      </c>
      <c r="AM230" s="49" t="s">
        <v>49</v>
      </c>
      <c r="AN230" s="48" t="s">
        <v>49</v>
      </c>
      <c r="AO230" s="62" t="s">
        <v>32</v>
      </c>
      <c r="AP230" s="62"/>
      <c r="AQ230" s="59"/>
    </row>
    <row r="231" spans="1:43" x14ac:dyDescent="0.2">
      <c r="A231">
        <v>230</v>
      </c>
      <c r="B231" s="33">
        <f>+B230+1</f>
        <v>29</v>
      </c>
      <c r="C231" s="34" t="s">
        <v>1898</v>
      </c>
      <c r="D231" s="35" t="s">
        <v>1899</v>
      </c>
      <c r="E231" s="36" t="s">
        <v>1900</v>
      </c>
      <c r="F231" s="334">
        <v>22714</v>
      </c>
      <c r="G231" s="36" t="s">
        <v>54</v>
      </c>
      <c r="H231" s="34" t="s">
        <v>1901</v>
      </c>
      <c r="I231" s="37" t="s">
        <v>205</v>
      </c>
      <c r="J231" s="425" t="s">
        <v>4764</v>
      </c>
      <c r="K231" s="37" t="s">
        <v>205</v>
      </c>
      <c r="L231" s="34" t="s">
        <v>1902</v>
      </c>
      <c r="M231" s="34" t="s">
        <v>1903</v>
      </c>
      <c r="N231" s="39" t="s">
        <v>42</v>
      </c>
      <c r="O231" s="120">
        <v>34761</v>
      </c>
      <c r="P231" s="41"/>
      <c r="Q231" s="177"/>
      <c r="R231" s="112"/>
      <c r="S231" s="177"/>
      <c r="T231" s="112"/>
      <c r="U231" s="112"/>
      <c r="V231" s="112"/>
      <c r="W231" s="41"/>
      <c r="X231" s="41"/>
      <c r="Y231" s="41"/>
      <c r="Z231" s="41"/>
      <c r="AA231" s="42" t="s">
        <v>1904</v>
      </c>
      <c r="AB231" s="43" t="s">
        <v>1905</v>
      </c>
      <c r="AC231" s="119" t="s">
        <v>61</v>
      </c>
      <c r="AD231" s="45">
        <v>36641</v>
      </c>
      <c r="AE231" s="101" t="s">
        <v>30</v>
      </c>
      <c r="AF231" s="36" t="s">
        <v>26</v>
      </c>
      <c r="AG231" s="47" t="s">
        <v>49</v>
      </c>
      <c r="AH231" s="48" t="s">
        <v>49</v>
      </c>
      <c r="AI231" s="48" t="s">
        <v>49</v>
      </c>
      <c r="AJ231" s="48" t="s">
        <v>49</v>
      </c>
      <c r="AK231" s="48" t="s">
        <v>49</v>
      </c>
      <c r="AL231" s="48" t="s">
        <v>41</v>
      </c>
      <c r="AM231" s="49" t="s">
        <v>41</v>
      </c>
      <c r="AN231" s="48" t="s">
        <v>41</v>
      </c>
      <c r="AO231" s="62" t="s">
        <v>4589</v>
      </c>
      <c r="AP231" s="62"/>
      <c r="AQ231" s="59"/>
    </row>
    <row r="232" spans="1:43" ht="18" customHeight="1" x14ac:dyDescent="0.2">
      <c r="A232">
        <v>231</v>
      </c>
      <c r="B232" s="33">
        <f>+B231+1</f>
        <v>30</v>
      </c>
      <c r="C232" s="394" t="s">
        <v>1906</v>
      </c>
      <c r="D232" s="35" t="s">
        <v>1907</v>
      </c>
      <c r="E232" s="36" t="s">
        <v>4825</v>
      </c>
      <c r="F232" s="334">
        <v>19478</v>
      </c>
      <c r="G232" s="36" t="s">
        <v>54</v>
      </c>
      <c r="H232" s="34" t="s">
        <v>1909</v>
      </c>
      <c r="I232" s="37" t="s">
        <v>205</v>
      </c>
      <c r="J232" s="425" t="s">
        <v>4764</v>
      </c>
      <c r="K232" s="37" t="s">
        <v>205</v>
      </c>
      <c r="L232" s="394" t="s">
        <v>1910</v>
      </c>
      <c r="M232" s="34" t="s">
        <v>41</v>
      </c>
      <c r="N232" s="39" t="s">
        <v>42</v>
      </c>
      <c r="O232" s="120">
        <v>33428</v>
      </c>
      <c r="P232" s="56"/>
      <c r="Q232" s="409"/>
      <c r="R232" s="115"/>
      <c r="S232" s="409"/>
      <c r="T232" s="115"/>
      <c r="U232" s="115"/>
      <c r="V232" s="115"/>
      <c r="W232" s="56"/>
      <c r="X232" s="56"/>
      <c r="Y232" s="56"/>
      <c r="Z232" s="56"/>
      <c r="AA232" s="42" t="s">
        <v>1911</v>
      </c>
      <c r="AB232" s="43" t="s">
        <v>1912</v>
      </c>
      <c r="AC232" s="44" t="s">
        <v>61</v>
      </c>
      <c r="AD232" s="45">
        <v>36641</v>
      </c>
      <c r="AE232" s="101" t="s">
        <v>30</v>
      </c>
      <c r="AF232" s="36" t="s">
        <v>26</v>
      </c>
      <c r="AG232" s="47" t="s">
        <v>49</v>
      </c>
      <c r="AH232" s="48" t="s">
        <v>49</v>
      </c>
      <c r="AI232" s="48" t="s">
        <v>49</v>
      </c>
      <c r="AJ232" s="48" t="s">
        <v>49</v>
      </c>
      <c r="AK232" s="48" t="s">
        <v>41</v>
      </c>
      <c r="AL232" s="48" t="s">
        <v>41</v>
      </c>
      <c r="AM232" s="49" t="s">
        <v>41</v>
      </c>
      <c r="AN232" s="48" t="s">
        <v>41</v>
      </c>
      <c r="AO232" s="62" t="s">
        <v>139</v>
      </c>
      <c r="AP232" s="62"/>
      <c r="AQ232" s="59"/>
    </row>
    <row r="233" spans="1:43" ht="16" x14ac:dyDescent="0.2">
      <c r="A233">
        <v>232</v>
      </c>
      <c r="B233" s="33">
        <f>+B232+1</f>
        <v>31</v>
      </c>
      <c r="C233" s="34" t="s">
        <v>1913</v>
      </c>
      <c r="D233" s="35" t="s">
        <v>1914</v>
      </c>
      <c r="E233" s="36" t="s">
        <v>1915</v>
      </c>
      <c r="F233" s="334">
        <v>34777</v>
      </c>
      <c r="G233" s="36" t="s">
        <v>54</v>
      </c>
      <c r="H233" s="34" t="s">
        <v>1916</v>
      </c>
      <c r="I233" s="37" t="s">
        <v>73</v>
      </c>
      <c r="J233" s="425" t="s">
        <v>4765</v>
      </c>
      <c r="K233" s="37" t="s">
        <v>73</v>
      </c>
      <c r="L233" s="38" t="s">
        <v>1917</v>
      </c>
      <c r="M233" s="34" t="s">
        <v>41</v>
      </c>
      <c r="N233" s="39" t="s">
        <v>42</v>
      </c>
      <c r="O233" s="120">
        <v>44447</v>
      </c>
      <c r="P233" s="56"/>
      <c r="Q233" s="147"/>
      <c r="R233" s="115"/>
      <c r="S233" s="56"/>
      <c r="T233" s="115"/>
      <c r="U233" s="115" t="s">
        <v>44</v>
      </c>
      <c r="V233" s="115"/>
      <c r="W233" s="56"/>
      <c r="X233" s="56"/>
      <c r="Y233" s="56"/>
      <c r="Z233" s="56"/>
      <c r="AA233" s="57" t="s">
        <v>1918</v>
      </c>
      <c r="AB233" s="43" t="s">
        <v>1919</v>
      </c>
      <c r="AC233" s="207" t="s">
        <v>1920</v>
      </c>
      <c r="AD233" s="45">
        <v>44944</v>
      </c>
      <c r="AE233" s="101" t="s">
        <v>30</v>
      </c>
      <c r="AF233" s="36"/>
      <c r="AG233" s="47" t="s">
        <v>49</v>
      </c>
      <c r="AH233" s="48" t="s">
        <v>41</v>
      </c>
      <c r="AI233" s="48" t="s">
        <v>49</v>
      </c>
      <c r="AJ233" s="48" t="s">
        <v>49</v>
      </c>
      <c r="AK233" s="48" t="s">
        <v>49</v>
      </c>
      <c r="AL233" s="48" t="s">
        <v>41</v>
      </c>
      <c r="AM233" s="49" t="s">
        <v>41</v>
      </c>
      <c r="AN233" s="48" t="s">
        <v>41</v>
      </c>
      <c r="AO233" s="62" t="s">
        <v>4589</v>
      </c>
      <c r="AP233" s="62"/>
      <c r="AQ233" s="59"/>
    </row>
    <row r="234" spans="1:43" x14ac:dyDescent="0.2">
      <c r="A234">
        <v>233</v>
      </c>
      <c r="B234" s="33">
        <f>+B233+1</f>
        <v>32</v>
      </c>
      <c r="C234" s="34" t="s">
        <v>1921</v>
      </c>
      <c r="D234" s="35" t="s">
        <v>1922</v>
      </c>
      <c r="E234" s="36" t="s">
        <v>1923</v>
      </c>
      <c r="F234" s="334">
        <v>36257</v>
      </c>
      <c r="G234" s="36" t="s">
        <v>54</v>
      </c>
      <c r="H234" s="34" t="s">
        <v>1924</v>
      </c>
      <c r="I234" s="37" t="s">
        <v>176</v>
      </c>
      <c r="J234" s="425" t="s">
        <v>4761</v>
      </c>
      <c r="K234" s="37" t="s">
        <v>39</v>
      </c>
      <c r="L234" s="38" t="s">
        <v>1925</v>
      </c>
      <c r="M234" s="34" t="s">
        <v>41</v>
      </c>
      <c r="N234" s="39" t="s">
        <v>42</v>
      </c>
      <c r="O234" s="120">
        <v>45803</v>
      </c>
      <c r="P234" s="56"/>
      <c r="Q234" s="114"/>
      <c r="R234" s="115"/>
      <c r="S234" s="114"/>
      <c r="T234" s="115"/>
      <c r="U234" s="115"/>
      <c r="V234" s="115"/>
      <c r="W234" s="56"/>
      <c r="X234" s="56"/>
      <c r="Y234" s="56" t="s">
        <v>44</v>
      </c>
      <c r="Z234" s="56"/>
      <c r="AA234" s="54" t="s">
        <v>1926</v>
      </c>
      <c r="AB234" s="55" t="s">
        <v>1927</v>
      </c>
      <c r="AC234" s="207"/>
      <c r="AD234" s="45"/>
      <c r="AE234" s="101"/>
      <c r="AF234" s="36"/>
      <c r="AG234" s="47" t="s">
        <v>49</v>
      </c>
      <c r="AH234" s="48" t="s">
        <v>41</v>
      </c>
      <c r="AI234" s="48" t="s">
        <v>41</v>
      </c>
      <c r="AJ234" s="48" t="s">
        <v>41</v>
      </c>
      <c r="AK234" s="48" t="s">
        <v>41</v>
      </c>
      <c r="AL234" s="48" t="s">
        <v>41</v>
      </c>
      <c r="AM234" s="49" t="s">
        <v>49</v>
      </c>
      <c r="AN234" s="48" t="s">
        <v>49</v>
      </c>
      <c r="AO234" s="62" t="s">
        <v>32</v>
      </c>
      <c r="AP234" s="62"/>
      <c r="AQ234" s="59"/>
    </row>
    <row r="235" spans="1:43" x14ac:dyDescent="0.2">
      <c r="A235">
        <v>234</v>
      </c>
      <c r="B235" s="33">
        <f>+B234+1</f>
        <v>33</v>
      </c>
      <c r="C235" s="108" t="s">
        <v>1928</v>
      </c>
      <c r="D235" s="35" t="s">
        <v>1929</v>
      </c>
      <c r="E235" s="36" t="s">
        <v>1930</v>
      </c>
      <c r="F235" s="334">
        <v>25818</v>
      </c>
      <c r="G235" s="36" t="s">
        <v>54</v>
      </c>
      <c r="H235" s="34" t="s">
        <v>1931</v>
      </c>
      <c r="I235" s="37" t="s">
        <v>243</v>
      </c>
      <c r="J235" s="425" t="s">
        <v>4744</v>
      </c>
      <c r="K235" s="37" t="s">
        <v>205</v>
      </c>
      <c r="L235" s="140" t="s">
        <v>1932</v>
      </c>
      <c r="M235" s="34" t="s">
        <v>41</v>
      </c>
      <c r="N235" s="39" t="s">
        <v>42</v>
      </c>
      <c r="O235" s="120">
        <v>43070</v>
      </c>
      <c r="P235" s="56"/>
      <c r="Q235" s="114"/>
      <c r="R235" s="115"/>
      <c r="S235" s="114"/>
      <c r="T235" s="115"/>
      <c r="U235" s="115"/>
      <c r="V235" s="56"/>
      <c r="W235" s="56"/>
      <c r="X235" s="56"/>
      <c r="Y235" s="56"/>
      <c r="Z235" s="56"/>
      <c r="AA235" s="42" t="s">
        <v>1933</v>
      </c>
      <c r="AB235" s="52" t="s">
        <v>1934</v>
      </c>
      <c r="AC235" s="44" t="s">
        <v>1935</v>
      </c>
      <c r="AD235" s="45">
        <v>42935</v>
      </c>
      <c r="AE235" s="101" t="s">
        <v>30</v>
      </c>
      <c r="AF235" s="73" t="s">
        <v>26</v>
      </c>
      <c r="AG235" s="47" t="s">
        <v>49</v>
      </c>
      <c r="AH235" s="48" t="s">
        <v>49</v>
      </c>
      <c r="AI235" s="48" t="s">
        <v>49</v>
      </c>
      <c r="AJ235" s="48" t="s">
        <v>49</v>
      </c>
      <c r="AK235" s="48" t="s">
        <v>49</v>
      </c>
      <c r="AL235" s="48" t="s">
        <v>49</v>
      </c>
      <c r="AM235" s="49" t="s">
        <v>49</v>
      </c>
      <c r="AN235" s="48" t="s">
        <v>49</v>
      </c>
      <c r="AO235" s="62" t="s">
        <v>32</v>
      </c>
      <c r="AP235" s="62"/>
      <c r="AQ235" s="59"/>
    </row>
    <row r="236" spans="1:43" x14ac:dyDescent="0.2">
      <c r="A236">
        <v>235</v>
      </c>
      <c r="B236" s="33">
        <f>+B235+1</f>
        <v>34</v>
      </c>
      <c r="C236" s="34" t="s">
        <v>1936</v>
      </c>
      <c r="D236" s="35" t="s">
        <v>1937</v>
      </c>
      <c r="E236" s="36" t="s">
        <v>1938</v>
      </c>
      <c r="F236" s="334">
        <v>27311</v>
      </c>
      <c r="G236" s="36" t="s">
        <v>54</v>
      </c>
      <c r="H236" s="34" t="s">
        <v>1939</v>
      </c>
      <c r="I236" s="37" t="s">
        <v>323</v>
      </c>
      <c r="J236" s="425" t="s">
        <v>4758</v>
      </c>
      <c r="K236" s="37" t="s">
        <v>39</v>
      </c>
      <c r="L236" s="34" t="s">
        <v>1940</v>
      </c>
      <c r="M236" s="34" t="s">
        <v>41</v>
      </c>
      <c r="N236" s="39" t="s">
        <v>42</v>
      </c>
      <c r="O236" s="120">
        <v>37718</v>
      </c>
      <c r="P236" s="41"/>
      <c r="Q236" s="177"/>
      <c r="R236" s="112"/>
      <c r="S236" s="177"/>
      <c r="T236" s="112"/>
      <c r="U236" s="112"/>
      <c r="V236" s="41"/>
      <c r="W236" s="41"/>
      <c r="X236" s="41"/>
      <c r="Y236" s="41"/>
      <c r="Z236" s="41"/>
      <c r="AA236" s="42" t="s">
        <v>1941</v>
      </c>
      <c r="AB236" s="52" t="s">
        <v>1942</v>
      </c>
      <c r="AC236" s="119" t="s">
        <v>61</v>
      </c>
      <c r="AD236" s="45">
        <v>38593</v>
      </c>
      <c r="AE236" s="101" t="s">
        <v>30</v>
      </c>
      <c r="AF236" s="36" t="s">
        <v>26</v>
      </c>
      <c r="AG236" s="47" t="s">
        <v>49</v>
      </c>
      <c r="AH236" s="48" t="s">
        <v>49</v>
      </c>
      <c r="AI236" s="48" t="s">
        <v>49</v>
      </c>
      <c r="AJ236" s="48" t="s">
        <v>41</v>
      </c>
      <c r="AK236" s="48" t="s">
        <v>41</v>
      </c>
      <c r="AL236" s="48" t="s">
        <v>41</v>
      </c>
      <c r="AM236" s="49" t="s">
        <v>41</v>
      </c>
      <c r="AN236" s="48" t="s">
        <v>41</v>
      </c>
      <c r="AO236" s="62" t="s">
        <v>110</v>
      </c>
      <c r="AP236" s="62"/>
      <c r="AQ236" s="59"/>
    </row>
    <row r="237" spans="1:43" x14ac:dyDescent="0.2">
      <c r="A237">
        <v>236</v>
      </c>
      <c r="B237" s="33">
        <f>+B236+1</f>
        <v>35</v>
      </c>
      <c r="C237" s="34" t="s">
        <v>4668</v>
      </c>
      <c r="D237" s="35" t="s">
        <v>1944</v>
      </c>
      <c r="E237" s="36" t="s">
        <v>1945</v>
      </c>
      <c r="F237" s="334">
        <v>29302</v>
      </c>
      <c r="G237" s="36" t="s">
        <v>54</v>
      </c>
      <c r="H237" s="98" t="s">
        <v>1946</v>
      </c>
      <c r="I237" s="37" t="s">
        <v>73</v>
      </c>
      <c r="J237" s="425" t="s">
        <v>4765</v>
      </c>
      <c r="K237" s="37" t="s">
        <v>73</v>
      </c>
      <c r="L237" s="38" t="s">
        <v>1947</v>
      </c>
      <c r="M237" s="34" t="s">
        <v>41</v>
      </c>
      <c r="N237" s="39" t="s">
        <v>42</v>
      </c>
      <c r="O237" s="120">
        <v>45084</v>
      </c>
      <c r="P237" s="41"/>
      <c r="Q237" s="41"/>
      <c r="R237" s="41"/>
      <c r="S237" s="41"/>
      <c r="T237" s="41"/>
      <c r="U237" s="41"/>
      <c r="V237" s="41"/>
      <c r="W237" s="41" t="s">
        <v>44</v>
      </c>
      <c r="X237" s="41"/>
      <c r="Y237" s="41"/>
      <c r="Z237" s="41"/>
      <c r="AA237" s="42" t="s">
        <v>1948</v>
      </c>
      <c r="AB237" s="55" t="s">
        <v>1949</v>
      </c>
      <c r="AC237" s="119"/>
      <c r="AD237" s="45" t="s">
        <v>47</v>
      </c>
      <c r="AE237" s="101"/>
      <c r="AF237" s="36"/>
      <c r="AG237" s="66" t="s">
        <v>130</v>
      </c>
      <c r="AH237" s="48" t="s">
        <v>41</v>
      </c>
      <c r="AI237" s="48" t="s">
        <v>41</v>
      </c>
      <c r="AJ237" s="48" t="s">
        <v>41</v>
      </c>
      <c r="AK237" s="48" t="s">
        <v>130</v>
      </c>
      <c r="AL237" s="48" t="s">
        <v>130</v>
      </c>
      <c r="AM237" s="49" t="s">
        <v>130</v>
      </c>
      <c r="AN237" s="48" t="s">
        <v>130</v>
      </c>
      <c r="AO237" s="65" t="s">
        <v>32</v>
      </c>
      <c r="AP237" s="65"/>
      <c r="AQ237" s="59"/>
    </row>
    <row r="238" spans="1:43" ht="26.25" customHeight="1" x14ac:dyDescent="0.2">
      <c r="A238">
        <v>237</v>
      </c>
      <c r="B238" s="33">
        <f>+B237+1</f>
        <v>36</v>
      </c>
      <c r="C238" s="34" t="s">
        <v>1950</v>
      </c>
      <c r="D238" s="35" t="s">
        <v>1951</v>
      </c>
      <c r="E238" s="36" t="s">
        <v>1952</v>
      </c>
      <c r="F238" s="334">
        <v>35209</v>
      </c>
      <c r="G238" s="36" t="s">
        <v>54</v>
      </c>
      <c r="H238" s="34" t="s">
        <v>1953</v>
      </c>
      <c r="I238" s="37" t="s">
        <v>39</v>
      </c>
      <c r="J238" s="425" t="s">
        <v>4766</v>
      </c>
      <c r="K238" s="37" t="s">
        <v>39</v>
      </c>
      <c r="L238" s="38" t="s">
        <v>1954</v>
      </c>
      <c r="M238" s="34" t="s">
        <v>41</v>
      </c>
      <c r="N238" s="39" t="s">
        <v>42</v>
      </c>
      <c r="O238" s="120" t="s">
        <v>1955</v>
      </c>
      <c r="P238" s="41"/>
      <c r="Q238" s="41"/>
      <c r="R238" s="41"/>
      <c r="S238" s="41"/>
      <c r="T238" s="41"/>
      <c r="U238" s="41"/>
      <c r="V238" s="41" t="s">
        <v>44</v>
      </c>
      <c r="W238" s="41"/>
      <c r="X238" s="41"/>
      <c r="Y238" s="41" t="s">
        <v>732</v>
      </c>
      <c r="Z238" s="41"/>
      <c r="AA238" s="57" t="s">
        <v>1956</v>
      </c>
      <c r="AB238" s="43" t="s">
        <v>1957</v>
      </c>
      <c r="AC238" s="121" t="s">
        <v>1958</v>
      </c>
      <c r="AD238" s="45">
        <v>44650</v>
      </c>
      <c r="AE238" s="101" t="s">
        <v>30</v>
      </c>
      <c r="AF238" s="36"/>
      <c r="AG238" s="47" t="s">
        <v>49</v>
      </c>
      <c r="AH238" s="48" t="s">
        <v>41</v>
      </c>
      <c r="AI238" s="48" t="s">
        <v>41</v>
      </c>
      <c r="AJ238" s="48" t="s">
        <v>49</v>
      </c>
      <c r="AK238" s="48" t="s">
        <v>49</v>
      </c>
      <c r="AL238" s="48" t="s">
        <v>49</v>
      </c>
      <c r="AM238" s="49" t="s">
        <v>49</v>
      </c>
      <c r="AN238" s="48" t="s">
        <v>49</v>
      </c>
      <c r="AO238" s="62" t="s">
        <v>32</v>
      </c>
      <c r="AP238" s="232"/>
      <c r="AQ238" s="134"/>
    </row>
    <row r="239" spans="1:43" ht="16" x14ac:dyDescent="0.2">
      <c r="A239">
        <v>238</v>
      </c>
      <c r="B239" s="33">
        <f>+B238+1</f>
        <v>37</v>
      </c>
      <c r="C239" s="34" t="s">
        <v>1959</v>
      </c>
      <c r="D239" s="35" t="s">
        <v>1960</v>
      </c>
      <c r="E239" s="36" t="s">
        <v>1961</v>
      </c>
      <c r="F239" s="334">
        <v>28915</v>
      </c>
      <c r="G239" s="36" t="s">
        <v>54</v>
      </c>
      <c r="H239" s="34" t="s">
        <v>1962</v>
      </c>
      <c r="I239" s="37" t="s">
        <v>73</v>
      </c>
      <c r="J239" s="425" t="s">
        <v>4765</v>
      </c>
      <c r="K239" s="37" t="s">
        <v>73</v>
      </c>
      <c r="L239" s="34" t="s">
        <v>1963</v>
      </c>
      <c r="M239" s="34" t="s">
        <v>1964</v>
      </c>
      <c r="N239" s="39" t="s">
        <v>42</v>
      </c>
      <c r="O239" s="120" t="s">
        <v>628</v>
      </c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57" t="s">
        <v>1965</v>
      </c>
      <c r="AB239" s="43" t="s">
        <v>1966</v>
      </c>
      <c r="AC239" s="207" t="s">
        <v>1967</v>
      </c>
      <c r="AD239" s="45">
        <v>44944</v>
      </c>
      <c r="AE239" s="101" t="s">
        <v>30</v>
      </c>
      <c r="AF239" s="36" t="s">
        <v>26</v>
      </c>
      <c r="AG239" s="47" t="s">
        <v>49</v>
      </c>
      <c r="AH239" s="48" t="s">
        <v>49</v>
      </c>
      <c r="AI239" s="48" t="s">
        <v>49</v>
      </c>
      <c r="AJ239" s="48" t="s">
        <v>49</v>
      </c>
      <c r="AK239" s="48" t="s">
        <v>49</v>
      </c>
      <c r="AL239" s="48" t="s">
        <v>49</v>
      </c>
      <c r="AM239" s="49" t="s">
        <v>49</v>
      </c>
      <c r="AN239" s="48" t="s">
        <v>49</v>
      </c>
      <c r="AO239" s="65" t="s">
        <v>32</v>
      </c>
      <c r="AP239" s="325"/>
      <c r="AQ239" s="134"/>
    </row>
    <row r="240" spans="1:43" x14ac:dyDescent="0.2">
      <c r="A240">
        <v>239</v>
      </c>
      <c r="B240" s="33">
        <f>+B239+1</f>
        <v>38</v>
      </c>
      <c r="C240" s="34" t="s">
        <v>1968</v>
      </c>
      <c r="D240" s="35" t="s">
        <v>1969</v>
      </c>
      <c r="E240" s="36" t="s">
        <v>4781</v>
      </c>
      <c r="F240" s="334">
        <v>26034</v>
      </c>
      <c r="G240" s="36" t="s">
        <v>54</v>
      </c>
      <c r="H240" s="34" t="s">
        <v>1971</v>
      </c>
      <c r="I240" s="37" t="s">
        <v>73</v>
      </c>
      <c r="J240" s="425" t="s">
        <v>4765</v>
      </c>
      <c r="K240" s="37" t="s">
        <v>73</v>
      </c>
      <c r="L240" s="38" t="s">
        <v>1972</v>
      </c>
      <c r="M240" s="34" t="s">
        <v>41</v>
      </c>
      <c r="N240" s="39" t="s">
        <v>42</v>
      </c>
      <c r="O240" s="120">
        <v>45143</v>
      </c>
      <c r="P240" s="112"/>
      <c r="Q240" s="112"/>
      <c r="R240" s="112"/>
      <c r="S240" s="112"/>
      <c r="T240" s="112"/>
      <c r="U240" s="112"/>
      <c r="V240" s="112"/>
      <c r="W240" s="41" t="s">
        <v>44</v>
      </c>
      <c r="X240" s="41"/>
      <c r="Y240" s="41"/>
      <c r="Z240" s="41"/>
      <c r="AA240" s="54" t="s">
        <v>1973</v>
      </c>
      <c r="AB240" s="43" t="s">
        <v>1974</v>
      </c>
      <c r="AC240" s="44"/>
      <c r="AD240" s="45" t="s">
        <v>47</v>
      </c>
      <c r="AE240" s="101"/>
      <c r="AF240" s="36"/>
      <c r="AG240" s="47" t="s">
        <v>49</v>
      </c>
      <c r="AH240" s="48" t="s">
        <v>41</v>
      </c>
      <c r="AI240" s="48" t="s">
        <v>41</v>
      </c>
      <c r="AJ240" s="48" t="s">
        <v>41</v>
      </c>
      <c r="AK240" s="48" t="s">
        <v>49</v>
      </c>
      <c r="AL240" s="48" t="s">
        <v>49</v>
      </c>
      <c r="AM240" s="49" t="s">
        <v>49</v>
      </c>
      <c r="AN240" s="48" t="s">
        <v>49</v>
      </c>
      <c r="AO240" s="62" t="s">
        <v>32</v>
      </c>
      <c r="AP240" s="62"/>
      <c r="AQ240" s="59"/>
    </row>
    <row r="241" spans="1:43" x14ac:dyDescent="0.2">
      <c r="A241">
        <v>240</v>
      </c>
      <c r="B241" s="33">
        <f>+B240+1</f>
        <v>39</v>
      </c>
      <c r="C241" s="122" t="s">
        <v>1975</v>
      </c>
      <c r="D241" s="123" t="s">
        <v>1976</v>
      </c>
      <c r="E241" s="202" t="s">
        <v>1977</v>
      </c>
      <c r="F241" s="342">
        <v>32052</v>
      </c>
      <c r="G241" s="36" t="s">
        <v>54</v>
      </c>
      <c r="H241" s="122" t="s">
        <v>1978</v>
      </c>
      <c r="I241" s="126" t="s">
        <v>4605</v>
      </c>
      <c r="J241" s="425" t="s">
        <v>4747</v>
      </c>
      <c r="K241" s="126" t="s">
        <v>205</v>
      </c>
      <c r="L241" s="127" t="s">
        <v>1979</v>
      </c>
      <c r="M241" s="122" t="s">
        <v>41</v>
      </c>
      <c r="N241" s="128" t="s">
        <v>42</v>
      </c>
      <c r="O241" s="194">
        <v>45357</v>
      </c>
      <c r="P241" s="94"/>
      <c r="Q241" s="94"/>
      <c r="R241" s="94"/>
      <c r="S241" s="94"/>
      <c r="T241" s="94"/>
      <c r="U241" s="94"/>
      <c r="V241" s="94"/>
      <c r="W241" s="94"/>
      <c r="X241" s="94" t="s">
        <v>44</v>
      </c>
      <c r="Y241" s="94"/>
      <c r="Z241" s="94"/>
      <c r="AA241" s="54" t="s">
        <v>1980</v>
      </c>
      <c r="AB241" s="43" t="s">
        <v>1981</v>
      </c>
      <c r="AC241" s="119"/>
      <c r="AD241" s="45"/>
      <c r="AE241" s="191"/>
      <c r="AF241" s="36"/>
      <c r="AG241" s="133" t="s">
        <v>49</v>
      </c>
      <c r="AH241" s="48" t="s">
        <v>41</v>
      </c>
      <c r="AI241" s="48" t="s">
        <v>41</v>
      </c>
      <c r="AJ241" s="48" t="s">
        <v>41</v>
      </c>
      <c r="AK241" s="48" t="s">
        <v>41</v>
      </c>
      <c r="AL241" s="48" t="s">
        <v>49</v>
      </c>
      <c r="AM241" s="49" t="s">
        <v>41</v>
      </c>
      <c r="AN241" s="48" t="s">
        <v>41</v>
      </c>
      <c r="AO241" s="62" t="s">
        <v>276</v>
      </c>
      <c r="AP241" s="232"/>
      <c r="AQ241" s="134"/>
    </row>
    <row r="242" spans="1:43" x14ac:dyDescent="0.2">
      <c r="A242">
        <v>241</v>
      </c>
      <c r="B242" s="33">
        <f>+B241+1</f>
        <v>40</v>
      </c>
      <c r="C242" s="122" t="s">
        <v>1982</v>
      </c>
      <c r="D242" s="123" t="s">
        <v>1983</v>
      </c>
      <c r="E242" s="202" t="s">
        <v>1984</v>
      </c>
      <c r="F242" s="342">
        <v>27018</v>
      </c>
      <c r="G242" s="36" t="s">
        <v>54</v>
      </c>
      <c r="H242" s="122" t="s">
        <v>1985</v>
      </c>
      <c r="I242" s="126" t="s">
        <v>73</v>
      </c>
      <c r="J242" s="425" t="s">
        <v>4765</v>
      </c>
      <c r="K242" s="126" t="s">
        <v>73</v>
      </c>
      <c r="L242" s="122" t="s">
        <v>1986</v>
      </c>
      <c r="M242" s="127" t="s">
        <v>1987</v>
      </c>
      <c r="N242" s="128" t="s">
        <v>42</v>
      </c>
      <c r="O242" s="120">
        <v>42465</v>
      </c>
      <c r="P242" s="115"/>
      <c r="Q242" s="115"/>
      <c r="R242" s="115"/>
      <c r="S242" s="115"/>
      <c r="T242" s="115"/>
      <c r="U242" s="115"/>
      <c r="V242" s="115"/>
      <c r="W242" s="56"/>
      <c r="X242" s="56"/>
      <c r="Y242" s="56"/>
      <c r="Z242" s="56"/>
      <c r="AA242" s="42" t="s">
        <v>1988</v>
      </c>
      <c r="AB242" s="58" t="s">
        <v>1989</v>
      </c>
      <c r="AC242" s="233" t="s">
        <v>1990</v>
      </c>
      <c r="AD242" s="45">
        <v>42935</v>
      </c>
      <c r="AE242" s="101" t="s">
        <v>30</v>
      </c>
      <c r="AF242" s="36" t="s">
        <v>26</v>
      </c>
      <c r="AG242" s="133" t="s">
        <v>49</v>
      </c>
      <c r="AH242" s="48" t="s">
        <v>49</v>
      </c>
      <c r="AI242" s="48" t="s">
        <v>49</v>
      </c>
      <c r="AJ242" s="48" t="s">
        <v>49</v>
      </c>
      <c r="AK242" s="48" t="s">
        <v>49</v>
      </c>
      <c r="AL242" s="48" t="s">
        <v>49</v>
      </c>
      <c r="AM242" s="49" t="s">
        <v>49</v>
      </c>
      <c r="AN242" s="48" t="s">
        <v>49</v>
      </c>
      <c r="AO242" s="62" t="s">
        <v>32</v>
      </c>
      <c r="AP242" s="232"/>
      <c r="AQ242" s="134"/>
    </row>
    <row r="243" spans="1:43" x14ac:dyDescent="0.2">
      <c r="A243">
        <v>242</v>
      </c>
      <c r="B243" s="33">
        <f>+B242+1</f>
        <v>41</v>
      </c>
      <c r="C243" s="122" t="s">
        <v>1991</v>
      </c>
      <c r="D243" s="123" t="s">
        <v>1992</v>
      </c>
      <c r="E243" s="202" t="s">
        <v>1993</v>
      </c>
      <c r="F243" s="342">
        <v>30638</v>
      </c>
      <c r="G243" s="36" t="s">
        <v>36</v>
      </c>
      <c r="H243" s="122" t="s">
        <v>1994</v>
      </c>
      <c r="I243" s="126" t="s">
        <v>73</v>
      </c>
      <c r="J243" s="425" t="s">
        <v>4765</v>
      </c>
      <c r="K243" s="126" t="s">
        <v>73</v>
      </c>
      <c r="L243" s="122" t="s">
        <v>1995</v>
      </c>
      <c r="M243" s="122" t="s">
        <v>1996</v>
      </c>
      <c r="N243" s="128" t="s">
        <v>42</v>
      </c>
      <c r="O243" s="99" t="s">
        <v>1997</v>
      </c>
      <c r="P243" s="56"/>
      <c r="Q243" s="56"/>
      <c r="R243" s="56"/>
      <c r="S243" s="56"/>
      <c r="T243" s="56"/>
      <c r="U243" s="56"/>
      <c r="V243" s="56"/>
      <c r="W243" s="56"/>
      <c r="X243" s="56"/>
      <c r="Y243" s="56" t="s">
        <v>732</v>
      </c>
      <c r="Z243" s="130"/>
      <c r="AA243" s="135" t="s">
        <v>1998</v>
      </c>
      <c r="AB243" s="52" t="s">
        <v>1999</v>
      </c>
      <c r="AC243" s="208" t="s">
        <v>2000</v>
      </c>
      <c r="AD243" s="45">
        <v>44650</v>
      </c>
      <c r="AE243" s="101" t="s">
        <v>30</v>
      </c>
      <c r="AF243" s="36" t="s">
        <v>26</v>
      </c>
      <c r="AG243" s="133" t="s">
        <v>49</v>
      </c>
      <c r="AH243" s="48" t="s">
        <v>49</v>
      </c>
      <c r="AI243" s="48" t="s">
        <v>49</v>
      </c>
      <c r="AJ243" s="48" t="s">
        <v>49</v>
      </c>
      <c r="AK243" s="48" t="s">
        <v>49</v>
      </c>
      <c r="AL243" s="48" t="s">
        <v>49</v>
      </c>
      <c r="AM243" s="49" t="s">
        <v>49</v>
      </c>
      <c r="AN243" s="48" t="s">
        <v>49</v>
      </c>
      <c r="AO243" s="65" t="s">
        <v>32</v>
      </c>
      <c r="AP243" s="325"/>
      <c r="AQ243" s="134"/>
    </row>
    <row r="244" spans="1:43" x14ac:dyDescent="0.2">
      <c r="A244">
        <v>243</v>
      </c>
      <c r="B244" s="33">
        <f>+B243+1</f>
        <v>42</v>
      </c>
      <c r="C244" s="34" t="s">
        <v>2001</v>
      </c>
      <c r="D244" s="35" t="s">
        <v>2002</v>
      </c>
      <c r="E244" s="36" t="s">
        <v>2003</v>
      </c>
      <c r="F244" s="334">
        <v>36114</v>
      </c>
      <c r="G244" s="36" t="s">
        <v>36</v>
      </c>
      <c r="H244" s="34" t="s">
        <v>2004</v>
      </c>
      <c r="I244" s="37" t="s">
        <v>176</v>
      </c>
      <c r="J244" s="425" t="s">
        <v>4761</v>
      </c>
      <c r="K244" s="37" t="s">
        <v>39</v>
      </c>
      <c r="L244" s="38" t="s">
        <v>2005</v>
      </c>
      <c r="M244" s="34" t="s">
        <v>41</v>
      </c>
      <c r="N244" s="39" t="s">
        <v>42</v>
      </c>
      <c r="O244" s="120">
        <v>45740</v>
      </c>
      <c r="P244" s="56"/>
      <c r="Q244" s="56"/>
      <c r="R244" s="56"/>
      <c r="S244" s="56"/>
      <c r="T244" s="56"/>
      <c r="U244" s="56"/>
      <c r="V244" s="56"/>
      <c r="W244" s="56"/>
      <c r="X244" s="56"/>
      <c r="Y244" s="56" t="s">
        <v>44</v>
      </c>
      <c r="Z244" s="409"/>
      <c r="AA244" s="405" t="s">
        <v>2006</v>
      </c>
      <c r="AB244" s="43" t="s">
        <v>2007</v>
      </c>
      <c r="AC244" s="121"/>
      <c r="AD244" s="45"/>
      <c r="AE244" s="101"/>
      <c r="AF244" s="36"/>
      <c r="AG244" s="47" t="s">
        <v>49</v>
      </c>
      <c r="AH244" s="48" t="s">
        <v>41</v>
      </c>
      <c r="AI244" s="48" t="s">
        <v>41</v>
      </c>
      <c r="AJ244" s="48" t="s">
        <v>41</v>
      </c>
      <c r="AK244" s="48" t="s">
        <v>41</v>
      </c>
      <c r="AL244" s="48" t="s">
        <v>41</v>
      </c>
      <c r="AM244" s="49" t="s">
        <v>49</v>
      </c>
      <c r="AN244" s="48" t="s">
        <v>49</v>
      </c>
      <c r="AO244" s="65" t="s">
        <v>32</v>
      </c>
      <c r="AP244" s="65"/>
      <c r="AQ244" s="59"/>
    </row>
    <row r="245" spans="1:43" x14ac:dyDescent="0.2">
      <c r="A245">
        <v>244</v>
      </c>
      <c r="B245" s="33">
        <f>+B244+1</f>
        <v>43</v>
      </c>
      <c r="C245" s="394" t="s">
        <v>2008</v>
      </c>
      <c r="D245" s="35" t="s">
        <v>2009</v>
      </c>
      <c r="E245" s="36" t="s">
        <v>2010</v>
      </c>
      <c r="F245" s="334">
        <v>33121</v>
      </c>
      <c r="G245" s="36" t="s">
        <v>54</v>
      </c>
      <c r="H245" s="87" t="s">
        <v>2011</v>
      </c>
      <c r="I245" s="37" t="s">
        <v>73</v>
      </c>
      <c r="J245" s="425" t="s">
        <v>4765</v>
      </c>
      <c r="K245" s="37" t="s">
        <v>73</v>
      </c>
      <c r="L245" s="34" t="s">
        <v>2012</v>
      </c>
      <c r="M245" s="34" t="s">
        <v>41</v>
      </c>
      <c r="N245" s="39" t="s">
        <v>42</v>
      </c>
      <c r="O245" s="99" t="s">
        <v>2013</v>
      </c>
      <c r="P245" s="56"/>
      <c r="Q245" s="56"/>
      <c r="R245" s="56"/>
      <c r="S245" s="56"/>
      <c r="T245" s="56"/>
      <c r="U245" s="56"/>
      <c r="V245" s="56"/>
      <c r="W245" s="56"/>
      <c r="X245" s="56"/>
      <c r="Y245" s="56" t="s">
        <v>732</v>
      </c>
      <c r="Z245" s="56"/>
      <c r="AA245" s="416" t="s">
        <v>2014</v>
      </c>
      <c r="AB245" s="52" t="s">
        <v>2015</v>
      </c>
      <c r="AC245" s="44" t="s">
        <v>61</v>
      </c>
      <c r="AD245" s="45">
        <v>38593</v>
      </c>
      <c r="AE245" s="101" t="s">
        <v>30</v>
      </c>
      <c r="AF245" s="36" t="s">
        <v>26</v>
      </c>
      <c r="AG245" s="47" t="s">
        <v>49</v>
      </c>
      <c r="AH245" s="48" t="s">
        <v>49</v>
      </c>
      <c r="AI245" s="48" t="s">
        <v>49</v>
      </c>
      <c r="AJ245" s="48" t="s">
        <v>49</v>
      </c>
      <c r="AK245" s="48" t="s">
        <v>49</v>
      </c>
      <c r="AL245" s="48" t="s">
        <v>49</v>
      </c>
      <c r="AM245" s="49" t="s">
        <v>49</v>
      </c>
      <c r="AN245" s="48" t="s">
        <v>49</v>
      </c>
      <c r="AO245" s="65" t="s">
        <v>32</v>
      </c>
      <c r="AP245" s="65"/>
      <c r="AQ245" s="59"/>
    </row>
    <row r="246" spans="1:43" x14ac:dyDescent="0.2">
      <c r="A246">
        <v>245</v>
      </c>
      <c r="B246" s="33">
        <f>+B245+1</f>
        <v>44</v>
      </c>
      <c r="C246" s="34" t="s">
        <v>2016</v>
      </c>
      <c r="D246" s="35" t="s">
        <v>2017</v>
      </c>
      <c r="E246" s="36" t="s">
        <v>2018</v>
      </c>
      <c r="F246" s="334"/>
      <c r="G246" s="36" t="s">
        <v>54</v>
      </c>
      <c r="H246" s="108" t="s">
        <v>2019</v>
      </c>
      <c r="I246" s="37" t="s">
        <v>176</v>
      </c>
      <c r="J246" s="425" t="s">
        <v>4767</v>
      </c>
      <c r="K246" s="37" t="s">
        <v>39</v>
      </c>
      <c r="L246" s="34" t="s">
        <v>2020</v>
      </c>
      <c r="M246" s="34" t="s">
        <v>41</v>
      </c>
      <c r="N246" s="39" t="s">
        <v>42</v>
      </c>
      <c r="O246" s="120">
        <v>41187</v>
      </c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42" t="s">
        <v>2021</v>
      </c>
      <c r="AB246" s="58" t="s">
        <v>2022</v>
      </c>
      <c r="AC246" s="44" t="s">
        <v>61</v>
      </c>
      <c r="AD246" s="45">
        <v>36641</v>
      </c>
      <c r="AE246" s="101" t="s">
        <v>30</v>
      </c>
      <c r="AF246" s="36" t="s">
        <v>26</v>
      </c>
      <c r="AG246" s="47" t="s">
        <v>49</v>
      </c>
      <c r="AH246" s="48" t="s">
        <v>49</v>
      </c>
      <c r="AI246" s="48" t="s">
        <v>49</v>
      </c>
      <c r="AJ246" s="48" t="s">
        <v>41</v>
      </c>
      <c r="AK246" s="48" t="s">
        <v>41</v>
      </c>
      <c r="AL246" s="48" t="s">
        <v>41</v>
      </c>
      <c r="AM246" s="49" t="s">
        <v>41</v>
      </c>
      <c r="AN246" s="48" t="s">
        <v>41</v>
      </c>
      <c r="AO246" s="62" t="s">
        <v>110</v>
      </c>
      <c r="AP246" s="62"/>
      <c r="AQ246" s="59"/>
    </row>
    <row r="247" spans="1:43" x14ac:dyDescent="0.2">
      <c r="A247">
        <v>246</v>
      </c>
      <c r="B247" s="33">
        <f>+B246+1</f>
        <v>45</v>
      </c>
      <c r="C247" s="108" t="s">
        <v>2023</v>
      </c>
      <c r="D247" s="35" t="s">
        <v>2024</v>
      </c>
      <c r="E247" s="36" t="s">
        <v>4791</v>
      </c>
      <c r="F247" s="334">
        <v>22317</v>
      </c>
      <c r="G247" s="36" t="s">
        <v>36</v>
      </c>
      <c r="H247" s="185" t="s">
        <v>2026</v>
      </c>
      <c r="I247" s="37" t="s">
        <v>73</v>
      </c>
      <c r="J247" s="425" t="s">
        <v>4765</v>
      </c>
      <c r="K247" s="37" t="s">
        <v>73</v>
      </c>
      <c r="L247" s="34" t="s">
        <v>2027</v>
      </c>
      <c r="M247" s="394" t="s">
        <v>2028</v>
      </c>
      <c r="N247" s="39" t="s">
        <v>42</v>
      </c>
      <c r="O247" s="120">
        <v>41918</v>
      </c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42" t="s">
        <v>2029</v>
      </c>
      <c r="AB247" s="58" t="s">
        <v>2030</v>
      </c>
      <c r="AC247" s="44" t="s">
        <v>2031</v>
      </c>
      <c r="AD247" s="45">
        <v>42325</v>
      </c>
      <c r="AE247" s="101" t="s">
        <v>30</v>
      </c>
      <c r="AF247" s="36" t="s">
        <v>26</v>
      </c>
      <c r="AG247" s="47" t="s">
        <v>49</v>
      </c>
      <c r="AH247" s="48" t="s">
        <v>49</v>
      </c>
      <c r="AI247" s="48" t="s">
        <v>49</v>
      </c>
      <c r="AJ247" s="48" t="s">
        <v>49</v>
      </c>
      <c r="AK247" s="48" t="s">
        <v>49</v>
      </c>
      <c r="AL247" s="48" t="s">
        <v>49</v>
      </c>
      <c r="AM247" s="49" t="s">
        <v>49</v>
      </c>
      <c r="AN247" s="48" t="s">
        <v>49</v>
      </c>
      <c r="AO247" s="62" t="s">
        <v>32</v>
      </c>
      <c r="AP247" s="62"/>
      <c r="AQ247" s="59"/>
    </row>
    <row r="248" spans="1:43" x14ac:dyDescent="0.2">
      <c r="A248">
        <v>247</v>
      </c>
      <c r="B248" s="33">
        <f>+B247+1</f>
        <v>46</v>
      </c>
      <c r="C248" s="34" t="s">
        <v>2032</v>
      </c>
      <c r="D248" s="35" t="s">
        <v>2033</v>
      </c>
      <c r="E248" s="36" t="s">
        <v>2034</v>
      </c>
      <c r="F248" s="334">
        <v>29822</v>
      </c>
      <c r="G248" s="36" t="s">
        <v>54</v>
      </c>
      <c r="H248" s="108" t="s">
        <v>2035</v>
      </c>
      <c r="I248" s="37" t="s">
        <v>73</v>
      </c>
      <c r="J248" s="425" t="s">
        <v>4765</v>
      </c>
      <c r="K248" s="37" t="s">
        <v>73</v>
      </c>
      <c r="L248" s="34" t="s">
        <v>2036</v>
      </c>
      <c r="M248" s="140" t="s">
        <v>2036</v>
      </c>
      <c r="N248" s="39" t="s">
        <v>42</v>
      </c>
      <c r="O248" s="99" t="s">
        <v>2037</v>
      </c>
      <c r="P248" s="56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42" t="s">
        <v>2038</v>
      </c>
      <c r="AB248" s="58" t="s">
        <v>2039</v>
      </c>
      <c r="AC248" s="44" t="s">
        <v>61</v>
      </c>
      <c r="AD248" s="45">
        <v>40815</v>
      </c>
      <c r="AE248" s="101" t="s">
        <v>30</v>
      </c>
      <c r="AF248" s="36" t="s">
        <v>26</v>
      </c>
      <c r="AG248" s="61" t="s">
        <v>49</v>
      </c>
      <c r="AH248" s="48" t="s">
        <v>49</v>
      </c>
      <c r="AI248" s="48" t="s">
        <v>49</v>
      </c>
      <c r="AJ248" s="48" t="s">
        <v>49</v>
      </c>
      <c r="AK248" s="48" t="s">
        <v>49</v>
      </c>
      <c r="AL248" s="48" t="s">
        <v>49</v>
      </c>
      <c r="AM248" s="49" t="s">
        <v>49</v>
      </c>
      <c r="AN248" s="48" t="s">
        <v>49</v>
      </c>
      <c r="AO248" s="62" t="s">
        <v>32</v>
      </c>
      <c r="AP248" s="62"/>
      <c r="AQ248" s="59"/>
    </row>
    <row r="249" spans="1:43" x14ac:dyDescent="0.2">
      <c r="A249">
        <v>248</v>
      </c>
      <c r="B249" s="33">
        <f>+B248+1</f>
        <v>47</v>
      </c>
      <c r="C249" s="34" t="s">
        <v>2040</v>
      </c>
      <c r="D249" s="35" t="s">
        <v>2041</v>
      </c>
      <c r="E249" s="36" t="s">
        <v>2042</v>
      </c>
      <c r="F249" s="36"/>
      <c r="G249" s="36" t="s">
        <v>241</v>
      </c>
      <c r="H249" s="34" t="s">
        <v>2043</v>
      </c>
      <c r="I249" s="37" t="s">
        <v>73</v>
      </c>
      <c r="J249" s="425" t="s">
        <v>4765</v>
      </c>
      <c r="K249" s="37" t="s">
        <v>73</v>
      </c>
      <c r="L249" s="34" t="s">
        <v>1445</v>
      </c>
      <c r="M249" s="34" t="s">
        <v>1445</v>
      </c>
      <c r="N249" s="39" t="s">
        <v>42</v>
      </c>
      <c r="O249" s="120">
        <v>31054</v>
      </c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2" t="s">
        <v>2044</v>
      </c>
      <c r="AB249" s="58" t="s">
        <v>2045</v>
      </c>
      <c r="AC249" s="44" t="s">
        <v>61</v>
      </c>
      <c r="AD249" s="45">
        <v>40815</v>
      </c>
      <c r="AE249" s="101" t="s">
        <v>30</v>
      </c>
      <c r="AF249" s="36" t="s">
        <v>26</v>
      </c>
      <c r="AG249" s="47" t="s">
        <v>49</v>
      </c>
      <c r="AH249" s="48" t="s">
        <v>49</v>
      </c>
      <c r="AI249" s="48" t="s">
        <v>49</v>
      </c>
      <c r="AJ249" s="48" t="s">
        <v>41</v>
      </c>
      <c r="AK249" s="48" t="s">
        <v>41</v>
      </c>
      <c r="AL249" s="48" t="s">
        <v>41</v>
      </c>
      <c r="AM249" s="49" t="s">
        <v>41</v>
      </c>
      <c r="AN249" s="48" t="s">
        <v>41</v>
      </c>
      <c r="AO249" s="62" t="s">
        <v>110</v>
      </c>
      <c r="AP249" s="62"/>
      <c r="AQ249" s="59"/>
    </row>
    <row r="250" spans="1:43" ht="15" customHeight="1" x14ac:dyDescent="0.2">
      <c r="A250">
        <v>249</v>
      </c>
      <c r="B250" s="33">
        <f>+B249+1</f>
        <v>48</v>
      </c>
      <c r="C250" s="34" t="s">
        <v>2046</v>
      </c>
      <c r="D250" s="35" t="s">
        <v>2047</v>
      </c>
      <c r="E250" s="36" t="s">
        <v>2048</v>
      </c>
      <c r="F250" s="36"/>
      <c r="G250" s="36" t="s">
        <v>54</v>
      </c>
      <c r="H250" s="34" t="s">
        <v>2049</v>
      </c>
      <c r="I250" s="37" t="s">
        <v>73</v>
      </c>
      <c r="J250" s="425" t="s">
        <v>4765</v>
      </c>
      <c r="K250" s="37" t="s">
        <v>73</v>
      </c>
      <c r="L250" s="34" t="s">
        <v>2050</v>
      </c>
      <c r="M250" s="34" t="s">
        <v>2051</v>
      </c>
      <c r="N250" s="39" t="s">
        <v>986</v>
      </c>
      <c r="O250" s="99" t="s">
        <v>2052</v>
      </c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42" t="s">
        <v>2053</v>
      </c>
      <c r="AB250" s="58" t="s">
        <v>2054</v>
      </c>
      <c r="AC250" s="119" t="s">
        <v>2055</v>
      </c>
      <c r="AD250" s="45">
        <v>42325</v>
      </c>
      <c r="AE250" s="101" t="s">
        <v>30</v>
      </c>
      <c r="AF250" s="36"/>
      <c r="AG250" s="66" t="s">
        <v>130</v>
      </c>
      <c r="AH250" s="48" t="s">
        <v>41</v>
      </c>
      <c r="AI250" s="48" t="s">
        <v>41</v>
      </c>
      <c r="AJ250" s="48" t="s">
        <v>41</v>
      </c>
      <c r="AK250" s="48" t="s">
        <v>41</v>
      </c>
      <c r="AL250" s="48" t="s">
        <v>41</v>
      </c>
      <c r="AM250" s="49" t="s">
        <v>41</v>
      </c>
      <c r="AN250" s="48" t="s">
        <v>41</v>
      </c>
      <c r="AO250" s="65" t="s">
        <v>4588</v>
      </c>
      <c r="AP250" s="65"/>
      <c r="AQ250" s="59"/>
    </row>
    <row r="251" spans="1:43" ht="15" customHeight="1" x14ac:dyDescent="0.2">
      <c r="A251">
        <v>250</v>
      </c>
      <c r="B251" s="33">
        <f>+B250+1</f>
        <v>49</v>
      </c>
      <c r="C251" s="34" t="s">
        <v>2056</v>
      </c>
      <c r="D251" s="35" t="s">
        <v>2057</v>
      </c>
      <c r="E251" s="36" t="s">
        <v>2058</v>
      </c>
      <c r="F251" s="334">
        <v>35304</v>
      </c>
      <c r="G251" s="36" t="s">
        <v>54</v>
      </c>
      <c r="H251" s="34" t="s">
        <v>2059</v>
      </c>
      <c r="I251" s="37" t="s">
        <v>350</v>
      </c>
      <c r="J251" s="425" t="s">
        <v>4751</v>
      </c>
      <c r="K251" s="37" t="s">
        <v>350</v>
      </c>
      <c r="L251" s="38" t="s">
        <v>2060</v>
      </c>
      <c r="M251" s="34" t="s">
        <v>41</v>
      </c>
      <c r="N251" s="39" t="s">
        <v>42</v>
      </c>
      <c r="O251" s="120">
        <v>44568</v>
      </c>
      <c r="P251" s="56"/>
      <c r="Q251" s="56"/>
      <c r="R251" s="56"/>
      <c r="S251" s="56"/>
      <c r="T251" s="56"/>
      <c r="U251" s="56"/>
      <c r="V251" s="56" t="s">
        <v>44</v>
      </c>
      <c r="W251" s="56"/>
      <c r="X251" s="56"/>
      <c r="Y251" s="56"/>
      <c r="Z251" s="56"/>
      <c r="AA251" s="42" t="s">
        <v>2061</v>
      </c>
      <c r="AB251" s="58" t="s">
        <v>2062</v>
      </c>
      <c r="AC251" s="207" t="s">
        <v>2063</v>
      </c>
      <c r="AD251" s="45">
        <v>44944</v>
      </c>
      <c r="AE251" s="101" t="s">
        <v>30</v>
      </c>
      <c r="AF251" s="36"/>
      <c r="AG251" s="61" t="s">
        <v>49</v>
      </c>
      <c r="AH251" s="48" t="s">
        <v>41</v>
      </c>
      <c r="AI251" s="48" t="s">
        <v>41</v>
      </c>
      <c r="AJ251" s="48" t="s">
        <v>49</v>
      </c>
      <c r="AK251" s="48" t="s">
        <v>49</v>
      </c>
      <c r="AL251" s="48" t="s">
        <v>49</v>
      </c>
      <c r="AM251" s="49" t="s">
        <v>49</v>
      </c>
      <c r="AN251" s="48" t="s">
        <v>49</v>
      </c>
      <c r="AO251" s="62" t="s">
        <v>32</v>
      </c>
      <c r="AP251" s="62"/>
      <c r="AQ251" s="59"/>
    </row>
    <row r="252" spans="1:43" ht="15" customHeight="1" x14ac:dyDescent="0.2">
      <c r="A252">
        <v>251</v>
      </c>
      <c r="B252" s="33">
        <f>+B251+1</f>
        <v>50</v>
      </c>
      <c r="C252" s="34" t="s">
        <v>2064</v>
      </c>
      <c r="D252" s="35" t="s">
        <v>2065</v>
      </c>
      <c r="E252" s="36" t="s">
        <v>2066</v>
      </c>
      <c r="F252" s="334">
        <v>25396</v>
      </c>
      <c r="G252" s="36" t="s">
        <v>54</v>
      </c>
      <c r="H252" s="98" t="s">
        <v>2067</v>
      </c>
      <c r="I252" s="37" t="s">
        <v>39</v>
      </c>
      <c r="J252" s="425" t="s">
        <v>4766</v>
      </c>
      <c r="K252" s="37" t="s">
        <v>39</v>
      </c>
      <c r="L252" s="34" t="s">
        <v>2068</v>
      </c>
      <c r="M252" s="34" t="s">
        <v>2068</v>
      </c>
      <c r="N252" s="39" t="s">
        <v>42</v>
      </c>
      <c r="O252" s="120">
        <v>42254</v>
      </c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42" t="s">
        <v>2069</v>
      </c>
      <c r="AB252" s="58" t="s">
        <v>2070</v>
      </c>
      <c r="AC252" s="119" t="s">
        <v>2071</v>
      </c>
      <c r="AD252" s="45">
        <v>42325</v>
      </c>
      <c r="AE252" s="101" t="s">
        <v>30</v>
      </c>
      <c r="AF252" s="73" t="s">
        <v>26</v>
      </c>
      <c r="AG252" s="47" t="s">
        <v>49</v>
      </c>
      <c r="AH252" s="48" t="s">
        <v>49</v>
      </c>
      <c r="AI252" s="48" t="s">
        <v>49</v>
      </c>
      <c r="AJ252" s="48" t="s">
        <v>49</v>
      </c>
      <c r="AK252" s="48" t="s">
        <v>49</v>
      </c>
      <c r="AL252" s="48" t="s">
        <v>49</v>
      </c>
      <c r="AM252" s="49" t="s">
        <v>49</v>
      </c>
      <c r="AN252" s="48" t="s">
        <v>41</v>
      </c>
      <c r="AO252" s="65" t="s">
        <v>148</v>
      </c>
      <c r="AP252" s="65"/>
      <c r="AQ252" s="59"/>
    </row>
    <row r="253" spans="1:43" ht="15" customHeight="1" x14ac:dyDescent="0.2">
      <c r="A253">
        <v>252</v>
      </c>
      <c r="B253" s="33">
        <f>+B252+1</f>
        <v>51</v>
      </c>
      <c r="C253" s="34" t="s">
        <v>2072</v>
      </c>
      <c r="D253" s="35" t="s">
        <v>2073</v>
      </c>
      <c r="E253" s="36" t="s">
        <v>2074</v>
      </c>
      <c r="F253" s="334">
        <v>32044</v>
      </c>
      <c r="G253" s="36" t="s">
        <v>54</v>
      </c>
      <c r="H253" s="34" t="s">
        <v>2075</v>
      </c>
      <c r="I253" s="37" t="s">
        <v>4659</v>
      </c>
      <c r="J253" s="425" t="s">
        <v>4748</v>
      </c>
      <c r="K253" s="37" t="s">
        <v>205</v>
      </c>
      <c r="L253" s="240" t="s">
        <v>2076</v>
      </c>
      <c r="M253" s="34" t="s">
        <v>41</v>
      </c>
      <c r="N253" s="39" t="s">
        <v>42</v>
      </c>
      <c r="O253" s="120" t="s">
        <v>2077</v>
      </c>
      <c r="P253" s="41"/>
      <c r="Q253" s="41"/>
      <c r="R253" s="41"/>
      <c r="S253" s="41"/>
      <c r="T253" s="41"/>
      <c r="U253" s="41"/>
      <c r="V253" s="41" t="s">
        <v>44</v>
      </c>
      <c r="W253" s="41"/>
      <c r="X253" s="41"/>
      <c r="Y253" s="41"/>
      <c r="Z253" s="41"/>
      <c r="AA253" s="42" t="s">
        <v>2078</v>
      </c>
      <c r="AB253" s="58" t="s">
        <v>2079</v>
      </c>
      <c r="AC253" s="207" t="s">
        <v>2080</v>
      </c>
      <c r="AD253" s="45">
        <v>44944</v>
      </c>
      <c r="AE253" s="101" t="s">
        <v>30</v>
      </c>
      <c r="AF253" s="36"/>
      <c r="AG253" s="47" t="s">
        <v>49</v>
      </c>
      <c r="AH253" s="48" t="s">
        <v>41</v>
      </c>
      <c r="AI253" s="48" t="s">
        <v>41</v>
      </c>
      <c r="AJ253" s="48" t="s">
        <v>49</v>
      </c>
      <c r="AK253" s="48" t="s">
        <v>49</v>
      </c>
      <c r="AL253" s="48" t="s">
        <v>49</v>
      </c>
      <c r="AM253" s="49" t="s">
        <v>49</v>
      </c>
      <c r="AN253" s="48" t="s">
        <v>49</v>
      </c>
      <c r="AO253" s="62" t="s">
        <v>32</v>
      </c>
      <c r="AP253" s="62"/>
      <c r="AQ253" s="59"/>
    </row>
    <row r="254" spans="1:43" ht="15" customHeight="1" x14ac:dyDescent="0.2">
      <c r="A254">
        <v>253</v>
      </c>
      <c r="B254" s="33">
        <f>+B253+1</f>
        <v>52</v>
      </c>
      <c r="C254" s="34" t="s">
        <v>2081</v>
      </c>
      <c r="D254" s="35" t="s">
        <v>2082</v>
      </c>
      <c r="E254" s="36" t="s">
        <v>2083</v>
      </c>
      <c r="F254" s="334">
        <v>33952</v>
      </c>
      <c r="G254" s="36" t="s">
        <v>54</v>
      </c>
      <c r="H254" s="34" t="s">
        <v>2084</v>
      </c>
      <c r="I254" s="37" t="s">
        <v>377</v>
      </c>
      <c r="J254" s="425" t="s">
        <v>4757</v>
      </c>
      <c r="K254" s="37" t="s">
        <v>378</v>
      </c>
      <c r="L254" s="201" t="s">
        <v>2085</v>
      </c>
      <c r="M254" s="34" t="s">
        <v>41</v>
      </c>
      <c r="N254" s="39" t="s">
        <v>42</v>
      </c>
      <c r="O254" s="120">
        <v>36528</v>
      </c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2" t="s">
        <v>2086</v>
      </c>
      <c r="AB254" s="83" t="s">
        <v>2087</v>
      </c>
      <c r="AC254" s="119"/>
      <c r="AD254" s="45">
        <v>45642</v>
      </c>
      <c r="AE254" s="101"/>
      <c r="AF254" s="36" t="s">
        <v>26</v>
      </c>
      <c r="AG254" s="47" t="s">
        <v>49</v>
      </c>
      <c r="AH254" s="48" t="s">
        <v>49</v>
      </c>
      <c r="AI254" s="48" t="s">
        <v>49</v>
      </c>
      <c r="AJ254" s="48" t="s">
        <v>49</v>
      </c>
      <c r="AK254" s="48" t="s">
        <v>41</v>
      </c>
      <c r="AL254" s="48" t="s">
        <v>41</v>
      </c>
      <c r="AM254" s="49" t="s">
        <v>41</v>
      </c>
      <c r="AN254" s="48" t="s">
        <v>41</v>
      </c>
      <c r="AO254" s="65" t="s">
        <v>139</v>
      </c>
      <c r="AP254" s="65"/>
      <c r="AQ254" s="59"/>
    </row>
    <row r="255" spans="1:43" ht="16" x14ac:dyDescent="0.2">
      <c r="A255">
        <v>254</v>
      </c>
      <c r="B255" s="33">
        <f>+B254+1</f>
        <v>53</v>
      </c>
      <c r="C255" s="34" t="s">
        <v>2088</v>
      </c>
      <c r="D255" s="35" t="s">
        <v>2089</v>
      </c>
      <c r="E255" s="36" t="s">
        <v>2090</v>
      </c>
      <c r="F255" s="334">
        <v>31294</v>
      </c>
      <c r="G255" s="36" t="s">
        <v>54</v>
      </c>
      <c r="H255" s="34" t="s">
        <v>2091</v>
      </c>
      <c r="I255" s="37" t="s">
        <v>323</v>
      </c>
      <c r="J255" s="425" t="s">
        <v>4758</v>
      </c>
      <c r="K255" s="37" t="s">
        <v>39</v>
      </c>
      <c r="L255" s="38" t="s">
        <v>2092</v>
      </c>
      <c r="M255" s="34" t="s">
        <v>41</v>
      </c>
      <c r="N255" s="39" t="s">
        <v>42</v>
      </c>
      <c r="O255" s="120" t="s">
        <v>2093</v>
      </c>
      <c r="P255" s="112"/>
      <c r="Q255" s="112"/>
      <c r="R255" s="112"/>
      <c r="S255" s="112"/>
      <c r="T255" s="112"/>
      <c r="U255" s="112"/>
      <c r="V255" s="112" t="s">
        <v>44</v>
      </c>
      <c r="W255" s="41"/>
      <c r="X255" s="41"/>
      <c r="Y255" s="41"/>
      <c r="Z255" s="41"/>
      <c r="AA255" s="42" t="s">
        <v>2094</v>
      </c>
      <c r="AB255" s="58" t="s">
        <v>2095</v>
      </c>
      <c r="AC255" s="207" t="s">
        <v>2096</v>
      </c>
      <c r="AD255" s="45">
        <v>44944</v>
      </c>
      <c r="AE255" s="101" t="s">
        <v>30</v>
      </c>
      <c r="AF255" s="36"/>
      <c r="AG255" s="47" t="s">
        <v>49</v>
      </c>
      <c r="AH255" s="48" t="s">
        <v>41</v>
      </c>
      <c r="AI255" s="48" t="s">
        <v>41</v>
      </c>
      <c r="AJ255" s="48" t="s">
        <v>49</v>
      </c>
      <c r="AK255" s="48" t="s">
        <v>49</v>
      </c>
      <c r="AL255" s="48" t="s">
        <v>49</v>
      </c>
      <c r="AM255" s="49" t="s">
        <v>49</v>
      </c>
      <c r="AN255" s="48" t="s">
        <v>49</v>
      </c>
      <c r="AO255" s="62" t="s">
        <v>32</v>
      </c>
      <c r="AP255" s="62"/>
      <c r="AQ255" s="59"/>
    </row>
    <row r="256" spans="1:43" x14ac:dyDescent="0.2">
      <c r="A256">
        <v>255</v>
      </c>
      <c r="B256" s="33">
        <f>+B255+1</f>
        <v>54</v>
      </c>
      <c r="C256" s="34" t="s">
        <v>2097</v>
      </c>
      <c r="D256" s="35" t="s">
        <v>2098</v>
      </c>
      <c r="E256" s="36" t="s">
        <v>2099</v>
      </c>
      <c r="F256" s="36"/>
      <c r="G256" s="36" t="s">
        <v>54</v>
      </c>
      <c r="H256" s="98" t="s">
        <v>2100</v>
      </c>
      <c r="I256" s="37" t="s">
        <v>73</v>
      </c>
      <c r="J256" s="425" t="s">
        <v>4765</v>
      </c>
      <c r="K256" s="37" t="s">
        <v>73</v>
      </c>
      <c r="L256" s="34" t="s">
        <v>2101</v>
      </c>
      <c r="M256" s="34" t="s">
        <v>2102</v>
      </c>
      <c r="N256" s="39" t="s">
        <v>42</v>
      </c>
      <c r="O256" s="99" t="s">
        <v>2103</v>
      </c>
      <c r="P256" s="112"/>
      <c r="Q256" s="112"/>
      <c r="R256" s="112"/>
      <c r="S256" s="112"/>
      <c r="T256" s="112"/>
      <c r="U256" s="112"/>
      <c r="V256" s="112"/>
      <c r="W256" s="41"/>
      <c r="X256" s="41"/>
      <c r="Y256" s="41"/>
      <c r="Z256" s="41"/>
      <c r="AA256" s="42" t="s">
        <v>2104</v>
      </c>
      <c r="AB256" s="58" t="s">
        <v>2105</v>
      </c>
      <c r="AC256" s="119" t="s">
        <v>2106</v>
      </c>
      <c r="AD256" s="45">
        <v>42325</v>
      </c>
      <c r="AE256" s="101" t="s">
        <v>30</v>
      </c>
      <c r="AF256" s="36" t="s">
        <v>26</v>
      </c>
      <c r="AG256" s="47" t="s">
        <v>49</v>
      </c>
      <c r="AH256" s="48" t="s">
        <v>49</v>
      </c>
      <c r="AI256" s="48" t="s">
        <v>41</v>
      </c>
      <c r="AJ256" s="48" t="s">
        <v>41</v>
      </c>
      <c r="AK256" s="48" t="s">
        <v>41</v>
      </c>
      <c r="AL256" s="48" t="s">
        <v>41</v>
      </c>
      <c r="AM256" s="49" t="s">
        <v>41</v>
      </c>
      <c r="AN256" s="48" t="s">
        <v>41</v>
      </c>
      <c r="AO256" s="62" t="s">
        <v>4587</v>
      </c>
      <c r="AP256" s="62"/>
      <c r="AQ256" s="59" t="s">
        <v>2107</v>
      </c>
    </row>
    <row r="257" spans="1:43" x14ac:dyDescent="0.2">
      <c r="A257">
        <v>256</v>
      </c>
      <c r="B257" s="33">
        <f>+B256+1</f>
        <v>55</v>
      </c>
      <c r="C257" s="34" t="s">
        <v>2108</v>
      </c>
      <c r="D257" s="35" t="s">
        <v>2109</v>
      </c>
      <c r="E257" s="36" t="s">
        <v>2110</v>
      </c>
      <c r="F257" s="334">
        <v>34609</v>
      </c>
      <c r="G257" s="36" t="s">
        <v>36</v>
      </c>
      <c r="H257" s="34" t="s">
        <v>2111</v>
      </c>
      <c r="I257" s="37" t="s">
        <v>73</v>
      </c>
      <c r="J257" s="425" t="s">
        <v>4765</v>
      </c>
      <c r="K257" s="37" t="s">
        <v>73</v>
      </c>
      <c r="L257" s="34" t="s">
        <v>2112</v>
      </c>
      <c r="M257" s="34" t="s">
        <v>41</v>
      </c>
      <c r="N257" s="39" t="s">
        <v>42</v>
      </c>
      <c r="O257" s="165">
        <v>40004</v>
      </c>
      <c r="P257" s="130"/>
      <c r="Q257" s="115"/>
      <c r="R257" s="115"/>
      <c r="S257" s="115"/>
      <c r="T257" s="137"/>
      <c r="U257" s="137"/>
      <c r="V257" s="137"/>
      <c r="W257" s="137"/>
      <c r="X257" s="137"/>
      <c r="Y257" s="137"/>
      <c r="Z257" s="137"/>
      <c r="AA257" s="42" t="s">
        <v>2113</v>
      </c>
      <c r="AB257" s="58" t="s">
        <v>2114</v>
      </c>
      <c r="AC257" s="121" t="s">
        <v>2115</v>
      </c>
      <c r="AD257" s="45" t="s">
        <v>2116</v>
      </c>
      <c r="AE257" s="164" t="s">
        <v>30</v>
      </c>
      <c r="AF257" s="36" t="s">
        <v>26</v>
      </c>
      <c r="AG257" s="47" t="s">
        <v>49</v>
      </c>
      <c r="AH257" s="48" t="s">
        <v>49</v>
      </c>
      <c r="AI257" s="48" t="s">
        <v>49</v>
      </c>
      <c r="AJ257" s="48" t="s">
        <v>49</v>
      </c>
      <c r="AK257" s="48" t="s">
        <v>49</v>
      </c>
      <c r="AL257" s="48" t="s">
        <v>49</v>
      </c>
      <c r="AM257" s="49" t="s">
        <v>49</v>
      </c>
      <c r="AN257" s="48" t="s">
        <v>41</v>
      </c>
      <c r="AO257" s="213">
        <v>1</v>
      </c>
      <c r="AP257" s="213"/>
      <c r="AQ257" s="59"/>
    </row>
    <row r="258" spans="1:43" x14ac:dyDescent="0.2">
      <c r="A258">
        <v>257</v>
      </c>
      <c r="B258" s="33">
        <f>+B257+1</f>
        <v>56</v>
      </c>
      <c r="C258" s="34" t="s">
        <v>2117</v>
      </c>
      <c r="D258" s="35" t="s">
        <v>2118</v>
      </c>
      <c r="E258" s="36" t="s">
        <v>4850</v>
      </c>
      <c r="F258" s="334">
        <v>22992</v>
      </c>
      <c r="G258" s="36" t="s">
        <v>54</v>
      </c>
      <c r="H258" s="34" t="s">
        <v>2120</v>
      </c>
      <c r="I258" s="37" t="s">
        <v>73</v>
      </c>
      <c r="J258" s="425" t="s">
        <v>4765</v>
      </c>
      <c r="K258" s="37" t="s">
        <v>73</v>
      </c>
      <c r="L258" s="34" t="s">
        <v>2121</v>
      </c>
      <c r="M258" s="34" t="s">
        <v>41</v>
      </c>
      <c r="N258" s="39" t="s">
        <v>42</v>
      </c>
      <c r="O258" s="165">
        <v>45202</v>
      </c>
      <c r="P258" s="130" t="s">
        <v>179</v>
      </c>
      <c r="Q258" s="130" t="s">
        <v>341</v>
      </c>
      <c r="R258" s="130" t="s">
        <v>1878</v>
      </c>
      <c r="S258" s="130">
        <v>2</v>
      </c>
      <c r="T258" s="115"/>
      <c r="U258" s="115"/>
      <c r="V258" s="115"/>
      <c r="W258" s="115" t="s">
        <v>44</v>
      </c>
      <c r="X258" s="56"/>
      <c r="Y258" s="56"/>
      <c r="Z258" s="56"/>
      <c r="AA258" s="42" t="s">
        <v>2122</v>
      </c>
      <c r="AB258" s="146" t="s">
        <v>2123</v>
      </c>
      <c r="AC258" s="44"/>
      <c r="AD258" s="45" t="s">
        <v>47</v>
      </c>
      <c r="AE258" s="164"/>
      <c r="AF258" s="36"/>
      <c r="AG258" s="47" t="s">
        <v>49</v>
      </c>
      <c r="AH258" s="48" t="s">
        <v>41</v>
      </c>
      <c r="AI258" s="48" t="s">
        <v>41</v>
      </c>
      <c r="AJ258" s="48" t="s">
        <v>41</v>
      </c>
      <c r="AK258" s="48" t="s">
        <v>49</v>
      </c>
      <c r="AL258" s="48" t="s">
        <v>49</v>
      </c>
      <c r="AM258" s="49" t="s">
        <v>41</v>
      </c>
      <c r="AN258" s="48" t="s">
        <v>41</v>
      </c>
      <c r="AO258" s="62" t="s">
        <v>276</v>
      </c>
      <c r="AP258" s="62"/>
      <c r="AQ258" s="59"/>
    </row>
    <row r="259" spans="1:43" x14ac:dyDescent="0.2">
      <c r="A259">
        <v>258</v>
      </c>
      <c r="B259" s="33">
        <f>+B258+1</f>
        <v>57</v>
      </c>
      <c r="C259" s="34" t="s">
        <v>2124</v>
      </c>
      <c r="D259" s="35" t="s">
        <v>2125</v>
      </c>
      <c r="E259" s="36" t="s">
        <v>2126</v>
      </c>
      <c r="F259" s="334">
        <v>23170</v>
      </c>
      <c r="G259" s="36" t="s">
        <v>54</v>
      </c>
      <c r="H259" s="34" t="s">
        <v>2127</v>
      </c>
      <c r="I259" s="37" t="s">
        <v>73</v>
      </c>
      <c r="J259" s="425" t="s">
        <v>4765</v>
      </c>
      <c r="K259" s="37" t="s">
        <v>73</v>
      </c>
      <c r="L259" s="34" t="s">
        <v>2128</v>
      </c>
      <c r="M259" s="34" t="s">
        <v>41</v>
      </c>
      <c r="N259" s="39" t="s">
        <v>42</v>
      </c>
      <c r="O259" s="99" t="s">
        <v>2129</v>
      </c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42" t="s">
        <v>2130</v>
      </c>
      <c r="AB259" s="100" t="s">
        <v>2131</v>
      </c>
      <c r="AC259" s="44" t="s">
        <v>2132</v>
      </c>
      <c r="AD259" s="45">
        <v>41793</v>
      </c>
      <c r="AE259" s="101" t="s">
        <v>129</v>
      </c>
      <c r="AF259" s="36" t="s">
        <v>26</v>
      </c>
      <c r="AG259" s="47" t="s">
        <v>49</v>
      </c>
      <c r="AH259" s="48" t="s">
        <v>49</v>
      </c>
      <c r="AI259" s="48" t="s">
        <v>49</v>
      </c>
      <c r="AJ259" s="48" t="s">
        <v>49</v>
      </c>
      <c r="AK259" s="48" t="s">
        <v>41</v>
      </c>
      <c r="AL259" s="48" t="s">
        <v>41</v>
      </c>
      <c r="AM259" s="49" t="s">
        <v>41</v>
      </c>
      <c r="AN259" s="48" t="s">
        <v>41</v>
      </c>
      <c r="AO259" s="62" t="s">
        <v>139</v>
      </c>
      <c r="AP259" s="62"/>
      <c r="AQ259" s="59"/>
    </row>
    <row r="260" spans="1:43" ht="15" customHeight="1" x14ac:dyDescent="0.2">
      <c r="A260">
        <v>259</v>
      </c>
      <c r="B260" s="33">
        <f>+B259+1</f>
        <v>58</v>
      </c>
      <c r="C260" s="34" t="s">
        <v>2133</v>
      </c>
      <c r="D260" s="35" t="s">
        <v>2134</v>
      </c>
      <c r="E260" s="36" t="s">
        <v>4782</v>
      </c>
      <c r="F260" s="334">
        <v>26334</v>
      </c>
      <c r="G260" s="36" t="s">
        <v>54</v>
      </c>
      <c r="H260" s="34" t="s">
        <v>2136</v>
      </c>
      <c r="I260" s="37" t="s">
        <v>73</v>
      </c>
      <c r="J260" s="425" t="s">
        <v>4765</v>
      </c>
      <c r="K260" s="37" t="s">
        <v>73</v>
      </c>
      <c r="L260" s="34" t="s">
        <v>2137</v>
      </c>
      <c r="M260" s="34" t="s">
        <v>2138</v>
      </c>
      <c r="N260" s="39" t="s">
        <v>42</v>
      </c>
      <c r="O260" s="99" t="s">
        <v>2139</v>
      </c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42" t="s">
        <v>2140</v>
      </c>
      <c r="AB260" s="58" t="s">
        <v>2141</v>
      </c>
      <c r="AC260" s="119" t="s">
        <v>2142</v>
      </c>
      <c r="AD260" s="45">
        <v>41793</v>
      </c>
      <c r="AE260" s="101" t="s">
        <v>30</v>
      </c>
      <c r="AF260" s="36" t="s">
        <v>26</v>
      </c>
      <c r="AG260" s="64" t="s">
        <v>120</v>
      </c>
      <c r="AH260" s="48" t="s">
        <v>120</v>
      </c>
      <c r="AI260" s="48" t="s">
        <v>120</v>
      </c>
      <c r="AJ260" s="48" t="s">
        <v>120</v>
      </c>
      <c r="AK260" s="48" t="s">
        <v>120</v>
      </c>
      <c r="AL260" s="48" t="s">
        <v>120</v>
      </c>
      <c r="AM260" s="49" t="s">
        <v>120</v>
      </c>
      <c r="AN260" s="48" t="s">
        <v>120</v>
      </c>
      <c r="AO260" s="62" t="s">
        <v>32</v>
      </c>
      <c r="AP260" s="62"/>
      <c r="AQ260" s="59"/>
    </row>
    <row r="261" spans="1:43" ht="15" customHeight="1" x14ac:dyDescent="0.2">
      <c r="A261">
        <v>260</v>
      </c>
      <c r="B261" s="33">
        <f>+B260+1</f>
        <v>59</v>
      </c>
      <c r="C261" s="34" t="s">
        <v>2143</v>
      </c>
      <c r="D261" s="35" t="s">
        <v>2144</v>
      </c>
      <c r="E261" s="36" t="s">
        <v>2145</v>
      </c>
      <c r="F261" s="334">
        <v>35306</v>
      </c>
      <c r="G261" s="36" t="s">
        <v>54</v>
      </c>
      <c r="H261" s="34" t="s">
        <v>2146</v>
      </c>
      <c r="I261" s="37" t="s">
        <v>252</v>
      </c>
      <c r="J261" s="425" t="s">
        <v>4742</v>
      </c>
      <c r="K261" s="37" t="s">
        <v>57</v>
      </c>
      <c r="L261" s="38" t="s">
        <v>2147</v>
      </c>
      <c r="M261" s="34" t="s">
        <v>41</v>
      </c>
      <c r="N261" s="39" t="s">
        <v>42</v>
      </c>
      <c r="O261" s="120" t="s">
        <v>2148</v>
      </c>
      <c r="P261" s="56"/>
      <c r="Q261" s="56"/>
      <c r="R261" s="56"/>
      <c r="S261" s="56"/>
      <c r="T261" s="56"/>
      <c r="U261" s="56"/>
      <c r="V261" s="56" t="s">
        <v>44</v>
      </c>
      <c r="W261" s="56"/>
      <c r="X261" s="56"/>
      <c r="Y261" s="56"/>
      <c r="Z261" s="56"/>
      <c r="AA261" s="42" t="s">
        <v>2149</v>
      </c>
      <c r="AB261" s="58" t="s">
        <v>2150</v>
      </c>
      <c r="AC261" s="211" t="s">
        <v>2151</v>
      </c>
      <c r="AD261" s="45">
        <v>44944</v>
      </c>
      <c r="AE261" s="101" t="s">
        <v>30</v>
      </c>
      <c r="AF261" s="36"/>
      <c r="AG261" s="61" t="s">
        <v>49</v>
      </c>
      <c r="AH261" s="48" t="s">
        <v>41</v>
      </c>
      <c r="AI261" s="48" t="s">
        <v>41</v>
      </c>
      <c r="AJ261" s="48" t="s">
        <v>49</v>
      </c>
      <c r="AK261" s="48" t="s">
        <v>49</v>
      </c>
      <c r="AL261" s="48" t="s">
        <v>49</v>
      </c>
      <c r="AM261" s="49" t="s">
        <v>49</v>
      </c>
      <c r="AN261" s="48" t="s">
        <v>49</v>
      </c>
      <c r="AO261" s="65" t="s">
        <v>32</v>
      </c>
      <c r="AP261" s="65"/>
      <c r="AQ261" s="59"/>
    </row>
    <row r="262" spans="1:43" ht="15" customHeight="1" x14ac:dyDescent="0.2">
      <c r="A262">
        <v>261</v>
      </c>
      <c r="B262" s="33">
        <f>+B261+1</f>
        <v>60</v>
      </c>
      <c r="C262" s="34" t="s">
        <v>2152</v>
      </c>
      <c r="D262" s="35" t="s">
        <v>2153</v>
      </c>
      <c r="E262" s="36" t="s">
        <v>2154</v>
      </c>
      <c r="F262" s="334">
        <v>33617</v>
      </c>
      <c r="G262" s="36" t="s">
        <v>54</v>
      </c>
      <c r="H262" s="34" t="s">
        <v>2155</v>
      </c>
      <c r="I262" s="37" t="s">
        <v>323</v>
      </c>
      <c r="J262" s="425" t="s">
        <v>4758</v>
      </c>
      <c r="K262" s="37" t="s">
        <v>39</v>
      </c>
      <c r="L262" s="38" t="s">
        <v>2156</v>
      </c>
      <c r="M262" s="34" t="s">
        <v>41</v>
      </c>
      <c r="N262" s="39" t="s">
        <v>42</v>
      </c>
      <c r="O262" s="120">
        <v>44869</v>
      </c>
      <c r="P262" s="56"/>
      <c r="Q262" s="56"/>
      <c r="R262" s="56"/>
      <c r="S262" s="56"/>
      <c r="T262" s="115"/>
      <c r="U262" s="115"/>
      <c r="V262" s="115" t="s">
        <v>44</v>
      </c>
      <c r="W262" s="56"/>
      <c r="X262" s="56"/>
      <c r="Y262" s="56"/>
      <c r="Z262" s="56"/>
      <c r="AA262" s="42" t="s">
        <v>2157</v>
      </c>
      <c r="AB262" s="58" t="s">
        <v>2158</v>
      </c>
      <c r="AC262" s="207" t="s">
        <v>2159</v>
      </c>
      <c r="AD262" s="45">
        <v>44944</v>
      </c>
      <c r="AE262" s="101" t="s">
        <v>30</v>
      </c>
      <c r="AF262" s="36"/>
      <c r="AG262" s="61" t="s">
        <v>49</v>
      </c>
      <c r="AH262" s="48" t="s">
        <v>41</v>
      </c>
      <c r="AI262" s="48" t="s">
        <v>41</v>
      </c>
      <c r="AJ262" s="48" t="s">
        <v>49</v>
      </c>
      <c r="AK262" s="48" t="s">
        <v>49</v>
      </c>
      <c r="AL262" s="48" t="s">
        <v>49</v>
      </c>
      <c r="AM262" s="49" t="s">
        <v>49</v>
      </c>
      <c r="AN262" s="48" t="s">
        <v>49</v>
      </c>
      <c r="AO262" s="62" t="s">
        <v>32</v>
      </c>
      <c r="AP262" s="62"/>
      <c r="AQ262" s="59"/>
    </row>
    <row r="263" spans="1:43" ht="15" customHeight="1" x14ac:dyDescent="0.2">
      <c r="A263">
        <v>262</v>
      </c>
      <c r="B263" s="33">
        <f>+B262+1</f>
        <v>61</v>
      </c>
      <c r="C263" s="34" t="s">
        <v>2160</v>
      </c>
      <c r="D263" s="35" t="s">
        <v>2161</v>
      </c>
      <c r="E263" s="36" t="s">
        <v>4831</v>
      </c>
      <c r="F263" s="334">
        <v>24643</v>
      </c>
      <c r="G263" s="36" t="s">
        <v>54</v>
      </c>
      <c r="H263" s="402" t="s">
        <v>2163</v>
      </c>
      <c r="I263" s="37" t="s">
        <v>38</v>
      </c>
      <c r="J263" s="425" t="s">
        <v>4762</v>
      </c>
      <c r="K263" s="37" t="s">
        <v>39</v>
      </c>
      <c r="L263" s="34" t="s">
        <v>2164</v>
      </c>
      <c r="M263" s="38" t="s">
        <v>2165</v>
      </c>
      <c r="N263" s="39" t="s">
        <v>42</v>
      </c>
      <c r="O263" s="120">
        <v>37539</v>
      </c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2" t="s">
        <v>2166</v>
      </c>
      <c r="AB263" s="69" t="s">
        <v>2167</v>
      </c>
      <c r="AC263" s="119" t="s">
        <v>61</v>
      </c>
      <c r="AD263" s="45">
        <v>37877</v>
      </c>
      <c r="AE263" s="101" t="s">
        <v>30</v>
      </c>
      <c r="AF263" s="36" t="s">
        <v>26</v>
      </c>
      <c r="AG263" s="47" t="s">
        <v>49</v>
      </c>
      <c r="AH263" s="48" t="s">
        <v>49</v>
      </c>
      <c r="AI263" s="48" t="s">
        <v>49</v>
      </c>
      <c r="AJ263" s="48" t="s">
        <v>49</v>
      </c>
      <c r="AK263" s="48" t="s">
        <v>49</v>
      </c>
      <c r="AL263" s="48" t="s">
        <v>49</v>
      </c>
      <c r="AM263" s="49" t="s">
        <v>41</v>
      </c>
      <c r="AN263" s="48" t="s">
        <v>41</v>
      </c>
      <c r="AO263" s="62" t="s">
        <v>276</v>
      </c>
      <c r="AP263" s="62"/>
      <c r="AQ263" s="59"/>
    </row>
    <row r="264" spans="1:43" ht="15" customHeight="1" x14ac:dyDescent="0.2">
      <c r="A264">
        <v>263</v>
      </c>
      <c r="B264" s="33">
        <f>+B263+1</f>
        <v>62</v>
      </c>
      <c r="C264" s="394" t="s">
        <v>2168</v>
      </c>
      <c r="D264" s="35" t="s">
        <v>2169</v>
      </c>
      <c r="E264" s="36" t="s">
        <v>2170</v>
      </c>
      <c r="F264" s="334">
        <v>34559</v>
      </c>
      <c r="G264" s="36" t="s">
        <v>36</v>
      </c>
      <c r="H264" s="401" t="s">
        <v>2171</v>
      </c>
      <c r="I264" s="37" t="s">
        <v>176</v>
      </c>
      <c r="J264" s="425" t="s">
        <v>4767</v>
      </c>
      <c r="K264" s="37" t="s">
        <v>39</v>
      </c>
      <c r="L264" s="38" t="s">
        <v>2172</v>
      </c>
      <c r="M264" s="34" t="s">
        <v>41</v>
      </c>
      <c r="N264" s="39" t="s">
        <v>42</v>
      </c>
      <c r="O264" s="99" t="s">
        <v>2173</v>
      </c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2" t="s">
        <v>2174</v>
      </c>
      <c r="AB264" s="58" t="s">
        <v>2175</v>
      </c>
      <c r="AC264" s="207" t="s">
        <v>2176</v>
      </c>
      <c r="AD264" s="45">
        <v>44944</v>
      </c>
      <c r="AE264" s="101" t="s">
        <v>30</v>
      </c>
      <c r="AF264" s="36"/>
      <c r="AG264" s="47" t="s">
        <v>49</v>
      </c>
      <c r="AH264" s="48" t="s">
        <v>41</v>
      </c>
      <c r="AI264" s="48" t="s">
        <v>41</v>
      </c>
      <c r="AJ264" s="48" t="s">
        <v>49</v>
      </c>
      <c r="AK264" s="48" t="s">
        <v>49</v>
      </c>
      <c r="AL264" s="48" t="s">
        <v>49</v>
      </c>
      <c r="AM264" s="49" t="s">
        <v>49</v>
      </c>
      <c r="AN264" s="48" t="s">
        <v>49</v>
      </c>
      <c r="AO264" s="62" t="s">
        <v>32</v>
      </c>
      <c r="AP264" s="62"/>
      <c r="AQ264" s="59"/>
    </row>
    <row r="265" spans="1:43" ht="15" customHeight="1" x14ac:dyDescent="0.2">
      <c r="A265">
        <v>264</v>
      </c>
      <c r="B265" s="33">
        <f>+B264+1</f>
        <v>63</v>
      </c>
      <c r="C265" s="394" t="s">
        <v>2177</v>
      </c>
      <c r="D265" s="35" t="s">
        <v>2178</v>
      </c>
      <c r="E265" s="36" t="s">
        <v>2179</v>
      </c>
      <c r="F265" s="36"/>
      <c r="G265" s="36" t="s">
        <v>36</v>
      </c>
      <c r="H265" s="34" t="s">
        <v>2180</v>
      </c>
      <c r="I265" s="37" t="s">
        <v>73</v>
      </c>
      <c r="J265" s="425" t="s">
        <v>4765</v>
      </c>
      <c r="K265" s="37" t="s">
        <v>73</v>
      </c>
      <c r="L265" s="38" t="s">
        <v>2181</v>
      </c>
      <c r="M265" s="34" t="s">
        <v>41</v>
      </c>
      <c r="N265" s="39" t="s">
        <v>42</v>
      </c>
      <c r="O265" s="120" t="s">
        <v>2182</v>
      </c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42" t="s">
        <v>2183</v>
      </c>
      <c r="AB265" s="43" t="s">
        <v>2184</v>
      </c>
      <c r="AC265" s="119" t="s">
        <v>2185</v>
      </c>
      <c r="AD265" s="45" t="s">
        <v>1130</v>
      </c>
      <c r="AE265" s="101" t="s">
        <v>30</v>
      </c>
      <c r="AF265" s="36"/>
      <c r="AG265" s="47" t="s">
        <v>49</v>
      </c>
      <c r="AH265" s="48" t="s">
        <v>41</v>
      </c>
      <c r="AI265" s="48" t="s">
        <v>41</v>
      </c>
      <c r="AJ265" s="48" t="s">
        <v>41</v>
      </c>
      <c r="AK265" s="48" t="s">
        <v>41</v>
      </c>
      <c r="AL265" s="48" t="s">
        <v>41</v>
      </c>
      <c r="AM265" s="49" t="s">
        <v>41</v>
      </c>
      <c r="AN265" s="48" t="s">
        <v>41</v>
      </c>
      <c r="AO265" s="65" t="s">
        <v>4591</v>
      </c>
      <c r="AP265" s="65"/>
      <c r="AQ265" s="59"/>
    </row>
    <row r="266" spans="1:43" ht="16" x14ac:dyDescent="0.2">
      <c r="A266">
        <v>265</v>
      </c>
      <c r="B266" s="33">
        <f>+B265+1</f>
        <v>64</v>
      </c>
      <c r="C266" s="34" t="s">
        <v>2186</v>
      </c>
      <c r="D266" s="35" t="s">
        <v>2187</v>
      </c>
      <c r="E266" s="36" t="s">
        <v>2188</v>
      </c>
      <c r="F266" s="334">
        <v>35722</v>
      </c>
      <c r="G266" s="36" t="s">
        <v>54</v>
      </c>
      <c r="H266" s="34" t="s">
        <v>2189</v>
      </c>
      <c r="I266" s="37" t="s">
        <v>456</v>
      </c>
      <c r="J266" s="425" t="s">
        <v>4770</v>
      </c>
      <c r="K266" s="37" t="s">
        <v>187</v>
      </c>
      <c r="L266" s="38" t="s">
        <v>2190</v>
      </c>
      <c r="M266" s="34" t="s">
        <v>41</v>
      </c>
      <c r="N266" s="39" t="s">
        <v>42</v>
      </c>
      <c r="O266" s="120" t="s">
        <v>2191</v>
      </c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42" t="s">
        <v>2192</v>
      </c>
      <c r="AB266" s="43" t="s">
        <v>2193</v>
      </c>
      <c r="AC266" s="207" t="s">
        <v>2194</v>
      </c>
      <c r="AD266" s="45">
        <v>44944</v>
      </c>
      <c r="AE266" s="101" t="s">
        <v>30</v>
      </c>
      <c r="AF266" s="36" t="s">
        <v>26</v>
      </c>
      <c r="AG266" s="47" t="s">
        <v>49</v>
      </c>
      <c r="AH266" s="48" t="s">
        <v>49</v>
      </c>
      <c r="AI266" s="48" t="s">
        <v>49</v>
      </c>
      <c r="AJ266" s="48" t="s">
        <v>49</v>
      </c>
      <c r="AK266" s="48" t="s">
        <v>49</v>
      </c>
      <c r="AL266" s="48" t="s">
        <v>49</v>
      </c>
      <c r="AM266" s="49" t="s">
        <v>49</v>
      </c>
      <c r="AN266" s="48" t="s">
        <v>41</v>
      </c>
      <c r="AO266" s="62" t="s">
        <v>148</v>
      </c>
      <c r="AP266" s="62"/>
      <c r="AQ266" s="59"/>
    </row>
    <row r="267" spans="1:43" x14ac:dyDescent="0.2">
      <c r="A267">
        <v>266</v>
      </c>
      <c r="B267" s="33">
        <f>+B266+1</f>
        <v>65</v>
      </c>
      <c r="C267" s="34" t="s">
        <v>2195</v>
      </c>
      <c r="D267" s="35" t="s">
        <v>2196</v>
      </c>
      <c r="E267" s="36" t="s">
        <v>2197</v>
      </c>
      <c r="F267" s="334">
        <v>34803</v>
      </c>
      <c r="G267" s="36" t="s">
        <v>54</v>
      </c>
      <c r="H267" s="34" t="s">
        <v>2198</v>
      </c>
      <c r="I267" s="37" t="s">
        <v>1354</v>
      </c>
      <c r="J267" s="425" t="s">
        <v>4741</v>
      </c>
      <c r="K267" s="37" t="s">
        <v>57</v>
      </c>
      <c r="L267" s="38" t="s">
        <v>2199</v>
      </c>
      <c r="M267" s="34" t="s">
        <v>41</v>
      </c>
      <c r="N267" s="39" t="s">
        <v>42</v>
      </c>
      <c r="O267" s="99" t="s">
        <v>2200</v>
      </c>
      <c r="P267" s="56"/>
      <c r="Q267" s="56"/>
      <c r="R267" s="56"/>
      <c r="S267" s="56"/>
      <c r="T267" s="56"/>
      <c r="U267" s="56" t="s">
        <v>44</v>
      </c>
      <c r="V267" s="56"/>
      <c r="W267" s="56"/>
      <c r="X267" s="56"/>
      <c r="Y267" s="56"/>
      <c r="Z267" s="56"/>
      <c r="AA267" s="42" t="s">
        <v>2201</v>
      </c>
      <c r="AB267" s="43" t="s">
        <v>2202</v>
      </c>
      <c r="AC267" s="84" t="s">
        <v>2203</v>
      </c>
      <c r="AD267" s="45">
        <v>44650</v>
      </c>
      <c r="AE267" s="101" t="s">
        <v>30</v>
      </c>
      <c r="AF267" s="36"/>
      <c r="AG267" s="61" t="s">
        <v>49</v>
      </c>
      <c r="AH267" s="48" t="s">
        <v>41</v>
      </c>
      <c r="AI267" s="48" t="s">
        <v>49</v>
      </c>
      <c r="AJ267" s="48" t="s">
        <v>49</v>
      </c>
      <c r="AK267" s="48" t="s">
        <v>49</v>
      </c>
      <c r="AL267" s="48" t="s">
        <v>49</v>
      </c>
      <c r="AM267" s="49" t="s">
        <v>49</v>
      </c>
      <c r="AN267" s="48" t="s">
        <v>49</v>
      </c>
      <c r="AO267" s="62" t="s">
        <v>32</v>
      </c>
      <c r="AP267" s="62"/>
      <c r="AQ267" s="59"/>
    </row>
    <row r="268" spans="1:43" x14ac:dyDescent="0.2">
      <c r="A268">
        <v>267</v>
      </c>
      <c r="B268" s="33">
        <f>+B267+1</f>
        <v>66</v>
      </c>
      <c r="C268" s="34" t="s">
        <v>2204</v>
      </c>
      <c r="D268" s="35" t="s">
        <v>2205</v>
      </c>
      <c r="E268" s="36" t="s">
        <v>4822</v>
      </c>
      <c r="F268" s="36"/>
      <c r="G268" s="36" t="s">
        <v>54</v>
      </c>
      <c r="H268" s="87" t="s">
        <v>2207</v>
      </c>
      <c r="I268" s="37" t="s">
        <v>73</v>
      </c>
      <c r="J268" s="425" t="s">
        <v>4765</v>
      </c>
      <c r="K268" s="37" t="s">
        <v>73</v>
      </c>
      <c r="L268" s="34" t="s">
        <v>2208</v>
      </c>
      <c r="M268" s="394" t="s">
        <v>2208</v>
      </c>
      <c r="N268" s="39" t="s">
        <v>42</v>
      </c>
      <c r="O268" s="99" t="s">
        <v>2209</v>
      </c>
      <c r="P268" s="215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42"/>
      <c r="AB268" s="52" t="s">
        <v>2210</v>
      </c>
      <c r="AC268" s="44" t="s">
        <v>61</v>
      </c>
      <c r="AD268" s="45">
        <v>40815</v>
      </c>
      <c r="AE268" s="101" t="s">
        <v>30</v>
      </c>
      <c r="AF268" s="36"/>
      <c r="AG268" s="61" t="s">
        <v>49</v>
      </c>
      <c r="AH268" s="48" t="s">
        <v>41</v>
      </c>
      <c r="AI268" s="48" t="s">
        <v>41</v>
      </c>
      <c r="AJ268" s="48" t="s">
        <v>41</v>
      </c>
      <c r="AK268" s="48" t="s">
        <v>41</v>
      </c>
      <c r="AL268" s="48" t="s">
        <v>41</v>
      </c>
      <c r="AM268" s="49" t="s">
        <v>41</v>
      </c>
      <c r="AN268" s="48" t="s">
        <v>41</v>
      </c>
      <c r="AO268" s="65" t="s">
        <v>4588</v>
      </c>
      <c r="AP268" s="65"/>
      <c r="AQ268" s="59" t="s">
        <v>2211</v>
      </c>
    </row>
    <row r="269" spans="1:43" x14ac:dyDescent="0.2">
      <c r="A269">
        <v>268</v>
      </c>
      <c r="B269" s="33">
        <f>+B268+1</f>
        <v>67</v>
      </c>
      <c r="C269" s="34" t="s">
        <v>2212</v>
      </c>
      <c r="D269" s="35" t="s">
        <v>2213</v>
      </c>
      <c r="E269" s="36" t="s">
        <v>2214</v>
      </c>
      <c r="F269" s="334">
        <v>26010</v>
      </c>
      <c r="G269" s="36" t="s">
        <v>54</v>
      </c>
      <c r="H269" s="34" t="s">
        <v>2215</v>
      </c>
      <c r="I269" s="37" t="s">
        <v>73</v>
      </c>
      <c r="J269" s="425" t="s">
        <v>4765</v>
      </c>
      <c r="K269" s="37" t="s">
        <v>73</v>
      </c>
      <c r="L269" s="38" t="s">
        <v>2216</v>
      </c>
      <c r="M269" s="34" t="s">
        <v>2217</v>
      </c>
      <c r="N269" s="39" t="s">
        <v>42</v>
      </c>
      <c r="O269" s="99" t="s">
        <v>2218</v>
      </c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2" t="s">
        <v>2219</v>
      </c>
      <c r="AB269" s="100" t="s">
        <v>2220</v>
      </c>
      <c r="AC269" s="44" t="s">
        <v>2221</v>
      </c>
      <c r="AD269" s="45">
        <v>41793</v>
      </c>
      <c r="AE269" s="101" t="s">
        <v>30</v>
      </c>
      <c r="AF269" s="36" t="s">
        <v>26</v>
      </c>
      <c r="AG269" s="64" t="s">
        <v>120</v>
      </c>
      <c r="AH269" s="48" t="s">
        <v>120</v>
      </c>
      <c r="AI269" s="48" t="s">
        <v>120</v>
      </c>
      <c r="AJ269" s="48" t="s">
        <v>120</v>
      </c>
      <c r="AK269" s="48" t="s">
        <v>120</v>
      </c>
      <c r="AL269" s="48" t="s">
        <v>120</v>
      </c>
      <c r="AM269" s="49" t="s">
        <v>120</v>
      </c>
      <c r="AN269" s="48" t="s">
        <v>120</v>
      </c>
      <c r="AO269" s="65" t="s">
        <v>32</v>
      </c>
      <c r="AP269" s="65"/>
      <c r="AQ269" s="59"/>
    </row>
    <row r="270" spans="1:43" x14ac:dyDescent="0.2">
      <c r="A270">
        <v>269</v>
      </c>
      <c r="B270" s="33">
        <f>+B269+1</f>
        <v>68</v>
      </c>
      <c r="C270" s="34" t="s">
        <v>2222</v>
      </c>
      <c r="D270" s="35" t="s">
        <v>2223</v>
      </c>
      <c r="E270" s="36" t="s">
        <v>4800</v>
      </c>
      <c r="F270" s="36"/>
      <c r="G270" s="36" t="s">
        <v>54</v>
      </c>
      <c r="H270" s="468" t="s">
        <v>2225</v>
      </c>
      <c r="I270" s="37" t="s">
        <v>73</v>
      </c>
      <c r="J270" s="425" t="s">
        <v>4765</v>
      </c>
      <c r="K270" s="37" t="s">
        <v>73</v>
      </c>
      <c r="L270" s="108" t="s">
        <v>2226</v>
      </c>
      <c r="M270" s="108" t="s">
        <v>2227</v>
      </c>
      <c r="N270" s="39" t="s">
        <v>42</v>
      </c>
      <c r="O270" s="120">
        <v>32234</v>
      </c>
      <c r="P270" s="41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42" t="s">
        <v>2228</v>
      </c>
      <c r="AB270" s="58" t="s">
        <v>2229</v>
      </c>
      <c r="AC270" s="44" t="s">
        <v>61</v>
      </c>
      <c r="AD270" s="45">
        <v>40815</v>
      </c>
      <c r="AE270" s="101" t="s">
        <v>30</v>
      </c>
      <c r="AF270" s="36" t="s">
        <v>26</v>
      </c>
      <c r="AG270" s="64" t="s">
        <v>120</v>
      </c>
      <c r="AH270" s="48" t="s">
        <v>120</v>
      </c>
      <c r="AI270" s="48" t="s">
        <v>120</v>
      </c>
      <c r="AJ270" s="48" t="s">
        <v>41</v>
      </c>
      <c r="AK270" s="48" t="s">
        <v>41</v>
      </c>
      <c r="AL270" s="48" t="s">
        <v>41</v>
      </c>
      <c r="AM270" s="49" t="s">
        <v>41</v>
      </c>
      <c r="AN270" s="48" t="s">
        <v>41</v>
      </c>
      <c r="AO270" s="62" t="s">
        <v>110</v>
      </c>
      <c r="AP270" s="62"/>
      <c r="AQ270" s="59"/>
    </row>
    <row r="271" spans="1:43" x14ac:dyDescent="0.2">
      <c r="A271">
        <v>270</v>
      </c>
      <c r="B271" s="33">
        <f>+B270+1</f>
        <v>69</v>
      </c>
      <c r="C271" s="34" t="s">
        <v>2230</v>
      </c>
      <c r="D271" s="35" t="s">
        <v>2231</v>
      </c>
      <c r="E271" s="36" t="s">
        <v>2232</v>
      </c>
      <c r="F271" s="334">
        <v>29810</v>
      </c>
      <c r="G271" s="36" t="s">
        <v>54</v>
      </c>
      <c r="H271" s="52" t="s">
        <v>2233</v>
      </c>
      <c r="I271" s="37" t="s">
        <v>528</v>
      </c>
      <c r="J271" s="425" t="s">
        <v>4756</v>
      </c>
      <c r="K271" s="37" t="s">
        <v>57</v>
      </c>
      <c r="L271" s="113" t="s">
        <v>2234</v>
      </c>
      <c r="M271" s="34" t="s">
        <v>41</v>
      </c>
      <c r="N271" s="39" t="s">
        <v>42</v>
      </c>
      <c r="O271" s="120">
        <v>37207</v>
      </c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2" t="s">
        <v>2235</v>
      </c>
      <c r="AB271" s="69" t="s">
        <v>2236</v>
      </c>
      <c r="AC271" s="44" t="s">
        <v>2237</v>
      </c>
      <c r="AD271" s="45">
        <v>41793</v>
      </c>
      <c r="AE271" s="101" t="s">
        <v>30</v>
      </c>
      <c r="AF271" s="73" t="s">
        <v>26</v>
      </c>
      <c r="AG271" s="47" t="s">
        <v>49</v>
      </c>
      <c r="AH271" s="48" t="s">
        <v>49</v>
      </c>
      <c r="AI271" s="48" t="s">
        <v>49</v>
      </c>
      <c r="AJ271" s="48" t="s">
        <v>49</v>
      </c>
      <c r="AK271" s="48" t="s">
        <v>49</v>
      </c>
      <c r="AL271" s="48" t="s">
        <v>49</v>
      </c>
      <c r="AM271" s="49" t="s">
        <v>49</v>
      </c>
      <c r="AN271" s="48" t="s">
        <v>49</v>
      </c>
      <c r="AO271" s="62" t="s">
        <v>32</v>
      </c>
      <c r="AP271" s="62"/>
      <c r="AQ271" s="59"/>
    </row>
    <row r="272" spans="1:43" x14ac:dyDescent="0.2">
      <c r="A272">
        <v>271</v>
      </c>
      <c r="B272" s="33">
        <f>+B271+1</f>
        <v>70</v>
      </c>
      <c r="C272" s="34" t="s">
        <v>2238</v>
      </c>
      <c r="D272" s="35" t="s">
        <v>2239</v>
      </c>
      <c r="E272" s="36" t="s">
        <v>2240</v>
      </c>
      <c r="F272" s="36"/>
      <c r="G272" s="36" t="s">
        <v>54</v>
      </c>
      <c r="H272" s="185" t="s">
        <v>2241</v>
      </c>
      <c r="I272" s="37" t="s">
        <v>413</v>
      </c>
      <c r="J272" s="425" t="s">
        <v>4754</v>
      </c>
      <c r="K272" s="37" t="s">
        <v>378</v>
      </c>
      <c r="L272" s="34" t="s">
        <v>2242</v>
      </c>
      <c r="M272" s="34" t="s">
        <v>41</v>
      </c>
      <c r="N272" s="39" t="s">
        <v>42</v>
      </c>
      <c r="O272" s="120">
        <v>37377</v>
      </c>
      <c r="P272" s="41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42" t="s">
        <v>2243</v>
      </c>
      <c r="AB272" s="52" t="s">
        <v>2244</v>
      </c>
      <c r="AC272" s="119" t="s">
        <v>61</v>
      </c>
      <c r="AD272" s="45">
        <v>37877</v>
      </c>
      <c r="AE272" s="101" t="s">
        <v>30</v>
      </c>
      <c r="AF272" s="36" t="s">
        <v>26</v>
      </c>
      <c r="AG272" s="47" t="s">
        <v>49</v>
      </c>
      <c r="AH272" s="48" t="s">
        <v>49</v>
      </c>
      <c r="AI272" s="48" t="s">
        <v>49</v>
      </c>
      <c r="AJ272" s="48" t="s">
        <v>41</v>
      </c>
      <c r="AK272" s="48" t="s">
        <v>41</v>
      </c>
      <c r="AL272" s="48" t="s">
        <v>41</v>
      </c>
      <c r="AM272" s="49" t="s">
        <v>41</v>
      </c>
      <c r="AN272" s="48" t="s">
        <v>41</v>
      </c>
      <c r="AO272" s="62">
        <v>5</v>
      </c>
      <c r="AP272" s="62"/>
      <c r="AQ272" s="59"/>
    </row>
    <row r="273" spans="1:43" ht="18.75" customHeight="1" x14ac:dyDescent="0.2">
      <c r="A273">
        <v>272</v>
      </c>
      <c r="B273" s="33">
        <f>+B272+1</f>
        <v>71</v>
      </c>
      <c r="C273" s="34" t="s">
        <v>2245</v>
      </c>
      <c r="D273" s="35" t="s">
        <v>2246</v>
      </c>
      <c r="E273" s="36" t="s">
        <v>2247</v>
      </c>
      <c r="F273" s="334">
        <v>32115</v>
      </c>
      <c r="G273" s="36" t="s">
        <v>36</v>
      </c>
      <c r="H273" s="52" t="s">
        <v>2248</v>
      </c>
      <c r="I273" s="37" t="s">
        <v>360</v>
      </c>
      <c r="J273" s="425" t="s">
        <v>4749</v>
      </c>
      <c r="K273" s="37" t="s">
        <v>350</v>
      </c>
      <c r="L273" s="113" t="s">
        <v>2249</v>
      </c>
      <c r="M273" s="34" t="s">
        <v>41</v>
      </c>
      <c r="N273" s="39" t="s">
        <v>42</v>
      </c>
      <c r="O273" s="120">
        <v>44384</v>
      </c>
      <c r="P273" s="41"/>
      <c r="Q273" s="41"/>
      <c r="R273" s="41"/>
      <c r="S273" s="41"/>
      <c r="T273" s="41"/>
      <c r="U273" s="41" t="s">
        <v>44</v>
      </c>
      <c r="V273" s="41"/>
      <c r="W273" s="41"/>
      <c r="X273" s="41"/>
      <c r="Y273" s="41"/>
      <c r="Z273" s="41"/>
      <c r="AA273" s="42" t="s">
        <v>2250</v>
      </c>
      <c r="AB273" s="58" t="s">
        <v>2251</v>
      </c>
      <c r="AC273" s="121" t="s">
        <v>2252</v>
      </c>
      <c r="AD273" s="45">
        <v>44650</v>
      </c>
      <c r="AE273" s="101" t="s">
        <v>30</v>
      </c>
      <c r="AF273" s="73"/>
      <c r="AG273" s="47" t="s">
        <v>49</v>
      </c>
      <c r="AH273" s="48" t="s">
        <v>41</v>
      </c>
      <c r="AI273" s="48" t="s">
        <v>49</v>
      </c>
      <c r="AJ273" s="48" t="s">
        <v>41</v>
      </c>
      <c r="AK273" s="48" t="s">
        <v>41</v>
      </c>
      <c r="AL273" s="48" t="s">
        <v>41</v>
      </c>
      <c r="AM273" s="49" t="s">
        <v>41</v>
      </c>
      <c r="AN273" s="48" t="s">
        <v>41</v>
      </c>
      <c r="AO273" s="62" t="s">
        <v>110</v>
      </c>
      <c r="AP273" s="62"/>
      <c r="AQ273" s="59"/>
    </row>
    <row r="274" spans="1:43" ht="16" x14ac:dyDescent="0.2">
      <c r="A274">
        <v>273</v>
      </c>
      <c r="B274" s="33">
        <f>+B273+1</f>
        <v>72</v>
      </c>
      <c r="C274" s="38" t="s">
        <v>2253</v>
      </c>
      <c r="D274" s="35" t="s">
        <v>2254</v>
      </c>
      <c r="E274" s="36" t="s">
        <v>2255</v>
      </c>
      <c r="F274" s="334">
        <v>35123</v>
      </c>
      <c r="G274" s="36" t="s">
        <v>54</v>
      </c>
      <c r="H274" s="200" t="s">
        <v>2256</v>
      </c>
      <c r="I274" s="37" t="s">
        <v>39</v>
      </c>
      <c r="J274" s="425" t="s">
        <v>4759</v>
      </c>
      <c r="K274" s="37" t="s">
        <v>39</v>
      </c>
      <c r="L274" s="38" t="s">
        <v>2257</v>
      </c>
      <c r="M274" s="38" t="s">
        <v>41</v>
      </c>
      <c r="N274" s="39" t="s">
        <v>42</v>
      </c>
      <c r="O274" s="158" t="s">
        <v>2258</v>
      </c>
      <c r="P274" s="56"/>
      <c r="Q274" s="56"/>
      <c r="R274" s="56"/>
      <c r="S274" s="56"/>
      <c r="T274" s="56"/>
      <c r="U274" s="56" t="s">
        <v>44</v>
      </c>
      <c r="V274" s="56"/>
      <c r="W274" s="56"/>
      <c r="X274" s="56"/>
      <c r="Y274" s="56"/>
      <c r="Z274" s="56"/>
      <c r="AA274" s="42" t="s">
        <v>2259</v>
      </c>
      <c r="AB274" s="58" t="s">
        <v>2260</v>
      </c>
      <c r="AC274" s="207" t="s">
        <v>2261</v>
      </c>
      <c r="AD274" s="45">
        <v>44944</v>
      </c>
      <c r="AE274" s="101" t="s">
        <v>30</v>
      </c>
      <c r="AF274" s="36" t="s">
        <v>26</v>
      </c>
      <c r="AG274" s="47" t="s">
        <v>49</v>
      </c>
      <c r="AH274" s="48" t="s">
        <v>49</v>
      </c>
      <c r="AI274" s="48" t="s">
        <v>49</v>
      </c>
      <c r="AJ274" s="48" t="s">
        <v>49</v>
      </c>
      <c r="AK274" s="48" t="s">
        <v>49</v>
      </c>
      <c r="AL274" s="48" t="s">
        <v>49</v>
      </c>
      <c r="AM274" s="49" t="s">
        <v>49</v>
      </c>
      <c r="AN274" s="48" t="s">
        <v>49</v>
      </c>
      <c r="AO274" s="65" t="s">
        <v>32</v>
      </c>
      <c r="AP274" s="65"/>
      <c r="AQ274" s="59"/>
    </row>
    <row r="275" spans="1:43" x14ac:dyDescent="0.2">
      <c r="A275">
        <v>274</v>
      </c>
      <c r="B275" s="33">
        <f>+B274+1</f>
        <v>73</v>
      </c>
      <c r="C275" s="34" t="s">
        <v>2262</v>
      </c>
      <c r="D275" s="35" t="s">
        <v>2263</v>
      </c>
      <c r="E275" s="36" t="s">
        <v>4801</v>
      </c>
      <c r="F275" s="36"/>
      <c r="G275" s="36" t="s">
        <v>54</v>
      </c>
      <c r="H275" s="200" t="s">
        <v>2265</v>
      </c>
      <c r="I275" s="37" t="s">
        <v>1285</v>
      </c>
      <c r="J275" s="425" t="s">
        <v>4752</v>
      </c>
      <c r="K275" s="37" t="s">
        <v>350</v>
      </c>
      <c r="L275" s="38" t="s">
        <v>2266</v>
      </c>
      <c r="M275" s="34" t="s">
        <v>41</v>
      </c>
      <c r="N275" s="39" t="s">
        <v>42</v>
      </c>
      <c r="O275" s="120">
        <v>43408</v>
      </c>
      <c r="P275" s="112" t="s">
        <v>179</v>
      </c>
      <c r="Q275" s="41" t="s">
        <v>179</v>
      </c>
      <c r="R275" s="41"/>
      <c r="S275" s="41">
        <v>5</v>
      </c>
      <c r="T275" s="41" t="s">
        <v>942</v>
      </c>
      <c r="U275" s="41"/>
      <c r="V275" s="41"/>
      <c r="W275" s="41"/>
      <c r="X275" s="41"/>
      <c r="Y275" s="41"/>
      <c r="Z275" s="41"/>
      <c r="AA275" s="57" t="s">
        <v>2267</v>
      </c>
      <c r="AB275" s="58" t="s">
        <v>2268</v>
      </c>
      <c r="AC275" s="44"/>
      <c r="AD275" s="45" t="s">
        <v>47</v>
      </c>
      <c r="AE275" s="101"/>
      <c r="AF275" s="36"/>
      <c r="AG275" s="47" t="s">
        <v>49</v>
      </c>
      <c r="AH275" s="48" t="s">
        <v>41</v>
      </c>
      <c r="AI275" s="48" t="s">
        <v>41</v>
      </c>
      <c r="AJ275" s="48" t="s">
        <v>41</v>
      </c>
      <c r="AK275" s="48" t="s">
        <v>41</v>
      </c>
      <c r="AL275" s="48" t="s">
        <v>41</v>
      </c>
      <c r="AM275" s="49" t="s">
        <v>41</v>
      </c>
      <c r="AN275" s="48" t="s">
        <v>41</v>
      </c>
      <c r="AO275" s="65">
        <v>7</v>
      </c>
      <c r="AP275" s="65"/>
      <c r="AQ275" s="59" t="s">
        <v>2211</v>
      </c>
    </row>
    <row r="276" spans="1:43" x14ac:dyDescent="0.2">
      <c r="A276">
        <v>275</v>
      </c>
      <c r="B276" s="33">
        <f>+B275+1</f>
        <v>74</v>
      </c>
      <c r="C276" s="34" t="s">
        <v>2269</v>
      </c>
      <c r="D276" s="35" t="s">
        <v>2270</v>
      </c>
      <c r="E276" s="36" t="s">
        <v>2271</v>
      </c>
      <c r="F276" s="36"/>
      <c r="G276" s="36" t="s">
        <v>54</v>
      </c>
      <c r="H276" s="237" t="s">
        <v>2265</v>
      </c>
      <c r="I276" s="37" t="s">
        <v>1285</v>
      </c>
      <c r="J276" s="425" t="s">
        <v>4752</v>
      </c>
      <c r="K276" s="37" t="s">
        <v>350</v>
      </c>
      <c r="L276" s="34" t="s">
        <v>2272</v>
      </c>
      <c r="M276" s="34" t="s">
        <v>2273</v>
      </c>
      <c r="N276" s="39" t="s">
        <v>42</v>
      </c>
      <c r="O276" s="99" t="s">
        <v>2274</v>
      </c>
      <c r="P276" s="41" t="s">
        <v>179</v>
      </c>
      <c r="Q276" s="70" t="s">
        <v>179</v>
      </c>
      <c r="R276" s="70"/>
      <c r="S276" s="70">
        <v>5</v>
      </c>
      <c r="T276" s="70" t="s">
        <v>942</v>
      </c>
      <c r="U276" s="70"/>
      <c r="V276" s="70"/>
      <c r="W276" s="70"/>
      <c r="X276" s="70"/>
      <c r="Y276" s="70"/>
      <c r="Z276" s="70"/>
      <c r="AA276" s="42" t="s">
        <v>2267</v>
      </c>
      <c r="AB276" s="58" t="s">
        <v>2275</v>
      </c>
      <c r="AC276" s="119"/>
      <c r="AD276" s="45" t="s">
        <v>47</v>
      </c>
      <c r="AE276" s="101"/>
      <c r="AF276" s="36"/>
      <c r="AG276" s="47" t="s">
        <v>49</v>
      </c>
      <c r="AH276" s="48" t="s">
        <v>41</v>
      </c>
      <c r="AI276" s="48" t="s">
        <v>41</v>
      </c>
      <c r="AJ276" s="48" t="s">
        <v>41</v>
      </c>
      <c r="AK276" s="48" t="s">
        <v>41</v>
      </c>
      <c r="AL276" s="48" t="s">
        <v>41</v>
      </c>
      <c r="AM276" s="49" t="s">
        <v>41</v>
      </c>
      <c r="AN276" s="48" t="s">
        <v>41</v>
      </c>
      <c r="AO276" s="65" t="s">
        <v>4591</v>
      </c>
      <c r="AP276" s="65"/>
      <c r="AQ276" s="59" t="s">
        <v>2211</v>
      </c>
    </row>
    <row r="277" spans="1:43" x14ac:dyDescent="0.2">
      <c r="A277">
        <v>276</v>
      </c>
      <c r="B277" s="33">
        <f>+B276+1</f>
        <v>75</v>
      </c>
      <c r="C277" s="34" t="s">
        <v>2283</v>
      </c>
      <c r="D277" s="35" t="s">
        <v>2284</v>
      </c>
      <c r="E277" s="36" t="s">
        <v>2285</v>
      </c>
      <c r="F277" s="334">
        <v>28316</v>
      </c>
      <c r="G277" s="36" t="s">
        <v>54</v>
      </c>
      <c r="H277" s="52" t="s">
        <v>2286</v>
      </c>
      <c r="I277" s="37" t="s">
        <v>73</v>
      </c>
      <c r="J277" s="425" t="s">
        <v>4765</v>
      </c>
      <c r="K277" s="37" t="s">
        <v>73</v>
      </c>
      <c r="L277" s="113" t="s">
        <v>2287</v>
      </c>
      <c r="M277" s="34" t="s">
        <v>41</v>
      </c>
      <c r="N277" s="39" t="s">
        <v>42</v>
      </c>
      <c r="O277" s="120" t="s">
        <v>2288</v>
      </c>
      <c r="P277" s="41"/>
      <c r="Q277" s="70"/>
      <c r="R277" s="70"/>
      <c r="S277" s="70"/>
      <c r="T277" s="70"/>
      <c r="U277" s="70"/>
      <c r="V277" s="70" t="s">
        <v>44</v>
      </c>
      <c r="W277" s="70"/>
      <c r="X277" s="70"/>
      <c r="Y277" s="70"/>
      <c r="Z277" s="70"/>
      <c r="AA277" s="42" t="s">
        <v>2289</v>
      </c>
      <c r="AB277" s="58" t="s">
        <v>2290</v>
      </c>
      <c r="AC277" s="121" t="s">
        <v>2291</v>
      </c>
      <c r="AD277" s="45">
        <v>44650</v>
      </c>
      <c r="AE277" s="101" t="s">
        <v>30</v>
      </c>
      <c r="AF277" s="73"/>
      <c r="AG277" s="47" t="s">
        <v>49</v>
      </c>
      <c r="AH277" s="48" t="s">
        <v>41</v>
      </c>
      <c r="AI277" s="48" t="s">
        <v>41</v>
      </c>
      <c r="AJ277" s="48" t="s">
        <v>49</v>
      </c>
      <c r="AK277" s="48" t="s">
        <v>49</v>
      </c>
      <c r="AL277" s="48" t="s">
        <v>41</v>
      </c>
      <c r="AM277" s="49" t="s">
        <v>41</v>
      </c>
      <c r="AN277" s="48" t="s">
        <v>41</v>
      </c>
      <c r="AO277" s="62" t="s">
        <v>4589</v>
      </c>
      <c r="AP277" s="62"/>
      <c r="AQ277" s="59"/>
    </row>
    <row r="278" spans="1:43" x14ac:dyDescent="0.2">
      <c r="A278">
        <v>277</v>
      </c>
      <c r="B278" s="33">
        <f>+B277+1</f>
        <v>76</v>
      </c>
      <c r="C278" s="34" t="s">
        <v>2292</v>
      </c>
      <c r="D278" s="35" t="s">
        <v>2293</v>
      </c>
      <c r="E278" s="36" t="s">
        <v>2294</v>
      </c>
      <c r="F278" s="334">
        <v>30293</v>
      </c>
      <c r="G278" s="36" t="s">
        <v>54</v>
      </c>
      <c r="H278" s="52" t="s">
        <v>2295</v>
      </c>
      <c r="I278" s="37" t="s">
        <v>350</v>
      </c>
      <c r="J278" s="425" t="s">
        <v>4751</v>
      </c>
      <c r="K278" s="37" t="s">
        <v>350</v>
      </c>
      <c r="L278" s="113" t="s">
        <v>2296</v>
      </c>
      <c r="M278" s="34" t="s">
        <v>41</v>
      </c>
      <c r="N278" s="39" t="s">
        <v>42</v>
      </c>
      <c r="O278" s="120">
        <v>45237</v>
      </c>
      <c r="P278" s="41"/>
      <c r="Q278" s="41"/>
      <c r="R278" s="41"/>
      <c r="S278" s="41"/>
      <c r="T278" s="41"/>
      <c r="U278" s="41"/>
      <c r="V278" s="41"/>
      <c r="W278" s="41" t="s">
        <v>44</v>
      </c>
      <c r="X278" s="41"/>
      <c r="Y278" s="41"/>
      <c r="Z278" s="41"/>
      <c r="AA278" s="42" t="s">
        <v>2297</v>
      </c>
      <c r="AB278" s="83" t="s">
        <v>2298</v>
      </c>
      <c r="AC278" s="44"/>
      <c r="AD278" s="45">
        <v>45642</v>
      </c>
      <c r="AE278" s="101"/>
      <c r="AF278" s="73"/>
      <c r="AG278" s="47" t="s">
        <v>49</v>
      </c>
      <c r="AH278" s="48" t="s">
        <v>41</v>
      </c>
      <c r="AI278" s="48" t="s">
        <v>41</v>
      </c>
      <c r="AJ278" s="48" t="s">
        <v>41</v>
      </c>
      <c r="AK278" s="48" t="s">
        <v>49</v>
      </c>
      <c r="AL278" s="48" t="s">
        <v>49</v>
      </c>
      <c r="AM278" s="49" t="s">
        <v>49</v>
      </c>
      <c r="AN278" s="48" t="s">
        <v>41</v>
      </c>
      <c r="AO278" s="62" t="s">
        <v>148</v>
      </c>
      <c r="AP278" s="62"/>
      <c r="AQ278" s="59"/>
    </row>
    <row r="279" spans="1:43" x14ac:dyDescent="0.2">
      <c r="A279">
        <v>278</v>
      </c>
      <c r="B279" s="33">
        <f>+B278+1</f>
        <v>77</v>
      </c>
      <c r="C279" s="34" t="s">
        <v>2299</v>
      </c>
      <c r="D279" s="35" t="s">
        <v>2300</v>
      </c>
      <c r="E279" s="36" t="s">
        <v>2301</v>
      </c>
      <c r="F279" s="334">
        <v>28331</v>
      </c>
      <c r="G279" s="36" t="s">
        <v>36</v>
      </c>
      <c r="H279" s="34" t="s">
        <v>2302</v>
      </c>
      <c r="I279" s="37" t="s">
        <v>73</v>
      </c>
      <c r="J279" s="425" t="s">
        <v>4765</v>
      </c>
      <c r="K279" s="37" t="s">
        <v>73</v>
      </c>
      <c r="L279" s="34" t="s">
        <v>2303</v>
      </c>
      <c r="M279" s="34" t="s">
        <v>41</v>
      </c>
      <c r="N279" s="39" t="s">
        <v>42</v>
      </c>
      <c r="O279" s="99" t="s">
        <v>1160</v>
      </c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42" t="s">
        <v>2304</v>
      </c>
      <c r="AB279" s="52" t="s">
        <v>2305</v>
      </c>
      <c r="AC279" s="44" t="s">
        <v>2306</v>
      </c>
      <c r="AD279" s="45">
        <v>43200</v>
      </c>
      <c r="AE279" s="101" t="s">
        <v>30</v>
      </c>
      <c r="AF279" s="36" t="s">
        <v>26</v>
      </c>
      <c r="AG279" s="47" t="s">
        <v>49</v>
      </c>
      <c r="AH279" s="48" t="s">
        <v>49</v>
      </c>
      <c r="AI279" s="48" t="s">
        <v>49</v>
      </c>
      <c r="AJ279" s="48" t="s">
        <v>49</v>
      </c>
      <c r="AK279" s="48" t="s">
        <v>49</v>
      </c>
      <c r="AL279" s="48" t="s">
        <v>49</v>
      </c>
      <c r="AM279" s="49" t="s">
        <v>49</v>
      </c>
      <c r="AN279" s="48" t="s">
        <v>49</v>
      </c>
      <c r="AO279" s="62" t="s">
        <v>32</v>
      </c>
      <c r="AP279" s="62"/>
      <c r="AQ279" s="59"/>
    </row>
    <row r="280" spans="1:43" x14ac:dyDescent="0.2">
      <c r="A280">
        <v>279</v>
      </c>
      <c r="B280" s="33">
        <f>+B279+1</f>
        <v>78</v>
      </c>
      <c r="C280" s="34" t="s">
        <v>2307</v>
      </c>
      <c r="D280" s="35" t="s">
        <v>2308</v>
      </c>
      <c r="E280" s="36" t="s">
        <v>2309</v>
      </c>
      <c r="F280" s="36"/>
      <c r="G280" s="36" t="s">
        <v>54</v>
      </c>
      <c r="H280" s="34" t="s">
        <v>2310</v>
      </c>
      <c r="I280" s="37" t="s">
        <v>176</v>
      </c>
      <c r="J280" s="425" t="s">
        <v>4767</v>
      </c>
      <c r="K280" s="37" t="s">
        <v>39</v>
      </c>
      <c r="L280" s="34" t="s">
        <v>2311</v>
      </c>
      <c r="M280" s="34" t="s">
        <v>41</v>
      </c>
      <c r="N280" s="39" t="s">
        <v>42</v>
      </c>
      <c r="O280" s="99" t="s">
        <v>2312</v>
      </c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2" t="s">
        <v>2313</v>
      </c>
      <c r="AB280" s="58" t="s">
        <v>2314</v>
      </c>
      <c r="AC280" s="44" t="s">
        <v>61</v>
      </c>
      <c r="AD280" s="45">
        <v>38593</v>
      </c>
      <c r="AE280" s="101" t="s">
        <v>30</v>
      </c>
      <c r="AF280" s="36"/>
      <c r="AG280" s="47" t="s">
        <v>49</v>
      </c>
      <c r="AH280" s="48" t="s">
        <v>41</v>
      </c>
      <c r="AI280" s="48" t="s">
        <v>41</v>
      </c>
      <c r="AJ280" s="48" t="s">
        <v>41</v>
      </c>
      <c r="AK280" s="48" t="s">
        <v>41</v>
      </c>
      <c r="AL280" s="48" t="s">
        <v>41</v>
      </c>
      <c r="AM280" s="49" t="s">
        <v>41</v>
      </c>
      <c r="AN280" s="48" t="s">
        <v>41</v>
      </c>
      <c r="AO280" s="65" t="s">
        <v>4591</v>
      </c>
      <c r="AP280" s="65"/>
      <c r="AQ280" s="59" t="s">
        <v>460</v>
      </c>
    </row>
    <row r="281" spans="1:43" x14ac:dyDescent="0.2">
      <c r="A281">
        <v>280</v>
      </c>
      <c r="B281" s="33">
        <f>+B280+1</f>
        <v>79</v>
      </c>
      <c r="C281" s="34" t="s">
        <v>2315</v>
      </c>
      <c r="D281" s="35" t="s">
        <v>2316</v>
      </c>
      <c r="E281" s="36" t="s">
        <v>2317</v>
      </c>
      <c r="F281" s="334">
        <v>35832</v>
      </c>
      <c r="G281" s="36" t="s">
        <v>54</v>
      </c>
      <c r="H281" s="34" t="s">
        <v>2318</v>
      </c>
      <c r="I281" s="37" t="s">
        <v>349</v>
      </c>
      <c r="J281" s="425" t="s">
        <v>4750</v>
      </c>
      <c r="K281" s="37" t="s">
        <v>350</v>
      </c>
      <c r="L281" s="38" t="s">
        <v>2319</v>
      </c>
      <c r="M281" s="34" t="s">
        <v>41</v>
      </c>
      <c r="N281" s="39" t="s">
        <v>42</v>
      </c>
      <c r="O281" s="99" t="s">
        <v>2320</v>
      </c>
      <c r="P281" s="41"/>
      <c r="Q281" s="41"/>
      <c r="R281" s="41"/>
      <c r="S281" s="41"/>
      <c r="T281" s="41"/>
      <c r="U281" s="41"/>
      <c r="V281" s="41"/>
      <c r="W281" s="41"/>
      <c r="X281" s="41"/>
      <c r="Y281" s="41" t="s">
        <v>732</v>
      </c>
      <c r="Z281" s="41"/>
      <c r="AA281" s="42" t="s">
        <v>2321</v>
      </c>
      <c r="AB281" s="52" t="s">
        <v>2322</v>
      </c>
      <c r="AC281" s="44" t="s">
        <v>2323</v>
      </c>
      <c r="AD281" s="45">
        <v>42935</v>
      </c>
      <c r="AE281" s="101" t="s">
        <v>30</v>
      </c>
      <c r="AF281" s="36" t="s">
        <v>26</v>
      </c>
      <c r="AG281" s="47" t="s">
        <v>49</v>
      </c>
      <c r="AH281" s="48" t="s">
        <v>49</v>
      </c>
      <c r="AI281" s="48" t="s">
        <v>49</v>
      </c>
      <c r="AJ281" s="48" t="s">
        <v>49</v>
      </c>
      <c r="AK281" s="48" t="s">
        <v>49</v>
      </c>
      <c r="AL281" s="48" t="s">
        <v>49</v>
      </c>
      <c r="AM281" s="49" t="s">
        <v>49</v>
      </c>
      <c r="AN281" s="48" t="s">
        <v>49</v>
      </c>
      <c r="AO281" s="65" t="s">
        <v>32</v>
      </c>
      <c r="AP281" s="65"/>
      <c r="AQ281" s="59"/>
    </row>
    <row r="282" spans="1:43" x14ac:dyDescent="0.2">
      <c r="A282">
        <v>281</v>
      </c>
      <c r="B282" s="33">
        <f>+B281+1</f>
        <v>80</v>
      </c>
      <c r="C282" s="34" t="s">
        <v>2324</v>
      </c>
      <c r="D282" s="35" t="s">
        <v>2325</v>
      </c>
      <c r="E282" s="36" t="s">
        <v>2326</v>
      </c>
      <c r="F282" s="36"/>
      <c r="G282" s="36" t="s">
        <v>36</v>
      </c>
      <c r="H282" s="34" t="s">
        <v>2327</v>
      </c>
      <c r="I282" s="37" t="s">
        <v>73</v>
      </c>
      <c r="J282" s="425" t="s">
        <v>4765</v>
      </c>
      <c r="K282" s="37" t="s">
        <v>73</v>
      </c>
      <c r="L282" s="34" t="s">
        <v>2328</v>
      </c>
      <c r="M282" s="34" t="s">
        <v>2329</v>
      </c>
      <c r="N282" s="39" t="s">
        <v>42</v>
      </c>
      <c r="O282" s="120">
        <v>42254</v>
      </c>
      <c r="P282" s="41" t="s">
        <v>179</v>
      </c>
      <c r="Q282" s="41" t="s">
        <v>179</v>
      </c>
      <c r="R282" s="41"/>
      <c r="S282" s="41">
        <v>5</v>
      </c>
      <c r="T282" s="41" t="s">
        <v>942</v>
      </c>
      <c r="U282" s="41"/>
      <c r="V282" s="41"/>
      <c r="W282" s="41"/>
      <c r="X282" s="41"/>
      <c r="Y282" s="41"/>
      <c r="Z282" s="41"/>
      <c r="AA282" s="42" t="s">
        <v>2330</v>
      </c>
      <c r="AB282" s="58" t="s">
        <v>2331</v>
      </c>
      <c r="AC282" s="44"/>
      <c r="AD282" s="45" t="s">
        <v>47</v>
      </c>
      <c r="AE282" s="101"/>
      <c r="AF282" s="36" t="s">
        <v>26</v>
      </c>
      <c r="AG282" s="47" t="s">
        <v>49</v>
      </c>
      <c r="AH282" s="48" t="s">
        <v>49</v>
      </c>
      <c r="AI282" s="48" t="s">
        <v>41</v>
      </c>
      <c r="AJ282" s="48" t="s">
        <v>41</v>
      </c>
      <c r="AK282" s="48" t="s">
        <v>41</v>
      </c>
      <c r="AL282" s="48" t="s">
        <v>41</v>
      </c>
      <c r="AM282" s="49" t="s">
        <v>41</v>
      </c>
      <c r="AN282" s="48" t="s">
        <v>41</v>
      </c>
      <c r="AO282" s="62" t="s">
        <v>4587</v>
      </c>
      <c r="AP282" s="62"/>
      <c r="AQ282" s="59"/>
    </row>
    <row r="283" spans="1:43" x14ac:dyDescent="0.2">
      <c r="A283">
        <v>282</v>
      </c>
      <c r="B283" s="33">
        <f>+B282+1</f>
        <v>81</v>
      </c>
      <c r="C283" s="34" t="s">
        <v>2332</v>
      </c>
      <c r="D283" s="35" t="s">
        <v>2333</v>
      </c>
      <c r="E283" s="36" t="s">
        <v>2334</v>
      </c>
      <c r="F283" s="334">
        <v>27035</v>
      </c>
      <c r="G283" s="36" t="s">
        <v>54</v>
      </c>
      <c r="H283" s="34" t="s">
        <v>2335</v>
      </c>
      <c r="I283" s="37" t="s">
        <v>38</v>
      </c>
      <c r="J283" s="425" t="s">
        <v>4762</v>
      </c>
      <c r="K283" s="37" t="s">
        <v>39</v>
      </c>
      <c r="L283" s="34" t="s">
        <v>2336</v>
      </c>
      <c r="M283" s="34" t="s">
        <v>41</v>
      </c>
      <c r="N283" s="39" t="s">
        <v>42</v>
      </c>
      <c r="O283" s="99" t="s">
        <v>2337</v>
      </c>
      <c r="P283" s="41"/>
      <c r="Q283" s="112"/>
      <c r="R283" s="112"/>
      <c r="S283" s="112"/>
      <c r="T283" s="41"/>
      <c r="U283" s="41"/>
      <c r="V283" s="41"/>
      <c r="W283" s="41"/>
      <c r="X283" s="41"/>
      <c r="Y283" s="41"/>
      <c r="Z283" s="41"/>
      <c r="AA283" s="42" t="s">
        <v>2338</v>
      </c>
      <c r="AB283" s="43" t="s">
        <v>2339</v>
      </c>
      <c r="AC283" s="44" t="s">
        <v>61</v>
      </c>
      <c r="AD283" s="45">
        <v>37877</v>
      </c>
      <c r="AE283" s="101" t="s">
        <v>30</v>
      </c>
      <c r="AF283" s="36" t="s">
        <v>26</v>
      </c>
      <c r="AG283" s="47" t="s">
        <v>49</v>
      </c>
      <c r="AH283" s="48" t="s">
        <v>49</v>
      </c>
      <c r="AI283" s="48" t="s">
        <v>49</v>
      </c>
      <c r="AJ283" s="48" t="s">
        <v>49</v>
      </c>
      <c r="AK283" s="48" t="s">
        <v>49</v>
      </c>
      <c r="AL283" s="49" t="s">
        <v>49</v>
      </c>
      <c r="AM283" s="48" t="s">
        <v>49</v>
      </c>
      <c r="AN283" s="48" t="s">
        <v>49</v>
      </c>
      <c r="AO283" s="65" t="s">
        <v>32</v>
      </c>
      <c r="AP283" s="65"/>
      <c r="AQ283" s="59"/>
    </row>
    <row r="284" spans="1:43" x14ac:dyDescent="0.2">
      <c r="A284">
        <v>283</v>
      </c>
      <c r="B284" s="33">
        <f>+B283+1</f>
        <v>82</v>
      </c>
      <c r="C284" s="34" t="s">
        <v>4724</v>
      </c>
      <c r="D284" s="35" t="s">
        <v>4725</v>
      </c>
      <c r="E284" s="36" t="s">
        <v>4726</v>
      </c>
      <c r="F284" s="334"/>
      <c r="G284" s="36" t="s">
        <v>54</v>
      </c>
      <c r="H284" s="34" t="s">
        <v>4727</v>
      </c>
      <c r="I284" s="37" t="s">
        <v>1285</v>
      </c>
      <c r="J284" s="425" t="s">
        <v>4752</v>
      </c>
      <c r="K284" s="37" t="s">
        <v>350</v>
      </c>
      <c r="L284" s="34" t="s">
        <v>41</v>
      </c>
      <c r="M284" s="34" t="s">
        <v>41</v>
      </c>
      <c r="N284" s="39" t="s">
        <v>42</v>
      </c>
      <c r="O284" s="120">
        <v>9654</v>
      </c>
      <c r="P284" s="41" t="s">
        <v>179</v>
      </c>
      <c r="Q284" s="410" t="s">
        <v>179</v>
      </c>
      <c r="R284" s="347"/>
      <c r="S284" s="410"/>
      <c r="T284" s="112"/>
      <c r="U284" s="112"/>
      <c r="V284" s="112"/>
      <c r="W284" s="41"/>
      <c r="X284" s="41"/>
      <c r="Y284" s="41"/>
      <c r="Z284" s="41" t="s">
        <v>44</v>
      </c>
      <c r="AA284" s="42" t="s">
        <v>4728</v>
      </c>
      <c r="AB284" s="322" t="s">
        <v>4729</v>
      </c>
      <c r="AC284" s="44"/>
      <c r="AD284" s="45"/>
      <c r="AE284" s="101"/>
      <c r="AF284" s="36"/>
      <c r="AG284" s="47" t="s">
        <v>49</v>
      </c>
      <c r="AH284" s="48" t="s">
        <v>41</v>
      </c>
      <c r="AI284" s="48" t="s">
        <v>41</v>
      </c>
      <c r="AJ284" s="48" t="s">
        <v>41</v>
      </c>
      <c r="AK284" s="48" t="s">
        <v>41</v>
      </c>
      <c r="AL284" s="48" t="s">
        <v>41</v>
      </c>
      <c r="AM284" s="49" t="s">
        <v>41</v>
      </c>
      <c r="AN284" s="48" t="s">
        <v>49</v>
      </c>
      <c r="AO284" s="65" t="s">
        <v>32</v>
      </c>
      <c r="AP284" s="65" t="s">
        <v>4681</v>
      </c>
      <c r="AQ284" s="59"/>
    </row>
    <row r="285" spans="1:43" x14ac:dyDescent="0.2">
      <c r="A285">
        <v>284</v>
      </c>
      <c r="B285" s="33">
        <f>+B284+1</f>
        <v>83</v>
      </c>
      <c r="C285" s="34" t="s">
        <v>2340</v>
      </c>
      <c r="D285" s="35" t="s">
        <v>2341</v>
      </c>
      <c r="E285" s="36" t="s">
        <v>4799</v>
      </c>
      <c r="F285" s="334">
        <v>23595</v>
      </c>
      <c r="G285" s="36" t="s">
        <v>54</v>
      </c>
      <c r="H285" s="34" t="s">
        <v>2343</v>
      </c>
      <c r="I285" s="37" t="s">
        <v>38</v>
      </c>
      <c r="J285" s="425" t="s">
        <v>4762</v>
      </c>
      <c r="K285" s="37" t="s">
        <v>39</v>
      </c>
      <c r="L285" s="34" t="s">
        <v>2344</v>
      </c>
      <c r="M285" s="34" t="s">
        <v>41</v>
      </c>
      <c r="N285" s="39" t="s">
        <v>42</v>
      </c>
      <c r="O285" s="120">
        <v>37598</v>
      </c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2" t="s">
        <v>2345</v>
      </c>
      <c r="AB285" s="69" t="s">
        <v>2346</v>
      </c>
      <c r="AC285" s="44" t="s">
        <v>61</v>
      </c>
      <c r="AD285" s="45">
        <v>37877</v>
      </c>
      <c r="AE285" s="101" t="s">
        <v>30</v>
      </c>
      <c r="AF285" s="36" t="s">
        <v>26</v>
      </c>
      <c r="AG285" s="47" t="s">
        <v>49</v>
      </c>
      <c r="AH285" s="48" t="s">
        <v>49</v>
      </c>
      <c r="AI285" s="48" t="s">
        <v>49</v>
      </c>
      <c r="AJ285" s="48" t="s">
        <v>49</v>
      </c>
      <c r="AK285" s="48" t="s">
        <v>49</v>
      </c>
      <c r="AL285" s="48" t="s">
        <v>49</v>
      </c>
      <c r="AM285" s="49" t="s">
        <v>49</v>
      </c>
      <c r="AN285" s="48" t="s">
        <v>49</v>
      </c>
      <c r="AO285" s="62" t="s">
        <v>32</v>
      </c>
      <c r="AP285" s="62"/>
      <c r="AQ285" s="59"/>
    </row>
    <row r="286" spans="1:43" x14ac:dyDescent="0.2">
      <c r="A286">
        <v>285</v>
      </c>
      <c r="B286" s="33">
        <f>+B285+1</f>
        <v>84</v>
      </c>
      <c r="C286" s="34" t="s">
        <v>2347</v>
      </c>
      <c r="D286" s="35" t="s">
        <v>2348</v>
      </c>
      <c r="E286" s="36" t="s">
        <v>4851</v>
      </c>
      <c r="F286" s="334">
        <v>21586</v>
      </c>
      <c r="G286" s="36" t="s">
        <v>54</v>
      </c>
      <c r="H286" s="98" t="s">
        <v>2350</v>
      </c>
      <c r="I286" s="37" t="s">
        <v>398</v>
      </c>
      <c r="J286" s="425" t="s">
        <v>4745</v>
      </c>
      <c r="K286" s="37" t="s">
        <v>205</v>
      </c>
      <c r="L286" s="404" t="s">
        <v>2351</v>
      </c>
      <c r="M286" s="34" t="s">
        <v>41</v>
      </c>
      <c r="N286" s="39" t="s">
        <v>42</v>
      </c>
      <c r="O286" s="99" t="s">
        <v>2352</v>
      </c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2" t="s">
        <v>2353</v>
      </c>
      <c r="AB286" s="52" t="s">
        <v>2354</v>
      </c>
      <c r="AC286" s="44" t="s">
        <v>61</v>
      </c>
      <c r="AD286" s="45">
        <v>36641</v>
      </c>
      <c r="AE286" s="101" t="s">
        <v>30</v>
      </c>
      <c r="AF286" s="36" t="s">
        <v>26</v>
      </c>
      <c r="AG286" s="47" t="s">
        <v>49</v>
      </c>
      <c r="AH286" s="48" t="s">
        <v>49</v>
      </c>
      <c r="AI286" s="48" t="s">
        <v>49</v>
      </c>
      <c r="AJ286" s="48" t="s">
        <v>49</v>
      </c>
      <c r="AK286" s="48" t="s">
        <v>49</v>
      </c>
      <c r="AL286" s="48" t="s">
        <v>49</v>
      </c>
      <c r="AM286" s="49" t="s">
        <v>49</v>
      </c>
      <c r="AN286" s="48" t="s">
        <v>41</v>
      </c>
      <c r="AO286" s="62" t="s">
        <v>148</v>
      </c>
      <c r="AP286" s="62"/>
      <c r="AQ286" s="59"/>
    </row>
    <row r="287" spans="1:43" x14ac:dyDescent="0.2">
      <c r="A287">
        <v>286</v>
      </c>
      <c r="B287" s="33">
        <f>+B286+1</f>
        <v>85</v>
      </c>
      <c r="C287" s="34" t="s">
        <v>2355</v>
      </c>
      <c r="D287" s="35" t="s">
        <v>2356</v>
      </c>
      <c r="E287" s="36" t="s">
        <v>2357</v>
      </c>
      <c r="F287" s="346" t="s">
        <v>4723</v>
      </c>
      <c r="G287" s="36" t="s">
        <v>36</v>
      </c>
      <c r="H287" s="98" t="s">
        <v>2358</v>
      </c>
      <c r="I287" s="37" t="s">
        <v>73</v>
      </c>
      <c r="J287" s="425" t="s">
        <v>4765</v>
      </c>
      <c r="K287" s="37" t="s">
        <v>73</v>
      </c>
      <c r="L287" s="406" t="s">
        <v>2359</v>
      </c>
      <c r="M287" s="34"/>
      <c r="N287" s="39" t="s">
        <v>42</v>
      </c>
      <c r="O287" s="120">
        <v>45883</v>
      </c>
      <c r="P287" s="41"/>
      <c r="Q287" s="41"/>
      <c r="R287" s="41"/>
      <c r="S287" s="41"/>
      <c r="T287" s="41"/>
      <c r="U287" s="41"/>
      <c r="V287" s="41"/>
      <c r="W287" s="41"/>
      <c r="X287" s="41"/>
      <c r="Y287" s="41" t="s">
        <v>44</v>
      </c>
      <c r="Z287" s="41"/>
      <c r="AA287" s="42" t="s">
        <v>2360</v>
      </c>
      <c r="AB287" s="43" t="s">
        <v>2361</v>
      </c>
      <c r="AC287" s="44"/>
      <c r="AD287" s="45"/>
      <c r="AE287" s="101"/>
      <c r="AF287" s="36"/>
      <c r="AG287" s="47" t="s">
        <v>49</v>
      </c>
      <c r="AH287" s="48" t="s">
        <v>41</v>
      </c>
      <c r="AI287" s="48" t="s">
        <v>41</v>
      </c>
      <c r="AJ287" s="48" t="s">
        <v>41</v>
      </c>
      <c r="AK287" s="48" t="s">
        <v>41</v>
      </c>
      <c r="AL287" s="48" t="s">
        <v>41</v>
      </c>
      <c r="AM287" s="49" t="s">
        <v>49</v>
      </c>
      <c r="AN287" s="48" t="s">
        <v>49</v>
      </c>
      <c r="AO287" s="62" t="s">
        <v>32</v>
      </c>
      <c r="AP287" s="62" t="s">
        <v>4681</v>
      </c>
      <c r="AQ287" s="59"/>
    </row>
    <row r="288" spans="1:43" x14ac:dyDescent="0.2">
      <c r="A288">
        <v>287</v>
      </c>
      <c r="B288" s="33">
        <f>+B287+1</f>
        <v>86</v>
      </c>
      <c r="C288" s="34" t="s">
        <v>2363</v>
      </c>
      <c r="D288" s="35" t="s">
        <v>2364</v>
      </c>
      <c r="E288" s="36" t="s">
        <v>2365</v>
      </c>
      <c r="F288" s="334">
        <v>20888</v>
      </c>
      <c r="G288" s="36" t="s">
        <v>241</v>
      </c>
      <c r="H288" s="34" t="s">
        <v>2366</v>
      </c>
      <c r="I288" s="37" t="s">
        <v>73</v>
      </c>
      <c r="J288" s="425" t="s">
        <v>4765</v>
      </c>
      <c r="K288" s="37" t="s">
        <v>73</v>
      </c>
      <c r="L288" s="34" t="s">
        <v>2367</v>
      </c>
      <c r="M288" s="34" t="s">
        <v>41</v>
      </c>
      <c r="N288" s="39" t="s">
        <v>42</v>
      </c>
      <c r="O288" s="120">
        <v>35040</v>
      </c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2" t="s">
        <v>2368</v>
      </c>
      <c r="AB288" s="69" t="s">
        <v>2369</v>
      </c>
      <c r="AC288" s="44" t="s">
        <v>61</v>
      </c>
      <c r="AD288" s="45">
        <v>36641</v>
      </c>
      <c r="AE288" s="101" t="s">
        <v>30</v>
      </c>
      <c r="AF288" s="36" t="s">
        <v>26</v>
      </c>
      <c r="AG288" s="47" t="s">
        <v>49</v>
      </c>
      <c r="AH288" s="48" t="s">
        <v>49</v>
      </c>
      <c r="AI288" s="48" t="s">
        <v>49</v>
      </c>
      <c r="AJ288" s="48" t="s">
        <v>49</v>
      </c>
      <c r="AK288" s="48" t="s">
        <v>49</v>
      </c>
      <c r="AL288" s="48" t="s">
        <v>49</v>
      </c>
      <c r="AM288" s="49" t="s">
        <v>49</v>
      </c>
      <c r="AN288" s="48" t="s">
        <v>49</v>
      </c>
      <c r="AO288" s="62" t="s">
        <v>32</v>
      </c>
      <c r="AP288" s="62"/>
      <c r="AQ288" s="59"/>
    </row>
    <row r="289" spans="1:43" x14ac:dyDescent="0.2">
      <c r="A289">
        <v>288</v>
      </c>
      <c r="B289" s="33">
        <f>+B288+1</f>
        <v>87</v>
      </c>
      <c r="C289" s="34" t="s">
        <v>4696</v>
      </c>
      <c r="D289" s="35" t="s">
        <v>4697</v>
      </c>
      <c r="E289" s="36" t="s">
        <v>4698</v>
      </c>
      <c r="F289" s="334">
        <v>21325</v>
      </c>
      <c r="G289" s="36" t="s">
        <v>36</v>
      </c>
      <c r="H289" s="34" t="s">
        <v>4699</v>
      </c>
      <c r="I289" s="37" t="s">
        <v>205</v>
      </c>
      <c r="J289" s="425" t="s">
        <v>4764</v>
      </c>
      <c r="K289" s="37" t="s">
        <v>205</v>
      </c>
      <c r="L289" s="38" t="s">
        <v>4700</v>
      </c>
      <c r="M289" s="34" t="s">
        <v>41</v>
      </c>
      <c r="N289" s="39" t="s">
        <v>42</v>
      </c>
      <c r="O289" s="120">
        <v>46148</v>
      </c>
      <c r="P289" s="41" t="s">
        <v>179</v>
      </c>
      <c r="Q289" s="41" t="s">
        <v>179</v>
      </c>
      <c r="R289" s="41"/>
      <c r="S289" s="41"/>
      <c r="T289" s="41"/>
      <c r="U289" s="41"/>
      <c r="V289" s="41"/>
      <c r="W289" s="41"/>
      <c r="X289" s="41"/>
      <c r="Y289" s="41"/>
      <c r="Z289" s="41" t="s">
        <v>44</v>
      </c>
      <c r="AA289" s="42" t="s">
        <v>4701</v>
      </c>
      <c r="AB289" s="332" t="s">
        <v>4702</v>
      </c>
      <c r="AC289" s="44"/>
      <c r="AD289" s="45"/>
      <c r="AE289" s="101"/>
      <c r="AF289" s="36"/>
      <c r="AG289" s="47" t="s">
        <v>49</v>
      </c>
      <c r="AH289" s="48" t="s">
        <v>41</v>
      </c>
      <c r="AI289" s="48" t="s">
        <v>41</v>
      </c>
      <c r="AJ289" s="48" t="s">
        <v>41</v>
      </c>
      <c r="AK289" s="48" t="s">
        <v>41</v>
      </c>
      <c r="AL289" s="48" t="s">
        <v>41</v>
      </c>
      <c r="AM289" s="49" t="s">
        <v>41</v>
      </c>
      <c r="AN289" s="48" t="s">
        <v>49</v>
      </c>
      <c r="AO289" s="62" t="s">
        <v>32</v>
      </c>
      <c r="AP289" s="62"/>
      <c r="AQ289" s="59"/>
    </row>
    <row r="290" spans="1:43" x14ac:dyDescent="0.2">
      <c r="A290">
        <v>289</v>
      </c>
      <c r="B290" s="33">
        <f>+B289+1</f>
        <v>88</v>
      </c>
      <c r="C290" s="395" t="s">
        <v>2370</v>
      </c>
      <c r="D290" s="35" t="s">
        <v>2371</v>
      </c>
      <c r="E290" s="174" t="s">
        <v>2372</v>
      </c>
      <c r="F290" s="341">
        <v>26726</v>
      </c>
      <c r="G290" s="36" t="s">
        <v>54</v>
      </c>
      <c r="H290" s="185" t="s">
        <v>2373</v>
      </c>
      <c r="I290" s="37" t="s">
        <v>456</v>
      </c>
      <c r="J290" s="425" t="s">
        <v>4770</v>
      </c>
      <c r="K290" s="37" t="s">
        <v>187</v>
      </c>
      <c r="L290" s="108" t="s">
        <v>2374</v>
      </c>
      <c r="M290" s="395" t="s">
        <v>2374</v>
      </c>
      <c r="N290" s="39" t="s">
        <v>42</v>
      </c>
      <c r="O290" s="120" t="s">
        <v>2375</v>
      </c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42" t="s">
        <v>2376</v>
      </c>
      <c r="AB290" s="52" t="s">
        <v>2377</v>
      </c>
      <c r="AC290" s="44" t="s">
        <v>2378</v>
      </c>
      <c r="AD290" s="45">
        <v>42935</v>
      </c>
      <c r="AE290" s="101" t="s">
        <v>30</v>
      </c>
      <c r="AF290" s="109" t="s">
        <v>26</v>
      </c>
      <c r="AG290" s="47" t="s">
        <v>49</v>
      </c>
      <c r="AH290" s="48" t="s">
        <v>49</v>
      </c>
      <c r="AI290" s="48" t="s">
        <v>49</v>
      </c>
      <c r="AJ290" s="48" t="s">
        <v>49</v>
      </c>
      <c r="AK290" s="48" t="s">
        <v>49</v>
      </c>
      <c r="AL290" s="48" t="s">
        <v>49</v>
      </c>
      <c r="AM290" s="48" t="s">
        <v>49</v>
      </c>
      <c r="AN290" s="48" t="s">
        <v>49</v>
      </c>
      <c r="AO290" s="65" t="s">
        <v>32</v>
      </c>
      <c r="AP290" s="65"/>
      <c r="AQ290" s="59"/>
    </row>
    <row r="291" spans="1:43" x14ac:dyDescent="0.2">
      <c r="A291">
        <v>290</v>
      </c>
      <c r="B291" s="33">
        <f>+B290+1</f>
        <v>89</v>
      </c>
      <c r="C291" s="108" t="s">
        <v>4643</v>
      </c>
      <c r="D291" s="35" t="s">
        <v>4644</v>
      </c>
      <c r="E291" s="174" t="s">
        <v>4645</v>
      </c>
      <c r="F291" s="341">
        <v>31799</v>
      </c>
      <c r="G291" s="36" t="s">
        <v>54</v>
      </c>
      <c r="H291" s="185" t="s">
        <v>4646</v>
      </c>
      <c r="I291" s="37" t="s">
        <v>176</v>
      </c>
      <c r="J291" s="425" t="s">
        <v>4761</v>
      </c>
      <c r="K291" s="37" t="s">
        <v>39</v>
      </c>
      <c r="L291" s="140" t="s">
        <v>4647</v>
      </c>
      <c r="M291" s="395" t="s">
        <v>41</v>
      </c>
      <c r="N291" s="39" t="s">
        <v>42</v>
      </c>
      <c r="O291" s="120">
        <v>42456</v>
      </c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 t="s">
        <v>44</v>
      </c>
      <c r="AA291" s="42" t="s">
        <v>4648</v>
      </c>
      <c r="AB291" s="312" t="s">
        <v>4649</v>
      </c>
      <c r="AC291" s="44"/>
      <c r="AD291" s="45"/>
      <c r="AE291" s="101"/>
      <c r="AF291" s="109"/>
      <c r="AG291" s="47" t="s">
        <v>49</v>
      </c>
      <c r="AH291" s="48" t="s">
        <v>41</v>
      </c>
      <c r="AI291" s="48" t="s">
        <v>41</v>
      </c>
      <c r="AJ291" s="48" t="s">
        <v>41</v>
      </c>
      <c r="AK291" s="48" t="s">
        <v>41</v>
      </c>
      <c r="AL291" s="48" t="s">
        <v>41</v>
      </c>
      <c r="AM291" s="49" t="s">
        <v>41</v>
      </c>
      <c r="AN291" s="48" t="s">
        <v>49</v>
      </c>
      <c r="AO291" s="65" t="s">
        <v>32</v>
      </c>
      <c r="AP291" s="65"/>
      <c r="AQ291" s="59"/>
    </row>
    <row r="292" spans="1:43" x14ac:dyDescent="0.2">
      <c r="A292">
        <v>291</v>
      </c>
      <c r="B292" s="33">
        <f>+B291+1</f>
        <v>90</v>
      </c>
      <c r="C292" s="108" t="s">
        <v>2379</v>
      </c>
      <c r="D292" s="35" t="s">
        <v>2380</v>
      </c>
      <c r="E292" s="174" t="s">
        <v>2381</v>
      </c>
      <c r="F292" s="341">
        <v>34951</v>
      </c>
      <c r="G292" s="36" t="s">
        <v>36</v>
      </c>
      <c r="H292" s="108" t="s">
        <v>2382</v>
      </c>
      <c r="I292" s="37" t="s">
        <v>176</v>
      </c>
      <c r="J292" s="425" t="s">
        <v>4767</v>
      </c>
      <c r="K292" s="37" t="s">
        <v>39</v>
      </c>
      <c r="L292" s="145" t="s">
        <v>2383</v>
      </c>
      <c r="M292" s="108" t="s">
        <v>41</v>
      </c>
      <c r="N292" s="39" t="s">
        <v>42</v>
      </c>
      <c r="O292" s="120">
        <v>45079</v>
      </c>
      <c r="P292" s="56" t="s">
        <v>179</v>
      </c>
      <c r="Q292" s="56" t="s">
        <v>179</v>
      </c>
      <c r="R292" s="56"/>
      <c r="S292" s="56">
        <v>2</v>
      </c>
      <c r="T292" s="56" t="s">
        <v>942</v>
      </c>
      <c r="U292" s="56"/>
      <c r="V292" s="56"/>
      <c r="W292" s="56" t="s">
        <v>44</v>
      </c>
      <c r="X292" s="56"/>
      <c r="Y292" s="56"/>
      <c r="Z292" s="56"/>
      <c r="AA292" s="42" t="s">
        <v>2384</v>
      </c>
      <c r="AB292" s="55" t="s">
        <v>2385</v>
      </c>
      <c r="AC292" s="55"/>
      <c r="AD292" s="55" t="s">
        <v>47</v>
      </c>
      <c r="AE292" s="101"/>
      <c r="AF292" s="109"/>
      <c r="AG292" s="47" t="s">
        <v>49</v>
      </c>
      <c r="AH292" s="48" t="s">
        <v>41</v>
      </c>
      <c r="AI292" s="48" t="s">
        <v>41</v>
      </c>
      <c r="AJ292" s="48" t="s">
        <v>41</v>
      </c>
      <c r="AK292" s="48" t="s">
        <v>49</v>
      </c>
      <c r="AL292" s="48" t="s">
        <v>41</v>
      </c>
      <c r="AM292" s="49" t="s">
        <v>41</v>
      </c>
      <c r="AN292" s="48" t="s">
        <v>41</v>
      </c>
      <c r="AO292" s="62" t="s">
        <v>4589</v>
      </c>
      <c r="AP292" s="62"/>
      <c r="AQ292" s="59"/>
    </row>
    <row r="293" spans="1:43" x14ac:dyDescent="0.2">
      <c r="A293">
        <v>292</v>
      </c>
      <c r="B293" s="33">
        <f>+B292+1</f>
        <v>91</v>
      </c>
      <c r="C293" s="395" t="s">
        <v>2386</v>
      </c>
      <c r="D293" s="35" t="s">
        <v>2387</v>
      </c>
      <c r="E293" s="174" t="s">
        <v>2388</v>
      </c>
      <c r="F293" s="341">
        <v>34966</v>
      </c>
      <c r="G293" s="36" t="s">
        <v>54</v>
      </c>
      <c r="H293" s="108" t="s">
        <v>2389</v>
      </c>
      <c r="I293" s="37" t="s">
        <v>73</v>
      </c>
      <c r="J293" s="425" t="s">
        <v>4765</v>
      </c>
      <c r="K293" s="37" t="s">
        <v>73</v>
      </c>
      <c r="L293" s="145" t="s">
        <v>2390</v>
      </c>
      <c r="M293" s="395" t="s">
        <v>41</v>
      </c>
      <c r="N293" s="39" t="s">
        <v>42</v>
      </c>
      <c r="O293" s="120">
        <v>45852</v>
      </c>
      <c r="P293" s="56"/>
      <c r="Q293" s="56"/>
      <c r="R293" s="56"/>
      <c r="S293" s="56"/>
      <c r="T293" s="56"/>
      <c r="U293" s="56"/>
      <c r="V293" s="56"/>
      <c r="W293" s="56"/>
      <c r="X293" s="56"/>
      <c r="Y293" s="56" t="s">
        <v>44</v>
      </c>
      <c r="Z293" s="56"/>
      <c r="AA293" s="42" t="s">
        <v>2391</v>
      </c>
      <c r="AB293" s="43" t="s">
        <v>2392</v>
      </c>
      <c r="AC293" s="55"/>
      <c r="AD293" s="55"/>
      <c r="AE293" s="101"/>
      <c r="AF293" s="109"/>
      <c r="AG293" s="47" t="s">
        <v>49</v>
      </c>
      <c r="AH293" s="48" t="s">
        <v>41</v>
      </c>
      <c r="AI293" s="48" t="s">
        <v>41</v>
      </c>
      <c r="AJ293" s="48" t="s">
        <v>41</v>
      </c>
      <c r="AK293" s="48" t="s">
        <v>41</v>
      </c>
      <c r="AL293" s="48" t="s">
        <v>41</v>
      </c>
      <c r="AM293" s="49" t="s">
        <v>49</v>
      </c>
      <c r="AN293" s="48" t="s">
        <v>49</v>
      </c>
      <c r="AO293" s="62" t="s">
        <v>32</v>
      </c>
      <c r="AP293" s="62"/>
      <c r="AQ293" s="59"/>
    </row>
    <row r="294" spans="1:43" x14ac:dyDescent="0.2">
      <c r="A294">
        <v>293</v>
      </c>
      <c r="B294" s="33">
        <f>+B293+1</f>
        <v>92</v>
      </c>
      <c r="C294" s="34" t="s">
        <v>2393</v>
      </c>
      <c r="D294" s="35" t="s">
        <v>2394</v>
      </c>
      <c r="E294" s="36" t="s">
        <v>2395</v>
      </c>
      <c r="F294" s="36"/>
      <c r="G294" s="36" t="s">
        <v>54</v>
      </c>
      <c r="H294" s="98" t="s">
        <v>2396</v>
      </c>
      <c r="I294" s="37" t="s">
        <v>56</v>
      </c>
      <c r="J294" s="425" t="s">
        <v>4739</v>
      </c>
      <c r="K294" s="37" t="s">
        <v>57</v>
      </c>
      <c r="L294" s="54" t="s">
        <v>2397</v>
      </c>
      <c r="M294" s="38" t="s">
        <v>41</v>
      </c>
      <c r="N294" s="39" t="s">
        <v>42</v>
      </c>
      <c r="O294" s="120" t="s">
        <v>390</v>
      </c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42" t="s">
        <v>2398</v>
      </c>
      <c r="AB294" s="69" t="s">
        <v>2399</v>
      </c>
      <c r="AC294" s="44" t="s">
        <v>2400</v>
      </c>
      <c r="AD294" s="45">
        <v>43200</v>
      </c>
      <c r="AE294" s="101" t="s">
        <v>30</v>
      </c>
      <c r="AF294" s="73"/>
      <c r="AG294" s="47" t="s">
        <v>49</v>
      </c>
      <c r="AH294" s="48" t="s">
        <v>41</v>
      </c>
      <c r="AI294" s="48" t="s">
        <v>41</v>
      </c>
      <c r="AJ294" s="48" t="s">
        <v>41</v>
      </c>
      <c r="AK294" s="48" t="s">
        <v>41</v>
      </c>
      <c r="AL294" s="48" t="s">
        <v>41</v>
      </c>
      <c r="AM294" s="49" t="s">
        <v>41</v>
      </c>
      <c r="AN294" s="48" t="s">
        <v>41</v>
      </c>
      <c r="AO294" s="65" t="s">
        <v>4592</v>
      </c>
      <c r="AP294" s="65"/>
      <c r="AQ294" s="59"/>
    </row>
    <row r="295" spans="1:43" x14ac:dyDescent="0.2">
      <c r="A295">
        <v>294</v>
      </c>
      <c r="B295" s="33">
        <f>+B294+1</f>
        <v>93</v>
      </c>
      <c r="C295" s="34" t="s">
        <v>2401</v>
      </c>
      <c r="D295" s="35" t="s">
        <v>2402</v>
      </c>
      <c r="E295" s="36" t="s">
        <v>2403</v>
      </c>
      <c r="F295" s="334">
        <v>29278</v>
      </c>
      <c r="G295" s="36" t="s">
        <v>54</v>
      </c>
      <c r="H295" s="98" t="s">
        <v>2404</v>
      </c>
      <c r="I295" s="37" t="s">
        <v>214</v>
      </c>
      <c r="J295" s="425" t="s">
        <v>4743</v>
      </c>
      <c r="K295" s="37" t="s">
        <v>205</v>
      </c>
      <c r="L295" s="57" t="s">
        <v>2405</v>
      </c>
      <c r="M295" s="38" t="s">
        <v>41</v>
      </c>
      <c r="N295" s="39" t="s">
        <v>42</v>
      </c>
      <c r="O295" s="120">
        <v>42223</v>
      </c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42" t="s">
        <v>2405</v>
      </c>
      <c r="AB295" s="69" t="s">
        <v>2406</v>
      </c>
      <c r="AC295" s="44" t="s">
        <v>2407</v>
      </c>
      <c r="AD295" s="45">
        <v>42325</v>
      </c>
      <c r="AE295" s="101" t="s">
        <v>30</v>
      </c>
      <c r="AF295" s="73" t="s">
        <v>26</v>
      </c>
      <c r="AG295" s="47" t="s">
        <v>49</v>
      </c>
      <c r="AH295" s="48" t="s">
        <v>49</v>
      </c>
      <c r="AI295" s="48" t="s">
        <v>49</v>
      </c>
      <c r="AJ295" s="48" t="s">
        <v>49</v>
      </c>
      <c r="AK295" s="48" t="s">
        <v>49</v>
      </c>
      <c r="AL295" s="48" t="s">
        <v>49</v>
      </c>
      <c r="AM295" s="49" t="s">
        <v>41</v>
      </c>
      <c r="AN295" s="48" t="s">
        <v>41</v>
      </c>
      <c r="AO295" s="62" t="s">
        <v>276</v>
      </c>
      <c r="AP295" s="62"/>
      <c r="AQ295" s="59"/>
    </row>
    <row r="296" spans="1:43" x14ac:dyDescent="0.2">
      <c r="A296">
        <v>295</v>
      </c>
      <c r="B296" s="33">
        <f>+B295+1</f>
        <v>94</v>
      </c>
      <c r="C296" s="34" t="s">
        <v>2408</v>
      </c>
      <c r="D296" s="35" t="s">
        <v>2409</v>
      </c>
      <c r="E296" s="36" t="s">
        <v>2410</v>
      </c>
      <c r="F296" s="36"/>
      <c r="G296" s="36" t="s">
        <v>36</v>
      </c>
      <c r="H296" s="34" t="s">
        <v>2411</v>
      </c>
      <c r="I296" s="37" t="s">
        <v>349</v>
      </c>
      <c r="J296" s="425" t="s">
        <v>4750</v>
      </c>
      <c r="K296" s="37" t="s">
        <v>350</v>
      </c>
      <c r="L296" s="34" t="s">
        <v>2412</v>
      </c>
      <c r="M296" s="34" t="s">
        <v>41</v>
      </c>
      <c r="N296" s="39" t="s">
        <v>42</v>
      </c>
      <c r="O296" s="99" t="s">
        <v>2413</v>
      </c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42" t="s">
        <v>2414</v>
      </c>
      <c r="AB296" s="58" t="s">
        <v>2415</v>
      </c>
      <c r="AC296" s="44" t="s">
        <v>2416</v>
      </c>
      <c r="AD296" s="45">
        <v>41793</v>
      </c>
      <c r="AE296" s="101" t="s">
        <v>30</v>
      </c>
      <c r="AF296" s="36"/>
      <c r="AG296" s="47" t="s">
        <v>49</v>
      </c>
      <c r="AH296" s="48" t="s">
        <v>41</v>
      </c>
      <c r="AI296" s="48" t="s">
        <v>41</v>
      </c>
      <c r="AJ296" s="48" t="s">
        <v>41</v>
      </c>
      <c r="AK296" s="48" t="s">
        <v>41</v>
      </c>
      <c r="AL296" s="48" t="s">
        <v>41</v>
      </c>
      <c r="AM296" s="49" t="s">
        <v>41</v>
      </c>
      <c r="AN296" s="48" t="s">
        <v>41</v>
      </c>
      <c r="AO296" s="65" t="s">
        <v>4588</v>
      </c>
      <c r="AP296" s="65"/>
      <c r="AQ296" s="59"/>
    </row>
    <row r="297" spans="1:43" x14ac:dyDescent="0.2">
      <c r="A297">
        <v>296</v>
      </c>
      <c r="B297" s="33">
        <f>+B296+1</f>
        <v>95</v>
      </c>
      <c r="C297" s="34" t="s">
        <v>2417</v>
      </c>
      <c r="D297" s="35" t="s">
        <v>2418</v>
      </c>
      <c r="E297" s="36" t="s">
        <v>2419</v>
      </c>
      <c r="F297" s="334">
        <v>35656</v>
      </c>
      <c r="G297" s="36" t="s">
        <v>54</v>
      </c>
      <c r="H297" s="34" t="s">
        <v>2420</v>
      </c>
      <c r="I297" s="37" t="s">
        <v>243</v>
      </c>
      <c r="J297" s="425" t="s">
        <v>4744</v>
      </c>
      <c r="K297" s="37" t="s">
        <v>205</v>
      </c>
      <c r="L297" s="38" t="s">
        <v>2421</v>
      </c>
      <c r="M297" s="34" t="s">
        <v>41</v>
      </c>
      <c r="N297" s="39" t="s">
        <v>42</v>
      </c>
      <c r="O297" s="120">
        <v>45052</v>
      </c>
      <c r="P297" s="56"/>
      <c r="Q297" s="56"/>
      <c r="R297" s="56"/>
      <c r="S297" s="56"/>
      <c r="T297" s="56"/>
      <c r="U297" s="56"/>
      <c r="V297" s="56"/>
      <c r="W297" s="56" t="s">
        <v>44</v>
      </c>
      <c r="X297" s="56"/>
      <c r="Y297" s="56"/>
      <c r="Z297" s="56"/>
      <c r="AA297" s="42" t="s">
        <v>2422</v>
      </c>
      <c r="AB297" s="58" t="s">
        <v>2423</v>
      </c>
      <c r="AC297" s="44"/>
      <c r="AD297" s="45">
        <v>45642</v>
      </c>
      <c r="AE297" s="101"/>
      <c r="AF297" s="36"/>
      <c r="AG297" s="47" t="s">
        <v>49</v>
      </c>
      <c r="AH297" s="48" t="s">
        <v>41</v>
      </c>
      <c r="AI297" s="48" t="s">
        <v>41</v>
      </c>
      <c r="AJ297" s="48" t="s">
        <v>41</v>
      </c>
      <c r="AK297" s="48" t="s">
        <v>49</v>
      </c>
      <c r="AL297" s="48" t="s">
        <v>49</v>
      </c>
      <c r="AM297" s="49" t="s">
        <v>49</v>
      </c>
      <c r="AN297" s="48" t="s">
        <v>49</v>
      </c>
      <c r="AO297" s="62" t="s">
        <v>32</v>
      </c>
      <c r="AP297" s="62"/>
      <c r="AQ297" s="59"/>
    </row>
    <row r="298" spans="1:43" x14ac:dyDescent="0.2">
      <c r="A298">
        <v>297</v>
      </c>
      <c r="B298" s="33">
        <f>+B297+1</f>
        <v>96</v>
      </c>
      <c r="C298" s="34" t="s">
        <v>2424</v>
      </c>
      <c r="D298" s="35" t="s">
        <v>2425</v>
      </c>
      <c r="E298" s="36" t="s">
        <v>2426</v>
      </c>
      <c r="F298" s="334">
        <v>29196</v>
      </c>
      <c r="G298" s="36" t="s">
        <v>54</v>
      </c>
      <c r="H298" s="34" t="s">
        <v>2427</v>
      </c>
      <c r="I298" s="37" t="s">
        <v>349</v>
      </c>
      <c r="J298" s="425" t="s">
        <v>4750</v>
      </c>
      <c r="K298" s="37" t="s">
        <v>350</v>
      </c>
      <c r="L298" s="38" t="s">
        <v>2428</v>
      </c>
      <c r="M298" s="34" t="s">
        <v>41</v>
      </c>
      <c r="N298" s="39" t="s">
        <v>42</v>
      </c>
      <c r="O298" s="120">
        <v>40853</v>
      </c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2" t="s">
        <v>2429</v>
      </c>
      <c r="AB298" s="69" t="s">
        <v>2430</v>
      </c>
      <c r="AC298" s="119" t="s">
        <v>2431</v>
      </c>
      <c r="AD298" s="45">
        <v>41803</v>
      </c>
      <c r="AE298" s="101" t="s">
        <v>30</v>
      </c>
      <c r="AF298" s="36" t="s">
        <v>26</v>
      </c>
      <c r="AG298" s="47" t="s">
        <v>49</v>
      </c>
      <c r="AH298" s="48" t="s">
        <v>49</v>
      </c>
      <c r="AI298" s="48" t="s">
        <v>49</v>
      </c>
      <c r="AJ298" s="48" t="s">
        <v>49</v>
      </c>
      <c r="AK298" s="48" t="s">
        <v>49</v>
      </c>
      <c r="AL298" s="48" t="s">
        <v>49</v>
      </c>
      <c r="AM298" s="49" t="s">
        <v>49</v>
      </c>
      <c r="AN298" s="48" t="s">
        <v>49</v>
      </c>
      <c r="AO298" s="62" t="s">
        <v>32</v>
      </c>
      <c r="AP298" s="62"/>
      <c r="AQ298" s="59"/>
    </row>
    <row r="299" spans="1:43" x14ac:dyDescent="0.2">
      <c r="A299">
        <v>298</v>
      </c>
      <c r="B299" s="33">
        <f>+B298+1</f>
        <v>97</v>
      </c>
      <c r="C299" s="34" t="s">
        <v>2432</v>
      </c>
      <c r="D299" s="35" t="s">
        <v>2433</v>
      </c>
      <c r="E299" s="36" t="s">
        <v>2434</v>
      </c>
      <c r="F299" s="334">
        <v>27882</v>
      </c>
      <c r="G299" s="36" t="s">
        <v>54</v>
      </c>
      <c r="H299" s="34" t="s">
        <v>2435</v>
      </c>
      <c r="I299" s="37" t="s">
        <v>1285</v>
      </c>
      <c r="J299" s="425" t="s">
        <v>4752</v>
      </c>
      <c r="K299" s="37" t="s">
        <v>350</v>
      </c>
      <c r="L299" s="34" t="s">
        <v>2436</v>
      </c>
      <c r="M299" s="34" t="s">
        <v>41</v>
      </c>
      <c r="N299" s="39" t="s">
        <v>42</v>
      </c>
      <c r="O299" s="99" t="s">
        <v>2437</v>
      </c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2" t="s">
        <v>2438</v>
      </c>
      <c r="AB299" s="69" t="s">
        <v>2439</v>
      </c>
      <c r="AC299" s="119" t="s">
        <v>61</v>
      </c>
      <c r="AD299" s="45">
        <v>38593</v>
      </c>
      <c r="AE299" s="101" t="s">
        <v>30</v>
      </c>
      <c r="AF299" s="73" t="s">
        <v>26</v>
      </c>
      <c r="AG299" s="47" t="s">
        <v>49</v>
      </c>
      <c r="AH299" s="48" t="s">
        <v>49</v>
      </c>
      <c r="AI299" s="48" t="s">
        <v>49</v>
      </c>
      <c r="AJ299" s="48" t="s">
        <v>49</v>
      </c>
      <c r="AK299" s="48" t="s">
        <v>49</v>
      </c>
      <c r="AL299" s="48" t="s">
        <v>49</v>
      </c>
      <c r="AM299" s="49" t="s">
        <v>49</v>
      </c>
      <c r="AN299" s="48" t="s">
        <v>49</v>
      </c>
      <c r="AO299" s="65" t="s">
        <v>32</v>
      </c>
      <c r="AP299" s="65"/>
      <c r="AQ299" s="59"/>
    </row>
    <row r="300" spans="1:43" x14ac:dyDescent="0.2">
      <c r="A300">
        <v>299</v>
      </c>
      <c r="B300" s="33">
        <f>+B299+1</f>
        <v>98</v>
      </c>
      <c r="C300" s="34" t="s">
        <v>2440</v>
      </c>
      <c r="D300" s="35" t="s">
        <v>2441</v>
      </c>
      <c r="E300" s="36" t="s">
        <v>2442</v>
      </c>
      <c r="F300" s="334">
        <v>31571</v>
      </c>
      <c r="G300" s="36" t="s">
        <v>54</v>
      </c>
      <c r="H300" s="98" t="s">
        <v>2443</v>
      </c>
      <c r="I300" s="37" t="s">
        <v>73</v>
      </c>
      <c r="J300" s="425" t="s">
        <v>4765</v>
      </c>
      <c r="K300" s="37" t="s">
        <v>73</v>
      </c>
      <c r="L300" s="34" t="s">
        <v>2444</v>
      </c>
      <c r="M300" s="34" t="s">
        <v>41</v>
      </c>
      <c r="N300" s="39" t="s">
        <v>42</v>
      </c>
      <c r="O300" s="120">
        <v>44354</v>
      </c>
      <c r="P300" s="56"/>
      <c r="Q300" s="56"/>
      <c r="R300" s="56"/>
      <c r="S300" s="56"/>
      <c r="T300" s="56"/>
      <c r="U300" s="56" t="s">
        <v>44</v>
      </c>
      <c r="V300" s="56"/>
      <c r="W300" s="56"/>
      <c r="X300" s="56"/>
      <c r="Y300" s="56"/>
      <c r="Z300" s="56"/>
      <c r="AA300" s="42" t="s">
        <v>2445</v>
      </c>
      <c r="AB300" s="58" t="s">
        <v>2446</v>
      </c>
      <c r="AC300" s="121" t="s">
        <v>2447</v>
      </c>
      <c r="AD300" s="45">
        <v>44650</v>
      </c>
      <c r="AE300" s="101" t="s">
        <v>30</v>
      </c>
      <c r="AF300" s="73"/>
      <c r="AG300" s="64" t="s">
        <v>120</v>
      </c>
      <c r="AH300" s="48" t="s">
        <v>41</v>
      </c>
      <c r="AI300" s="48" t="s">
        <v>120</v>
      </c>
      <c r="AJ300" s="48" t="s">
        <v>120</v>
      </c>
      <c r="AK300" s="48" t="s">
        <v>120</v>
      </c>
      <c r="AL300" s="48" t="s">
        <v>120</v>
      </c>
      <c r="AM300" s="49" t="s">
        <v>120</v>
      </c>
      <c r="AN300" s="48" t="s">
        <v>120</v>
      </c>
      <c r="AO300" s="62" t="s">
        <v>32</v>
      </c>
      <c r="AP300" s="62"/>
      <c r="AQ300" s="59"/>
    </row>
    <row r="301" spans="1:43" x14ac:dyDescent="0.2">
      <c r="A301">
        <v>300</v>
      </c>
      <c r="B301" s="33">
        <f>+B300+1</f>
        <v>99</v>
      </c>
      <c r="C301" s="34" t="s">
        <v>2448</v>
      </c>
      <c r="D301" s="35" t="s">
        <v>2449</v>
      </c>
      <c r="E301" s="36" t="s">
        <v>2450</v>
      </c>
      <c r="F301" s="334">
        <v>31906</v>
      </c>
      <c r="G301" s="36" t="s">
        <v>54</v>
      </c>
      <c r="H301" s="98" t="s">
        <v>4576</v>
      </c>
      <c r="I301" s="37" t="s">
        <v>73</v>
      </c>
      <c r="J301" s="425" t="s">
        <v>4765</v>
      </c>
      <c r="K301" s="37" t="s">
        <v>73</v>
      </c>
      <c r="L301" s="34" t="s">
        <v>2444</v>
      </c>
      <c r="M301" s="34" t="s">
        <v>2451</v>
      </c>
      <c r="N301" s="39" t="s">
        <v>42</v>
      </c>
      <c r="O301" s="120">
        <v>32913</v>
      </c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42" t="s">
        <v>2452</v>
      </c>
      <c r="AB301" s="58" t="s">
        <v>2453</v>
      </c>
      <c r="AC301" s="121" t="s">
        <v>2454</v>
      </c>
      <c r="AD301" s="45">
        <v>44650</v>
      </c>
      <c r="AE301" s="101" t="s">
        <v>30</v>
      </c>
      <c r="AF301" s="73" t="s">
        <v>26</v>
      </c>
      <c r="AG301" s="64" t="s">
        <v>120</v>
      </c>
      <c r="AH301" s="48" t="s">
        <v>120</v>
      </c>
      <c r="AI301" s="48" t="s">
        <v>120</v>
      </c>
      <c r="AJ301" s="48" t="s">
        <v>120</v>
      </c>
      <c r="AK301" s="48" t="s">
        <v>120</v>
      </c>
      <c r="AL301" s="48" t="s">
        <v>120</v>
      </c>
      <c r="AM301" s="49" t="s">
        <v>120</v>
      </c>
      <c r="AN301" s="48" t="s">
        <v>120</v>
      </c>
      <c r="AO301" s="62" t="s">
        <v>32</v>
      </c>
      <c r="AP301" s="62"/>
      <c r="AQ301" s="59"/>
    </row>
    <row r="302" spans="1:43" x14ac:dyDescent="0.2">
      <c r="A302">
        <v>301</v>
      </c>
      <c r="B302" s="33">
        <f>+B301+1</f>
        <v>100</v>
      </c>
      <c r="C302" s="34" t="s">
        <v>2455</v>
      </c>
      <c r="D302" s="35" t="s">
        <v>2456</v>
      </c>
      <c r="E302" s="36" t="s">
        <v>4836</v>
      </c>
      <c r="F302" s="334">
        <v>22740</v>
      </c>
      <c r="G302" s="36" t="s">
        <v>54</v>
      </c>
      <c r="H302" s="34" t="s">
        <v>2458</v>
      </c>
      <c r="I302" s="37" t="s">
        <v>73</v>
      </c>
      <c r="J302" s="425" t="s">
        <v>4765</v>
      </c>
      <c r="K302" s="37" t="s">
        <v>73</v>
      </c>
      <c r="L302" s="34" t="s">
        <v>2459</v>
      </c>
      <c r="M302" s="34" t="s">
        <v>41</v>
      </c>
      <c r="N302" s="39" t="s">
        <v>42</v>
      </c>
      <c r="O302" s="99" t="s">
        <v>2460</v>
      </c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42" t="s">
        <v>2461</v>
      </c>
      <c r="AB302" s="52" t="s">
        <v>2462</v>
      </c>
      <c r="AC302" s="44" t="s">
        <v>2463</v>
      </c>
      <c r="AD302" s="45">
        <v>41793</v>
      </c>
      <c r="AE302" s="101" t="s">
        <v>30</v>
      </c>
      <c r="AF302" s="36" t="s">
        <v>26</v>
      </c>
      <c r="AG302" s="47" t="s">
        <v>49</v>
      </c>
      <c r="AH302" s="48" t="s">
        <v>49</v>
      </c>
      <c r="AI302" s="48" t="s">
        <v>49</v>
      </c>
      <c r="AJ302" s="48" t="s">
        <v>49</v>
      </c>
      <c r="AK302" s="48" t="s">
        <v>49</v>
      </c>
      <c r="AL302" s="48" t="s">
        <v>49</v>
      </c>
      <c r="AM302" s="49" t="s">
        <v>49</v>
      </c>
      <c r="AN302" s="48" t="s">
        <v>49</v>
      </c>
      <c r="AO302" s="62" t="s">
        <v>32</v>
      </c>
      <c r="AP302" s="62"/>
      <c r="AQ302" s="59"/>
    </row>
    <row r="303" spans="1:43" x14ac:dyDescent="0.2">
      <c r="A303">
        <v>302</v>
      </c>
      <c r="B303" s="33">
        <f>+B302+1</f>
        <v>101</v>
      </c>
      <c r="C303" s="34" t="s">
        <v>2464</v>
      </c>
      <c r="D303" s="35" t="s">
        <v>2465</v>
      </c>
      <c r="E303" s="36" t="s">
        <v>2466</v>
      </c>
      <c r="F303" s="334">
        <v>22086</v>
      </c>
      <c r="G303" s="36" t="s">
        <v>54</v>
      </c>
      <c r="H303" s="34" t="s">
        <v>2467</v>
      </c>
      <c r="I303" s="37" t="s">
        <v>243</v>
      </c>
      <c r="J303" s="425" t="s">
        <v>4744</v>
      </c>
      <c r="K303" s="37" t="s">
        <v>205</v>
      </c>
      <c r="L303" s="34" t="s">
        <v>2468</v>
      </c>
      <c r="M303" s="34" t="s">
        <v>41</v>
      </c>
      <c r="N303" s="39" t="s">
        <v>42</v>
      </c>
      <c r="O303" s="120">
        <v>36749</v>
      </c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2" t="s">
        <v>2469</v>
      </c>
      <c r="AB303" s="58" t="s">
        <v>2470</v>
      </c>
      <c r="AC303" s="44" t="s">
        <v>61</v>
      </c>
      <c r="AD303" s="45">
        <v>37877</v>
      </c>
      <c r="AE303" s="101" t="s">
        <v>30</v>
      </c>
      <c r="AF303" s="36" t="s">
        <v>26</v>
      </c>
      <c r="AG303" s="47" t="s">
        <v>49</v>
      </c>
      <c r="AH303" s="48" t="s">
        <v>49</v>
      </c>
      <c r="AI303" s="48" t="s">
        <v>49</v>
      </c>
      <c r="AJ303" s="48" t="s">
        <v>49</v>
      </c>
      <c r="AK303" s="48" t="s">
        <v>49</v>
      </c>
      <c r="AL303" s="48" t="s">
        <v>49</v>
      </c>
      <c r="AM303" s="49" t="s">
        <v>41</v>
      </c>
      <c r="AN303" s="48" t="s">
        <v>41</v>
      </c>
      <c r="AO303" s="62" t="s">
        <v>276</v>
      </c>
      <c r="AP303" s="62"/>
      <c r="AQ303" s="59"/>
    </row>
    <row r="304" spans="1:43" x14ac:dyDescent="0.2">
      <c r="A304">
        <v>303</v>
      </c>
      <c r="B304" s="33">
        <f>+B303+1</f>
        <v>102</v>
      </c>
      <c r="C304" s="34" t="s">
        <v>2471</v>
      </c>
      <c r="D304" s="35" t="s">
        <v>2472</v>
      </c>
      <c r="E304" s="36" t="s">
        <v>2473</v>
      </c>
      <c r="F304" s="334">
        <v>30387</v>
      </c>
      <c r="G304" s="36" t="s">
        <v>54</v>
      </c>
      <c r="H304" s="34" t="s">
        <v>2474</v>
      </c>
      <c r="I304" s="37" t="s">
        <v>958</v>
      </c>
      <c r="J304" s="425" t="s">
        <v>4769</v>
      </c>
      <c r="K304" s="37" t="s">
        <v>187</v>
      </c>
      <c r="L304" s="38" t="s">
        <v>2475</v>
      </c>
      <c r="M304" s="34" t="s">
        <v>41</v>
      </c>
      <c r="N304" s="39" t="s">
        <v>42</v>
      </c>
      <c r="O304" s="120" t="s">
        <v>2476</v>
      </c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42" t="s">
        <v>2477</v>
      </c>
      <c r="AB304" s="100" t="s">
        <v>2478</v>
      </c>
      <c r="AC304" s="44" t="s">
        <v>2479</v>
      </c>
      <c r="AD304" s="45">
        <v>44041</v>
      </c>
      <c r="AE304" s="101" t="s">
        <v>30</v>
      </c>
      <c r="AF304" s="36" t="s">
        <v>26</v>
      </c>
      <c r="AG304" s="61" t="s">
        <v>49</v>
      </c>
      <c r="AH304" s="48" t="s">
        <v>49</v>
      </c>
      <c r="AI304" s="48" t="s">
        <v>49</v>
      </c>
      <c r="AJ304" s="48" t="s">
        <v>49</v>
      </c>
      <c r="AK304" s="48" t="s">
        <v>49</v>
      </c>
      <c r="AL304" s="48" t="s">
        <v>49</v>
      </c>
      <c r="AM304" s="49" t="s">
        <v>49</v>
      </c>
      <c r="AN304" s="48" t="s">
        <v>49</v>
      </c>
      <c r="AO304" s="65" t="s">
        <v>32</v>
      </c>
      <c r="AP304" s="65"/>
      <c r="AQ304" s="59"/>
    </row>
    <row r="305" spans="1:43" x14ac:dyDescent="0.2">
      <c r="A305">
        <v>304</v>
      </c>
      <c r="B305" s="33">
        <f>+B304+1</f>
        <v>103</v>
      </c>
      <c r="C305" s="34" t="s">
        <v>2480</v>
      </c>
      <c r="D305" s="35" t="s">
        <v>2481</v>
      </c>
      <c r="E305" s="36" t="s">
        <v>2482</v>
      </c>
      <c r="F305" s="334">
        <v>29635</v>
      </c>
      <c r="G305" s="36" t="s">
        <v>36</v>
      </c>
      <c r="H305" s="34" t="s">
        <v>2483</v>
      </c>
      <c r="I305" s="37" t="s">
        <v>205</v>
      </c>
      <c r="J305" s="425" t="s">
        <v>4764</v>
      </c>
      <c r="K305" s="37" t="s">
        <v>205</v>
      </c>
      <c r="L305" s="38" t="s">
        <v>2484</v>
      </c>
      <c r="M305" s="34" t="s">
        <v>41</v>
      </c>
      <c r="N305" s="39" t="s">
        <v>42</v>
      </c>
      <c r="O305" s="120">
        <v>44137</v>
      </c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42" t="s">
        <v>2485</v>
      </c>
      <c r="AB305" s="100" t="s">
        <v>2486</v>
      </c>
      <c r="AC305" s="44" t="s">
        <v>2487</v>
      </c>
      <c r="AD305" s="45">
        <v>44041</v>
      </c>
      <c r="AE305" s="101" t="s">
        <v>30</v>
      </c>
      <c r="AF305" s="36" t="s">
        <v>26</v>
      </c>
      <c r="AG305" s="61" t="s">
        <v>49</v>
      </c>
      <c r="AH305" s="48" t="s">
        <v>49</v>
      </c>
      <c r="AI305" s="48" t="s">
        <v>49</v>
      </c>
      <c r="AJ305" s="48" t="s">
        <v>49</v>
      </c>
      <c r="AK305" s="48" t="s">
        <v>49</v>
      </c>
      <c r="AL305" s="48" t="s">
        <v>49</v>
      </c>
      <c r="AM305" s="49" t="s">
        <v>49</v>
      </c>
      <c r="AN305" s="48" t="s">
        <v>49</v>
      </c>
      <c r="AO305" s="62" t="s">
        <v>32</v>
      </c>
      <c r="AP305" s="62"/>
      <c r="AQ305" s="59"/>
    </row>
    <row r="306" spans="1:43" x14ac:dyDescent="0.2">
      <c r="A306">
        <v>305</v>
      </c>
      <c r="B306" s="33">
        <f>+B305+1</f>
        <v>104</v>
      </c>
      <c r="C306" s="34" t="s">
        <v>2488</v>
      </c>
      <c r="D306" s="35" t="s">
        <v>2489</v>
      </c>
      <c r="E306" s="36" t="s">
        <v>2490</v>
      </c>
      <c r="F306" s="36"/>
      <c r="G306" s="36" t="s">
        <v>36</v>
      </c>
      <c r="H306" s="34" t="s">
        <v>2491</v>
      </c>
      <c r="I306" s="37" t="s">
        <v>73</v>
      </c>
      <c r="J306" s="425" t="s">
        <v>4765</v>
      </c>
      <c r="K306" s="37" t="s">
        <v>73</v>
      </c>
      <c r="L306" s="34" t="s">
        <v>2492</v>
      </c>
      <c r="M306" s="34" t="s">
        <v>2492</v>
      </c>
      <c r="N306" s="39" t="s">
        <v>42</v>
      </c>
      <c r="O306" s="99" t="s">
        <v>2493</v>
      </c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7" t="s">
        <v>2494</v>
      </c>
      <c r="AB306" s="100" t="s">
        <v>2495</v>
      </c>
      <c r="AC306" s="44" t="s">
        <v>61</v>
      </c>
      <c r="AD306" s="45">
        <v>36641</v>
      </c>
      <c r="AE306" s="101" t="s">
        <v>30</v>
      </c>
      <c r="AF306" s="36" t="s">
        <v>26</v>
      </c>
      <c r="AG306" s="61" t="s">
        <v>49</v>
      </c>
      <c r="AH306" s="48" t="s">
        <v>49</v>
      </c>
      <c r="AI306" s="48" t="s">
        <v>49</v>
      </c>
      <c r="AJ306" s="48" t="s">
        <v>49</v>
      </c>
      <c r="AK306" s="48" t="s">
        <v>41</v>
      </c>
      <c r="AL306" s="48" t="s">
        <v>41</v>
      </c>
      <c r="AM306" s="49" t="s">
        <v>41</v>
      </c>
      <c r="AN306" s="48" t="s">
        <v>41</v>
      </c>
      <c r="AO306" s="62" t="s">
        <v>139</v>
      </c>
      <c r="AP306" s="62"/>
      <c r="AQ306" s="59"/>
    </row>
    <row r="307" spans="1:43" x14ac:dyDescent="0.2">
      <c r="A307">
        <v>306</v>
      </c>
      <c r="B307" s="33">
        <f>+B306+1</f>
        <v>105</v>
      </c>
      <c r="C307" s="34" t="s">
        <v>2496</v>
      </c>
      <c r="D307" s="35" t="s">
        <v>2497</v>
      </c>
      <c r="E307" s="398" t="s">
        <v>2498</v>
      </c>
      <c r="F307" s="334">
        <v>34235</v>
      </c>
      <c r="G307" s="36" t="s">
        <v>36</v>
      </c>
      <c r="H307" s="34" t="s">
        <v>2499</v>
      </c>
      <c r="I307" s="37" t="s">
        <v>73</v>
      </c>
      <c r="J307" s="425" t="s">
        <v>4765</v>
      </c>
      <c r="K307" s="37" t="s">
        <v>73</v>
      </c>
      <c r="L307" s="38" t="s">
        <v>2500</v>
      </c>
      <c r="M307" s="34" t="s">
        <v>41</v>
      </c>
      <c r="N307" s="39" t="s">
        <v>42</v>
      </c>
      <c r="O307" s="120">
        <v>45209</v>
      </c>
      <c r="P307" s="56"/>
      <c r="Q307" s="56"/>
      <c r="R307" s="56"/>
      <c r="S307" s="56"/>
      <c r="T307" s="56"/>
      <c r="U307" s="56"/>
      <c r="V307" s="56"/>
      <c r="W307" s="56" t="s">
        <v>44</v>
      </c>
      <c r="X307" s="56"/>
      <c r="Y307" s="56"/>
      <c r="Z307" s="56"/>
      <c r="AA307" s="54" t="s">
        <v>2501</v>
      </c>
      <c r="AB307" s="146" t="s">
        <v>2502</v>
      </c>
      <c r="AC307" s="146"/>
      <c r="AD307" s="45">
        <v>45642</v>
      </c>
      <c r="AE307" s="101"/>
      <c r="AF307" s="36"/>
      <c r="AG307" s="61" t="s">
        <v>49</v>
      </c>
      <c r="AH307" s="48" t="s">
        <v>41</v>
      </c>
      <c r="AI307" s="48" t="s">
        <v>41</v>
      </c>
      <c r="AJ307" s="48" t="s">
        <v>41</v>
      </c>
      <c r="AK307" s="48" t="s">
        <v>49</v>
      </c>
      <c r="AL307" s="48" t="s">
        <v>49</v>
      </c>
      <c r="AM307" s="49" t="s">
        <v>49</v>
      </c>
      <c r="AN307" s="48" t="s">
        <v>41</v>
      </c>
      <c r="AO307" s="65" t="s">
        <v>148</v>
      </c>
      <c r="AP307" s="65"/>
      <c r="AQ307" s="59"/>
    </row>
    <row r="308" spans="1:43" x14ac:dyDescent="0.2">
      <c r="A308">
        <v>307</v>
      </c>
      <c r="B308" s="33">
        <f>+B307+1</f>
        <v>106</v>
      </c>
      <c r="C308" s="34" t="s">
        <v>2503</v>
      </c>
      <c r="D308" s="35" t="s">
        <v>2504</v>
      </c>
      <c r="E308" s="399" t="s">
        <v>4713</v>
      </c>
      <c r="F308" s="334">
        <v>35579</v>
      </c>
      <c r="G308" s="36" t="s">
        <v>54</v>
      </c>
      <c r="H308" s="34" t="s">
        <v>2506</v>
      </c>
      <c r="I308" s="37" t="s">
        <v>176</v>
      </c>
      <c r="J308" s="425" t="s">
        <v>4761</v>
      </c>
      <c r="K308" s="37" t="s">
        <v>39</v>
      </c>
      <c r="L308" s="38" t="s">
        <v>41</v>
      </c>
      <c r="M308" s="34" t="s">
        <v>41</v>
      </c>
      <c r="N308" s="39" t="s">
        <v>42</v>
      </c>
      <c r="O308" s="99" t="s">
        <v>2508</v>
      </c>
      <c r="P308" s="56" t="s">
        <v>179</v>
      </c>
      <c r="Q308" s="56"/>
      <c r="R308" s="56"/>
      <c r="S308" s="56"/>
      <c r="T308" s="56"/>
      <c r="U308" s="56"/>
      <c r="V308" s="56"/>
      <c r="W308" s="56"/>
      <c r="X308" s="56"/>
      <c r="Y308" s="56"/>
      <c r="Z308" s="56" t="s">
        <v>732</v>
      </c>
      <c r="AA308" s="42" t="s">
        <v>4714</v>
      </c>
      <c r="AB308" s="69" t="s">
        <v>2510</v>
      </c>
      <c r="AC308" s="44" t="s">
        <v>2511</v>
      </c>
      <c r="AD308" s="45">
        <v>42935</v>
      </c>
      <c r="AE308" s="101" t="s">
        <v>30</v>
      </c>
      <c r="AF308" s="36" t="s">
        <v>26</v>
      </c>
      <c r="AG308" s="47" t="s">
        <v>49</v>
      </c>
      <c r="AH308" s="48" t="s">
        <v>49</v>
      </c>
      <c r="AI308" s="48" t="s">
        <v>49</v>
      </c>
      <c r="AJ308" s="48" t="s">
        <v>49</v>
      </c>
      <c r="AK308" s="48" t="s">
        <v>49</v>
      </c>
      <c r="AL308" s="48" t="s">
        <v>49</v>
      </c>
      <c r="AM308" s="49" t="s">
        <v>49</v>
      </c>
      <c r="AN308" s="48" t="s">
        <v>49</v>
      </c>
      <c r="AO308" s="65" t="s">
        <v>32</v>
      </c>
      <c r="AP308" s="65"/>
      <c r="AQ308" s="59"/>
    </row>
    <row r="309" spans="1:43" x14ac:dyDescent="0.2">
      <c r="A309">
        <v>308</v>
      </c>
      <c r="B309" s="33">
        <f>+B308+1</f>
        <v>107</v>
      </c>
      <c r="C309" s="34" t="s">
        <v>2512</v>
      </c>
      <c r="D309" s="35" t="s">
        <v>2513</v>
      </c>
      <c r="E309" s="36" t="s">
        <v>2514</v>
      </c>
      <c r="F309" s="334">
        <v>28595</v>
      </c>
      <c r="G309" s="36" t="s">
        <v>54</v>
      </c>
      <c r="H309" s="34" t="s">
        <v>2515</v>
      </c>
      <c r="I309" s="37" t="s">
        <v>350</v>
      </c>
      <c r="J309" s="425" t="s">
        <v>4751</v>
      </c>
      <c r="K309" s="37" t="s">
        <v>350</v>
      </c>
      <c r="L309" s="38" t="s">
        <v>2516</v>
      </c>
      <c r="M309" s="38" t="s">
        <v>2516</v>
      </c>
      <c r="N309" s="39" t="s">
        <v>42</v>
      </c>
      <c r="O309" s="99" t="s">
        <v>2517</v>
      </c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42" t="s">
        <v>2518</v>
      </c>
      <c r="AB309" s="52" t="s">
        <v>2519</v>
      </c>
      <c r="AC309" s="44" t="s">
        <v>61</v>
      </c>
      <c r="AD309" s="45">
        <v>38593</v>
      </c>
      <c r="AE309" s="101" t="s">
        <v>30</v>
      </c>
      <c r="AF309" s="36" t="s">
        <v>26</v>
      </c>
      <c r="AG309" s="47" t="s">
        <v>49</v>
      </c>
      <c r="AH309" s="48" t="s">
        <v>49</v>
      </c>
      <c r="AI309" s="48" t="s">
        <v>49</v>
      </c>
      <c r="AJ309" s="48" t="s">
        <v>49</v>
      </c>
      <c r="AK309" s="48" t="s">
        <v>49</v>
      </c>
      <c r="AL309" s="48" t="s">
        <v>49</v>
      </c>
      <c r="AM309" s="49" t="s">
        <v>49</v>
      </c>
      <c r="AN309" s="48" t="s">
        <v>49</v>
      </c>
      <c r="AO309" s="65" t="s">
        <v>32</v>
      </c>
      <c r="AP309" s="65"/>
      <c r="AQ309" s="59"/>
    </row>
    <row r="310" spans="1:43" x14ac:dyDescent="0.2">
      <c r="A310">
        <v>309</v>
      </c>
      <c r="B310" s="33">
        <f>+B309+1</f>
        <v>108</v>
      </c>
      <c r="C310" s="34" t="s">
        <v>2520</v>
      </c>
      <c r="D310" s="35" t="s">
        <v>2521</v>
      </c>
      <c r="E310" s="36" t="s">
        <v>2522</v>
      </c>
      <c r="F310" s="334">
        <v>24998</v>
      </c>
      <c r="G310" s="36" t="s">
        <v>54</v>
      </c>
      <c r="H310" s="98" t="s">
        <v>2523</v>
      </c>
      <c r="I310" s="37" t="s">
        <v>252</v>
      </c>
      <c r="J310" s="425" t="s">
        <v>4763</v>
      </c>
      <c r="K310" s="37" t="s">
        <v>57</v>
      </c>
      <c r="L310" s="34" t="s">
        <v>2524</v>
      </c>
      <c r="M310" s="34" t="s">
        <v>41</v>
      </c>
      <c r="N310" s="39" t="s">
        <v>42</v>
      </c>
      <c r="O310" s="99" t="s">
        <v>2525</v>
      </c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42" t="s">
        <v>2526</v>
      </c>
      <c r="AB310" s="58" t="s">
        <v>2527</v>
      </c>
      <c r="AC310" s="44" t="s">
        <v>2528</v>
      </c>
      <c r="AD310" s="45">
        <v>44041</v>
      </c>
      <c r="AE310" s="101" t="s">
        <v>30</v>
      </c>
      <c r="AF310" s="36" t="s">
        <v>26</v>
      </c>
      <c r="AG310" s="47" t="s">
        <v>49</v>
      </c>
      <c r="AH310" s="48" t="s">
        <v>49</v>
      </c>
      <c r="AI310" s="48" t="s">
        <v>49</v>
      </c>
      <c r="AJ310" s="48" t="s">
        <v>49</v>
      </c>
      <c r="AK310" s="48" t="s">
        <v>49</v>
      </c>
      <c r="AL310" s="48" t="s">
        <v>49</v>
      </c>
      <c r="AM310" s="49" t="s">
        <v>49</v>
      </c>
      <c r="AN310" s="48" t="s">
        <v>49</v>
      </c>
      <c r="AO310" s="62" t="s">
        <v>32</v>
      </c>
      <c r="AP310" s="62"/>
      <c r="AQ310" s="59"/>
    </row>
    <row r="311" spans="1:43" x14ac:dyDescent="0.2">
      <c r="A311">
        <v>310</v>
      </c>
      <c r="B311" s="33">
        <f>+B310+1</f>
        <v>109</v>
      </c>
      <c r="C311" s="34" t="s">
        <v>2529</v>
      </c>
      <c r="D311" s="35" t="s">
        <v>2530</v>
      </c>
      <c r="E311" s="36" t="s">
        <v>2531</v>
      </c>
      <c r="F311" s="334">
        <v>30382</v>
      </c>
      <c r="G311" s="36" t="s">
        <v>36</v>
      </c>
      <c r="H311" s="98" t="s">
        <v>2532</v>
      </c>
      <c r="I311" s="37" t="s">
        <v>1285</v>
      </c>
      <c r="J311" s="425" t="s">
        <v>4752</v>
      </c>
      <c r="K311" s="37" t="s">
        <v>350</v>
      </c>
      <c r="L311" s="38" t="s">
        <v>2533</v>
      </c>
      <c r="M311" s="34" t="s">
        <v>41</v>
      </c>
      <c r="N311" s="39" t="s">
        <v>42</v>
      </c>
      <c r="O311" s="120">
        <v>45516</v>
      </c>
      <c r="P311" s="56" t="s">
        <v>179</v>
      </c>
      <c r="Q311" s="56"/>
      <c r="R311" s="56"/>
      <c r="S311" s="56"/>
      <c r="T311" s="56" t="s">
        <v>179</v>
      </c>
      <c r="U311" s="56"/>
      <c r="V311" s="56"/>
      <c r="W311" s="56"/>
      <c r="X311" s="56" t="s">
        <v>44</v>
      </c>
      <c r="Y311" s="56"/>
      <c r="Z311" s="56"/>
      <c r="AA311" s="42" t="s">
        <v>2534</v>
      </c>
      <c r="AB311" s="58" t="s">
        <v>2535</v>
      </c>
      <c r="AC311" s="44"/>
      <c r="AD311" s="45"/>
      <c r="AE311" s="101"/>
      <c r="AF311" s="36"/>
      <c r="AG311" s="47" t="s">
        <v>49</v>
      </c>
      <c r="AH311" s="48" t="s">
        <v>41</v>
      </c>
      <c r="AI311" s="48" t="s">
        <v>41</v>
      </c>
      <c r="AJ311" s="48" t="s">
        <v>41</v>
      </c>
      <c r="AK311" s="48" t="s">
        <v>41</v>
      </c>
      <c r="AL311" s="48" t="s">
        <v>49</v>
      </c>
      <c r="AM311" s="49" t="s">
        <v>49</v>
      </c>
      <c r="AN311" s="48" t="s">
        <v>49</v>
      </c>
      <c r="AO311" s="62" t="s">
        <v>32</v>
      </c>
      <c r="AP311" s="62"/>
      <c r="AQ311" s="59"/>
    </row>
    <row r="312" spans="1:43" x14ac:dyDescent="0.2">
      <c r="A312">
        <v>311</v>
      </c>
      <c r="B312" s="33">
        <f>+B311+1</f>
        <v>110</v>
      </c>
      <c r="C312" s="34" t="s">
        <v>2536</v>
      </c>
      <c r="D312" s="35" t="s">
        <v>2537</v>
      </c>
      <c r="E312" s="36" t="s">
        <v>2538</v>
      </c>
      <c r="F312" s="334">
        <v>30532</v>
      </c>
      <c r="G312" s="36" t="s">
        <v>54</v>
      </c>
      <c r="H312" s="98" t="s">
        <v>2539</v>
      </c>
      <c r="I312" s="37" t="s">
        <v>73</v>
      </c>
      <c r="J312" s="425" t="s">
        <v>4765</v>
      </c>
      <c r="K312" s="37" t="s">
        <v>73</v>
      </c>
      <c r="L312" s="38" t="s">
        <v>2540</v>
      </c>
      <c r="M312" s="34" t="s">
        <v>41</v>
      </c>
      <c r="N312" s="39" t="s">
        <v>42</v>
      </c>
      <c r="O312" s="99" t="s">
        <v>2541</v>
      </c>
      <c r="P312" s="56" t="s">
        <v>179</v>
      </c>
      <c r="Q312" s="56"/>
      <c r="R312" s="56"/>
      <c r="S312" s="56"/>
      <c r="T312" s="56" t="s">
        <v>1041</v>
      </c>
      <c r="U312" s="56" t="s">
        <v>44</v>
      </c>
      <c r="V312" s="56"/>
      <c r="W312" s="56"/>
      <c r="X312" s="56"/>
      <c r="Y312" s="56"/>
      <c r="Z312" s="56"/>
      <c r="AA312" s="42" t="s">
        <v>2542</v>
      </c>
      <c r="AB312" s="58" t="s">
        <v>2543</v>
      </c>
      <c r="AC312" s="44"/>
      <c r="AD312" s="45" t="s">
        <v>47</v>
      </c>
      <c r="AE312" s="101"/>
      <c r="AF312" s="36"/>
      <c r="AG312" s="47" t="s">
        <v>49</v>
      </c>
      <c r="AH312" s="48" t="s">
        <v>41</v>
      </c>
      <c r="AI312" s="48" t="s">
        <v>49</v>
      </c>
      <c r="AJ312" s="48" t="s">
        <v>41</v>
      </c>
      <c r="AK312" s="48" t="s">
        <v>41</v>
      </c>
      <c r="AL312" s="48" t="s">
        <v>41</v>
      </c>
      <c r="AM312" s="49" t="s">
        <v>41</v>
      </c>
      <c r="AN312" s="48" t="s">
        <v>41</v>
      </c>
      <c r="AO312" s="62" t="s">
        <v>110</v>
      </c>
      <c r="AP312" s="62"/>
      <c r="AQ312" s="59"/>
    </row>
    <row r="313" spans="1:43" x14ac:dyDescent="0.2">
      <c r="A313">
        <v>312</v>
      </c>
      <c r="B313" s="33">
        <f>+B312+1</f>
        <v>111</v>
      </c>
      <c r="C313" s="34" t="s">
        <v>2544</v>
      </c>
      <c r="D313" s="35" t="s">
        <v>2545</v>
      </c>
      <c r="E313" s="73" t="s">
        <v>4775</v>
      </c>
      <c r="F313" s="73"/>
      <c r="G313" s="36" t="s">
        <v>36</v>
      </c>
      <c r="H313" s="98" t="s">
        <v>2547</v>
      </c>
      <c r="I313" s="37" t="s">
        <v>350</v>
      </c>
      <c r="J313" s="425" t="s">
        <v>4751</v>
      </c>
      <c r="K313" s="37" t="s">
        <v>350</v>
      </c>
      <c r="L313" s="34" t="s">
        <v>2548</v>
      </c>
      <c r="M313" s="34" t="s">
        <v>2548</v>
      </c>
      <c r="N313" s="39" t="s">
        <v>42</v>
      </c>
      <c r="O313" s="99" t="s">
        <v>2549</v>
      </c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42" t="s">
        <v>2550</v>
      </c>
      <c r="AB313" s="58" t="s">
        <v>2551</v>
      </c>
      <c r="AC313" s="44" t="s">
        <v>61</v>
      </c>
      <c r="AD313" s="45">
        <v>37877</v>
      </c>
      <c r="AE313" s="101" t="s">
        <v>30</v>
      </c>
      <c r="AF313" s="73" t="s">
        <v>26</v>
      </c>
      <c r="AG313" s="47" t="s">
        <v>49</v>
      </c>
      <c r="AH313" s="48" t="s">
        <v>49</v>
      </c>
      <c r="AI313" s="48" t="s">
        <v>49</v>
      </c>
      <c r="AJ313" s="48" t="s">
        <v>41</v>
      </c>
      <c r="AK313" s="48" t="s">
        <v>41</v>
      </c>
      <c r="AL313" s="48" t="s">
        <v>41</v>
      </c>
      <c r="AM313" s="49" t="s">
        <v>41</v>
      </c>
      <c r="AN313" s="48" t="s">
        <v>41</v>
      </c>
      <c r="AO313" s="62" t="s">
        <v>110</v>
      </c>
      <c r="AP313" s="62"/>
      <c r="AQ313" s="59"/>
    </row>
    <row r="314" spans="1:43" x14ac:dyDescent="0.2">
      <c r="A314">
        <v>313</v>
      </c>
      <c r="B314" s="33">
        <f>+B313+1</f>
        <v>112</v>
      </c>
      <c r="C314" s="221" t="s">
        <v>2552</v>
      </c>
      <c r="D314" s="35" t="s">
        <v>2553</v>
      </c>
      <c r="E314" s="36" t="s">
        <v>2554</v>
      </c>
      <c r="F314" s="334">
        <v>34101</v>
      </c>
      <c r="G314" s="36" t="s">
        <v>36</v>
      </c>
      <c r="H314" s="34" t="s">
        <v>2555</v>
      </c>
      <c r="I314" s="37" t="s">
        <v>73</v>
      </c>
      <c r="J314" s="425" t="s">
        <v>4765</v>
      </c>
      <c r="K314" s="37" t="s">
        <v>73</v>
      </c>
      <c r="L314" s="34" t="s">
        <v>2556</v>
      </c>
      <c r="M314" s="34" t="s">
        <v>2556</v>
      </c>
      <c r="N314" s="39" t="s">
        <v>42</v>
      </c>
      <c r="O314" s="99" t="s">
        <v>2557</v>
      </c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42" t="s">
        <v>2558</v>
      </c>
      <c r="AB314" s="52" t="s">
        <v>2559</v>
      </c>
      <c r="AC314" s="119" t="s">
        <v>2560</v>
      </c>
      <c r="AD314" s="45">
        <v>42935</v>
      </c>
      <c r="AE314" s="101" t="s">
        <v>129</v>
      </c>
      <c r="AF314" s="36" t="s">
        <v>26</v>
      </c>
      <c r="AG314" s="66" t="s">
        <v>130</v>
      </c>
      <c r="AH314" s="48" t="s">
        <v>130</v>
      </c>
      <c r="AI314" s="48" t="s">
        <v>130</v>
      </c>
      <c r="AJ314" s="48" t="s">
        <v>130</v>
      </c>
      <c r="AK314" s="48" t="s">
        <v>130</v>
      </c>
      <c r="AL314" s="48" t="s">
        <v>130</v>
      </c>
      <c r="AM314" s="49" t="s">
        <v>130</v>
      </c>
      <c r="AN314" s="48" t="s">
        <v>130</v>
      </c>
      <c r="AO314" s="62" t="s">
        <v>32</v>
      </c>
      <c r="AP314" s="62"/>
      <c r="AQ314" s="59"/>
    </row>
    <row r="315" spans="1:43" x14ac:dyDescent="0.2">
      <c r="A315">
        <v>314</v>
      </c>
      <c r="B315" s="33">
        <f>+B314+1</f>
        <v>113</v>
      </c>
      <c r="C315" s="221" t="s">
        <v>2561</v>
      </c>
      <c r="D315" s="35" t="s">
        <v>2562</v>
      </c>
      <c r="E315" s="36" t="s">
        <v>2563</v>
      </c>
      <c r="F315" s="334">
        <v>31615</v>
      </c>
      <c r="G315" s="36" t="s">
        <v>36</v>
      </c>
      <c r="H315" s="34" t="s">
        <v>2564</v>
      </c>
      <c r="I315" s="37" t="s">
        <v>56</v>
      </c>
      <c r="J315" s="425" t="s">
        <v>4739</v>
      </c>
      <c r="K315" s="37" t="s">
        <v>57</v>
      </c>
      <c r="L315" s="34" t="s">
        <v>2565</v>
      </c>
      <c r="M315" s="34" t="s">
        <v>41</v>
      </c>
      <c r="N315" s="39" t="s">
        <v>42</v>
      </c>
      <c r="O315" s="120">
        <v>39855</v>
      </c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2" t="s">
        <v>2566</v>
      </c>
      <c r="AB315" s="52" t="s">
        <v>2567</v>
      </c>
      <c r="AC315" s="461" t="s">
        <v>2568</v>
      </c>
      <c r="AD315" s="45">
        <v>44650</v>
      </c>
      <c r="AE315" s="101" t="s">
        <v>30</v>
      </c>
      <c r="AF315" s="36" t="s">
        <v>26</v>
      </c>
      <c r="AG315" s="47" t="s">
        <v>49</v>
      </c>
      <c r="AH315" s="48" t="s">
        <v>49</v>
      </c>
      <c r="AI315" s="48" t="s">
        <v>49</v>
      </c>
      <c r="AJ315" s="48" t="s">
        <v>49</v>
      </c>
      <c r="AK315" s="48" t="s">
        <v>49</v>
      </c>
      <c r="AL315" s="48" t="s">
        <v>49</v>
      </c>
      <c r="AM315" s="49" t="s">
        <v>49</v>
      </c>
      <c r="AN315" s="48" t="s">
        <v>49</v>
      </c>
      <c r="AO315" s="65" t="s">
        <v>32</v>
      </c>
      <c r="AP315" s="65"/>
      <c r="AQ315" s="59"/>
    </row>
    <row r="316" spans="1:43" x14ac:dyDescent="0.2">
      <c r="A316">
        <v>315</v>
      </c>
      <c r="B316" s="33">
        <f>+B315+1</f>
        <v>114</v>
      </c>
      <c r="C316" s="34" t="s">
        <v>2570</v>
      </c>
      <c r="D316" s="35" t="s">
        <v>2571</v>
      </c>
      <c r="E316" s="36" t="s">
        <v>2572</v>
      </c>
      <c r="F316" s="334">
        <v>28459</v>
      </c>
      <c r="G316" s="36" t="s">
        <v>54</v>
      </c>
      <c r="H316" s="34" t="s">
        <v>2573</v>
      </c>
      <c r="I316" s="37" t="s">
        <v>1285</v>
      </c>
      <c r="J316" s="425" t="s">
        <v>4752</v>
      </c>
      <c r="K316" s="37" t="s">
        <v>350</v>
      </c>
      <c r="L316" s="38" t="s">
        <v>2574</v>
      </c>
      <c r="M316" s="34"/>
      <c r="N316" s="39" t="s">
        <v>42</v>
      </c>
      <c r="O316" s="120">
        <v>45670</v>
      </c>
      <c r="P316" s="112"/>
      <c r="Q316" s="112"/>
      <c r="R316" s="112"/>
      <c r="S316" s="112"/>
      <c r="T316" s="112"/>
      <c r="U316" s="112"/>
      <c r="V316" s="112"/>
      <c r="W316" s="41"/>
      <c r="X316" s="41"/>
      <c r="Y316" s="41" t="s">
        <v>44</v>
      </c>
      <c r="Z316" s="41"/>
      <c r="AA316" s="42" t="s">
        <v>2575</v>
      </c>
      <c r="AB316" s="43" t="s">
        <v>2576</v>
      </c>
      <c r="AC316" s="121"/>
      <c r="AD316" s="45"/>
      <c r="AE316" s="101"/>
      <c r="AF316" s="36"/>
      <c r="AG316" s="47" t="s">
        <v>49</v>
      </c>
      <c r="AH316" s="48" t="s">
        <v>41</v>
      </c>
      <c r="AI316" s="48" t="s">
        <v>41</v>
      </c>
      <c r="AJ316" s="48" t="s">
        <v>41</v>
      </c>
      <c r="AK316" s="48" t="s">
        <v>41</v>
      </c>
      <c r="AL316" s="48" t="s">
        <v>41</v>
      </c>
      <c r="AM316" s="49" t="s">
        <v>49</v>
      </c>
      <c r="AN316" s="48" t="s">
        <v>49</v>
      </c>
      <c r="AO316" s="62" t="s">
        <v>32</v>
      </c>
      <c r="AP316" s="62"/>
      <c r="AQ316" s="59"/>
    </row>
    <row r="317" spans="1:43" x14ac:dyDescent="0.2">
      <c r="A317">
        <v>316</v>
      </c>
      <c r="B317" s="33">
        <f>+B316+1</f>
        <v>115</v>
      </c>
      <c r="C317" s="122" t="s">
        <v>2577</v>
      </c>
      <c r="D317" s="123" t="s">
        <v>2578</v>
      </c>
      <c r="E317" s="202" t="s">
        <v>4771</v>
      </c>
      <c r="F317" s="342">
        <v>22401</v>
      </c>
      <c r="G317" s="36" t="s">
        <v>54</v>
      </c>
      <c r="H317" s="122" t="s">
        <v>2580</v>
      </c>
      <c r="I317" s="126" t="s">
        <v>1417</v>
      </c>
      <c r="J317" s="425" t="s">
        <v>4738</v>
      </c>
      <c r="K317" s="126" t="s">
        <v>187</v>
      </c>
      <c r="L317" s="122" t="s">
        <v>2581</v>
      </c>
      <c r="M317" s="122" t="s">
        <v>41</v>
      </c>
      <c r="N317" s="128" t="s">
        <v>42</v>
      </c>
      <c r="O317" s="99" t="s">
        <v>1347</v>
      </c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5" t="s">
        <v>2582</v>
      </c>
      <c r="AB317" s="69" t="s">
        <v>2583</v>
      </c>
      <c r="AC317" s="44" t="s">
        <v>2584</v>
      </c>
      <c r="AD317" s="131">
        <v>42935</v>
      </c>
      <c r="AE317" s="164" t="s">
        <v>30</v>
      </c>
      <c r="AF317" s="36" t="s">
        <v>26</v>
      </c>
      <c r="AG317" s="222" t="s">
        <v>49</v>
      </c>
      <c r="AH317" s="48" t="s">
        <v>49</v>
      </c>
      <c r="AI317" s="48" t="s">
        <v>49</v>
      </c>
      <c r="AJ317" s="48" t="s">
        <v>49</v>
      </c>
      <c r="AK317" s="48" t="s">
        <v>49</v>
      </c>
      <c r="AL317" s="48" t="s">
        <v>49</v>
      </c>
      <c r="AM317" s="49" t="s">
        <v>49</v>
      </c>
      <c r="AN317" s="48" t="s">
        <v>49</v>
      </c>
      <c r="AO317" s="62" t="s">
        <v>32</v>
      </c>
      <c r="AP317" s="232"/>
      <c r="AQ317" s="134"/>
    </row>
    <row r="318" spans="1:43" x14ac:dyDescent="0.2">
      <c r="A318">
        <v>317</v>
      </c>
      <c r="B318" s="33">
        <f>+B317+1</f>
        <v>116</v>
      </c>
      <c r="C318" s="122" t="s">
        <v>2592</v>
      </c>
      <c r="D318" s="123" t="s">
        <v>2593</v>
      </c>
      <c r="E318" s="124" t="s">
        <v>2594</v>
      </c>
      <c r="F318" s="338">
        <v>28403</v>
      </c>
      <c r="G318" s="36" t="s">
        <v>36</v>
      </c>
      <c r="H318" s="122" t="s">
        <v>2595</v>
      </c>
      <c r="I318" s="126" t="s">
        <v>176</v>
      </c>
      <c r="J318" s="425" t="s">
        <v>4761</v>
      </c>
      <c r="K318" s="126" t="s">
        <v>39</v>
      </c>
      <c r="L318" s="127" t="s">
        <v>2596</v>
      </c>
      <c r="M318" s="122" t="s">
        <v>41</v>
      </c>
      <c r="N318" s="128" t="s">
        <v>42</v>
      </c>
      <c r="O318" s="165">
        <v>44443</v>
      </c>
      <c r="P318" s="130"/>
      <c r="Q318" s="130"/>
      <c r="R318" s="130"/>
      <c r="S318" s="130"/>
      <c r="T318" s="130"/>
      <c r="U318" s="130" t="s">
        <v>44</v>
      </c>
      <c r="V318" s="130"/>
      <c r="W318" s="130"/>
      <c r="X318" s="130"/>
      <c r="Y318" s="130"/>
      <c r="Z318" s="130"/>
      <c r="AA318" s="42" t="s">
        <v>2597</v>
      </c>
      <c r="AB318" s="58" t="s">
        <v>2598</v>
      </c>
      <c r="AC318" s="121" t="s">
        <v>2599</v>
      </c>
      <c r="AD318" s="131">
        <v>44650</v>
      </c>
      <c r="AE318" s="164" t="s">
        <v>30</v>
      </c>
      <c r="AF318" s="36"/>
      <c r="AG318" s="222" t="s">
        <v>49</v>
      </c>
      <c r="AH318" s="48" t="s">
        <v>41</v>
      </c>
      <c r="AI318" s="48" t="s">
        <v>49</v>
      </c>
      <c r="AJ318" s="48" t="s">
        <v>49</v>
      </c>
      <c r="AK318" s="48" t="s">
        <v>49</v>
      </c>
      <c r="AL318" s="48" t="s">
        <v>49</v>
      </c>
      <c r="AM318" s="49" t="s">
        <v>49</v>
      </c>
      <c r="AN318" s="48" t="s">
        <v>41</v>
      </c>
      <c r="AO318" s="65" t="s">
        <v>148</v>
      </c>
      <c r="AP318" s="325"/>
      <c r="AQ318" s="134"/>
    </row>
    <row r="319" spans="1:43" x14ac:dyDescent="0.2">
      <c r="A319">
        <v>318</v>
      </c>
      <c r="B319" s="33">
        <f>+B318+1</f>
        <v>117</v>
      </c>
      <c r="C319" s="122" t="s">
        <v>2585</v>
      </c>
      <c r="D319" s="123" t="s">
        <v>2586</v>
      </c>
      <c r="E319" s="202" t="s">
        <v>2587</v>
      </c>
      <c r="F319" s="342">
        <v>35470</v>
      </c>
      <c r="G319" s="36" t="s">
        <v>54</v>
      </c>
      <c r="H319" s="122" t="s">
        <v>2588</v>
      </c>
      <c r="I319" s="126" t="s">
        <v>252</v>
      </c>
      <c r="J319" s="425" t="s">
        <v>4763</v>
      </c>
      <c r="K319" s="126" t="s">
        <v>57</v>
      </c>
      <c r="L319" s="127" t="s">
        <v>2589</v>
      </c>
      <c r="M319" s="122"/>
      <c r="N319" s="128" t="s">
        <v>42</v>
      </c>
      <c r="O319" s="165">
        <v>45581</v>
      </c>
      <c r="P319" s="130"/>
      <c r="Q319" s="130"/>
      <c r="R319" s="130"/>
      <c r="S319" s="130"/>
      <c r="T319" s="130"/>
      <c r="U319" s="130"/>
      <c r="V319" s="130"/>
      <c r="W319" s="130"/>
      <c r="X319" s="130" t="s">
        <v>44</v>
      </c>
      <c r="Y319" s="130"/>
      <c r="Z319" s="130"/>
      <c r="AA319" s="54" t="s">
        <v>2590</v>
      </c>
      <c r="AB319" s="83" t="s">
        <v>2591</v>
      </c>
      <c r="AC319" s="44"/>
      <c r="AD319" s="131"/>
      <c r="AE319" s="164"/>
      <c r="AF319" s="36"/>
      <c r="AG319" s="222" t="s">
        <v>49</v>
      </c>
      <c r="AH319" s="48" t="s">
        <v>41</v>
      </c>
      <c r="AI319" s="48" t="s">
        <v>41</v>
      </c>
      <c r="AJ319" s="48" t="s">
        <v>41</v>
      </c>
      <c r="AK319" s="48" t="s">
        <v>41</v>
      </c>
      <c r="AL319" s="48" t="s">
        <v>49</v>
      </c>
      <c r="AM319" s="49" t="s">
        <v>49</v>
      </c>
      <c r="AN319" s="48" t="s">
        <v>49</v>
      </c>
      <c r="AO319" s="65" t="s">
        <v>32</v>
      </c>
      <c r="AP319" s="325"/>
      <c r="AQ319" s="134"/>
    </row>
    <row r="320" spans="1:43" x14ac:dyDescent="0.2">
      <c r="A320">
        <v>319</v>
      </c>
      <c r="B320" s="33">
        <f>+B319+1</f>
        <v>118</v>
      </c>
      <c r="C320" s="122" t="s">
        <v>2600</v>
      </c>
      <c r="D320" s="123" t="s">
        <v>2601</v>
      </c>
      <c r="E320" s="36" t="s">
        <v>2602</v>
      </c>
      <c r="F320" s="334">
        <v>35040</v>
      </c>
      <c r="G320" s="36" t="s">
        <v>36</v>
      </c>
      <c r="H320" s="122" t="s">
        <v>2603</v>
      </c>
      <c r="I320" s="126" t="s">
        <v>398</v>
      </c>
      <c r="J320" s="425" t="s">
        <v>4745</v>
      </c>
      <c r="K320" s="126" t="s">
        <v>205</v>
      </c>
      <c r="L320" s="127" t="s">
        <v>2604</v>
      </c>
      <c r="M320" s="122" t="s">
        <v>41</v>
      </c>
      <c r="N320" s="128" t="s">
        <v>42</v>
      </c>
      <c r="O320" s="165">
        <v>45302</v>
      </c>
      <c r="P320" s="130" t="s">
        <v>179</v>
      </c>
      <c r="Q320" s="130"/>
      <c r="R320" s="130"/>
      <c r="S320" s="130"/>
      <c r="T320" s="130"/>
      <c r="U320" s="130"/>
      <c r="V320" s="130"/>
      <c r="W320" s="130"/>
      <c r="X320" s="130" t="s">
        <v>44</v>
      </c>
      <c r="Y320" s="130"/>
      <c r="Z320" s="130"/>
      <c r="AA320" s="42" t="s">
        <v>2605</v>
      </c>
      <c r="AB320" s="58" t="s">
        <v>2606</v>
      </c>
      <c r="AC320" s="119"/>
      <c r="AD320" s="131"/>
      <c r="AE320" s="164"/>
      <c r="AF320" s="36"/>
      <c r="AG320" s="222" t="s">
        <v>49</v>
      </c>
      <c r="AH320" s="48" t="s">
        <v>41</v>
      </c>
      <c r="AI320" s="48" t="s">
        <v>41</v>
      </c>
      <c r="AJ320" s="48" t="s">
        <v>41</v>
      </c>
      <c r="AK320" s="48" t="s">
        <v>41</v>
      </c>
      <c r="AL320" s="48" t="s">
        <v>49</v>
      </c>
      <c r="AM320" s="49" t="s">
        <v>49</v>
      </c>
      <c r="AN320" s="48" t="s">
        <v>49</v>
      </c>
      <c r="AO320" s="62" t="s">
        <v>32</v>
      </c>
      <c r="AP320" s="232"/>
      <c r="AQ320" s="134"/>
    </row>
    <row r="321" spans="1:43" x14ac:dyDescent="0.2">
      <c r="A321">
        <v>320</v>
      </c>
      <c r="B321" s="33">
        <f>+B320+1</f>
        <v>119</v>
      </c>
      <c r="C321" s="122" t="s">
        <v>2607</v>
      </c>
      <c r="D321" s="123" t="s">
        <v>2608</v>
      </c>
      <c r="E321" s="36" t="s">
        <v>4805</v>
      </c>
      <c r="F321" s="334">
        <v>21588</v>
      </c>
      <c r="G321" s="36" t="s">
        <v>54</v>
      </c>
      <c r="H321" s="122" t="s">
        <v>2610</v>
      </c>
      <c r="I321" s="126" t="s">
        <v>73</v>
      </c>
      <c r="J321" s="425" t="s">
        <v>4765</v>
      </c>
      <c r="K321" s="126" t="s">
        <v>73</v>
      </c>
      <c r="L321" s="122" t="s">
        <v>2611</v>
      </c>
      <c r="M321" s="122" t="s">
        <v>2611</v>
      </c>
      <c r="N321" s="128" t="s">
        <v>42</v>
      </c>
      <c r="O321" s="165">
        <v>30353</v>
      </c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42" t="s">
        <v>2612</v>
      </c>
      <c r="AB321" s="58" t="s">
        <v>2613</v>
      </c>
      <c r="AC321" s="233" t="s">
        <v>2614</v>
      </c>
      <c r="AD321" s="45">
        <v>42935</v>
      </c>
      <c r="AE321" s="164" t="s">
        <v>30</v>
      </c>
      <c r="AF321" s="36" t="s">
        <v>26</v>
      </c>
      <c r="AG321" s="222" t="s">
        <v>49</v>
      </c>
      <c r="AH321" s="48" t="s">
        <v>49</v>
      </c>
      <c r="AI321" s="48" t="s">
        <v>49</v>
      </c>
      <c r="AJ321" s="48" t="s">
        <v>49</v>
      </c>
      <c r="AK321" s="48" t="s">
        <v>49</v>
      </c>
      <c r="AL321" s="48" t="s">
        <v>49</v>
      </c>
      <c r="AM321" s="49" t="s">
        <v>49</v>
      </c>
      <c r="AN321" s="48" t="s">
        <v>49</v>
      </c>
      <c r="AO321" s="65" t="s">
        <v>32</v>
      </c>
      <c r="AP321" s="65"/>
      <c r="AQ321" s="59"/>
    </row>
    <row r="322" spans="1:43" x14ac:dyDescent="0.2">
      <c r="A322">
        <v>321</v>
      </c>
      <c r="B322" s="33">
        <f>+B321+1</f>
        <v>120</v>
      </c>
      <c r="C322" s="34" t="s">
        <v>2615</v>
      </c>
      <c r="D322" s="35" t="s">
        <v>2616</v>
      </c>
      <c r="E322" s="73" t="s">
        <v>4715</v>
      </c>
      <c r="F322" s="335">
        <v>27511</v>
      </c>
      <c r="G322" s="36" t="s">
        <v>54</v>
      </c>
      <c r="H322" s="34" t="s">
        <v>2618</v>
      </c>
      <c r="I322" s="37" t="s">
        <v>73</v>
      </c>
      <c r="J322" s="425" t="s">
        <v>4765</v>
      </c>
      <c r="K322" s="37" t="s">
        <v>73</v>
      </c>
      <c r="L322" s="38" t="s">
        <v>41</v>
      </c>
      <c r="M322" s="34"/>
      <c r="N322" s="39" t="s">
        <v>42</v>
      </c>
      <c r="O322" s="120">
        <v>45114</v>
      </c>
      <c r="P322" s="56"/>
      <c r="Q322" s="56"/>
      <c r="R322" s="56"/>
      <c r="S322" s="56"/>
      <c r="T322" s="56"/>
      <c r="U322" s="56"/>
      <c r="V322" s="56"/>
      <c r="W322" s="56" t="s">
        <v>44</v>
      </c>
      <c r="X322" s="56"/>
      <c r="Y322" s="56"/>
      <c r="Z322" s="56"/>
      <c r="AA322" s="42" t="s">
        <v>4716</v>
      </c>
      <c r="AB322" s="83" t="s">
        <v>2621</v>
      </c>
      <c r="AC322" s="58"/>
      <c r="AD322" s="45"/>
      <c r="AE322" s="101"/>
      <c r="AF322" s="36"/>
      <c r="AG322" s="61" t="s">
        <v>49</v>
      </c>
      <c r="AH322" s="48" t="s">
        <v>41</v>
      </c>
      <c r="AI322" s="48" t="s">
        <v>41</v>
      </c>
      <c r="AJ322" s="48" t="s">
        <v>41</v>
      </c>
      <c r="AK322" s="48" t="s">
        <v>49</v>
      </c>
      <c r="AL322" s="48" t="s">
        <v>49</v>
      </c>
      <c r="AM322" s="49" t="s">
        <v>49</v>
      </c>
      <c r="AN322" s="48" t="s">
        <v>49</v>
      </c>
      <c r="AO322" s="62" t="s">
        <v>32</v>
      </c>
      <c r="AP322" s="62"/>
      <c r="AQ322" s="59"/>
    </row>
    <row r="323" spans="1:43" x14ac:dyDescent="0.2">
      <c r="A323">
        <v>322</v>
      </c>
      <c r="B323" s="33">
        <f>+B322+1</f>
        <v>121</v>
      </c>
      <c r="C323" s="34" t="s">
        <v>2622</v>
      </c>
      <c r="D323" s="35" t="s">
        <v>2623</v>
      </c>
      <c r="E323" s="36" t="s">
        <v>2624</v>
      </c>
      <c r="F323" s="334">
        <v>28292</v>
      </c>
      <c r="G323" s="36" t="s">
        <v>54</v>
      </c>
      <c r="H323" s="34" t="s">
        <v>2625</v>
      </c>
      <c r="I323" s="37" t="s">
        <v>73</v>
      </c>
      <c r="J323" s="425" t="s">
        <v>4765</v>
      </c>
      <c r="K323" s="37" t="s">
        <v>73</v>
      </c>
      <c r="L323" s="34" t="s">
        <v>1649</v>
      </c>
      <c r="M323" s="34" t="s">
        <v>1649</v>
      </c>
      <c r="N323" s="39" t="s">
        <v>42</v>
      </c>
      <c r="O323" s="99" t="s">
        <v>1496</v>
      </c>
      <c r="P323" s="41"/>
      <c r="Q323" s="41"/>
      <c r="R323" s="41"/>
      <c r="S323" s="41"/>
      <c r="T323" s="41" t="s">
        <v>2626</v>
      </c>
      <c r="U323" s="41"/>
      <c r="V323" s="41"/>
      <c r="W323" s="41"/>
      <c r="X323" s="41"/>
      <c r="Y323" s="41"/>
      <c r="Z323" s="41"/>
      <c r="AA323" s="42" t="s">
        <v>2627</v>
      </c>
      <c r="AB323" s="69" t="s">
        <v>2628</v>
      </c>
      <c r="AC323" s="44" t="s">
        <v>61</v>
      </c>
      <c r="AD323" s="45">
        <v>36641</v>
      </c>
      <c r="AE323" s="101" t="s">
        <v>30</v>
      </c>
      <c r="AF323" s="36" t="s">
        <v>26</v>
      </c>
      <c r="AG323" s="47" t="s">
        <v>49</v>
      </c>
      <c r="AH323" s="48" t="s">
        <v>49</v>
      </c>
      <c r="AI323" s="48" t="s">
        <v>49</v>
      </c>
      <c r="AJ323" s="48" t="s">
        <v>49</v>
      </c>
      <c r="AK323" s="48" t="s">
        <v>49</v>
      </c>
      <c r="AL323" s="48" t="s">
        <v>49</v>
      </c>
      <c r="AM323" s="49" t="s">
        <v>49</v>
      </c>
      <c r="AN323" s="48" t="s">
        <v>49</v>
      </c>
      <c r="AO323" s="62" t="s">
        <v>32</v>
      </c>
      <c r="AP323" s="62"/>
      <c r="AQ323" s="59"/>
    </row>
    <row r="324" spans="1:43" ht="19.5" customHeight="1" x14ac:dyDescent="0.2">
      <c r="A324">
        <v>323</v>
      </c>
      <c r="B324" s="33">
        <f>+B323+1</f>
        <v>122</v>
      </c>
      <c r="C324" s="34" t="s">
        <v>2629</v>
      </c>
      <c r="D324" s="35" t="s">
        <v>2630</v>
      </c>
      <c r="E324" s="36" t="s">
        <v>2631</v>
      </c>
      <c r="F324" s="334">
        <v>35615</v>
      </c>
      <c r="G324" s="36" t="s">
        <v>54</v>
      </c>
      <c r="H324" s="34" t="s">
        <v>2632</v>
      </c>
      <c r="I324" s="37" t="s">
        <v>73</v>
      </c>
      <c r="J324" s="425" t="s">
        <v>4765</v>
      </c>
      <c r="K324" s="37" t="s">
        <v>73</v>
      </c>
      <c r="L324" s="34" t="s">
        <v>2633</v>
      </c>
      <c r="M324" s="34" t="s">
        <v>41</v>
      </c>
      <c r="N324" s="39" t="s">
        <v>42</v>
      </c>
      <c r="O324" s="99" t="s">
        <v>1022</v>
      </c>
      <c r="P324" s="41" t="s">
        <v>179</v>
      </c>
      <c r="Q324" s="41" t="s">
        <v>514</v>
      </c>
      <c r="R324" s="41"/>
      <c r="S324" s="41"/>
      <c r="T324" s="41"/>
      <c r="U324" s="41"/>
      <c r="V324" s="41" t="s">
        <v>44</v>
      </c>
      <c r="W324" s="41"/>
      <c r="X324" s="41"/>
      <c r="Y324" s="41"/>
      <c r="Z324" s="41"/>
      <c r="AA324" s="42" t="s">
        <v>2634</v>
      </c>
      <c r="AB324" s="83" t="s">
        <v>2635</v>
      </c>
      <c r="AC324" s="119"/>
      <c r="AD324" s="45">
        <v>45642</v>
      </c>
      <c r="AE324" s="101"/>
      <c r="AF324" s="36"/>
      <c r="AG324" s="47" t="s">
        <v>49</v>
      </c>
      <c r="AH324" s="48" t="s">
        <v>41</v>
      </c>
      <c r="AI324" s="48" t="s">
        <v>41</v>
      </c>
      <c r="AJ324" s="48" t="s">
        <v>49</v>
      </c>
      <c r="AK324" s="48" t="s">
        <v>49</v>
      </c>
      <c r="AL324" s="48" t="s">
        <v>49</v>
      </c>
      <c r="AM324" s="49" t="s">
        <v>41</v>
      </c>
      <c r="AN324" s="48" t="s">
        <v>41</v>
      </c>
      <c r="AO324" s="62" t="s">
        <v>276</v>
      </c>
      <c r="AP324" s="62"/>
      <c r="AQ324" s="59"/>
    </row>
    <row r="325" spans="1:43" ht="16" x14ac:dyDescent="0.2">
      <c r="A325">
        <v>324</v>
      </c>
      <c r="B325" s="33">
        <f>+B324+1</f>
        <v>123</v>
      </c>
      <c r="C325" s="34" t="s">
        <v>2636</v>
      </c>
      <c r="D325" s="35" t="s">
        <v>2637</v>
      </c>
      <c r="E325" s="36" t="s">
        <v>2638</v>
      </c>
      <c r="F325" s="334">
        <v>26047</v>
      </c>
      <c r="G325" s="36" t="s">
        <v>54</v>
      </c>
      <c r="H325" s="34" t="s">
        <v>2639</v>
      </c>
      <c r="I325" s="37" t="s">
        <v>73</v>
      </c>
      <c r="J325" s="425" t="s">
        <v>4765</v>
      </c>
      <c r="K325" s="37" t="s">
        <v>73</v>
      </c>
      <c r="L325" s="38" t="s">
        <v>2640</v>
      </c>
      <c r="M325" s="34"/>
      <c r="N325" s="39" t="s">
        <v>42</v>
      </c>
      <c r="O325" s="120">
        <v>42106</v>
      </c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2" t="s">
        <v>2641</v>
      </c>
      <c r="AB325" s="52" t="s">
        <v>2642</v>
      </c>
      <c r="AC325" s="207" t="s">
        <v>2643</v>
      </c>
      <c r="AD325" s="45">
        <v>44944</v>
      </c>
      <c r="AE325" s="101" t="s">
        <v>30</v>
      </c>
      <c r="AF325" s="36" t="s">
        <v>26</v>
      </c>
      <c r="AG325" s="47" t="s">
        <v>49</v>
      </c>
      <c r="AH325" s="48" t="s">
        <v>49</v>
      </c>
      <c r="AI325" s="48" t="s">
        <v>49</v>
      </c>
      <c r="AJ325" s="48" t="s">
        <v>49</v>
      </c>
      <c r="AK325" s="48" t="s">
        <v>49</v>
      </c>
      <c r="AL325" s="48" t="s">
        <v>49</v>
      </c>
      <c r="AM325" s="49" t="s">
        <v>49</v>
      </c>
      <c r="AN325" s="48" t="s">
        <v>49</v>
      </c>
      <c r="AO325" s="65" t="s">
        <v>32</v>
      </c>
      <c r="AP325" s="65"/>
      <c r="AQ325" s="59"/>
    </row>
    <row r="326" spans="1:43" x14ac:dyDescent="0.2">
      <c r="A326">
        <v>325</v>
      </c>
      <c r="B326" s="33">
        <f>+B325+1</f>
        <v>124</v>
      </c>
      <c r="C326" s="34" t="s">
        <v>2644</v>
      </c>
      <c r="D326" s="35" t="s">
        <v>2645</v>
      </c>
      <c r="E326" s="36" t="s">
        <v>2646</v>
      </c>
      <c r="F326" s="334">
        <v>34999</v>
      </c>
      <c r="G326" s="36" t="s">
        <v>36</v>
      </c>
      <c r="H326" s="34" t="s">
        <v>2647</v>
      </c>
      <c r="I326" s="37" t="s">
        <v>176</v>
      </c>
      <c r="J326" s="425" t="s">
        <v>4761</v>
      </c>
      <c r="K326" s="37" t="s">
        <v>39</v>
      </c>
      <c r="L326" s="38" t="s">
        <v>2648</v>
      </c>
      <c r="M326" s="34" t="s">
        <v>41</v>
      </c>
      <c r="N326" s="39" t="s">
        <v>42</v>
      </c>
      <c r="O326" s="120" t="s">
        <v>2649</v>
      </c>
      <c r="P326" s="56"/>
      <c r="Q326" s="56"/>
      <c r="R326" s="56"/>
      <c r="S326" s="56"/>
      <c r="T326" s="56"/>
      <c r="U326" s="56"/>
      <c r="V326" s="56"/>
      <c r="W326" s="56" t="s">
        <v>732</v>
      </c>
      <c r="X326" s="56"/>
      <c r="Y326" s="56"/>
      <c r="Z326" s="56"/>
      <c r="AA326" s="42" t="s">
        <v>2650</v>
      </c>
      <c r="AB326" s="58" t="s">
        <v>2651</v>
      </c>
      <c r="AC326" s="44"/>
      <c r="AD326" s="45" t="s">
        <v>47</v>
      </c>
      <c r="AE326" s="101"/>
      <c r="AF326" s="36" t="s">
        <v>26</v>
      </c>
      <c r="AG326" s="47" t="s">
        <v>49</v>
      </c>
      <c r="AH326" s="48" t="s">
        <v>49</v>
      </c>
      <c r="AI326" s="48" t="s">
        <v>49</v>
      </c>
      <c r="AJ326" s="48" t="s">
        <v>49</v>
      </c>
      <c r="AK326" s="48" t="s">
        <v>49</v>
      </c>
      <c r="AL326" s="48" t="s">
        <v>49</v>
      </c>
      <c r="AM326" s="49" t="s">
        <v>49</v>
      </c>
      <c r="AN326" s="48" t="s">
        <v>41</v>
      </c>
      <c r="AO326" s="65" t="s">
        <v>148</v>
      </c>
      <c r="AP326" s="65"/>
      <c r="AQ326" s="59"/>
    </row>
    <row r="327" spans="1:43" x14ac:dyDescent="0.2">
      <c r="A327">
        <v>326</v>
      </c>
      <c r="B327" s="33">
        <f>+B326+1</f>
        <v>125</v>
      </c>
      <c r="C327" s="394" t="s">
        <v>2652</v>
      </c>
      <c r="D327" s="35" t="s">
        <v>2653</v>
      </c>
      <c r="E327" s="73" t="s">
        <v>2654</v>
      </c>
      <c r="F327" s="73"/>
      <c r="G327" s="36" t="s">
        <v>54</v>
      </c>
      <c r="H327" s="401" t="s">
        <v>2655</v>
      </c>
      <c r="I327" s="37" t="s">
        <v>214</v>
      </c>
      <c r="J327" s="425" t="s">
        <v>4743</v>
      </c>
      <c r="K327" s="37" t="s">
        <v>205</v>
      </c>
      <c r="L327" s="34" t="s">
        <v>2656</v>
      </c>
      <c r="M327" s="34" t="s">
        <v>41</v>
      </c>
      <c r="N327" s="39" t="s">
        <v>42</v>
      </c>
      <c r="O327" s="99" t="s">
        <v>2657</v>
      </c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42" t="s">
        <v>2658</v>
      </c>
      <c r="AB327" s="58" t="s">
        <v>2659</v>
      </c>
      <c r="AC327" s="417" t="s">
        <v>61</v>
      </c>
      <c r="AD327" s="45">
        <v>37877</v>
      </c>
      <c r="AE327" s="101" t="s">
        <v>30</v>
      </c>
      <c r="AF327" s="73"/>
      <c r="AG327" s="47" t="s">
        <v>49</v>
      </c>
      <c r="AH327" s="48" t="s">
        <v>41</v>
      </c>
      <c r="AI327" s="48" t="s">
        <v>41</v>
      </c>
      <c r="AJ327" s="48" t="s">
        <v>41</v>
      </c>
      <c r="AK327" s="48" t="s">
        <v>41</v>
      </c>
      <c r="AL327" s="48" t="s">
        <v>41</v>
      </c>
      <c r="AM327" s="49" t="s">
        <v>41</v>
      </c>
      <c r="AN327" s="48" t="s">
        <v>41</v>
      </c>
      <c r="AO327" s="65" t="s">
        <v>4588</v>
      </c>
      <c r="AP327" s="65"/>
      <c r="AQ327" s="59" t="s">
        <v>460</v>
      </c>
    </row>
    <row r="328" spans="1:43" x14ac:dyDescent="0.2">
      <c r="A328">
        <v>327</v>
      </c>
      <c r="B328" s="33">
        <f>+B327+1</f>
        <v>126</v>
      </c>
      <c r="C328" s="394" t="s">
        <v>2660</v>
      </c>
      <c r="D328" s="35" t="s">
        <v>2661</v>
      </c>
      <c r="E328" s="36" t="s">
        <v>2662</v>
      </c>
      <c r="F328" s="334">
        <v>31789</v>
      </c>
      <c r="G328" s="36" t="s">
        <v>54</v>
      </c>
      <c r="H328" s="34" t="s">
        <v>2663</v>
      </c>
      <c r="I328" s="37" t="s">
        <v>4658</v>
      </c>
      <c r="J328" s="425" t="s">
        <v>4753</v>
      </c>
      <c r="K328" s="37" t="s">
        <v>350</v>
      </c>
      <c r="L328" s="34" t="s">
        <v>2664</v>
      </c>
      <c r="M328" s="34"/>
      <c r="N328" s="39" t="s">
        <v>42</v>
      </c>
      <c r="O328" s="99" t="s">
        <v>2139</v>
      </c>
      <c r="P328" s="56"/>
      <c r="Q328" s="56"/>
      <c r="R328" s="56"/>
      <c r="S328" s="56"/>
      <c r="T328" s="56"/>
      <c r="U328" s="56"/>
      <c r="V328" s="56"/>
      <c r="W328" s="56" t="s">
        <v>732</v>
      </c>
      <c r="X328" s="56"/>
      <c r="Y328" s="56"/>
      <c r="Z328" s="56"/>
      <c r="AA328" s="42" t="s">
        <v>2665</v>
      </c>
      <c r="AB328" s="58" t="s">
        <v>2666</v>
      </c>
      <c r="AC328" s="44"/>
      <c r="AD328" s="45" t="s">
        <v>47</v>
      </c>
      <c r="AE328" s="101" t="s">
        <v>342</v>
      </c>
      <c r="AF328" s="36" t="s">
        <v>26</v>
      </c>
      <c r="AG328" s="47" t="s">
        <v>49</v>
      </c>
      <c r="AH328" s="48" t="s">
        <v>49</v>
      </c>
      <c r="AI328" s="48" t="s">
        <v>49</v>
      </c>
      <c r="AJ328" s="48" t="s">
        <v>49</v>
      </c>
      <c r="AK328" s="48" t="s">
        <v>49</v>
      </c>
      <c r="AL328" s="48" t="s">
        <v>49</v>
      </c>
      <c r="AM328" s="49" t="s">
        <v>49</v>
      </c>
      <c r="AN328" s="48" t="s">
        <v>49</v>
      </c>
      <c r="AO328" s="62" t="s">
        <v>32</v>
      </c>
      <c r="AP328" s="62"/>
      <c r="AQ328" s="59"/>
    </row>
    <row r="329" spans="1:43" x14ac:dyDescent="0.2">
      <c r="A329">
        <v>328</v>
      </c>
      <c r="B329" s="33">
        <f>+B328+1</f>
        <v>127</v>
      </c>
      <c r="C329" s="34" t="s">
        <v>2667</v>
      </c>
      <c r="D329" s="35" t="s">
        <v>2668</v>
      </c>
      <c r="E329" s="36" t="s">
        <v>2669</v>
      </c>
      <c r="F329" s="334">
        <v>32617</v>
      </c>
      <c r="G329" s="36" t="s">
        <v>54</v>
      </c>
      <c r="H329" s="34" t="s">
        <v>2670</v>
      </c>
      <c r="I329" s="37" t="s">
        <v>73</v>
      </c>
      <c r="J329" s="425" t="s">
        <v>4765</v>
      </c>
      <c r="K329" s="37" t="s">
        <v>73</v>
      </c>
      <c r="L329" s="34" t="s">
        <v>2671</v>
      </c>
      <c r="M329" s="34"/>
      <c r="N329" s="39" t="s">
        <v>42</v>
      </c>
      <c r="O329" s="99" t="s">
        <v>2672</v>
      </c>
      <c r="P329" s="56"/>
      <c r="Q329" s="137"/>
      <c r="R329" s="137"/>
      <c r="S329" s="137"/>
      <c r="T329" s="137"/>
      <c r="U329" s="137"/>
      <c r="V329" s="137"/>
      <c r="W329" s="137" t="s">
        <v>44</v>
      </c>
      <c r="X329" s="137"/>
      <c r="Y329" s="137"/>
      <c r="Z329" s="137"/>
      <c r="AA329" s="42" t="s">
        <v>2673</v>
      </c>
      <c r="AB329" s="58" t="s">
        <v>2674</v>
      </c>
      <c r="AC329" s="44"/>
      <c r="AD329" s="45">
        <v>45642</v>
      </c>
      <c r="AE329" s="101"/>
      <c r="AF329" s="36"/>
      <c r="AG329" s="47" t="s">
        <v>49</v>
      </c>
      <c r="AH329" s="48" t="s">
        <v>41</v>
      </c>
      <c r="AI329" s="48" t="s">
        <v>41</v>
      </c>
      <c r="AJ329" s="48" t="s">
        <v>41</v>
      </c>
      <c r="AK329" s="48" t="s">
        <v>49</v>
      </c>
      <c r="AL329" s="48" t="s">
        <v>49</v>
      </c>
      <c r="AM329" s="49" t="s">
        <v>49</v>
      </c>
      <c r="AN329" s="48" t="s">
        <v>49</v>
      </c>
      <c r="AO329" s="62" t="s">
        <v>32</v>
      </c>
      <c r="AP329" s="62" t="s">
        <v>4681</v>
      </c>
      <c r="AQ329" s="59"/>
    </row>
    <row r="330" spans="1:43" x14ac:dyDescent="0.2">
      <c r="A330">
        <v>329</v>
      </c>
      <c r="B330" s="33">
        <f>+B329+1</f>
        <v>128</v>
      </c>
      <c r="C330" s="34" t="s">
        <v>2675</v>
      </c>
      <c r="D330" s="35" t="s">
        <v>2676</v>
      </c>
      <c r="E330" s="36" t="s">
        <v>4824</v>
      </c>
      <c r="F330" s="334">
        <v>21544</v>
      </c>
      <c r="G330" s="36" t="s">
        <v>54</v>
      </c>
      <c r="H330" s="34" t="s">
        <v>2678</v>
      </c>
      <c r="I330" s="37" t="s">
        <v>73</v>
      </c>
      <c r="J330" s="425" t="s">
        <v>4765</v>
      </c>
      <c r="K330" s="37" t="s">
        <v>73</v>
      </c>
      <c r="L330" s="34" t="s">
        <v>2679</v>
      </c>
      <c r="M330" s="34" t="s">
        <v>2680</v>
      </c>
      <c r="N330" s="39" t="s">
        <v>42</v>
      </c>
      <c r="O330" s="120">
        <v>35617</v>
      </c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2" t="s">
        <v>2681</v>
      </c>
      <c r="AB330" s="58" t="s">
        <v>2682</v>
      </c>
      <c r="AC330" s="44" t="s">
        <v>61</v>
      </c>
      <c r="AD330" s="45">
        <v>36803</v>
      </c>
      <c r="AE330" s="101" t="s">
        <v>30</v>
      </c>
      <c r="AF330" s="36" t="s">
        <v>26</v>
      </c>
      <c r="AG330" s="47" t="s">
        <v>49</v>
      </c>
      <c r="AH330" s="48" t="s">
        <v>49</v>
      </c>
      <c r="AI330" s="48" t="s">
        <v>49</v>
      </c>
      <c r="AJ330" s="48" t="s">
        <v>49</v>
      </c>
      <c r="AK330" s="48" t="s">
        <v>49</v>
      </c>
      <c r="AL330" s="48" t="s">
        <v>49</v>
      </c>
      <c r="AM330" s="49" t="s">
        <v>49</v>
      </c>
      <c r="AN330" s="48" t="s">
        <v>49</v>
      </c>
      <c r="AO330" s="62" t="s">
        <v>32</v>
      </c>
      <c r="AP330" s="62"/>
      <c r="AQ330" s="59"/>
    </row>
    <row r="331" spans="1:43" x14ac:dyDescent="0.2">
      <c r="A331">
        <v>330</v>
      </c>
      <c r="B331" s="33">
        <f>+B330+1</f>
        <v>129</v>
      </c>
      <c r="C331" s="34" t="s">
        <v>2683</v>
      </c>
      <c r="D331" s="35" t="s">
        <v>2684</v>
      </c>
      <c r="E331" s="36" t="s">
        <v>2685</v>
      </c>
      <c r="F331" s="334">
        <v>28987</v>
      </c>
      <c r="G331" s="36" t="s">
        <v>54</v>
      </c>
      <c r="H331" s="34" t="s">
        <v>2686</v>
      </c>
      <c r="I331" s="37" t="s">
        <v>73</v>
      </c>
      <c r="J331" s="425" t="s">
        <v>4765</v>
      </c>
      <c r="K331" s="37" t="s">
        <v>73</v>
      </c>
      <c r="L331" s="34" t="s">
        <v>2687</v>
      </c>
      <c r="M331" s="34" t="s">
        <v>2688</v>
      </c>
      <c r="N331" s="39" t="s">
        <v>42</v>
      </c>
      <c r="O331" s="99" t="s">
        <v>273</v>
      </c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2" t="s">
        <v>2689</v>
      </c>
      <c r="AB331" s="52" t="s">
        <v>2690</v>
      </c>
      <c r="AC331" s="44" t="s">
        <v>2691</v>
      </c>
      <c r="AD331" s="45">
        <v>43200</v>
      </c>
      <c r="AE331" s="101" t="s">
        <v>30</v>
      </c>
      <c r="AF331" s="36" t="s">
        <v>26</v>
      </c>
      <c r="AG331" s="47" t="s">
        <v>49</v>
      </c>
      <c r="AH331" s="48" t="s">
        <v>49</v>
      </c>
      <c r="AI331" s="48" t="s">
        <v>49</v>
      </c>
      <c r="AJ331" s="48" t="s">
        <v>49</v>
      </c>
      <c r="AK331" s="48" t="s">
        <v>49</v>
      </c>
      <c r="AL331" s="48" t="s">
        <v>49</v>
      </c>
      <c r="AM331" s="49" t="s">
        <v>49</v>
      </c>
      <c r="AN331" s="48" t="s">
        <v>49</v>
      </c>
      <c r="AO331" s="62" t="s">
        <v>32</v>
      </c>
      <c r="AP331" s="62"/>
      <c r="AQ331" s="59"/>
    </row>
    <row r="332" spans="1:43" x14ac:dyDescent="0.2">
      <c r="A332">
        <v>331</v>
      </c>
      <c r="B332" s="33">
        <f>+B331+1</f>
        <v>130</v>
      </c>
      <c r="C332" s="34" t="s">
        <v>2692</v>
      </c>
      <c r="D332" s="35" t="s">
        <v>2693</v>
      </c>
      <c r="E332" s="36" t="s">
        <v>4823</v>
      </c>
      <c r="F332" s="334">
        <v>20326</v>
      </c>
      <c r="G332" s="36" t="s">
        <v>54</v>
      </c>
      <c r="H332" s="34" t="s">
        <v>2695</v>
      </c>
      <c r="I332" s="37" t="s">
        <v>73</v>
      </c>
      <c r="J332" s="425" t="s">
        <v>4765</v>
      </c>
      <c r="K332" s="37" t="s">
        <v>73</v>
      </c>
      <c r="L332" s="34" t="s">
        <v>2696</v>
      </c>
      <c r="M332" s="34" t="s">
        <v>2687</v>
      </c>
      <c r="N332" s="39" t="s">
        <v>42</v>
      </c>
      <c r="O332" s="120">
        <v>37715</v>
      </c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2" t="s">
        <v>2697</v>
      </c>
      <c r="AB332" s="43" t="s">
        <v>2698</v>
      </c>
      <c r="AC332" s="119" t="s">
        <v>61</v>
      </c>
      <c r="AD332" s="45">
        <v>37877</v>
      </c>
      <c r="AE332" s="101" t="s">
        <v>30</v>
      </c>
      <c r="AF332" s="36" t="s">
        <v>26</v>
      </c>
      <c r="AG332" s="47" t="s">
        <v>49</v>
      </c>
      <c r="AH332" s="48" t="s">
        <v>49</v>
      </c>
      <c r="AI332" s="48" t="s">
        <v>49</v>
      </c>
      <c r="AJ332" s="48" t="s">
        <v>49</v>
      </c>
      <c r="AK332" s="48" t="s">
        <v>49</v>
      </c>
      <c r="AL332" s="48" t="s">
        <v>49</v>
      </c>
      <c r="AM332" s="49" t="s">
        <v>49</v>
      </c>
      <c r="AN332" s="48" t="s">
        <v>49</v>
      </c>
      <c r="AO332" s="62" t="s">
        <v>32</v>
      </c>
      <c r="AP332" s="62"/>
      <c r="AQ332" s="59"/>
    </row>
    <row r="333" spans="1:43" x14ac:dyDescent="0.2">
      <c r="A333">
        <v>332</v>
      </c>
      <c r="B333" s="33">
        <f>+B332+1</f>
        <v>131</v>
      </c>
      <c r="C333" s="34" t="s">
        <v>2699</v>
      </c>
      <c r="D333" s="35" t="s">
        <v>2700</v>
      </c>
      <c r="E333" s="36" t="s">
        <v>2701</v>
      </c>
      <c r="F333" s="334">
        <v>36291</v>
      </c>
      <c r="G333" s="36" t="s">
        <v>54</v>
      </c>
      <c r="H333" s="34" t="s">
        <v>2702</v>
      </c>
      <c r="I333" s="37" t="s">
        <v>243</v>
      </c>
      <c r="J333" s="425" t="s">
        <v>4744</v>
      </c>
      <c r="K333" s="37" t="s">
        <v>205</v>
      </c>
      <c r="L333" s="38" t="s">
        <v>2703</v>
      </c>
      <c r="M333" s="34"/>
      <c r="N333" s="39" t="s">
        <v>42</v>
      </c>
      <c r="O333" s="120" t="s">
        <v>2704</v>
      </c>
      <c r="P333" s="41"/>
      <c r="Q333" s="41"/>
      <c r="R333" s="41"/>
      <c r="S333" s="41"/>
      <c r="T333" s="41"/>
      <c r="U333" s="41"/>
      <c r="V333" s="41" t="s">
        <v>44</v>
      </c>
      <c r="W333" s="41"/>
      <c r="X333" s="41"/>
      <c r="Y333" s="41"/>
      <c r="Z333" s="41"/>
      <c r="AA333" s="57" t="s">
        <v>2705</v>
      </c>
      <c r="AB333" s="43" t="s">
        <v>2706</v>
      </c>
      <c r="AC333" s="461" t="s">
        <v>2707</v>
      </c>
      <c r="AD333" s="45">
        <v>44650</v>
      </c>
      <c r="AE333" s="101" t="s">
        <v>30</v>
      </c>
      <c r="AF333" s="36"/>
      <c r="AG333" s="47" t="s">
        <v>49</v>
      </c>
      <c r="AH333" s="48" t="s">
        <v>41</v>
      </c>
      <c r="AI333" s="48" t="s">
        <v>41</v>
      </c>
      <c r="AJ333" s="48" t="s">
        <v>49</v>
      </c>
      <c r="AK333" s="48" t="s">
        <v>49</v>
      </c>
      <c r="AL333" s="48" t="s">
        <v>49</v>
      </c>
      <c r="AM333" s="49" t="s">
        <v>49</v>
      </c>
      <c r="AN333" s="48" t="s">
        <v>41</v>
      </c>
      <c r="AO333" s="62" t="s">
        <v>148</v>
      </c>
      <c r="AP333" s="62"/>
      <c r="AQ333" s="59"/>
    </row>
    <row r="334" spans="1:43" x14ac:dyDescent="0.2">
      <c r="A334">
        <v>333</v>
      </c>
      <c r="B334" s="33">
        <f>+B333+1</f>
        <v>132</v>
      </c>
      <c r="C334" s="34" t="s">
        <v>2708</v>
      </c>
      <c r="D334" s="35" t="s">
        <v>2709</v>
      </c>
      <c r="E334" s="36" t="s">
        <v>4772</v>
      </c>
      <c r="F334" s="334">
        <v>26101</v>
      </c>
      <c r="G334" s="36" t="s">
        <v>54</v>
      </c>
      <c r="H334" s="34" t="s">
        <v>2711</v>
      </c>
      <c r="I334" s="37" t="s">
        <v>323</v>
      </c>
      <c r="J334" s="425" t="s">
        <v>4758</v>
      </c>
      <c r="K334" s="37" t="s">
        <v>39</v>
      </c>
      <c r="L334" s="38" t="s">
        <v>2712</v>
      </c>
      <c r="M334" s="34" t="s">
        <v>41</v>
      </c>
      <c r="N334" s="39" t="s">
        <v>42</v>
      </c>
      <c r="O334" s="120">
        <v>45643</v>
      </c>
      <c r="P334" s="41"/>
      <c r="Q334" s="41"/>
      <c r="R334" s="41"/>
      <c r="S334" s="41"/>
      <c r="T334" s="41"/>
      <c r="U334" s="41"/>
      <c r="V334" s="41"/>
      <c r="W334" s="41"/>
      <c r="X334" s="41" t="s">
        <v>44</v>
      </c>
      <c r="Y334" s="41"/>
      <c r="Z334" s="41"/>
      <c r="AA334" s="54" t="s">
        <v>2713</v>
      </c>
      <c r="AB334" s="43" t="s">
        <v>2714</v>
      </c>
      <c r="AC334" s="121"/>
      <c r="AD334" s="45"/>
      <c r="AE334" s="101"/>
      <c r="AF334" s="36"/>
      <c r="AG334" s="47" t="s">
        <v>49</v>
      </c>
      <c r="AH334" s="48" t="s">
        <v>41</v>
      </c>
      <c r="AI334" s="48" t="s">
        <v>41</v>
      </c>
      <c r="AJ334" s="48" t="s">
        <v>41</v>
      </c>
      <c r="AK334" s="48" t="s">
        <v>41</v>
      </c>
      <c r="AL334" s="48" t="s">
        <v>49</v>
      </c>
      <c r="AM334" s="49" t="s">
        <v>49</v>
      </c>
      <c r="AN334" s="48" t="s">
        <v>41</v>
      </c>
      <c r="AO334" s="62" t="s">
        <v>148</v>
      </c>
      <c r="AP334" s="62"/>
      <c r="AQ334" s="59"/>
    </row>
    <row r="335" spans="1:43" x14ac:dyDescent="0.2">
      <c r="A335">
        <v>334</v>
      </c>
      <c r="B335" s="33">
        <f>+B334+1</f>
        <v>133</v>
      </c>
      <c r="C335" s="34" t="s">
        <v>2715</v>
      </c>
      <c r="D335" s="35" t="s">
        <v>2716</v>
      </c>
      <c r="E335" s="36" t="s">
        <v>2717</v>
      </c>
      <c r="F335" s="334">
        <v>34486</v>
      </c>
      <c r="G335" s="36" t="s">
        <v>36</v>
      </c>
      <c r="H335" s="34" t="s">
        <v>2718</v>
      </c>
      <c r="I335" s="37" t="s">
        <v>73</v>
      </c>
      <c r="J335" s="425" t="s">
        <v>4765</v>
      </c>
      <c r="K335" s="37" t="s">
        <v>73</v>
      </c>
      <c r="L335" s="34" t="s">
        <v>2719</v>
      </c>
      <c r="M335" s="34" t="s">
        <v>41</v>
      </c>
      <c r="N335" s="39" t="s">
        <v>42</v>
      </c>
      <c r="O335" s="99" t="s">
        <v>2720</v>
      </c>
      <c r="P335" s="56"/>
      <c r="Q335" s="56"/>
      <c r="R335" s="56"/>
      <c r="S335" s="56"/>
      <c r="T335" s="56"/>
      <c r="U335" s="56"/>
      <c r="V335" s="56" t="s">
        <v>732</v>
      </c>
      <c r="W335" s="56"/>
      <c r="X335" s="56"/>
      <c r="Y335" s="56"/>
      <c r="Z335" s="56"/>
      <c r="AA335" s="42" t="s">
        <v>2721</v>
      </c>
      <c r="AB335" s="52" t="s">
        <v>2722</v>
      </c>
      <c r="AC335" s="44"/>
      <c r="AD335" s="45" t="s">
        <v>47</v>
      </c>
      <c r="AE335" s="101"/>
      <c r="AF335" s="36" t="s">
        <v>26</v>
      </c>
      <c r="AG335" s="47" t="s">
        <v>49</v>
      </c>
      <c r="AH335" s="48" t="s">
        <v>49</v>
      </c>
      <c r="AI335" s="48" t="s">
        <v>49</v>
      </c>
      <c r="AJ335" s="48" t="s">
        <v>49</v>
      </c>
      <c r="AK335" s="48" t="s">
        <v>49</v>
      </c>
      <c r="AL335" s="48" t="s">
        <v>49</v>
      </c>
      <c r="AM335" s="49" t="s">
        <v>49</v>
      </c>
      <c r="AN335" s="48" t="s">
        <v>49</v>
      </c>
      <c r="AO335" s="65" t="s">
        <v>32</v>
      </c>
      <c r="AP335" s="65"/>
      <c r="AQ335" s="59"/>
    </row>
    <row r="336" spans="1:43" x14ac:dyDescent="0.2">
      <c r="A336">
        <v>335</v>
      </c>
      <c r="B336" s="33">
        <f>+B335+1</f>
        <v>134</v>
      </c>
      <c r="C336" s="34" t="s">
        <v>2723</v>
      </c>
      <c r="D336" s="35" t="s">
        <v>2724</v>
      </c>
      <c r="E336" s="36" t="s">
        <v>4819</v>
      </c>
      <c r="F336" s="36"/>
      <c r="G336" s="36" t="s">
        <v>54</v>
      </c>
      <c r="H336" s="34" t="s">
        <v>2726</v>
      </c>
      <c r="I336" s="37" t="s">
        <v>350</v>
      </c>
      <c r="J336" s="425" t="s">
        <v>4751</v>
      </c>
      <c r="K336" s="37" t="s">
        <v>350</v>
      </c>
      <c r="L336" s="38" t="s">
        <v>2727</v>
      </c>
      <c r="M336" s="34" t="s">
        <v>41</v>
      </c>
      <c r="N336" s="39" t="s">
        <v>42</v>
      </c>
      <c r="O336" s="120">
        <v>32513</v>
      </c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2" t="s">
        <v>2728</v>
      </c>
      <c r="AB336" s="58" t="s">
        <v>2729</v>
      </c>
      <c r="AC336" s="44" t="s">
        <v>61</v>
      </c>
      <c r="AD336" s="45">
        <v>37877</v>
      </c>
      <c r="AE336" s="101" t="s">
        <v>30</v>
      </c>
      <c r="AF336" s="36"/>
      <c r="AG336" s="47" t="s">
        <v>49</v>
      </c>
      <c r="AH336" s="48" t="s">
        <v>41</v>
      </c>
      <c r="AI336" s="48" t="s">
        <v>41</v>
      </c>
      <c r="AJ336" s="48" t="s">
        <v>41</v>
      </c>
      <c r="AK336" s="48" t="s">
        <v>41</v>
      </c>
      <c r="AL336" s="48" t="s">
        <v>41</v>
      </c>
      <c r="AM336" s="49" t="s">
        <v>41</v>
      </c>
      <c r="AN336" s="48" t="s">
        <v>41</v>
      </c>
      <c r="AO336" s="65" t="s">
        <v>4592</v>
      </c>
      <c r="AP336" s="65"/>
      <c r="AQ336" s="59"/>
    </row>
    <row r="337" spans="1:43" x14ac:dyDescent="0.2">
      <c r="A337">
        <v>336</v>
      </c>
      <c r="B337" s="33">
        <f>+B336+1</f>
        <v>135</v>
      </c>
      <c r="C337" s="34" t="s">
        <v>2730</v>
      </c>
      <c r="D337" s="35" t="s">
        <v>2731</v>
      </c>
      <c r="E337" s="36" t="s">
        <v>4846</v>
      </c>
      <c r="F337" s="334">
        <v>20852</v>
      </c>
      <c r="G337" s="36" t="s">
        <v>54</v>
      </c>
      <c r="H337" s="34" t="s">
        <v>2733</v>
      </c>
      <c r="I337" s="37" t="s">
        <v>73</v>
      </c>
      <c r="J337" s="425" t="s">
        <v>4765</v>
      </c>
      <c r="K337" s="37" t="s">
        <v>73</v>
      </c>
      <c r="L337" s="34" t="s">
        <v>2734</v>
      </c>
      <c r="M337" s="34" t="s">
        <v>41</v>
      </c>
      <c r="N337" s="39" t="s">
        <v>42</v>
      </c>
      <c r="O337" s="120">
        <v>33762</v>
      </c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2" t="s">
        <v>2735</v>
      </c>
      <c r="AB337" s="58" t="s">
        <v>2736</v>
      </c>
      <c r="AC337" s="44" t="s">
        <v>61</v>
      </c>
      <c r="AD337" s="45">
        <v>34597</v>
      </c>
      <c r="AE337" s="101" t="s">
        <v>30</v>
      </c>
      <c r="AF337" s="36" t="s">
        <v>26</v>
      </c>
      <c r="AG337" s="64" t="s">
        <v>120</v>
      </c>
      <c r="AH337" s="48" t="s">
        <v>120</v>
      </c>
      <c r="AI337" s="48" t="s">
        <v>120</v>
      </c>
      <c r="AJ337" s="48" t="s">
        <v>120</v>
      </c>
      <c r="AK337" s="48" t="s">
        <v>120</v>
      </c>
      <c r="AL337" s="48" t="s">
        <v>120</v>
      </c>
      <c r="AM337" s="49" t="s">
        <v>120</v>
      </c>
      <c r="AN337" s="48" t="s">
        <v>120</v>
      </c>
      <c r="AO337" s="62" t="s">
        <v>32</v>
      </c>
      <c r="AP337" s="62"/>
      <c r="AQ337" s="59"/>
    </row>
    <row r="338" spans="1:43" x14ac:dyDescent="0.2">
      <c r="A338">
        <v>337</v>
      </c>
      <c r="B338" s="33">
        <f>+B337+1</f>
        <v>136</v>
      </c>
      <c r="C338" s="34" t="s">
        <v>2737</v>
      </c>
      <c r="D338" s="35" t="s">
        <v>2738</v>
      </c>
      <c r="E338" s="36" t="s">
        <v>4785</v>
      </c>
      <c r="F338" s="334">
        <v>25437</v>
      </c>
      <c r="G338" s="36" t="s">
        <v>36</v>
      </c>
      <c r="H338" s="34" t="s">
        <v>2740</v>
      </c>
      <c r="I338" s="37" t="s">
        <v>243</v>
      </c>
      <c r="J338" s="425" t="s">
        <v>4744</v>
      </c>
      <c r="K338" s="37" t="s">
        <v>205</v>
      </c>
      <c r="L338" s="34" t="s">
        <v>2741</v>
      </c>
      <c r="M338" s="34" t="s">
        <v>41</v>
      </c>
      <c r="N338" s="39" t="s">
        <v>42</v>
      </c>
      <c r="O338" s="99" t="s">
        <v>2742</v>
      </c>
      <c r="P338" s="56" t="s">
        <v>179</v>
      </c>
      <c r="Q338" s="56"/>
      <c r="R338" s="56"/>
      <c r="S338" s="56"/>
      <c r="T338" s="56"/>
      <c r="U338" s="56"/>
      <c r="V338" s="56"/>
      <c r="W338" s="56"/>
      <c r="X338" s="56"/>
      <c r="Y338" s="56" t="s">
        <v>732</v>
      </c>
      <c r="Z338" s="56"/>
      <c r="AA338" s="42" t="s">
        <v>2743</v>
      </c>
      <c r="AB338" s="69" t="s">
        <v>2744</v>
      </c>
      <c r="AC338" s="44" t="s">
        <v>2745</v>
      </c>
      <c r="AD338" s="45">
        <v>41793</v>
      </c>
      <c r="AE338" s="101" t="s">
        <v>30</v>
      </c>
      <c r="AF338" s="36" t="s">
        <v>26</v>
      </c>
      <c r="AG338" s="47" t="s">
        <v>49</v>
      </c>
      <c r="AH338" s="48" t="s">
        <v>49</v>
      </c>
      <c r="AI338" s="48" t="s">
        <v>49</v>
      </c>
      <c r="AJ338" s="48" t="s">
        <v>49</v>
      </c>
      <c r="AK338" s="48" t="s">
        <v>49</v>
      </c>
      <c r="AL338" s="48" t="s">
        <v>49</v>
      </c>
      <c r="AM338" s="49" t="s">
        <v>49</v>
      </c>
      <c r="AN338" s="48" t="s">
        <v>49</v>
      </c>
      <c r="AO338" s="62" t="s">
        <v>32</v>
      </c>
      <c r="AP338" s="62"/>
      <c r="AQ338" s="59"/>
    </row>
    <row r="339" spans="1:43" ht="18.75" customHeight="1" x14ac:dyDescent="0.2">
      <c r="A339">
        <v>338</v>
      </c>
      <c r="B339" s="33">
        <f>+B338+1</f>
        <v>137</v>
      </c>
      <c r="C339" s="34" t="s">
        <v>2746</v>
      </c>
      <c r="D339" s="35" t="s">
        <v>2747</v>
      </c>
      <c r="E339" s="36" t="s">
        <v>2748</v>
      </c>
      <c r="F339" s="36"/>
      <c r="G339" s="36" t="s">
        <v>54</v>
      </c>
      <c r="H339" s="34" t="s">
        <v>2749</v>
      </c>
      <c r="I339" s="37" t="s">
        <v>73</v>
      </c>
      <c r="J339" s="425" t="s">
        <v>4765</v>
      </c>
      <c r="K339" s="37" t="s">
        <v>73</v>
      </c>
      <c r="L339" s="38" t="s">
        <v>2750</v>
      </c>
      <c r="M339" s="34" t="s">
        <v>41</v>
      </c>
      <c r="N339" s="39" t="s">
        <v>42</v>
      </c>
      <c r="O339" s="99" t="s">
        <v>2751</v>
      </c>
      <c r="P339" s="56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42" t="s">
        <v>2752</v>
      </c>
      <c r="AB339" s="69" t="s">
        <v>2753</v>
      </c>
      <c r="AC339" s="119" t="s">
        <v>2754</v>
      </c>
      <c r="AD339" s="45">
        <v>44041</v>
      </c>
      <c r="AE339" s="101" t="s">
        <v>30</v>
      </c>
      <c r="AF339" s="36"/>
      <c r="AG339" s="47" t="s">
        <v>49</v>
      </c>
      <c r="AH339" s="48" t="s">
        <v>41</v>
      </c>
      <c r="AI339" s="48" t="s">
        <v>41</v>
      </c>
      <c r="AJ339" s="48" t="s">
        <v>41</v>
      </c>
      <c r="AK339" s="48" t="s">
        <v>41</v>
      </c>
      <c r="AL339" s="48" t="s">
        <v>41</v>
      </c>
      <c r="AM339" s="49" t="s">
        <v>41</v>
      </c>
      <c r="AN339" s="48" t="s">
        <v>41</v>
      </c>
      <c r="AO339" s="65" t="s">
        <v>4590</v>
      </c>
      <c r="AP339" s="65"/>
      <c r="AQ339" s="59" t="s">
        <v>1230</v>
      </c>
    </row>
    <row r="340" spans="1:43" ht="18.75" customHeight="1" x14ac:dyDescent="0.2">
      <c r="A340">
        <v>339</v>
      </c>
      <c r="B340" s="33">
        <f>+B339+1</f>
        <v>138</v>
      </c>
      <c r="C340" s="34" t="s">
        <v>2755</v>
      </c>
      <c r="D340" s="35" t="s">
        <v>2756</v>
      </c>
      <c r="E340" s="36" t="s">
        <v>2757</v>
      </c>
      <c r="F340" s="334">
        <v>27863</v>
      </c>
      <c r="G340" s="36" t="s">
        <v>54</v>
      </c>
      <c r="H340" s="34" t="s">
        <v>2758</v>
      </c>
      <c r="I340" s="37" t="s">
        <v>73</v>
      </c>
      <c r="J340" s="425" t="s">
        <v>4765</v>
      </c>
      <c r="K340" s="37" t="s">
        <v>73</v>
      </c>
      <c r="L340" s="38" t="s">
        <v>2759</v>
      </c>
      <c r="M340" s="34"/>
      <c r="N340" s="39" t="s">
        <v>42</v>
      </c>
      <c r="O340" s="99" t="s">
        <v>2760</v>
      </c>
      <c r="P340" s="56"/>
      <c r="Q340" s="56"/>
      <c r="R340" s="56"/>
      <c r="S340" s="56"/>
      <c r="T340" s="115"/>
      <c r="U340" s="115" t="s">
        <v>44</v>
      </c>
      <c r="V340" s="115"/>
      <c r="W340" s="56"/>
      <c r="X340" s="56"/>
      <c r="Y340" s="56"/>
      <c r="Z340" s="56"/>
      <c r="AA340" s="42" t="s">
        <v>2761</v>
      </c>
      <c r="AB340" s="58" t="s">
        <v>2762</v>
      </c>
      <c r="AC340" s="211" t="s">
        <v>2763</v>
      </c>
      <c r="AD340" s="45">
        <v>44944</v>
      </c>
      <c r="AE340" s="101" t="s">
        <v>30</v>
      </c>
      <c r="AF340" s="36"/>
      <c r="AG340" s="47" t="s">
        <v>49</v>
      </c>
      <c r="AH340" s="48" t="s">
        <v>41</v>
      </c>
      <c r="AI340" s="48" t="s">
        <v>49</v>
      </c>
      <c r="AJ340" s="48" t="s">
        <v>49</v>
      </c>
      <c r="AK340" s="48" t="s">
        <v>49</v>
      </c>
      <c r="AL340" s="48" t="s">
        <v>49</v>
      </c>
      <c r="AM340" s="49" t="s">
        <v>49</v>
      </c>
      <c r="AN340" s="48" t="s">
        <v>49</v>
      </c>
      <c r="AO340" s="62" t="s">
        <v>32</v>
      </c>
      <c r="AP340" s="62"/>
      <c r="AQ340" s="59"/>
    </row>
    <row r="341" spans="1:43" ht="18.75" customHeight="1" x14ac:dyDescent="0.2">
      <c r="A341">
        <v>340</v>
      </c>
      <c r="B341" s="33" t="e">
        <f>+#REF!+1</f>
        <v>#REF!</v>
      </c>
      <c r="C341" s="34" t="s">
        <v>2764</v>
      </c>
      <c r="D341" s="35" t="s">
        <v>2765</v>
      </c>
      <c r="E341" s="36" t="s">
        <v>2766</v>
      </c>
      <c r="F341" s="36"/>
      <c r="G341" s="36" t="s">
        <v>54</v>
      </c>
      <c r="H341" s="34" t="s">
        <v>2767</v>
      </c>
      <c r="I341" s="37" t="s">
        <v>205</v>
      </c>
      <c r="J341" s="456" t="s">
        <v>4764</v>
      </c>
      <c r="K341" s="37" t="s">
        <v>205</v>
      </c>
      <c r="L341" s="34" t="s">
        <v>2768</v>
      </c>
      <c r="M341" s="34" t="s">
        <v>41</v>
      </c>
      <c r="N341" s="39" t="s">
        <v>42</v>
      </c>
      <c r="O341" s="99" t="s">
        <v>2769</v>
      </c>
      <c r="P341" s="56"/>
      <c r="Q341" s="56"/>
      <c r="R341" s="56"/>
      <c r="S341" s="56"/>
      <c r="T341" s="115"/>
      <c r="U341" s="115"/>
      <c r="V341" s="115"/>
      <c r="W341" s="56"/>
      <c r="X341" s="56"/>
      <c r="Y341" s="56"/>
      <c r="Z341" s="56"/>
      <c r="AA341" s="42" t="s">
        <v>2770</v>
      </c>
      <c r="AB341" s="58" t="s">
        <v>2771</v>
      </c>
      <c r="AC341" s="119" t="s">
        <v>61</v>
      </c>
      <c r="AD341" s="45">
        <v>40815</v>
      </c>
      <c r="AE341" s="101" t="s">
        <v>129</v>
      </c>
      <c r="AF341" s="36"/>
      <c r="AG341" s="47" t="s">
        <v>49</v>
      </c>
      <c r="AH341" s="48" t="s">
        <v>41</v>
      </c>
      <c r="AI341" s="48" t="s">
        <v>41</v>
      </c>
      <c r="AJ341" s="48" t="s">
        <v>41</v>
      </c>
      <c r="AK341" s="48" t="s">
        <v>41</v>
      </c>
      <c r="AL341" s="48" t="s">
        <v>41</v>
      </c>
      <c r="AM341" s="49" t="s">
        <v>41</v>
      </c>
      <c r="AN341" s="48" t="s">
        <v>41</v>
      </c>
      <c r="AO341" s="65" t="s">
        <v>4592</v>
      </c>
      <c r="AP341" s="65"/>
      <c r="AQ341" s="59"/>
    </row>
    <row r="342" spans="1:43" ht="19.5" customHeight="1" x14ac:dyDescent="0.2">
      <c r="A342">
        <v>341</v>
      </c>
      <c r="B342" s="33" t="e">
        <f>+B341+1</f>
        <v>#REF!</v>
      </c>
      <c r="C342" s="34" t="s">
        <v>2772</v>
      </c>
      <c r="D342" s="35" t="s">
        <v>2773</v>
      </c>
      <c r="E342" s="36" t="s">
        <v>2774</v>
      </c>
      <c r="F342" s="334">
        <v>32152</v>
      </c>
      <c r="G342" s="36" t="s">
        <v>54</v>
      </c>
      <c r="H342" s="34" t="s">
        <v>2775</v>
      </c>
      <c r="I342" s="37" t="s">
        <v>73</v>
      </c>
      <c r="J342" s="425" t="s">
        <v>4765</v>
      </c>
      <c r="K342" s="37" t="s">
        <v>73</v>
      </c>
      <c r="L342" s="38" t="s">
        <v>2776</v>
      </c>
      <c r="M342" s="34" t="s">
        <v>41</v>
      </c>
      <c r="N342" s="39" t="s">
        <v>42</v>
      </c>
      <c r="O342" s="120">
        <v>44573</v>
      </c>
      <c r="P342" s="56"/>
      <c r="Q342" s="56"/>
      <c r="R342" s="56"/>
      <c r="S342" s="56"/>
      <c r="T342" s="115"/>
      <c r="U342" s="115"/>
      <c r="V342" s="115" t="s">
        <v>44</v>
      </c>
      <c r="W342" s="56"/>
      <c r="X342" s="56"/>
      <c r="Y342" s="56"/>
      <c r="Z342" s="56"/>
      <c r="AA342" s="42" t="s">
        <v>2777</v>
      </c>
      <c r="AB342" s="58" t="s">
        <v>2778</v>
      </c>
      <c r="AC342" s="211" t="s">
        <v>2779</v>
      </c>
      <c r="AD342" s="45">
        <v>44944</v>
      </c>
      <c r="AE342" s="101" t="s">
        <v>30</v>
      </c>
      <c r="AF342" s="36"/>
      <c r="AG342" s="47" t="s">
        <v>49</v>
      </c>
      <c r="AH342" s="48" t="s">
        <v>41</v>
      </c>
      <c r="AI342" s="48" t="s">
        <v>41</v>
      </c>
      <c r="AJ342" s="48" t="s">
        <v>49</v>
      </c>
      <c r="AK342" s="48" t="s">
        <v>49</v>
      </c>
      <c r="AL342" s="48" t="s">
        <v>49</v>
      </c>
      <c r="AM342" s="49" t="s">
        <v>49</v>
      </c>
      <c r="AN342" s="48" t="s">
        <v>49</v>
      </c>
      <c r="AO342" s="65" t="s">
        <v>32</v>
      </c>
      <c r="AP342" s="65"/>
      <c r="AQ342" s="59"/>
    </row>
    <row r="343" spans="1:43" ht="19.5" customHeight="1" x14ac:dyDescent="0.2">
      <c r="A343">
        <v>342</v>
      </c>
      <c r="B343" s="33" t="e">
        <f>+B342+1</f>
        <v>#REF!</v>
      </c>
      <c r="C343" s="34" t="s">
        <v>2780</v>
      </c>
      <c r="D343" s="35" t="s">
        <v>2781</v>
      </c>
      <c r="E343" s="36" t="s">
        <v>2782</v>
      </c>
      <c r="F343" s="334">
        <v>28468</v>
      </c>
      <c r="G343" s="36" t="s">
        <v>54</v>
      </c>
      <c r="H343" s="34" t="s">
        <v>2783</v>
      </c>
      <c r="I343" s="37" t="s">
        <v>205</v>
      </c>
      <c r="J343" s="425" t="s">
        <v>4764</v>
      </c>
      <c r="K343" s="37" t="s">
        <v>205</v>
      </c>
      <c r="L343" s="38" t="s">
        <v>2784</v>
      </c>
      <c r="M343" s="34"/>
      <c r="N343" s="39" t="s">
        <v>42</v>
      </c>
      <c r="O343" s="120">
        <v>44903</v>
      </c>
      <c r="P343" s="56"/>
      <c r="Q343" s="56"/>
      <c r="R343" s="56"/>
      <c r="S343" s="56"/>
      <c r="T343" s="56"/>
      <c r="U343" s="56"/>
      <c r="V343" s="56" t="s">
        <v>44</v>
      </c>
      <c r="W343" s="56"/>
      <c r="X343" s="56"/>
      <c r="Y343" s="56"/>
      <c r="Z343" s="56"/>
      <c r="AA343" s="42" t="s">
        <v>2785</v>
      </c>
      <c r="AB343" s="58" t="s">
        <v>2786</v>
      </c>
      <c r="AC343" s="207" t="s">
        <v>2787</v>
      </c>
      <c r="AD343" s="45">
        <v>44944</v>
      </c>
      <c r="AE343" s="101" t="s">
        <v>30</v>
      </c>
      <c r="AF343" s="36"/>
      <c r="AG343" s="47" t="s">
        <v>49</v>
      </c>
      <c r="AH343" s="48" t="s">
        <v>41</v>
      </c>
      <c r="AI343" s="48" t="s">
        <v>41</v>
      </c>
      <c r="AJ343" s="48" t="s">
        <v>49</v>
      </c>
      <c r="AK343" s="48" t="s">
        <v>49</v>
      </c>
      <c r="AL343" s="48" t="s">
        <v>49</v>
      </c>
      <c r="AM343" s="49" t="s">
        <v>49</v>
      </c>
      <c r="AN343" s="48" t="s">
        <v>49</v>
      </c>
      <c r="AO343" s="62" t="s">
        <v>32</v>
      </c>
      <c r="AP343" s="62" t="s">
        <v>4681</v>
      </c>
      <c r="AQ343" s="59"/>
    </row>
    <row r="344" spans="1:43" ht="19.5" customHeight="1" x14ac:dyDescent="0.2">
      <c r="A344">
        <v>343</v>
      </c>
      <c r="B344" s="33" t="e">
        <f>+B343+1</f>
        <v>#REF!</v>
      </c>
      <c r="C344" s="34" t="s">
        <v>2788</v>
      </c>
      <c r="D344" s="35" t="s">
        <v>2789</v>
      </c>
      <c r="E344" s="36" t="s">
        <v>2790</v>
      </c>
      <c r="F344" s="334">
        <v>26760</v>
      </c>
      <c r="G344" s="36" t="s">
        <v>54</v>
      </c>
      <c r="H344" s="34" t="s">
        <v>2791</v>
      </c>
      <c r="I344" s="37" t="s">
        <v>73</v>
      </c>
      <c r="J344" s="425" t="s">
        <v>4765</v>
      </c>
      <c r="K344" s="37" t="s">
        <v>73</v>
      </c>
      <c r="L344" s="34" t="s">
        <v>1005</v>
      </c>
      <c r="M344" s="34"/>
      <c r="N344" s="39" t="s">
        <v>42</v>
      </c>
      <c r="O344" s="99" t="s">
        <v>2792</v>
      </c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42" t="s">
        <v>2793</v>
      </c>
      <c r="AB344" s="58" t="s">
        <v>2794</v>
      </c>
      <c r="AC344" s="44" t="s">
        <v>61</v>
      </c>
      <c r="AD344" s="45">
        <v>40876</v>
      </c>
      <c r="AE344" s="101" t="s">
        <v>30</v>
      </c>
      <c r="AF344" s="36" t="s">
        <v>26</v>
      </c>
      <c r="AG344" s="47" t="s">
        <v>49</v>
      </c>
      <c r="AH344" s="48" t="s">
        <v>49</v>
      </c>
      <c r="AI344" s="48" t="s">
        <v>49</v>
      </c>
      <c r="AJ344" s="48" t="s">
        <v>49</v>
      </c>
      <c r="AK344" s="48" t="s">
        <v>49</v>
      </c>
      <c r="AL344" s="48" t="s">
        <v>49</v>
      </c>
      <c r="AM344" s="49" t="s">
        <v>49</v>
      </c>
      <c r="AN344" s="48" t="s">
        <v>49</v>
      </c>
      <c r="AO344" s="62" t="s">
        <v>32</v>
      </c>
      <c r="AP344" s="62"/>
      <c r="AQ344" s="59"/>
    </row>
    <row r="345" spans="1:43" ht="16" x14ac:dyDescent="0.2">
      <c r="A345">
        <v>344</v>
      </c>
      <c r="B345" s="33" t="e">
        <f>+B344+1</f>
        <v>#REF!</v>
      </c>
      <c r="C345" s="34" t="s">
        <v>2795</v>
      </c>
      <c r="D345" s="35" t="s">
        <v>2796</v>
      </c>
      <c r="E345" s="36" t="s">
        <v>2797</v>
      </c>
      <c r="F345" s="334">
        <v>33613</v>
      </c>
      <c r="G345" s="36" t="s">
        <v>54</v>
      </c>
      <c r="H345" s="34" t="s">
        <v>2798</v>
      </c>
      <c r="I345" s="37" t="s">
        <v>73</v>
      </c>
      <c r="J345" s="425" t="s">
        <v>4765</v>
      </c>
      <c r="K345" s="37" t="s">
        <v>73</v>
      </c>
      <c r="L345" s="38" t="s">
        <v>2799</v>
      </c>
      <c r="M345" s="38" t="s">
        <v>2800</v>
      </c>
      <c r="N345" s="39" t="s">
        <v>42</v>
      </c>
      <c r="O345" s="99" t="s">
        <v>2493</v>
      </c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42" t="s">
        <v>2801</v>
      </c>
      <c r="AB345" s="58" t="s">
        <v>2802</v>
      </c>
      <c r="AC345" s="207" t="s">
        <v>2803</v>
      </c>
      <c r="AD345" s="45">
        <v>44944</v>
      </c>
      <c r="AE345" s="101" t="s">
        <v>30</v>
      </c>
      <c r="AF345" s="36" t="s">
        <v>26</v>
      </c>
      <c r="AG345" s="47" t="s">
        <v>49</v>
      </c>
      <c r="AH345" s="48" t="s">
        <v>49</v>
      </c>
      <c r="AI345" s="48" t="s">
        <v>49</v>
      </c>
      <c r="AJ345" s="48" t="s">
        <v>49</v>
      </c>
      <c r="AK345" s="48" t="s">
        <v>49</v>
      </c>
      <c r="AL345" s="48" t="s">
        <v>49</v>
      </c>
      <c r="AM345" s="49" t="s">
        <v>49</v>
      </c>
      <c r="AN345" s="48" t="s">
        <v>49</v>
      </c>
      <c r="AO345" s="62" t="s">
        <v>32</v>
      </c>
      <c r="AP345" s="62"/>
      <c r="AQ345" s="59"/>
    </row>
    <row r="346" spans="1:43" x14ac:dyDescent="0.2">
      <c r="A346">
        <v>345</v>
      </c>
      <c r="B346" s="33" t="e">
        <f>+B345+1</f>
        <v>#REF!</v>
      </c>
      <c r="C346" s="34" t="s">
        <v>2804</v>
      </c>
      <c r="D346" s="35" t="s">
        <v>2805</v>
      </c>
      <c r="E346" s="36" t="s">
        <v>2806</v>
      </c>
      <c r="F346" s="334">
        <v>25915</v>
      </c>
      <c r="G346" s="36" t="s">
        <v>54</v>
      </c>
      <c r="H346" s="34" t="s">
        <v>2807</v>
      </c>
      <c r="I346" s="37" t="s">
        <v>323</v>
      </c>
      <c r="J346" s="425" t="s">
        <v>4758</v>
      </c>
      <c r="K346" s="37" t="s">
        <v>39</v>
      </c>
      <c r="L346" s="38" t="s">
        <v>2808</v>
      </c>
      <c r="M346" s="34" t="s">
        <v>41</v>
      </c>
      <c r="N346" s="39" t="s">
        <v>42</v>
      </c>
      <c r="O346" s="99" t="s">
        <v>1776</v>
      </c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42" t="s">
        <v>2809</v>
      </c>
      <c r="AB346" s="58" t="s">
        <v>2810</v>
      </c>
      <c r="AC346" s="44" t="s">
        <v>61</v>
      </c>
      <c r="AD346" s="45">
        <v>40876</v>
      </c>
      <c r="AE346" s="101" t="s">
        <v>30</v>
      </c>
      <c r="AF346" s="36" t="s">
        <v>26</v>
      </c>
      <c r="AG346" s="47" t="s">
        <v>49</v>
      </c>
      <c r="AH346" s="48" t="s">
        <v>49</v>
      </c>
      <c r="AI346" s="48" t="s">
        <v>49</v>
      </c>
      <c r="AJ346" s="48" t="s">
        <v>49</v>
      </c>
      <c r="AK346" s="48" t="s">
        <v>49</v>
      </c>
      <c r="AL346" s="48" t="s">
        <v>49</v>
      </c>
      <c r="AM346" s="49" t="s">
        <v>49</v>
      </c>
      <c r="AN346" s="48" t="s">
        <v>49</v>
      </c>
      <c r="AO346" s="62" t="s">
        <v>32</v>
      </c>
      <c r="AP346" s="62"/>
      <c r="AQ346" s="59"/>
    </row>
    <row r="347" spans="1:43" x14ac:dyDescent="0.2">
      <c r="A347">
        <v>346</v>
      </c>
      <c r="B347" s="33" t="e">
        <f>+B346+1</f>
        <v>#REF!</v>
      </c>
      <c r="C347" s="394" t="s">
        <v>4704</v>
      </c>
      <c r="D347" s="35" t="s">
        <v>4705</v>
      </c>
      <c r="E347" s="36" t="s">
        <v>4706</v>
      </c>
      <c r="F347" s="334">
        <v>35651</v>
      </c>
      <c r="G347" s="36" t="s">
        <v>54</v>
      </c>
      <c r="H347" s="87" t="s">
        <v>4707</v>
      </c>
      <c r="I347" s="37" t="s">
        <v>1417</v>
      </c>
      <c r="J347" s="425" t="s">
        <v>4738</v>
      </c>
      <c r="K347" s="37" t="s">
        <v>187</v>
      </c>
      <c r="L347" s="38" t="s">
        <v>41</v>
      </c>
      <c r="M347" s="34" t="s">
        <v>41</v>
      </c>
      <c r="N347" s="39" t="s">
        <v>42</v>
      </c>
      <c r="O347" s="120">
        <v>46153</v>
      </c>
      <c r="P347" s="56" t="s">
        <v>179</v>
      </c>
      <c r="Q347" s="56" t="s">
        <v>179</v>
      </c>
      <c r="R347" s="56"/>
      <c r="S347" s="56"/>
      <c r="T347" s="56" t="s">
        <v>4708</v>
      </c>
      <c r="U347" s="56"/>
      <c r="V347" s="56"/>
      <c r="W347" s="56"/>
      <c r="X347" s="56"/>
      <c r="Y347" s="56"/>
      <c r="Z347" s="56" t="s">
        <v>44</v>
      </c>
      <c r="AA347" s="42" t="s">
        <v>4709</v>
      </c>
      <c r="AB347" s="320" t="s">
        <v>4710</v>
      </c>
      <c r="AC347" s="44"/>
      <c r="AD347" s="45"/>
      <c r="AE347" s="101"/>
      <c r="AF347" s="36"/>
      <c r="AG347" s="47" t="s">
        <v>49</v>
      </c>
      <c r="AH347" s="48" t="s">
        <v>41</v>
      </c>
      <c r="AI347" s="48" t="s">
        <v>41</v>
      </c>
      <c r="AJ347" s="48" t="s">
        <v>41</v>
      </c>
      <c r="AK347" s="48" t="s">
        <v>41</v>
      </c>
      <c r="AL347" s="48" t="s">
        <v>41</v>
      </c>
      <c r="AM347" s="49" t="s">
        <v>41</v>
      </c>
      <c r="AN347" s="48" t="s">
        <v>49</v>
      </c>
      <c r="AO347" s="62" t="s">
        <v>32</v>
      </c>
      <c r="AP347" s="62" t="s">
        <v>4681</v>
      </c>
      <c r="AQ347" s="59"/>
    </row>
    <row r="348" spans="1:43" x14ac:dyDescent="0.2">
      <c r="A348">
        <v>347</v>
      </c>
      <c r="B348" s="33" t="e">
        <f>+B347+1</f>
        <v>#REF!</v>
      </c>
      <c r="C348" s="34" t="s">
        <v>2811</v>
      </c>
      <c r="D348" s="35" t="s">
        <v>2812</v>
      </c>
      <c r="E348" s="36" t="s">
        <v>2813</v>
      </c>
      <c r="F348" s="334">
        <v>29712</v>
      </c>
      <c r="G348" s="36" t="s">
        <v>54</v>
      </c>
      <c r="H348" s="34" t="s">
        <v>2814</v>
      </c>
      <c r="I348" s="37" t="s">
        <v>73</v>
      </c>
      <c r="J348" s="425" t="s">
        <v>4765</v>
      </c>
      <c r="K348" s="37" t="s">
        <v>73</v>
      </c>
      <c r="L348" s="34" t="s">
        <v>2815</v>
      </c>
      <c r="M348" s="34" t="s">
        <v>2816</v>
      </c>
      <c r="N348" s="39" t="s">
        <v>42</v>
      </c>
      <c r="O348" s="99" t="s">
        <v>2817</v>
      </c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42" t="s">
        <v>2818</v>
      </c>
      <c r="AB348" s="58" t="s">
        <v>2819</v>
      </c>
      <c r="AC348" s="44" t="s">
        <v>61</v>
      </c>
      <c r="AD348" s="45">
        <v>40280</v>
      </c>
      <c r="AE348" s="101" t="s">
        <v>30</v>
      </c>
      <c r="AF348" s="36" t="s">
        <v>26</v>
      </c>
      <c r="AG348" s="47" t="s">
        <v>49</v>
      </c>
      <c r="AH348" s="48" t="s">
        <v>49</v>
      </c>
      <c r="AI348" s="48" t="s">
        <v>49</v>
      </c>
      <c r="AJ348" s="48" t="s">
        <v>49</v>
      </c>
      <c r="AK348" s="48" t="s">
        <v>49</v>
      </c>
      <c r="AL348" s="48" t="s">
        <v>49</v>
      </c>
      <c r="AM348" s="49" t="s">
        <v>49</v>
      </c>
      <c r="AN348" s="48" t="s">
        <v>49</v>
      </c>
      <c r="AO348" s="62" t="s">
        <v>32</v>
      </c>
      <c r="AP348" s="62"/>
      <c r="AQ348" s="59"/>
    </row>
    <row r="349" spans="1:43" x14ac:dyDescent="0.2">
      <c r="A349">
        <v>348</v>
      </c>
      <c r="B349" s="33" t="e">
        <f>+B348+1</f>
        <v>#REF!</v>
      </c>
      <c r="C349" s="34" t="s">
        <v>2820</v>
      </c>
      <c r="D349" s="35" t="s">
        <v>2821</v>
      </c>
      <c r="E349" s="36" t="s">
        <v>4807</v>
      </c>
      <c r="F349" s="36"/>
      <c r="G349" s="36" t="s">
        <v>54</v>
      </c>
      <c r="H349" s="34" t="s">
        <v>2823</v>
      </c>
      <c r="I349" s="37" t="s">
        <v>73</v>
      </c>
      <c r="J349" s="425" t="s">
        <v>4765</v>
      </c>
      <c r="K349" s="37" t="s">
        <v>73</v>
      </c>
      <c r="L349" s="34" t="s">
        <v>2824</v>
      </c>
      <c r="M349" s="34" t="s">
        <v>2824</v>
      </c>
      <c r="N349" s="39" t="s">
        <v>42</v>
      </c>
      <c r="O349" s="120">
        <v>30353</v>
      </c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2" t="s">
        <v>2825</v>
      </c>
      <c r="AB349" s="58" t="s">
        <v>2826</v>
      </c>
      <c r="AC349" s="119" t="s">
        <v>61</v>
      </c>
      <c r="AD349" s="45">
        <v>40280</v>
      </c>
      <c r="AE349" s="101" t="s">
        <v>30</v>
      </c>
      <c r="AF349" s="36" t="s">
        <v>26</v>
      </c>
      <c r="AG349" s="61" t="s">
        <v>49</v>
      </c>
      <c r="AH349" s="48" t="s">
        <v>49</v>
      </c>
      <c r="AI349" s="48" t="s">
        <v>41</v>
      </c>
      <c r="AJ349" s="48" t="s">
        <v>41</v>
      </c>
      <c r="AK349" s="48" t="s">
        <v>41</v>
      </c>
      <c r="AL349" s="48" t="s">
        <v>41</v>
      </c>
      <c r="AM349" s="49" t="s">
        <v>41</v>
      </c>
      <c r="AN349" s="48" t="s">
        <v>41</v>
      </c>
      <c r="AO349" s="62" t="s">
        <v>4587</v>
      </c>
      <c r="AP349" s="62"/>
      <c r="AQ349" s="59"/>
    </row>
    <row r="350" spans="1:43" x14ac:dyDescent="0.2">
      <c r="A350">
        <v>349</v>
      </c>
      <c r="B350" s="33" t="e">
        <f>+B349+1</f>
        <v>#REF!</v>
      </c>
      <c r="C350" s="34" t="s">
        <v>2827</v>
      </c>
      <c r="D350" s="35" t="s">
        <v>2828</v>
      </c>
      <c r="E350" s="36" t="s">
        <v>2829</v>
      </c>
      <c r="F350" s="334">
        <v>28660</v>
      </c>
      <c r="G350" s="36" t="s">
        <v>36</v>
      </c>
      <c r="H350" s="34" t="s">
        <v>2830</v>
      </c>
      <c r="I350" s="37" t="s">
        <v>377</v>
      </c>
      <c r="J350" s="425" t="s">
        <v>4757</v>
      </c>
      <c r="K350" s="37" t="s">
        <v>378</v>
      </c>
      <c r="L350" s="34">
        <v>89508121544</v>
      </c>
      <c r="M350" s="34" t="s">
        <v>41</v>
      </c>
      <c r="N350" s="39" t="s">
        <v>42</v>
      </c>
      <c r="O350" s="120">
        <v>44776</v>
      </c>
      <c r="P350" s="41"/>
      <c r="Q350" s="41"/>
      <c r="R350" s="41"/>
      <c r="S350" s="41"/>
      <c r="T350" s="41"/>
      <c r="U350" s="41"/>
      <c r="V350" s="41" t="s">
        <v>44</v>
      </c>
      <c r="W350" s="41"/>
      <c r="X350" s="41"/>
      <c r="Y350" s="41"/>
      <c r="Z350" s="41"/>
      <c r="AA350" s="42" t="s">
        <v>2831</v>
      </c>
      <c r="AB350" s="58" t="s">
        <v>2832</v>
      </c>
      <c r="AC350" s="84" t="s">
        <v>2833</v>
      </c>
      <c r="AD350" s="45">
        <v>44650</v>
      </c>
      <c r="AE350" s="101" t="s">
        <v>30</v>
      </c>
      <c r="AF350" s="36"/>
      <c r="AG350" s="61" t="s">
        <v>49</v>
      </c>
      <c r="AH350" s="48" t="s">
        <v>41</v>
      </c>
      <c r="AI350" s="48" t="s">
        <v>41</v>
      </c>
      <c r="AJ350" s="48" t="s">
        <v>49</v>
      </c>
      <c r="AK350" s="48" t="s">
        <v>41</v>
      </c>
      <c r="AL350" s="48" t="s">
        <v>41</v>
      </c>
      <c r="AM350" s="49" t="s">
        <v>41</v>
      </c>
      <c r="AN350" s="48" t="s">
        <v>41</v>
      </c>
      <c r="AO350" s="62" t="s">
        <v>139</v>
      </c>
      <c r="AP350" s="62"/>
      <c r="AQ350" s="59"/>
    </row>
    <row r="351" spans="1:43" x14ac:dyDescent="0.2">
      <c r="A351">
        <v>350</v>
      </c>
      <c r="B351" s="33" t="e">
        <f>+B350+1</f>
        <v>#REF!</v>
      </c>
      <c r="C351" s="34" t="s">
        <v>2834</v>
      </c>
      <c r="D351" s="35" t="s">
        <v>2835</v>
      </c>
      <c r="E351" s="36" t="s">
        <v>2836</v>
      </c>
      <c r="F351" s="334">
        <v>30004</v>
      </c>
      <c r="G351" s="36" t="s">
        <v>54</v>
      </c>
      <c r="H351" s="34" t="s">
        <v>2837</v>
      </c>
      <c r="I351" s="37" t="s">
        <v>858</v>
      </c>
      <c r="J351" s="425" t="s">
        <v>4740</v>
      </c>
      <c r="K351" s="37" t="s">
        <v>57</v>
      </c>
      <c r="L351" s="38" t="s">
        <v>2838</v>
      </c>
      <c r="M351" s="34" t="s">
        <v>41</v>
      </c>
      <c r="N351" s="39" t="s">
        <v>42</v>
      </c>
      <c r="O351" s="120" t="s">
        <v>2839</v>
      </c>
      <c r="P351" s="41"/>
      <c r="Q351" s="41"/>
      <c r="R351" s="41"/>
      <c r="S351" s="41"/>
      <c r="T351" s="41"/>
      <c r="U351" s="41" t="s">
        <v>44</v>
      </c>
      <c r="V351" s="41"/>
      <c r="W351" s="41"/>
      <c r="X351" s="41"/>
      <c r="Y351" s="41"/>
      <c r="Z351" s="41"/>
      <c r="AA351" s="42" t="s">
        <v>2840</v>
      </c>
      <c r="AB351" s="58" t="s">
        <v>2841</v>
      </c>
      <c r="AC351" s="121" t="s">
        <v>2842</v>
      </c>
      <c r="AD351" s="45">
        <v>44650</v>
      </c>
      <c r="AE351" s="101" t="s">
        <v>30</v>
      </c>
      <c r="AF351" s="36"/>
      <c r="AG351" s="61" t="s">
        <v>49</v>
      </c>
      <c r="AH351" s="48" t="s">
        <v>41</v>
      </c>
      <c r="AI351" s="48" t="s">
        <v>41</v>
      </c>
      <c r="AJ351" s="48" t="s">
        <v>49</v>
      </c>
      <c r="AK351" s="48" t="s">
        <v>49</v>
      </c>
      <c r="AL351" s="48" t="s">
        <v>49</v>
      </c>
      <c r="AM351" s="49" t="s">
        <v>49</v>
      </c>
      <c r="AN351" s="48" t="s">
        <v>49</v>
      </c>
      <c r="AO351" s="65" t="s">
        <v>32</v>
      </c>
      <c r="AP351" s="65"/>
      <c r="AQ351" s="59"/>
    </row>
    <row r="352" spans="1:43" x14ac:dyDescent="0.2">
      <c r="A352">
        <v>351</v>
      </c>
      <c r="B352" s="33" t="e">
        <f>+B351+1</f>
        <v>#REF!</v>
      </c>
      <c r="C352" s="34" t="s">
        <v>2843</v>
      </c>
      <c r="D352" s="35" t="s">
        <v>2844</v>
      </c>
      <c r="E352" s="36" t="s">
        <v>4821</v>
      </c>
      <c r="F352" s="334">
        <v>23268</v>
      </c>
      <c r="G352" s="36" t="s">
        <v>54</v>
      </c>
      <c r="H352" s="34" t="s">
        <v>2846</v>
      </c>
      <c r="I352" s="37" t="s">
        <v>252</v>
      </c>
      <c r="J352" s="425" t="s">
        <v>4742</v>
      </c>
      <c r="K352" s="37" t="s">
        <v>57</v>
      </c>
      <c r="L352" s="38" t="s">
        <v>2847</v>
      </c>
      <c r="M352" s="34" t="s">
        <v>41</v>
      </c>
      <c r="N352" s="39" t="s">
        <v>42</v>
      </c>
      <c r="O352" s="120">
        <v>37441</v>
      </c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57" t="s">
        <v>2848</v>
      </c>
      <c r="AB352" s="58" t="s">
        <v>2849</v>
      </c>
      <c r="AC352" s="44" t="s">
        <v>61</v>
      </c>
      <c r="AD352" s="45">
        <v>37877</v>
      </c>
      <c r="AE352" s="101" t="s">
        <v>30</v>
      </c>
      <c r="AF352" s="36" t="s">
        <v>26</v>
      </c>
      <c r="AG352" s="47" t="s">
        <v>49</v>
      </c>
      <c r="AH352" s="48" t="s">
        <v>49</v>
      </c>
      <c r="AI352" s="48" t="s">
        <v>49</v>
      </c>
      <c r="AJ352" s="48" t="s">
        <v>49</v>
      </c>
      <c r="AK352" s="48" t="s">
        <v>49</v>
      </c>
      <c r="AL352" s="48" t="s">
        <v>49</v>
      </c>
      <c r="AM352" s="49" t="s">
        <v>49</v>
      </c>
      <c r="AN352" s="48" t="s">
        <v>49</v>
      </c>
      <c r="AO352" s="62" t="s">
        <v>32</v>
      </c>
      <c r="AP352" s="62"/>
      <c r="AQ352" s="59"/>
    </row>
    <row r="353" spans="1:43" x14ac:dyDescent="0.2">
      <c r="A353">
        <v>352</v>
      </c>
      <c r="B353" s="33" t="e">
        <f>+B352+1</f>
        <v>#REF!</v>
      </c>
      <c r="C353" s="34" t="s">
        <v>2850</v>
      </c>
      <c r="D353" s="35" t="s">
        <v>2851</v>
      </c>
      <c r="E353" s="36" t="s">
        <v>2852</v>
      </c>
      <c r="F353" s="334">
        <v>32986</v>
      </c>
      <c r="G353" s="36" t="s">
        <v>54</v>
      </c>
      <c r="H353" s="34" t="s">
        <v>2853</v>
      </c>
      <c r="I353" s="37" t="s">
        <v>176</v>
      </c>
      <c r="J353" s="425" t="s">
        <v>4767</v>
      </c>
      <c r="K353" s="37" t="s">
        <v>39</v>
      </c>
      <c r="L353" s="38" t="s">
        <v>2854</v>
      </c>
      <c r="M353" s="34" t="s">
        <v>41</v>
      </c>
      <c r="N353" s="39" t="s">
        <v>42</v>
      </c>
      <c r="O353" s="120">
        <v>45726</v>
      </c>
      <c r="P353" s="41"/>
      <c r="Q353" s="41"/>
      <c r="R353" s="41"/>
      <c r="S353" s="41"/>
      <c r="T353" s="41"/>
      <c r="U353" s="41"/>
      <c r="V353" s="41"/>
      <c r="W353" s="41"/>
      <c r="X353" s="41"/>
      <c r="Y353" s="41" t="s">
        <v>44</v>
      </c>
      <c r="Z353" s="41"/>
      <c r="AA353" s="54" t="s">
        <v>2855</v>
      </c>
      <c r="AB353" s="58" t="s">
        <v>2856</v>
      </c>
      <c r="AC353" s="44"/>
      <c r="AD353" s="45"/>
      <c r="AE353" s="101"/>
      <c r="AF353" s="36"/>
      <c r="AG353" s="47" t="s">
        <v>49</v>
      </c>
      <c r="AH353" s="48" t="s">
        <v>41</v>
      </c>
      <c r="AI353" s="48" t="s">
        <v>41</v>
      </c>
      <c r="AJ353" s="48" t="s">
        <v>41</v>
      </c>
      <c r="AK353" s="48" t="s">
        <v>41</v>
      </c>
      <c r="AL353" s="48" t="s">
        <v>41</v>
      </c>
      <c r="AM353" s="49" t="s">
        <v>49</v>
      </c>
      <c r="AN353" s="48" t="s">
        <v>49</v>
      </c>
      <c r="AO353" s="62" t="s">
        <v>32</v>
      </c>
      <c r="AP353" s="62"/>
      <c r="AQ353" s="59"/>
    </row>
    <row r="354" spans="1:43" x14ac:dyDescent="0.2">
      <c r="A354">
        <v>353</v>
      </c>
      <c r="B354" s="33" t="e">
        <f>+B353+1</f>
        <v>#REF!</v>
      </c>
      <c r="C354" s="34" t="s">
        <v>2857</v>
      </c>
      <c r="D354" s="35" t="s">
        <v>2858</v>
      </c>
      <c r="E354" s="36" t="s">
        <v>2859</v>
      </c>
      <c r="F354" s="334">
        <v>25427</v>
      </c>
      <c r="G354" s="36" t="s">
        <v>54</v>
      </c>
      <c r="H354" s="34" t="s">
        <v>2860</v>
      </c>
      <c r="I354" s="37" t="s">
        <v>252</v>
      </c>
      <c r="J354" s="425" t="s">
        <v>4742</v>
      </c>
      <c r="K354" s="37" t="s">
        <v>57</v>
      </c>
      <c r="L354" s="394" t="s">
        <v>2861</v>
      </c>
      <c r="M354" s="34" t="s">
        <v>41</v>
      </c>
      <c r="N354" s="39" t="s">
        <v>42</v>
      </c>
      <c r="O354" s="120" t="s">
        <v>2862</v>
      </c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42" t="s">
        <v>2863</v>
      </c>
      <c r="AB354" s="43" t="s">
        <v>2864</v>
      </c>
      <c r="AC354" s="119" t="s">
        <v>61</v>
      </c>
      <c r="AD354" s="45">
        <v>40280</v>
      </c>
      <c r="AE354" s="101" t="s">
        <v>30</v>
      </c>
      <c r="AF354" s="36" t="s">
        <v>26</v>
      </c>
      <c r="AG354" s="47" t="s">
        <v>49</v>
      </c>
      <c r="AH354" s="48" t="s">
        <v>49</v>
      </c>
      <c r="AI354" s="48" t="s">
        <v>49</v>
      </c>
      <c r="AJ354" s="48" t="s">
        <v>49</v>
      </c>
      <c r="AK354" s="48" t="s">
        <v>49</v>
      </c>
      <c r="AL354" s="48" t="s">
        <v>49</v>
      </c>
      <c r="AM354" s="49" t="s">
        <v>49</v>
      </c>
      <c r="AN354" s="48" t="s">
        <v>49</v>
      </c>
      <c r="AO354" s="62" t="s">
        <v>32</v>
      </c>
      <c r="AP354" s="62"/>
      <c r="AQ354" s="59"/>
    </row>
    <row r="355" spans="1:43" x14ac:dyDescent="0.2">
      <c r="A355">
        <v>354</v>
      </c>
      <c r="B355" s="33" t="e">
        <f>+B354+1</f>
        <v>#REF!</v>
      </c>
      <c r="C355" s="34" t="s">
        <v>2865</v>
      </c>
      <c r="D355" s="35" t="s">
        <v>2866</v>
      </c>
      <c r="E355" s="36" t="s">
        <v>2867</v>
      </c>
      <c r="F355" s="334">
        <v>26778</v>
      </c>
      <c r="G355" s="36" t="s">
        <v>54</v>
      </c>
      <c r="H355" s="34" t="s">
        <v>2868</v>
      </c>
      <c r="I355" s="37" t="s">
        <v>73</v>
      </c>
      <c r="J355" s="425" t="s">
        <v>4765</v>
      </c>
      <c r="K355" s="37" t="s">
        <v>73</v>
      </c>
      <c r="L355" s="395" t="s">
        <v>2869</v>
      </c>
      <c r="M355" s="34" t="s">
        <v>41</v>
      </c>
      <c r="N355" s="39" t="s">
        <v>42</v>
      </c>
      <c r="O355" s="99" t="s">
        <v>273</v>
      </c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2" t="s">
        <v>2870</v>
      </c>
      <c r="AB355" s="52" t="s">
        <v>2871</v>
      </c>
      <c r="AC355" s="44" t="s">
        <v>2872</v>
      </c>
      <c r="AD355" s="45">
        <v>41793</v>
      </c>
      <c r="AE355" s="101" t="s">
        <v>129</v>
      </c>
      <c r="AF355" s="36" t="s">
        <v>26</v>
      </c>
      <c r="AG355" s="47" t="s">
        <v>120</v>
      </c>
      <c r="AH355" s="48" t="s">
        <v>49</v>
      </c>
      <c r="AI355" s="48" t="s">
        <v>49</v>
      </c>
      <c r="AJ355" s="48" t="s">
        <v>49</v>
      </c>
      <c r="AK355" s="48" t="s">
        <v>49</v>
      </c>
      <c r="AL355" s="48" t="s">
        <v>49</v>
      </c>
      <c r="AM355" s="49" t="s">
        <v>49</v>
      </c>
      <c r="AN355" s="48" t="s">
        <v>120</v>
      </c>
      <c r="AO355" s="62" t="s">
        <v>32</v>
      </c>
      <c r="AP355" s="62"/>
      <c r="AQ355" s="59"/>
    </row>
    <row r="356" spans="1:43" x14ac:dyDescent="0.2">
      <c r="A356">
        <v>355</v>
      </c>
      <c r="B356" s="33" t="e">
        <f>+B355+1</f>
        <v>#REF!</v>
      </c>
      <c r="C356" s="34" t="s">
        <v>2873</v>
      </c>
      <c r="D356" s="35" t="s">
        <v>2874</v>
      </c>
      <c r="E356" s="36" t="s">
        <v>2875</v>
      </c>
      <c r="F356" s="334">
        <v>31019</v>
      </c>
      <c r="G356" s="36" t="s">
        <v>54</v>
      </c>
      <c r="H356" s="34" t="s">
        <v>2876</v>
      </c>
      <c r="I356" s="37" t="s">
        <v>1285</v>
      </c>
      <c r="J356" s="425" t="s">
        <v>4752</v>
      </c>
      <c r="K356" s="37" t="s">
        <v>350</v>
      </c>
      <c r="L356" s="38" t="s">
        <v>2877</v>
      </c>
      <c r="M356" s="34" t="s">
        <v>41</v>
      </c>
      <c r="N356" s="39" t="s">
        <v>42</v>
      </c>
      <c r="O356" s="120" t="s">
        <v>1236</v>
      </c>
      <c r="P356" s="56"/>
      <c r="Q356" s="56"/>
      <c r="R356" s="56"/>
      <c r="S356" s="56"/>
      <c r="T356" s="56"/>
      <c r="U356" s="56"/>
      <c r="V356" s="56" t="s">
        <v>44</v>
      </c>
      <c r="W356" s="56"/>
      <c r="X356" s="56"/>
      <c r="Y356" s="56"/>
      <c r="Z356" s="56"/>
      <c r="AA356" s="42" t="s">
        <v>2878</v>
      </c>
      <c r="AB356" s="43" t="s">
        <v>2879</v>
      </c>
      <c r="AC356" s="121" t="s">
        <v>2880</v>
      </c>
      <c r="AD356" s="45">
        <v>44650</v>
      </c>
      <c r="AE356" s="101" t="s">
        <v>30</v>
      </c>
      <c r="AF356" s="36"/>
      <c r="AG356" s="47" t="s">
        <v>49</v>
      </c>
      <c r="AH356" s="48" t="s">
        <v>41</v>
      </c>
      <c r="AI356" s="48" t="s">
        <v>41</v>
      </c>
      <c r="AJ356" s="48" t="s">
        <v>49</v>
      </c>
      <c r="AK356" s="48" t="s">
        <v>49</v>
      </c>
      <c r="AL356" s="48" t="s">
        <v>49</v>
      </c>
      <c r="AM356" s="49" t="s">
        <v>49</v>
      </c>
      <c r="AN356" s="48" t="s">
        <v>49</v>
      </c>
      <c r="AO356" s="62" t="s">
        <v>32</v>
      </c>
      <c r="AP356" s="62"/>
      <c r="AQ356" s="59"/>
    </row>
    <row r="357" spans="1:43" x14ac:dyDescent="0.2">
      <c r="A357">
        <v>356</v>
      </c>
      <c r="B357" s="33" t="e">
        <f>+B356+1</f>
        <v>#REF!</v>
      </c>
      <c r="C357" s="34" t="s">
        <v>2881</v>
      </c>
      <c r="D357" s="35" t="s">
        <v>2882</v>
      </c>
      <c r="E357" s="36" t="s">
        <v>4849</v>
      </c>
      <c r="F357" s="334">
        <v>25552</v>
      </c>
      <c r="G357" s="36" t="s">
        <v>54</v>
      </c>
      <c r="H357" s="34" t="s">
        <v>2884</v>
      </c>
      <c r="I357" s="37" t="s">
        <v>73</v>
      </c>
      <c r="J357" s="425" t="s">
        <v>4765</v>
      </c>
      <c r="K357" s="37" t="s">
        <v>73</v>
      </c>
      <c r="L357" s="201" t="s">
        <v>2885</v>
      </c>
      <c r="M357" s="34" t="s">
        <v>41</v>
      </c>
      <c r="N357" s="39" t="s">
        <v>42</v>
      </c>
      <c r="O357" s="120">
        <v>43962</v>
      </c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42" t="s">
        <v>2886</v>
      </c>
      <c r="AB357" s="58" t="s">
        <v>2887</v>
      </c>
      <c r="AC357" s="84" t="s">
        <v>2888</v>
      </c>
      <c r="AD357" s="45">
        <v>44650</v>
      </c>
      <c r="AE357" s="101" t="s">
        <v>30</v>
      </c>
      <c r="AF357" s="36" t="s">
        <v>26</v>
      </c>
      <c r="AG357" s="61" t="s">
        <v>49</v>
      </c>
      <c r="AH357" s="48" t="s">
        <v>49</v>
      </c>
      <c r="AI357" s="48" t="s">
        <v>49</v>
      </c>
      <c r="AJ357" s="48" t="s">
        <v>49</v>
      </c>
      <c r="AK357" s="48" t="s">
        <v>49</v>
      </c>
      <c r="AL357" s="48" t="s">
        <v>49</v>
      </c>
      <c r="AM357" s="49" t="s">
        <v>49</v>
      </c>
      <c r="AN357" s="48" t="s">
        <v>49</v>
      </c>
      <c r="AO357" s="65" t="s">
        <v>32</v>
      </c>
      <c r="AP357" s="65"/>
      <c r="AQ357" s="225"/>
    </row>
    <row r="358" spans="1:43" x14ac:dyDescent="0.2">
      <c r="A358">
        <v>357</v>
      </c>
      <c r="B358" s="33" t="e">
        <f>+B357+1</f>
        <v>#REF!</v>
      </c>
      <c r="C358" s="34" t="s">
        <v>2889</v>
      </c>
      <c r="D358" s="35" t="s">
        <v>2890</v>
      </c>
      <c r="E358" s="36" t="s">
        <v>4790</v>
      </c>
      <c r="F358" s="334">
        <v>21161</v>
      </c>
      <c r="G358" s="36" t="s">
        <v>36</v>
      </c>
      <c r="H358" s="34" t="s">
        <v>2892</v>
      </c>
      <c r="I358" s="37" t="s">
        <v>323</v>
      </c>
      <c r="J358" s="425" t="s">
        <v>4758</v>
      </c>
      <c r="K358" s="37" t="s">
        <v>39</v>
      </c>
      <c r="L358" s="201" t="s">
        <v>2893</v>
      </c>
      <c r="M358" s="34" t="s">
        <v>41</v>
      </c>
      <c r="N358" s="39" t="s">
        <v>42</v>
      </c>
      <c r="O358" s="120">
        <v>41585</v>
      </c>
      <c r="P358" s="115"/>
      <c r="Q358" s="115"/>
      <c r="R358" s="115"/>
      <c r="S358" s="115"/>
      <c r="T358" s="115"/>
      <c r="U358" s="115"/>
      <c r="V358" s="115"/>
      <c r="W358" s="56"/>
      <c r="X358" s="56"/>
      <c r="Y358" s="56"/>
      <c r="Z358" s="56"/>
      <c r="AA358" s="42" t="s">
        <v>2894</v>
      </c>
      <c r="AB358" s="83" t="s">
        <v>2895</v>
      </c>
      <c r="AC358" s="44" t="s">
        <v>2896</v>
      </c>
      <c r="AD358" s="45">
        <v>41793</v>
      </c>
      <c r="AE358" s="101" t="s">
        <v>30</v>
      </c>
      <c r="AF358" s="36" t="s">
        <v>26</v>
      </c>
      <c r="AG358" s="47" t="s">
        <v>49</v>
      </c>
      <c r="AH358" s="48" t="s">
        <v>49</v>
      </c>
      <c r="AI358" s="48" t="s">
        <v>49</v>
      </c>
      <c r="AJ358" s="48" t="s">
        <v>49</v>
      </c>
      <c r="AK358" s="48" t="s">
        <v>49</v>
      </c>
      <c r="AL358" s="48" t="s">
        <v>49</v>
      </c>
      <c r="AM358" s="49" t="s">
        <v>49</v>
      </c>
      <c r="AN358" s="48" t="s">
        <v>49</v>
      </c>
      <c r="AO358" s="62" t="s">
        <v>32</v>
      </c>
      <c r="AP358" s="62"/>
      <c r="AQ358" s="59"/>
    </row>
    <row r="359" spans="1:43" x14ac:dyDescent="0.2">
      <c r="A359">
        <v>358</v>
      </c>
      <c r="B359" s="33" t="e">
        <f>+B358+1</f>
        <v>#REF!</v>
      </c>
      <c r="C359" s="122" t="s">
        <v>2897</v>
      </c>
      <c r="D359" s="123" t="s">
        <v>2898</v>
      </c>
      <c r="E359" s="202" t="s">
        <v>2899</v>
      </c>
      <c r="F359" s="342">
        <v>29243</v>
      </c>
      <c r="G359" s="36" t="s">
        <v>54</v>
      </c>
      <c r="H359" s="434" t="s">
        <v>2900</v>
      </c>
      <c r="I359" s="126" t="s">
        <v>377</v>
      </c>
      <c r="J359" s="425" t="s">
        <v>4757</v>
      </c>
      <c r="K359" s="126" t="s">
        <v>378</v>
      </c>
      <c r="L359" s="122" t="s">
        <v>2901</v>
      </c>
      <c r="M359" s="122" t="s">
        <v>41</v>
      </c>
      <c r="N359" s="128" t="s">
        <v>42</v>
      </c>
      <c r="O359" s="163" t="s">
        <v>2902</v>
      </c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42" t="s">
        <v>2903</v>
      </c>
      <c r="AB359" s="58" t="s">
        <v>2904</v>
      </c>
      <c r="AC359" s="44" t="s">
        <v>61</v>
      </c>
      <c r="AD359" s="131">
        <v>40280</v>
      </c>
      <c r="AE359" s="164" t="s">
        <v>30</v>
      </c>
      <c r="AF359" s="36" t="s">
        <v>26</v>
      </c>
      <c r="AG359" s="133" t="s">
        <v>49</v>
      </c>
      <c r="AH359" s="48" t="s">
        <v>49</v>
      </c>
      <c r="AI359" s="48" t="s">
        <v>49</v>
      </c>
      <c r="AJ359" s="48" t="s">
        <v>49</v>
      </c>
      <c r="AK359" s="48" t="s">
        <v>49</v>
      </c>
      <c r="AL359" s="48" t="s">
        <v>49</v>
      </c>
      <c r="AM359" s="49" t="s">
        <v>49</v>
      </c>
      <c r="AN359" s="48" t="s">
        <v>49</v>
      </c>
      <c r="AO359" s="65" t="s">
        <v>32</v>
      </c>
      <c r="AP359" s="65"/>
      <c r="AQ359" s="59"/>
    </row>
    <row r="360" spans="1:43" ht="18.75" customHeight="1" x14ac:dyDescent="0.2">
      <c r="A360">
        <v>359</v>
      </c>
      <c r="B360" s="33" t="e">
        <f>+#REF!+1</f>
        <v>#REF!</v>
      </c>
      <c r="C360" s="122" t="s">
        <v>2905</v>
      </c>
      <c r="D360" s="123" t="s">
        <v>2906</v>
      </c>
      <c r="E360" s="202" t="s">
        <v>2907</v>
      </c>
      <c r="F360" s="342">
        <v>29318</v>
      </c>
      <c r="G360" s="36" t="s">
        <v>54</v>
      </c>
      <c r="H360" s="125" t="s">
        <v>2908</v>
      </c>
      <c r="I360" s="126" t="s">
        <v>4605</v>
      </c>
      <c r="J360" s="425" t="s">
        <v>4747</v>
      </c>
      <c r="K360" s="126" t="s">
        <v>205</v>
      </c>
      <c r="L360" s="127" t="s">
        <v>2909</v>
      </c>
      <c r="M360" s="122" t="s">
        <v>41</v>
      </c>
      <c r="N360" s="128" t="s">
        <v>42</v>
      </c>
      <c r="O360" s="163" t="s">
        <v>2910</v>
      </c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42" t="s">
        <v>2911</v>
      </c>
      <c r="AB360" s="52" t="s">
        <v>2912</v>
      </c>
      <c r="AC360" s="119" t="s">
        <v>2913</v>
      </c>
      <c r="AD360" s="45">
        <v>42325</v>
      </c>
      <c r="AE360" s="164" t="s">
        <v>30</v>
      </c>
      <c r="AF360" s="36" t="s">
        <v>26</v>
      </c>
      <c r="AG360" s="133" t="s">
        <v>49</v>
      </c>
      <c r="AH360" s="48" t="s">
        <v>49</v>
      </c>
      <c r="AI360" s="48" t="s">
        <v>49</v>
      </c>
      <c r="AJ360" s="48" t="s">
        <v>49</v>
      </c>
      <c r="AK360" s="48" t="s">
        <v>49</v>
      </c>
      <c r="AL360" s="48" t="s">
        <v>49</v>
      </c>
      <c r="AM360" s="49" t="s">
        <v>49</v>
      </c>
      <c r="AN360" s="48" t="s">
        <v>49</v>
      </c>
      <c r="AO360" s="65" t="s">
        <v>32</v>
      </c>
      <c r="AP360" s="325"/>
      <c r="AQ360" s="134"/>
    </row>
    <row r="361" spans="1:43" x14ac:dyDescent="0.2">
      <c r="A361">
        <v>360</v>
      </c>
      <c r="B361" s="33" t="e">
        <f>+B360+1</f>
        <v>#REF!</v>
      </c>
      <c r="C361" s="34" t="s">
        <v>2914</v>
      </c>
      <c r="D361" s="35" t="s">
        <v>2915</v>
      </c>
      <c r="E361" s="36" t="s">
        <v>2916</v>
      </c>
      <c r="F361" s="342">
        <v>24057</v>
      </c>
      <c r="G361" s="36" t="s">
        <v>54</v>
      </c>
      <c r="H361" s="34" t="s">
        <v>2917</v>
      </c>
      <c r="I361" s="37" t="s">
        <v>252</v>
      </c>
      <c r="J361" s="425" t="s">
        <v>4763</v>
      </c>
      <c r="K361" s="37" t="s">
        <v>57</v>
      </c>
      <c r="L361" s="34" t="s">
        <v>2918</v>
      </c>
      <c r="M361" s="34" t="s">
        <v>41</v>
      </c>
      <c r="N361" s="39" t="s">
        <v>42</v>
      </c>
      <c r="O361" s="99" t="s">
        <v>2437</v>
      </c>
      <c r="P361" s="56"/>
      <c r="Q361" s="137"/>
      <c r="R361" s="137"/>
      <c r="S361" s="137"/>
      <c r="T361" s="137"/>
      <c r="U361" s="137"/>
      <c r="V361" s="137"/>
      <c r="W361" s="137"/>
      <c r="X361" s="137" t="s">
        <v>732</v>
      </c>
      <c r="Y361" s="137"/>
      <c r="Z361" s="137"/>
      <c r="AA361" s="42" t="s">
        <v>2919</v>
      </c>
      <c r="AB361" s="52" t="s">
        <v>2920</v>
      </c>
      <c r="AC361" s="44" t="s">
        <v>61</v>
      </c>
      <c r="AD361" s="45">
        <v>40815</v>
      </c>
      <c r="AE361" s="101" t="s">
        <v>30</v>
      </c>
      <c r="AF361" s="36" t="s">
        <v>26</v>
      </c>
      <c r="AG361" s="47" t="s">
        <v>49</v>
      </c>
      <c r="AH361" s="48" t="s">
        <v>49</v>
      </c>
      <c r="AI361" s="48" t="s">
        <v>49</v>
      </c>
      <c r="AJ361" s="48" t="s">
        <v>49</v>
      </c>
      <c r="AK361" s="48" t="s">
        <v>49</v>
      </c>
      <c r="AL361" s="48" t="s">
        <v>49</v>
      </c>
      <c r="AM361" s="49" t="s">
        <v>49</v>
      </c>
      <c r="AN361" s="48" t="s">
        <v>49</v>
      </c>
      <c r="AO361" s="62" t="s">
        <v>32</v>
      </c>
      <c r="AP361" s="62"/>
      <c r="AQ361" s="59"/>
    </row>
    <row r="362" spans="1:43" ht="16" x14ac:dyDescent="0.2">
      <c r="A362">
        <v>361</v>
      </c>
      <c r="B362" s="33" t="e">
        <f>+B361+1</f>
        <v>#REF!</v>
      </c>
      <c r="C362" s="34" t="s">
        <v>2921</v>
      </c>
      <c r="D362" s="35" t="s">
        <v>2922</v>
      </c>
      <c r="E362" s="36" t="s">
        <v>2923</v>
      </c>
      <c r="F362" s="334">
        <v>34817</v>
      </c>
      <c r="G362" s="36" t="s">
        <v>54</v>
      </c>
      <c r="H362" s="34" t="s">
        <v>2924</v>
      </c>
      <c r="I362" s="37" t="s">
        <v>39</v>
      </c>
      <c r="J362" s="425" t="s">
        <v>4766</v>
      </c>
      <c r="K362" s="37" t="s">
        <v>39</v>
      </c>
      <c r="L362" s="34" t="s">
        <v>2925</v>
      </c>
      <c r="M362" s="34" t="s">
        <v>41</v>
      </c>
      <c r="N362" s="39" t="s">
        <v>42</v>
      </c>
      <c r="O362" s="99" t="s">
        <v>1218</v>
      </c>
      <c r="P362" s="56"/>
      <c r="Q362" s="56"/>
      <c r="R362" s="56"/>
      <c r="S362" s="56"/>
      <c r="T362" s="115"/>
      <c r="U362" s="115" t="s">
        <v>44</v>
      </c>
      <c r="V362" s="115"/>
      <c r="W362" s="56"/>
      <c r="X362" s="56"/>
      <c r="Y362" s="56"/>
      <c r="Z362" s="56"/>
      <c r="AA362" s="42" t="s">
        <v>2926</v>
      </c>
      <c r="AB362" s="43" t="s">
        <v>2927</v>
      </c>
      <c r="AC362" s="211" t="s">
        <v>2928</v>
      </c>
      <c r="AD362" s="45">
        <v>44944</v>
      </c>
      <c r="AE362" s="101" t="s">
        <v>30</v>
      </c>
      <c r="AF362" s="36"/>
      <c r="AG362" s="47" t="s">
        <v>49</v>
      </c>
      <c r="AH362" s="48" t="s">
        <v>41</v>
      </c>
      <c r="AI362" s="48" t="s">
        <v>49</v>
      </c>
      <c r="AJ362" s="48" t="s">
        <v>49</v>
      </c>
      <c r="AK362" s="48" t="s">
        <v>49</v>
      </c>
      <c r="AL362" s="48" t="s">
        <v>49</v>
      </c>
      <c r="AM362" s="49" t="s">
        <v>41</v>
      </c>
      <c r="AN362" s="48" t="s">
        <v>41</v>
      </c>
      <c r="AO362" s="62" t="s">
        <v>276</v>
      </c>
      <c r="AP362" s="62"/>
      <c r="AQ362" s="59"/>
    </row>
    <row r="363" spans="1:43" x14ac:dyDescent="0.2">
      <c r="A363">
        <v>362</v>
      </c>
      <c r="B363" s="33" t="e">
        <f>+B362+1</f>
        <v>#REF!</v>
      </c>
      <c r="C363" s="34" t="s">
        <v>2929</v>
      </c>
      <c r="D363" s="35" t="s">
        <v>2930</v>
      </c>
      <c r="E363" s="36" t="s">
        <v>2931</v>
      </c>
      <c r="F363" s="334">
        <v>25996</v>
      </c>
      <c r="G363" s="36" t="s">
        <v>54</v>
      </c>
      <c r="H363" s="34" t="s">
        <v>2932</v>
      </c>
      <c r="I363" s="37" t="s">
        <v>73</v>
      </c>
      <c r="J363" s="425" t="s">
        <v>4765</v>
      </c>
      <c r="K363" s="37" t="s">
        <v>73</v>
      </c>
      <c r="L363" s="394" t="s">
        <v>2933</v>
      </c>
      <c r="M363" s="34" t="s">
        <v>2933</v>
      </c>
      <c r="N363" s="39" t="s">
        <v>42</v>
      </c>
      <c r="O363" s="120">
        <v>31054</v>
      </c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4" t="s">
        <v>2934</v>
      </c>
      <c r="AB363" s="69" t="s">
        <v>2935</v>
      </c>
      <c r="AC363" s="417" t="s">
        <v>61</v>
      </c>
      <c r="AD363" s="45">
        <v>42325</v>
      </c>
      <c r="AE363" s="101" t="s">
        <v>30</v>
      </c>
      <c r="AF363" s="36" t="s">
        <v>26</v>
      </c>
      <c r="AG363" s="47" t="s">
        <v>49</v>
      </c>
      <c r="AH363" s="48" t="s">
        <v>49</v>
      </c>
      <c r="AI363" s="48" t="s">
        <v>49</v>
      </c>
      <c r="AJ363" s="48" t="s">
        <v>49</v>
      </c>
      <c r="AK363" s="48" t="s">
        <v>49</v>
      </c>
      <c r="AL363" s="48" t="s">
        <v>49</v>
      </c>
      <c r="AM363" s="48" t="s">
        <v>49</v>
      </c>
      <c r="AN363" s="48" t="s">
        <v>49</v>
      </c>
      <c r="AO363" s="62" t="s">
        <v>32</v>
      </c>
      <c r="AP363" s="62"/>
      <c r="AQ363" s="59"/>
    </row>
    <row r="364" spans="1:43" x14ac:dyDescent="0.2">
      <c r="A364">
        <v>363</v>
      </c>
      <c r="B364" s="33" t="e">
        <f>+B363+1</f>
        <v>#REF!</v>
      </c>
      <c r="C364" s="34" t="s">
        <v>2936</v>
      </c>
      <c r="D364" s="35" t="s">
        <v>2937</v>
      </c>
      <c r="E364" s="36" t="s">
        <v>2938</v>
      </c>
      <c r="F364" s="334">
        <v>29402</v>
      </c>
      <c r="G364" s="36" t="s">
        <v>36</v>
      </c>
      <c r="H364" s="34" t="s">
        <v>2939</v>
      </c>
      <c r="I364" s="37" t="s">
        <v>39</v>
      </c>
      <c r="J364" s="425" t="s">
        <v>4766</v>
      </c>
      <c r="K364" s="37" t="s">
        <v>39</v>
      </c>
      <c r="L364" s="405" t="s">
        <v>2940</v>
      </c>
      <c r="M364" s="34" t="s">
        <v>41</v>
      </c>
      <c r="N364" s="39" t="s">
        <v>42</v>
      </c>
      <c r="O364" s="120" t="s">
        <v>2941</v>
      </c>
      <c r="P364" s="41"/>
      <c r="Q364" s="41"/>
      <c r="R364" s="41"/>
      <c r="S364" s="41"/>
      <c r="T364" s="41"/>
      <c r="U364" s="41" t="s">
        <v>44</v>
      </c>
      <c r="V364" s="41"/>
      <c r="W364" s="41"/>
      <c r="X364" s="41"/>
      <c r="Y364" s="41"/>
      <c r="Z364" s="41"/>
      <c r="AA364" s="42" t="s">
        <v>2942</v>
      </c>
      <c r="AB364" s="83" t="s">
        <v>2943</v>
      </c>
      <c r="AC364" s="121" t="s">
        <v>2944</v>
      </c>
      <c r="AD364" s="45">
        <v>44650</v>
      </c>
      <c r="AE364" s="101" t="s">
        <v>30</v>
      </c>
      <c r="AF364" s="36"/>
      <c r="AG364" s="47" t="s">
        <v>49</v>
      </c>
      <c r="AH364" s="48" t="s">
        <v>41</v>
      </c>
      <c r="AI364" s="48" t="s">
        <v>49</v>
      </c>
      <c r="AJ364" s="48" t="s">
        <v>49</v>
      </c>
      <c r="AK364" s="48" t="s">
        <v>49</v>
      </c>
      <c r="AL364" s="48" t="s">
        <v>49</v>
      </c>
      <c r="AM364" s="49" t="s">
        <v>49</v>
      </c>
      <c r="AN364" s="48" t="s">
        <v>49</v>
      </c>
      <c r="AO364" s="62" t="s">
        <v>32</v>
      </c>
      <c r="AP364" s="62"/>
      <c r="AQ364" s="59"/>
    </row>
    <row r="365" spans="1:43" x14ac:dyDescent="0.2">
      <c r="A365">
        <v>364</v>
      </c>
      <c r="B365" s="33" t="e">
        <f>+B364+1</f>
        <v>#REF!</v>
      </c>
      <c r="C365" s="34" t="s">
        <v>4665</v>
      </c>
      <c r="D365" s="35" t="s">
        <v>4695</v>
      </c>
      <c r="E365" s="36" t="s">
        <v>4661</v>
      </c>
      <c r="F365" s="334">
        <v>35274</v>
      </c>
      <c r="G365" s="36" t="s">
        <v>54</v>
      </c>
      <c r="H365" s="34" t="s">
        <v>3349</v>
      </c>
      <c r="I365" s="37" t="s">
        <v>73</v>
      </c>
      <c r="J365" s="425" t="s">
        <v>4765</v>
      </c>
      <c r="K365" s="37" t="s">
        <v>73</v>
      </c>
      <c r="L365" s="38" t="s">
        <v>4662</v>
      </c>
      <c r="M365" s="34" t="s">
        <v>41</v>
      </c>
      <c r="N365" s="39" t="s">
        <v>42</v>
      </c>
      <c r="O365" s="120">
        <v>46120</v>
      </c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 t="s">
        <v>44</v>
      </c>
      <c r="AA365" s="54" t="s">
        <v>4666</v>
      </c>
      <c r="AB365" s="320" t="s">
        <v>4663</v>
      </c>
      <c r="AC365" s="121"/>
      <c r="AD365" s="45"/>
      <c r="AE365" s="101"/>
      <c r="AF365" s="36"/>
      <c r="AG365" s="47" t="s">
        <v>49</v>
      </c>
      <c r="AH365" s="48" t="s">
        <v>41</v>
      </c>
      <c r="AI365" s="48" t="s">
        <v>41</v>
      </c>
      <c r="AJ365" s="48" t="s">
        <v>41</v>
      </c>
      <c r="AK365" s="48" t="s">
        <v>41</v>
      </c>
      <c r="AL365" s="48" t="s">
        <v>41</v>
      </c>
      <c r="AM365" s="49" t="s">
        <v>41</v>
      </c>
      <c r="AN365" s="48" t="s">
        <v>49</v>
      </c>
      <c r="AO365" s="62" t="s">
        <v>32</v>
      </c>
      <c r="AP365" s="62"/>
      <c r="AQ365" s="59"/>
    </row>
    <row r="366" spans="1:43" x14ac:dyDescent="0.2">
      <c r="A366">
        <v>365</v>
      </c>
      <c r="B366" s="33" t="e">
        <f>+B365+1</f>
        <v>#REF!</v>
      </c>
      <c r="C366" s="34" t="s">
        <v>2945</v>
      </c>
      <c r="D366" s="35" t="s">
        <v>2946</v>
      </c>
      <c r="E366" s="36" t="s">
        <v>2947</v>
      </c>
      <c r="F366" s="334">
        <v>30719</v>
      </c>
      <c r="G366" s="36" t="s">
        <v>54</v>
      </c>
      <c r="H366" s="34" t="s">
        <v>2948</v>
      </c>
      <c r="I366" s="37" t="s">
        <v>39</v>
      </c>
      <c r="J366" s="425" t="s">
        <v>4759</v>
      </c>
      <c r="K366" s="37" t="s">
        <v>39</v>
      </c>
      <c r="L366" s="34">
        <v>8562651324</v>
      </c>
      <c r="M366" s="34" t="s">
        <v>41</v>
      </c>
      <c r="N366" s="39" t="s">
        <v>42</v>
      </c>
      <c r="O366" s="99" t="s">
        <v>2742</v>
      </c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7" t="s">
        <v>2949</v>
      </c>
      <c r="AB366" s="52" t="s">
        <v>2950</v>
      </c>
      <c r="AC366" s="44" t="s">
        <v>2951</v>
      </c>
      <c r="AD366" s="45">
        <v>42935</v>
      </c>
      <c r="AE366" s="101" t="s">
        <v>30</v>
      </c>
      <c r="AF366" s="36" t="s">
        <v>26</v>
      </c>
      <c r="AG366" s="47" t="s">
        <v>49</v>
      </c>
      <c r="AH366" s="48" t="s">
        <v>49</v>
      </c>
      <c r="AI366" s="48" t="s">
        <v>49</v>
      </c>
      <c r="AJ366" s="48" t="s">
        <v>49</v>
      </c>
      <c r="AK366" s="48" t="s">
        <v>49</v>
      </c>
      <c r="AL366" s="48" t="s">
        <v>49</v>
      </c>
      <c r="AM366" s="49" t="s">
        <v>49</v>
      </c>
      <c r="AN366" s="48" t="s">
        <v>49</v>
      </c>
      <c r="AO366" s="62" t="s">
        <v>32</v>
      </c>
      <c r="AP366" s="62"/>
      <c r="AQ366" s="59"/>
    </row>
    <row r="367" spans="1:43" x14ac:dyDescent="0.2">
      <c r="A367">
        <v>366</v>
      </c>
      <c r="B367" s="33" t="e">
        <f>+B366+1</f>
        <v>#REF!</v>
      </c>
      <c r="C367" s="34" t="s">
        <v>2952</v>
      </c>
      <c r="D367" s="35" t="s">
        <v>2953</v>
      </c>
      <c r="E367" s="36" t="s">
        <v>2954</v>
      </c>
      <c r="F367" s="334">
        <v>31372</v>
      </c>
      <c r="G367" s="36" t="s">
        <v>36</v>
      </c>
      <c r="H367" s="108" t="s">
        <v>2955</v>
      </c>
      <c r="I367" s="37" t="s">
        <v>73</v>
      </c>
      <c r="J367" s="425" t="s">
        <v>4765</v>
      </c>
      <c r="K367" s="37" t="s">
        <v>73</v>
      </c>
      <c r="L367" s="108" t="s">
        <v>2956</v>
      </c>
      <c r="M367" s="108" t="s">
        <v>41</v>
      </c>
      <c r="N367" s="39" t="s">
        <v>42</v>
      </c>
      <c r="O367" s="99" t="s">
        <v>2957</v>
      </c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42" t="s">
        <v>2958</v>
      </c>
      <c r="AB367" s="43" t="s">
        <v>2959</v>
      </c>
      <c r="AC367" s="43"/>
      <c r="AD367" s="43" t="s">
        <v>47</v>
      </c>
      <c r="AE367" s="101"/>
      <c r="AF367" s="36"/>
      <c r="AG367" s="47" t="s">
        <v>49</v>
      </c>
      <c r="AH367" s="48" t="s">
        <v>49</v>
      </c>
      <c r="AI367" s="48" t="s">
        <v>49</v>
      </c>
      <c r="AJ367" s="48" t="s">
        <v>49</v>
      </c>
      <c r="AK367" s="48" t="s">
        <v>41</v>
      </c>
      <c r="AL367" s="48" t="s">
        <v>41</v>
      </c>
      <c r="AM367" s="49" t="s">
        <v>41</v>
      </c>
      <c r="AN367" s="48" t="s">
        <v>41</v>
      </c>
      <c r="AO367" s="62" t="s">
        <v>139</v>
      </c>
      <c r="AP367" s="62"/>
      <c r="AQ367" s="59"/>
    </row>
    <row r="368" spans="1:43" x14ac:dyDescent="0.2">
      <c r="A368">
        <v>367</v>
      </c>
      <c r="B368" s="33" t="e">
        <f>+B367+1</f>
        <v>#REF!</v>
      </c>
      <c r="C368" s="34" t="s">
        <v>2960</v>
      </c>
      <c r="D368" s="35" t="s">
        <v>2961</v>
      </c>
      <c r="E368" s="36" t="s">
        <v>2962</v>
      </c>
      <c r="F368" s="334">
        <v>32464</v>
      </c>
      <c r="G368" s="36" t="s">
        <v>36</v>
      </c>
      <c r="H368" s="34" t="s">
        <v>2963</v>
      </c>
      <c r="I368" s="37" t="s">
        <v>73</v>
      </c>
      <c r="J368" s="425" t="s">
        <v>4765</v>
      </c>
      <c r="K368" s="37" t="s">
        <v>73</v>
      </c>
      <c r="L368" s="38" t="s">
        <v>2964</v>
      </c>
      <c r="M368" s="34" t="s">
        <v>41</v>
      </c>
      <c r="N368" s="39" t="s">
        <v>42</v>
      </c>
      <c r="O368" s="120">
        <v>44812</v>
      </c>
      <c r="P368" s="56" t="s">
        <v>179</v>
      </c>
      <c r="Q368" s="56" t="s">
        <v>179</v>
      </c>
      <c r="R368" s="56"/>
      <c r="S368" s="56">
        <v>2</v>
      </c>
      <c r="T368" s="56"/>
      <c r="U368" s="56"/>
      <c r="V368" s="56" t="s">
        <v>44</v>
      </c>
      <c r="W368" s="56"/>
      <c r="X368" s="56"/>
      <c r="Y368" s="56"/>
      <c r="Z368" s="56"/>
      <c r="AA368" s="54" t="s">
        <v>2965</v>
      </c>
      <c r="AB368" s="43" t="s">
        <v>2966</v>
      </c>
      <c r="AC368" s="44"/>
      <c r="AD368" s="45"/>
      <c r="AE368" s="101"/>
      <c r="AF368" s="36"/>
      <c r="AG368" s="47" t="s">
        <v>49</v>
      </c>
      <c r="AH368" s="48" t="s">
        <v>41</v>
      </c>
      <c r="AI368" s="48" t="s">
        <v>41</v>
      </c>
      <c r="AJ368" s="48" t="s">
        <v>49</v>
      </c>
      <c r="AK368" s="48" t="s">
        <v>49</v>
      </c>
      <c r="AL368" s="48" t="s">
        <v>49</v>
      </c>
      <c r="AM368" s="49" t="s">
        <v>49</v>
      </c>
      <c r="AN368" s="48" t="s">
        <v>41</v>
      </c>
      <c r="AO368" s="62" t="s">
        <v>148</v>
      </c>
      <c r="AP368" s="62"/>
      <c r="AQ368" s="59"/>
    </row>
    <row r="369" spans="1:43" x14ac:dyDescent="0.2">
      <c r="A369">
        <v>368</v>
      </c>
      <c r="B369" s="33" t="e">
        <f>+B368+1</f>
        <v>#REF!</v>
      </c>
      <c r="C369" s="34" t="s">
        <v>2967</v>
      </c>
      <c r="D369" s="35" t="s">
        <v>2968</v>
      </c>
      <c r="E369" s="36" t="s">
        <v>2969</v>
      </c>
      <c r="F369" s="334">
        <v>34158</v>
      </c>
      <c r="G369" s="36" t="s">
        <v>54</v>
      </c>
      <c r="H369" s="34" t="s">
        <v>2970</v>
      </c>
      <c r="I369" s="37" t="s">
        <v>73</v>
      </c>
      <c r="J369" s="425" t="s">
        <v>4765</v>
      </c>
      <c r="K369" s="37" t="s">
        <v>73</v>
      </c>
      <c r="L369" s="38" t="s">
        <v>2971</v>
      </c>
      <c r="M369" s="34" t="s">
        <v>41</v>
      </c>
      <c r="N369" s="39" t="s">
        <v>42</v>
      </c>
      <c r="O369" s="120">
        <v>43687</v>
      </c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42" t="s">
        <v>2972</v>
      </c>
      <c r="AB369" s="58" t="s">
        <v>2973</v>
      </c>
      <c r="AC369" s="44" t="s">
        <v>2974</v>
      </c>
      <c r="AD369" s="45">
        <v>44041</v>
      </c>
      <c r="AE369" s="101" t="s">
        <v>30</v>
      </c>
      <c r="AF369" s="36"/>
      <c r="AG369" s="47" t="s">
        <v>49</v>
      </c>
      <c r="AH369" s="48" t="s">
        <v>41</v>
      </c>
      <c r="AI369" s="48" t="s">
        <v>49</v>
      </c>
      <c r="AJ369" s="48" t="s">
        <v>49</v>
      </c>
      <c r="AK369" s="48" t="s">
        <v>49</v>
      </c>
      <c r="AL369" s="48" t="s">
        <v>49</v>
      </c>
      <c r="AM369" s="49" t="s">
        <v>49</v>
      </c>
      <c r="AN369" s="48" t="s">
        <v>49</v>
      </c>
      <c r="AO369" s="65" t="s">
        <v>32</v>
      </c>
      <c r="AP369" s="65"/>
      <c r="AQ369" s="59"/>
    </row>
    <row r="370" spans="1:43" x14ac:dyDescent="0.2">
      <c r="A370">
        <v>369</v>
      </c>
      <c r="B370" s="33" t="e">
        <f>+B369+1</f>
        <v>#REF!</v>
      </c>
      <c r="C370" s="34" t="s">
        <v>2975</v>
      </c>
      <c r="D370" s="35" t="s">
        <v>2976</v>
      </c>
      <c r="E370" s="36" t="s">
        <v>2977</v>
      </c>
      <c r="F370" s="334">
        <v>27954</v>
      </c>
      <c r="G370" s="36" t="s">
        <v>54</v>
      </c>
      <c r="H370" s="34" t="s">
        <v>2978</v>
      </c>
      <c r="I370" s="37" t="s">
        <v>39</v>
      </c>
      <c r="J370" s="425" t="s">
        <v>4766</v>
      </c>
      <c r="K370" s="37" t="s">
        <v>39</v>
      </c>
      <c r="L370" s="34" t="s">
        <v>2979</v>
      </c>
      <c r="M370" s="34" t="s">
        <v>41</v>
      </c>
      <c r="N370" s="39" t="s">
        <v>42</v>
      </c>
      <c r="O370" s="99" t="s">
        <v>273</v>
      </c>
      <c r="P370" s="115"/>
      <c r="Q370" s="115"/>
      <c r="R370" s="115"/>
      <c r="S370" s="115"/>
      <c r="T370" s="115"/>
      <c r="U370" s="115"/>
      <c r="V370" s="115"/>
      <c r="W370" s="56"/>
      <c r="X370" s="56"/>
      <c r="Y370" s="56"/>
      <c r="Z370" s="56"/>
      <c r="AA370" s="42" t="s">
        <v>2980</v>
      </c>
      <c r="AB370" s="69" t="s">
        <v>2981</v>
      </c>
      <c r="AC370" s="44" t="s">
        <v>61</v>
      </c>
      <c r="AD370" s="45">
        <v>40280</v>
      </c>
      <c r="AE370" s="101" t="s">
        <v>30</v>
      </c>
      <c r="AF370" s="36" t="s">
        <v>26</v>
      </c>
      <c r="AG370" s="47" t="s">
        <v>49</v>
      </c>
      <c r="AH370" s="48" t="s">
        <v>49</v>
      </c>
      <c r="AI370" s="48" t="s">
        <v>49</v>
      </c>
      <c r="AJ370" s="48" t="s">
        <v>49</v>
      </c>
      <c r="AK370" s="48" t="s">
        <v>49</v>
      </c>
      <c r="AL370" s="48" t="s">
        <v>49</v>
      </c>
      <c r="AM370" s="49" t="s">
        <v>49</v>
      </c>
      <c r="AN370" s="48" t="s">
        <v>49</v>
      </c>
      <c r="AO370" s="62" t="s">
        <v>32</v>
      </c>
      <c r="AP370" s="62"/>
      <c r="AQ370" s="59"/>
    </row>
    <row r="371" spans="1:43" ht="17.25" customHeight="1" x14ac:dyDescent="0.2">
      <c r="A371">
        <v>370</v>
      </c>
      <c r="B371" s="33" t="e">
        <f>+B370+1</f>
        <v>#REF!</v>
      </c>
      <c r="C371" s="34" t="s">
        <v>2982</v>
      </c>
      <c r="D371" s="35" t="s">
        <v>2983</v>
      </c>
      <c r="E371" s="36" t="s">
        <v>2984</v>
      </c>
      <c r="F371" s="334">
        <v>24539</v>
      </c>
      <c r="G371" s="36" t="s">
        <v>54</v>
      </c>
      <c r="H371" s="34" t="s">
        <v>2985</v>
      </c>
      <c r="I371" s="37" t="s">
        <v>73</v>
      </c>
      <c r="J371" s="425" t="s">
        <v>4765</v>
      </c>
      <c r="K371" s="37" t="s">
        <v>73</v>
      </c>
      <c r="L371" s="38" t="s">
        <v>2986</v>
      </c>
      <c r="M371" s="34" t="s">
        <v>41</v>
      </c>
      <c r="N371" s="39" t="s">
        <v>42</v>
      </c>
      <c r="O371" s="99" t="s">
        <v>2987</v>
      </c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42" t="s">
        <v>2988</v>
      </c>
      <c r="AB371" s="69" t="s">
        <v>2989</v>
      </c>
      <c r="AC371" s="44" t="s">
        <v>2990</v>
      </c>
      <c r="AD371" s="45">
        <v>43200</v>
      </c>
      <c r="AE371" s="101" t="s">
        <v>30</v>
      </c>
      <c r="AF371" s="36" t="s">
        <v>26</v>
      </c>
      <c r="AG371" s="47" t="s">
        <v>49</v>
      </c>
      <c r="AH371" s="48" t="s">
        <v>49</v>
      </c>
      <c r="AI371" s="48" t="s">
        <v>49</v>
      </c>
      <c r="AJ371" s="48" t="s">
        <v>49</v>
      </c>
      <c r="AK371" s="48" t="s">
        <v>49</v>
      </c>
      <c r="AL371" s="48" t="s">
        <v>49</v>
      </c>
      <c r="AM371" s="49" t="s">
        <v>49</v>
      </c>
      <c r="AN371" s="48" t="s">
        <v>49</v>
      </c>
      <c r="AO371" s="62" t="s">
        <v>32</v>
      </c>
      <c r="AP371" s="62"/>
      <c r="AQ371" s="67"/>
    </row>
    <row r="372" spans="1:43" ht="17.25" customHeight="1" x14ac:dyDescent="0.2">
      <c r="A372">
        <v>371</v>
      </c>
      <c r="B372" s="33" t="e">
        <f>+B371+1</f>
        <v>#REF!</v>
      </c>
      <c r="C372" s="34" t="s">
        <v>2991</v>
      </c>
      <c r="D372" s="35" t="s">
        <v>2992</v>
      </c>
      <c r="E372" s="36" t="s">
        <v>2993</v>
      </c>
      <c r="F372" s="334">
        <v>34269</v>
      </c>
      <c r="G372" s="36" t="s">
        <v>54</v>
      </c>
      <c r="H372" s="34" t="s">
        <v>2994</v>
      </c>
      <c r="I372" s="37" t="s">
        <v>252</v>
      </c>
      <c r="J372" s="425" t="s">
        <v>4763</v>
      </c>
      <c r="K372" s="37" t="s">
        <v>57</v>
      </c>
      <c r="L372" s="38" t="s">
        <v>2995</v>
      </c>
      <c r="M372" s="34" t="s">
        <v>41</v>
      </c>
      <c r="N372" s="39" t="s">
        <v>42</v>
      </c>
      <c r="O372" s="120">
        <v>45330</v>
      </c>
      <c r="P372" s="56"/>
      <c r="Q372" s="56"/>
      <c r="R372" s="56"/>
      <c r="S372" s="56"/>
      <c r="T372" s="56"/>
      <c r="U372" s="56"/>
      <c r="V372" s="56"/>
      <c r="W372" s="56"/>
      <c r="X372" s="56" t="s">
        <v>44</v>
      </c>
      <c r="Y372" s="56"/>
      <c r="Z372" s="56"/>
      <c r="AA372" s="42" t="s">
        <v>2996</v>
      </c>
      <c r="AB372" s="58" t="s">
        <v>2997</v>
      </c>
      <c r="AC372" s="119"/>
      <c r="AD372" s="45"/>
      <c r="AE372" s="101"/>
      <c r="AF372" s="36"/>
      <c r="AG372" s="47" t="s">
        <v>49</v>
      </c>
      <c r="AH372" s="48" t="s">
        <v>41</v>
      </c>
      <c r="AI372" s="48" t="s">
        <v>41</v>
      </c>
      <c r="AJ372" s="48" t="s">
        <v>41</v>
      </c>
      <c r="AK372" s="48" t="s">
        <v>41</v>
      </c>
      <c r="AL372" s="48" t="s">
        <v>49</v>
      </c>
      <c r="AM372" s="49" t="s">
        <v>49</v>
      </c>
      <c r="AN372" s="48" t="s">
        <v>49</v>
      </c>
      <c r="AO372" s="62" t="s">
        <v>32</v>
      </c>
      <c r="AP372" s="62"/>
      <c r="AQ372" s="59"/>
    </row>
    <row r="373" spans="1:43" ht="17.25" customHeight="1" x14ac:dyDescent="0.2">
      <c r="A373">
        <v>372</v>
      </c>
      <c r="B373" s="33" t="e">
        <f>+B372+1</f>
        <v>#REF!</v>
      </c>
      <c r="C373" s="34" t="s">
        <v>2998</v>
      </c>
      <c r="D373" s="35" t="s">
        <v>2999</v>
      </c>
      <c r="E373" s="36" t="s">
        <v>4847</v>
      </c>
      <c r="F373" s="334">
        <v>21438</v>
      </c>
      <c r="G373" s="36" t="s">
        <v>54</v>
      </c>
      <c r="H373" s="34" t="s">
        <v>3001</v>
      </c>
      <c r="I373" s="37" t="s">
        <v>398</v>
      </c>
      <c r="J373" s="425" t="s">
        <v>4745</v>
      </c>
      <c r="K373" s="37" t="s">
        <v>205</v>
      </c>
      <c r="L373" s="34" t="s">
        <v>3002</v>
      </c>
      <c r="M373" s="34" t="s">
        <v>41</v>
      </c>
      <c r="N373" s="39" t="s">
        <v>42</v>
      </c>
      <c r="O373" s="99" t="s">
        <v>3003</v>
      </c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42" t="s">
        <v>3004</v>
      </c>
      <c r="AB373" s="58" t="s">
        <v>3005</v>
      </c>
      <c r="AC373" s="44" t="s">
        <v>61</v>
      </c>
      <c r="AD373" s="45">
        <v>40278</v>
      </c>
      <c r="AE373" s="101" t="s">
        <v>30</v>
      </c>
      <c r="AF373" s="36" t="s">
        <v>26</v>
      </c>
      <c r="AG373" s="47" t="s">
        <v>49</v>
      </c>
      <c r="AH373" s="48" t="s">
        <v>49</v>
      </c>
      <c r="AI373" s="48" t="s">
        <v>49</v>
      </c>
      <c r="AJ373" s="48" t="s">
        <v>49</v>
      </c>
      <c r="AK373" s="48" t="s">
        <v>49</v>
      </c>
      <c r="AL373" s="48" t="s">
        <v>49</v>
      </c>
      <c r="AM373" s="49" t="s">
        <v>49</v>
      </c>
      <c r="AN373" s="48" t="s">
        <v>49</v>
      </c>
      <c r="AO373" s="65" t="s">
        <v>32</v>
      </c>
      <c r="AP373" s="65"/>
      <c r="AQ373" s="423"/>
    </row>
    <row r="374" spans="1:43" ht="17.25" customHeight="1" x14ac:dyDescent="0.2">
      <c r="A374">
        <v>373</v>
      </c>
      <c r="B374" s="33" t="e">
        <f>+B373+1</f>
        <v>#REF!</v>
      </c>
      <c r="C374" s="34" t="s">
        <v>3006</v>
      </c>
      <c r="D374" s="35" t="s">
        <v>3007</v>
      </c>
      <c r="E374" s="36" t="s">
        <v>4814</v>
      </c>
      <c r="F374" s="36"/>
      <c r="G374" s="36" t="s">
        <v>54</v>
      </c>
      <c r="H374" s="226" t="s">
        <v>3009</v>
      </c>
      <c r="I374" s="37" t="s">
        <v>73</v>
      </c>
      <c r="J374" s="425" t="s">
        <v>4765</v>
      </c>
      <c r="K374" s="37" t="s">
        <v>73</v>
      </c>
      <c r="L374" s="34" t="s">
        <v>3010</v>
      </c>
      <c r="M374" s="34" t="s">
        <v>3011</v>
      </c>
      <c r="N374" s="39" t="s">
        <v>42</v>
      </c>
      <c r="O374" s="99" t="s">
        <v>3012</v>
      </c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42" t="s">
        <v>3013</v>
      </c>
      <c r="AB374" s="58" t="s">
        <v>3014</v>
      </c>
      <c r="AC374" s="119" t="s">
        <v>61</v>
      </c>
      <c r="AD374" s="45" t="s">
        <v>3015</v>
      </c>
      <c r="AE374" s="101" t="s">
        <v>30</v>
      </c>
      <c r="AF374" s="36"/>
      <c r="AG374" s="47" t="s">
        <v>49</v>
      </c>
      <c r="AH374" s="48" t="s">
        <v>41</v>
      </c>
      <c r="AI374" s="48" t="s">
        <v>41</v>
      </c>
      <c r="AJ374" s="48" t="s">
        <v>41</v>
      </c>
      <c r="AK374" s="48" t="s">
        <v>41</v>
      </c>
      <c r="AL374" s="48" t="s">
        <v>41</v>
      </c>
      <c r="AM374" s="49" t="s">
        <v>41</v>
      </c>
      <c r="AN374" s="48" t="s">
        <v>41</v>
      </c>
      <c r="AO374" s="65" t="s">
        <v>4588</v>
      </c>
      <c r="AP374" s="65"/>
      <c r="AQ374" s="59"/>
    </row>
    <row r="375" spans="1:43" ht="16" x14ac:dyDescent="0.2">
      <c r="A375">
        <v>374</v>
      </c>
      <c r="B375" s="33" t="e">
        <f>+B374+1</f>
        <v>#REF!</v>
      </c>
      <c r="C375" s="34" t="s">
        <v>3016</v>
      </c>
      <c r="D375" s="35" t="s">
        <v>3017</v>
      </c>
      <c r="E375" s="36" t="s">
        <v>3018</v>
      </c>
      <c r="F375" s="334">
        <v>34662</v>
      </c>
      <c r="G375" s="36" t="s">
        <v>36</v>
      </c>
      <c r="H375" s="226" t="s">
        <v>3019</v>
      </c>
      <c r="I375" s="37" t="s">
        <v>350</v>
      </c>
      <c r="J375" s="425" t="s">
        <v>4751</v>
      </c>
      <c r="K375" s="37" t="s">
        <v>350</v>
      </c>
      <c r="L375" s="38" t="s">
        <v>3020</v>
      </c>
      <c r="M375" s="34" t="s">
        <v>41</v>
      </c>
      <c r="N375" s="39" t="s">
        <v>42</v>
      </c>
      <c r="O375" s="120">
        <v>44573</v>
      </c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7" t="s">
        <v>3021</v>
      </c>
      <c r="AB375" s="58" t="s">
        <v>3022</v>
      </c>
      <c r="AC375" s="418" t="s">
        <v>3023</v>
      </c>
      <c r="AD375" s="45">
        <v>44944</v>
      </c>
      <c r="AE375" s="101" t="s">
        <v>30</v>
      </c>
      <c r="AF375" s="36"/>
      <c r="AG375" s="47" t="s">
        <v>49</v>
      </c>
      <c r="AH375" s="48" t="s">
        <v>41</v>
      </c>
      <c r="AI375" s="48" t="s">
        <v>41</v>
      </c>
      <c r="AJ375" s="48" t="s">
        <v>49</v>
      </c>
      <c r="AK375" s="48" t="s">
        <v>49</v>
      </c>
      <c r="AL375" s="48" t="s">
        <v>41</v>
      </c>
      <c r="AM375" s="49" t="s">
        <v>41</v>
      </c>
      <c r="AN375" s="48" t="s">
        <v>41</v>
      </c>
      <c r="AO375" s="65" t="s">
        <v>4589</v>
      </c>
      <c r="AP375" s="65"/>
      <c r="AQ375" s="59"/>
    </row>
    <row r="376" spans="1:43" x14ac:dyDescent="0.2">
      <c r="A376">
        <v>375</v>
      </c>
      <c r="B376" s="33" t="e">
        <f>+B375+1</f>
        <v>#REF!</v>
      </c>
      <c r="C376" s="34" t="s">
        <v>3024</v>
      </c>
      <c r="D376" s="35" t="s">
        <v>3025</v>
      </c>
      <c r="E376" s="36" t="s">
        <v>4842</v>
      </c>
      <c r="F376" s="334">
        <v>22003</v>
      </c>
      <c r="G376" s="36" t="s">
        <v>54</v>
      </c>
      <c r="H376" s="87" t="s">
        <v>3027</v>
      </c>
      <c r="I376" s="37" t="s">
        <v>252</v>
      </c>
      <c r="J376" s="425" t="s">
        <v>4763</v>
      </c>
      <c r="K376" s="37" t="s">
        <v>57</v>
      </c>
      <c r="L376" s="394" t="s">
        <v>3028</v>
      </c>
      <c r="M376" s="34" t="s">
        <v>3028</v>
      </c>
      <c r="N376" s="39" t="s">
        <v>42</v>
      </c>
      <c r="O376" s="99" t="s">
        <v>3029</v>
      </c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2" t="s">
        <v>3030</v>
      </c>
      <c r="AB376" s="58" t="s">
        <v>3031</v>
      </c>
      <c r="AC376" s="44" t="s">
        <v>61</v>
      </c>
      <c r="AD376" s="45">
        <v>40815</v>
      </c>
      <c r="AE376" s="101" t="s">
        <v>30</v>
      </c>
      <c r="AF376" s="36" t="s">
        <v>26</v>
      </c>
      <c r="AG376" s="47" t="s">
        <v>49</v>
      </c>
      <c r="AH376" s="48" t="s">
        <v>49</v>
      </c>
      <c r="AI376" s="48" t="s">
        <v>49</v>
      </c>
      <c r="AJ376" s="48" t="s">
        <v>49</v>
      </c>
      <c r="AK376" s="48" t="s">
        <v>49</v>
      </c>
      <c r="AL376" s="48" t="s">
        <v>49</v>
      </c>
      <c r="AM376" s="49" t="s">
        <v>49</v>
      </c>
      <c r="AN376" s="48" t="s">
        <v>49</v>
      </c>
      <c r="AO376" s="62" t="s">
        <v>32</v>
      </c>
      <c r="AP376" s="62"/>
      <c r="AQ376" s="59"/>
    </row>
    <row r="377" spans="1:43" x14ac:dyDescent="0.2">
      <c r="A377">
        <v>376</v>
      </c>
      <c r="B377" s="33" t="e">
        <f>+B376+1</f>
        <v>#REF!</v>
      </c>
      <c r="C377" s="34" t="s">
        <v>3039</v>
      </c>
      <c r="D377" s="35" t="s">
        <v>3040</v>
      </c>
      <c r="E377" s="36" t="s">
        <v>3041</v>
      </c>
      <c r="F377" s="334">
        <v>32073</v>
      </c>
      <c r="G377" s="36" t="s">
        <v>36</v>
      </c>
      <c r="H377" s="34" t="s">
        <v>3042</v>
      </c>
      <c r="I377" s="37" t="s">
        <v>56</v>
      </c>
      <c r="J377" s="425" t="s">
        <v>4739</v>
      </c>
      <c r="K377" s="37" t="s">
        <v>57</v>
      </c>
      <c r="L377" s="38" t="s">
        <v>3043</v>
      </c>
      <c r="M377" s="34"/>
      <c r="N377" s="39" t="s">
        <v>42</v>
      </c>
      <c r="O377" s="99" t="s">
        <v>3044</v>
      </c>
      <c r="P377" s="41"/>
      <c r="Q377" s="41"/>
      <c r="R377" s="41"/>
      <c r="S377" s="41"/>
      <c r="T377" s="41"/>
      <c r="U377" s="41"/>
      <c r="V377" s="41" t="s">
        <v>44</v>
      </c>
      <c r="W377" s="41"/>
      <c r="X377" s="41"/>
      <c r="Y377" s="41"/>
      <c r="Z377" s="41"/>
      <c r="AA377" s="42" t="s">
        <v>3045</v>
      </c>
      <c r="AB377" s="58" t="s">
        <v>3046</v>
      </c>
      <c r="AC377" s="121" t="s">
        <v>3047</v>
      </c>
      <c r="AD377" s="45">
        <v>44650</v>
      </c>
      <c r="AE377" s="101" t="s">
        <v>30</v>
      </c>
      <c r="AF377" s="36"/>
      <c r="AG377" s="47" t="s">
        <v>49</v>
      </c>
      <c r="AH377" s="48" t="s">
        <v>41</v>
      </c>
      <c r="AI377" s="48" t="s">
        <v>41</v>
      </c>
      <c r="AJ377" s="48" t="s">
        <v>49</v>
      </c>
      <c r="AK377" s="48" t="s">
        <v>49</v>
      </c>
      <c r="AL377" s="48" t="s">
        <v>49</v>
      </c>
      <c r="AM377" s="49" t="s">
        <v>49</v>
      </c>
      <c r="AN377" s="48" t="s">
        <v>49</v>
      </c>
      <c r="AO377" s="62" t="s">
        <v>32</v>
      </c>
      <c r="AP377" s="62"/>
      <c r="AQ377" s="59"/>
    </row>
    <row r="378" spans="1:43" x14ac:dyDescent="0.2">
      <c r="A378">
        <v>377</v>
      </c>
      <c r="B378" s="33" t="e">
        <f>+B377+1</f>
        <v>#REF!</v>
      </c>
      <c r="C378" s="52" t="s">
        <v>3048</v>
      </c>
      <c r="D378" s="150" t="s">
        <v>3049</v>
      </c>
      <c r="E378" s="73" t="s">
        <v>3050</v>
      </c>
      <c r="F378" s="335">
        <v>29058</v>
      </c>
      <c r="G378" s="36" t="s">
        <v>54</v>
      </c>
      <c r="H378" s="52" t="s">
        <v>3051</v>
      </c>
      <c r="I378" s="37" t="s">
        <v>456</v>
      </c>
      <c r="J378" s="425" t="s">
        <v>4770</v>
      </c>
      <c r="K378" s="37" t="s">
        <v>187</v>
      </c>
      <c r="L378" s="52" t="s">
        <v>3052</v>
      </c>
      <c r="M378" s="34" t="s">
        <v>41</v>
      </c>
      <c r="N378" s="39" t="s">
        <v>42</v>
      </c>
      <c r="O378" s="227" t="s">
        <v>3053</v>
      </c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42" t="s">
        <v>3054</v>
      </c>
      <c r="AB378" s="58" t="s">
        <v>3055</v>
      </c>
      <c r="AC378" s="44" t="s">
        <v>3056</v>
      </c>
      <c r="AD378" s="153">
        <v>43200</v>
      </c>
      <c r="AE378" s="101" t="s">
        <v>30</v>
      </c>
      <c r="AF378" s="73" t="s">
        <v>26</v>
      </c>
      <c r="AG378" s="47" t="s">
        <v>49</v>
      </c>
      <c r="AH378" s="48" t="s">
        <v>49</v>
      </c>
      <c r="AI378" s="48" t="s">
        <v>49</v>
      </c>
      <c r="AJ378" s="48" t="s">
        <v>49</v>
      </c>
      <c r="AK378" s="48" t="s">
        <v>49</v>
      </c>
      <c r="AL378" s="48" t="s">
        <v>49</v>
      </c>
      <c r="AM378" s="49" t="s">
        <v>49</v>
      </c>
      <c r="AN378" s="48" t="s">
        <v>49</v>
      </c>
      <c r="AO378" s="62" t="s">
        <v>32</v>
      </c>
      <c r="AP378" s="62"/>
      <c r="AQ378" s="59"/>
    </row>
    <row r="379" spans="1:43" x14ac:dyDescent="0.2">
      <c r="A379">
        <v>378</v>
      </c>
      <c r="B379" s="33" t="e">
        <f>+B378+1</f>
        <v>#REF!</v>
      </c>
      <c r="C379" s="34" t="s">
        <v>3032</v>
      </c>
      <c r="D379" s="35" t="s">
        <v>3033</v>
      </c>
      <c r="E379" s="36" t="s">
        <v>3034</v>
      </c>
      <c r="F379" s="334">
        <v>22836</v>
      </c>
      <c r="G379" s="36" t="s">
        <v>54</v>
      </c>
      <c r="H379" s="34" t="s">
        <v>3035</v>
      </c>
      <c r="I379" s="37" t="s">
        <v>747</v>
      </c>
      <c r="J379" s="425" t="s">
        <v>4755</v>
      </c>
      <c r="K379" s="37" t="s">
        <v>378</v>
      </c>
      <c r="L379" s="38" t="s">
        <v>3036</v>
      </c>
      <c r="M379" s="34" t="s">
        <v>41</v>
      </c>
      <c r="N379" s="39" t="s">
        <v>42</v>
      </c>
      <c r="O379" s="120">
        <v>45798</v>
      </c>
      <c r="P379" s="41"/>
      <c r="Q379" s="41"/>
      <c r="R379" s="41"/>
      <c r="S379" s="41"/>
      <c r="T379" s="41"/>
      <c r="U379" s="41"/>
      <c r="V379" s="41"/>
      <c r="W379" s="41"/>
      <c r="X379" s="41"/>
      <c r="Y379" s="41" t="s">
        <v>44</v>
      </c>
      <c r="Z379" s="41"/>
      <c r="AA379" s="54" t="s">
        <v>3037</v>
      </c>
      <c r="AB379" s="58" t="s">
        <v>3038</v>
      </c>
      <c r="AC379" s="44"/>
      <c r="AD379" s="45"/>
      <c r="AE379" s="101"/>
      <c r="AF379" s="36"/>
      <c r="AG379" s="47" t="s">
        <v>49</v>
      </c>
      <c r="AH379" s="48" t="s">
        <v>41</v>
      </c>
      <c r="AI379" s="48" t="s">
        <v>41</v>
      </c>
      <c r="AJ379" s="48" t="s">
        <v>41</v>
      </c>
      <c r="AK379" s="48" t="s">
        <v>41</v>
      </c>
      <c r="AL379" s="48" t="s">
        <v>41</v>
      </c>
      <c r="AM379" s="49" t="s">
        <v>49</v>
      </c>
      <c r="AN379" s="48" t="s">
        <v>49</v>
      </c>
      <c r="AO379" s="62" t="s">
        <v>32</v>
      </c>
      <c r="AP379" s="62"/>
      <c r="AQ379" s="59"/>
    </row>
    <row r="380" spans="1:43" x14ac:dyDescent="0.2">
      <c r="A380">
        <v>379</v>
      </c>
      <c r="B380" s="33" t="e">
        <f>+B379+1</f>
        <v>#REF!</v>
      </c>
      <c r="C380" s="34" t="s">
        <v>3057</v>
      </c>
      <c r="D380" s="35" t="s">
        <v>3058</v>
      </c>
      <c r="E380" s="36" t="s">
        <v>3059</v>
      </c>
      <c r="F380" s="334">
        <v>27160</v>
      </c>
      <c r="G380" s="36" t="s">
        <v>54</v>
      </c>
      <c r="H380" s="34" t="s">
        <v>3060</v>
      </c>
      <c r="I380" s="37" t="s">
        <v>252</v>
      </c>
      <c r="J380" s="425" t="s">
        <v>4763</v>
      </c>
      <c r="K380" s="37" t="s">
        <v>57</v>
      </c>
      <c r="L380" s="34" t="s">
        <v>3061</v>
      </c>
      <c r="M380" s="34" t="s">
        <v>41</v>
      </c>
      <c r="N380" s="39" t="s">
        <v>42</v>
      </c>
      <c r="O380" s="99" t="s">
        <v>2437</v>
      </c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42" t="s">
        <v>1896</v>
      </c>
      <c r="AB380" s="58" t="s">
        <v>3062</v>
      </c>
      <c r="AC380" s="44" t="s">
        <v>61</v>
      </c>
      <c r="AD380" s="45">
        <v>40815</v>
      </c>
      <c r="AE380" s="101" t="s">
        <v>30</v>
      </c>
      <c r="AF380" s="36" t="s">
        <v>26</v>
      </c>
      <c r="AG380" s="47" t="s">
        <v>49</v>
      </c>
      <c r="AH380" s="48" t="s">
        <v>49</v>
      </c>
      <c r="AI380" s="48" t="s">
        <v>49</v>
      </c>
      <c r="AJ380" s="48" t="s">
        <v>49</v>
      </c>
      <c r="AK380" s="48" t="s">
        <v>49</v>
      </c>
      <c r="AL380" s="48" t="s">
        <v>49</v>
      </c>
      <c r="AM380" s="49" t="s">
        <v>49</v>
      </c>
      <c r="AN380" s="48" t="s">
        <v>49</v>
      </c>
      <c r="AO380" s="62" t="s">
        <v>32</v>
      </c>
      <c r="AP380" s="62"/>
      <c r="AQ380" s="59"/>
    </row>
    <row r="381" spans="1:43" x14ac:dyDescent="0.2">
      <c r="A381">
        <v>380</v>
      </c>
      <c r="B381" s="33" t="e">
        <f>+B380+1</f>
        <v>#REF!</v>
      </c>
      <c r="C381" s="34" t="s">
        <v>3063</v>
      </c>
      <c r="D381" s="35" t="s">
        <v>3064</v>
      </c>
      <c r="E381" s="36" t="s">
        <v>3065</v>
      </c>
      <c r="F381" s="334">
        <v>25743</v>
      </c>
      <c r="G381" s="36" t="s">
        <v>54</v>
      </c>
      <c r="H381" s="34" t="s">
        <v>3066</v>
      </c>
      <c r="I381" s="37" t="s">
        <v>38</v>
      </c>
      <c r="J381" s="425" t="s">
        <v>4762</v>
      </c>
      <c r="K381" s="37" t="s">
        <v>39</v>
      </c>
      <c r="L381" s="38" t="s">
        <v>3067</v>
      </c>
      <c r="M381" s="34" t="s">
        <v>41</v>
      </c>
      <c r="N381" s="39" t="s">
        <v>42</v>
      </c>
      <c r="O381" s="99" t="s">
        <v>1869</v>
      </c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42" t="s">
        <v>3068</v>
      </c>
      <c r="AB381" s="52" t="s">
        <v>3069</v>
      </c>
      <c r="AC381" s="44" t="s">
        <v>61</v>
      </c>
      <c r="AD381" s="45">
        <v>39286</v>
      </c>
      <c r="AE381" s="101" t="s">
        <v>30</v>
      </c>
      <c r="AF381" s="36" t="s">
        <v>26</v>
      </c>
      <c r="AG381" s="47" t="s">
        <v>49</v>
      </c>
      <c r="AH381" s="48" t="s">
        <v>49</v>
      </c>
      <c r="AI381" s="48" t="s">
        <v>49</v>
      </c>
      <c r="AJ381" s="48" t="s">
        <v>49</v>
      </c>
      <c r="AK381" s="48" t="s">
        <v>49</v>
      </c>
      <c r="AL381" s="48" t="s">
        <v>49</v>
      </c>
      <c r="AM381" s="49" t="s">
        <v>49</v>
      </c>
      <c r="AN381" s="48" t="s">
        <v>49</v>
      </c>
      <c r="AO381" s="62" t="s">
        <v>32</v>
      </c>
      <c r="AP381" s="62"/>
      <c r="AQ381" s="59"/>
    </row>
    <row r="382" spans="1:43" x14ac:dyDescent="0.2">
      <c r="A382">
        <v>381</v>
      </c>
      <c r="B382" s="33" t="e">
        <f>+B381+1</f>
        <v>#REF!</v>
      </c>
      <c r="C382" s="34" t="s">
        <v>3070</v>
      </c>
      <c r="D382" s="35" t="s">
        <v>3071</v>
      </c>
      <c r="E382" s="36" t="s">
        <v>3072</v>
      </c>
      <c r="F382" s="334">
        <v>28604</v>
      </c>
      <c r="G382" s="36" t="s">
        <v>54</v>
      </c>
      <c r="H382" s="34" t="s">
        <v>3073</v>
      </c>
      <c r="I382" s="37" t="s">
        <v>4660</v>
      </c>
      <c r="J382" s="425" t="s">
        <v>4760</v>
      </c>
      <c r="K382" s="37" t="s">
        <v>39</v>
      </c>
      <c r="L382" s="34" t="s">
        <v>3074</v>
      </c>
      <c r="M382" s="34" t="s">
        <v>3075</v>
      </c>
      <c r="N382" s="39" t="s">
        <v>42</v>
      </c>
      <c r="O382" s="99" t="s">
        <v>3076</v>
      </c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42" t="s">
        <v>3077</v>
      </c>
      <c r="AB382" s="58" t="s">
        <v>3078</v>
      </c>
      <c r="AC382" s="44" t="s">
        <v>3079</v>
      </c>
      <c r="AD382" s="45">
        <v>42325</v>
      </c>
      <c r="AE382" s="101" t="s">
        <v>30</v>
      </c>
      <c r="AF382" s="36" t="s">
        <v>26</v>
      </c>
      <c r="AG382" s="47" t="s">
        <v>49</v>
      </c>
      <c r="AH382" s="48" t="s">
        <v>49</v>
      </c>
      <c r="AI382" s="48" t="s">
        <v>49</v>
      </c>
      <c r="AJ382" s="48" t="s">
        <v>49</v>
      </c>
      <c r="AK382" s="48" t="s">
        <v>49</v>
      </c>
      <c r="AL382" s="48" t="s">
        <v>49</v>
      </c>
      <c r="AM382" s="49" t="s">
        <v>49</v>
      </c>
      <c r="AN382" s="48" t="s">
        <v>49</v>
      </c>
      <c r="AO382" s="65" t="s">
        <v>32</v>
      </c>
      <c r="AP382" s="65" t="s">
        <v>4681</v>
      </c>
      <c r="AQ382" s="59"/>
    </row>
    <row r="383" spans="1:43" x14ac:dyDescent="0.2">
      <c r="A383">
        <v>382</v>
      </c>
      <c r="B383" s="33" t="e">
        <f>+B382+1</f>
        <v>#REF!</v>
      </c>
      <c r="C383" s="34" t="s">
        <v>3080</v>
      </c>
      <c r="D383" s="35" t="s">
        <v>3081</v>
      </c>
      <c r="E383" s="36" t="s">
        <v>3082</v>
      </c>
      <c r="F383" s="334"/>
      <c r="G383" s="36" t="s">
        <v>36</v>
      </c>
      <c r="H383" s="34" t="s">
        <v>3083</v>
      </c>
      <c r="I383" s="37" t="s">
        <v>73</v>
      </c>
      <c r="J383" s="425" t="s">
        <v>4765</v>
      </c>
      <c r="K383" s="37" t="s">
        <v>73</v>
      </c>
      <c r="L383" s="34" t="s">
        <v>3084</v>
      </c>
      <c r="M383" s="34" t="s">
        <v>3084</v>
      </c>
      <c r="N383" s="39" t="s">
        <v>42</v>
      </c>
      <c r="O383" s="99" t="s">
        <v>3085</v>
      </c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2" t="s">
        <v>3086</v>
      </c>
      <c r="AB383" s="58" t="s">
        <v>3087</v>
      </c>
      <c r="AC383" s="44" t="s">
        <v>61</v>
      </c>
      <c r="AD383" s="45">
        <v>36641</v>
      </c>
      <c r="AE383" s="101" t="s">
        <v>30</v>
      </c>
      <c r="AF383" s="36"/>
      <c r="AG383" s="47" t="s">
        <v>49</v>
      </c>
      <c r="AH383" s="48" t="s">
        <v>41</v>
      </c>
      <c r="AI383" s="48" t="s">
        <v>41</v>
      </c>
      <c r="AJ383" s="48" t="s">
        <v>41</v>
      </c>
      <c r="AK383" s="48" t="s">
        <v>41</v>
      </c>
      <c r="AL383" s="48" t="s">
        <v>41</v>
      </c>
      <c r="AM383" s="49" t="s">
        <v>41</v>
      </c>
      <c r="AN383" s="48" t="s">
        <v>41</v>
      </c>
      <c r="AO383" s="65" t="s">
        <v>4592</v>
      </c>
      <c r="AP383" s="65"/>
      <c r="AQ383" s="59" t="s">
        <v>3088</v>
      </c>
    </row>
    <row r="384" spans="1:43" x14ac:dyDescent="0.2">
      <c r="A384">
        <v>383</v>
      </c>
      <c r="B384" s="33" t="e">
        <f>+B383+1</f>
        <v>#REF!</v>
      </c>
      <c r="C384" s="34" t="s">
        <v>3089</v>
      </c>
      <c r="D384" s="35" t="s">
        <v>3090</v>
      </c>
      <c r="E384" s="73" t="s">
        <v>4839</v>
      </c>
      <c r="F384" s="73"/>
      <c r="G384" s="36" t="s">
        <v>54</v>
      </c>
      <c r="H384" s="98" t="s">
        <v>3092</v>
      </c>
      <c r="I384" s="37" t="s">
        <v>73</v>
      </c>
      <c r="J384" s="425" t="s">
        <v>4765</v>
      </c>
      <c r="K384" s="37" t="s">
        <v>73</v>
      </c>
      <c r="L384" s="34" t="s">
        <v>3093</v>
      </c>
      <c r="M384" s="34" t="s">
        <v>3093</v>
      </c>
      <c r="N384" s="39" t="s">
        <v>42</v>
      </c>
      <c r="O384" s="120">
        <v>30348</v>
      </c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2" t="s">
        <v>3094</v>
      </c>
      <c r="AB384" s="58" t="s">
        <v>3095</v>
      </c>
      <c r="AC384" s="44" t="s">
        <v>61</v>
      </c>
      <c r="AD384" s="45">
        <v>36641</v>
      </c>
      <c r="AE384" s="101" t="s">
        <v>30</v>
      </c>
      <c r="AF384" s="73"/>
      <c r="AG384" s="47" t="s">
        <v>49</v>
      </c>
      <c r="AH384" s="48" t="s">
        <v>41</v>
      </c>
      <c r="AI384" s="48" t="s">
        <v>41</v>
      </c>
      <c r="AJ384" s="48" t="s">
        <v>41</v>
      </c>
      <c r="AK384" s="48" t="s">
        <v>41</v>
      </c>
      <c r="AL384" s="48" t="s">
        <v>41</v>
      </c>
      <c r="AM384" s="49" t="s">
        <v>41</v>
      </c>
      <c r="AN384" s="48" t="s">
        <v>41</v>
      </c>
      <c r="AO384" s="65" t="s">
        <v>4591</v>
      </c>
      <c r="AP384" s="65"/>
      <c r="AQ384" s="59" t="s">
        <v>2211</v>
      </c>
    </row>
    <row r="385" spans="1:43" x14ac:dyDescent="0.2">
      <c r="A385">
        <v>384</v>
      </c>
      <c r="B385" s="33" t="e">
        <f>+B384+1</f>
        <v>#REF!</v>
      </c>
      <c r="C385" s="72" t="s">
        <v>3096</v>
      </c>
      <c r="D385" s="35" t="s">
        <v>3097</v>
      </c>
      <c r="E385" s="154" t="s">
        <v>4802</v>
      </c>
      <c r="F385" s="334">
        <v>21926</v>
      </c>
      <c r="G385" s="36" t="s">
        <v>54</v>
      </c>
      <c r="H385" s="72" t="s">
        <v>3099</v>
      </c>
      <c r="I385" s="75" t="s">
        <v>73</v>
      </c>
      <c r="J385" s="425" t="s">
        <v>4765</v>
      </c>
      <c r="K385" s="75" t="s">
        <v>73</v>
      </c>
      <c r="L385" s="72" t="s">
        <v>3100</v>
      </c>
      <c r="M385" s="72" t="s">
        <v>41</v>
      </c>
      <c r="N385" s="77" t="s">
        <v>42</v>
      </c>
      <c r="O385" s="228" t="s">
        <v>59</v>
      </c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42" t="s">
        <v>3101</v>
      </c>
      <c r="AB385" s="58" t="s">
        <v>3102</v>
      </c>
      <c r="AC385" s="44" t="s">
        <v>3103</v>
      </c>
      <c r="AD385" s="45">
        <v>41793</v>
      </c>
      <c r="AE385" s="206" t="s">
        <v>30</v>
      </c>
      <c r="AF385" s="154" t="s">
        <v>26</v>
      </c>
      <c r="AG385" s="81" t="s">
        <v>49</v>
      </c>
      <c r="AH385" s="48" t="s">
        <v>49</v>
      </c>
      <c r="AI385" s="48" t="s">
        <v>49</v>
      </c>
      <c r="AJ385" s="48" t="s">
        <v>49</v>
      </c>
      <c r="AK385" s="48" t="s">
        <v>49</v>
      </c>
      <c r="AL385" s="48" t="s">
        <v>49</v>
      </c>
      <c r="AM385" s="49" t="s">
        <v>49</v>
      </c>
      <c r="AN385" s="48" t="s">
        <v>49</v>
      </c>
      <c r="AO385" s="62" t="s">
        <v>32</v>
      </c>
      <c r="AP385" s="62"/>
      <c r="AQ385" s="59"/>
    </row>
    <row r="386" spans="1:43" x14ac:dyDescent="0.2">
      <c r="A386">
        <v>385</v>
      </c>
      <c r="B386" s="33" t="e">
        <f>+B385+1</f>
        <v>#REF!</v>
      </c>
      <c r="C386" s="34" t="s">
        <v>3104</v>
      </c>
      <c r="D386" s="35" t="s">
        <v>3105</v>
      </c>
      <c r="E386" s="36" t="s">
        <v>3106</v>
      </c>
      <c r="F386" s="334">
        <v>21470</v>
      </c>
      <c r="G386" s="36" t="s">
        <v>54</v>
      </c>
      <c r="H386" s="34" t="s">
        <v>3107</v>
      </c>
      <c r="I386" s="37" t="s">
        <v>73</v>
      </c>
      <c r="J386" s="425" t="s">
        <v>4765</v>
      </c>
      <c r="K386" s="37" t="s">
        <v>73</v>
      </c>
      <c r="L386" s="34" t="s">
        <v>3108</v>
      </c>
      <c r="M386" s="34" t="s">
        <v>41</v>
      </c>
      <c r="N386" s="39" t="s">
        <v>42</v>
      </c>
      <c r="O386" s="99" t="s">
        <v>3109</v>
      </c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2" t="s">
        <v>3110</v>
      </c>
      <c r="AB386" s="58" t="s">
        <v>3111</v>
      </c>
      <c r="AC386" s="44" t="s">
        <v>61</v>
      </c>
      <c r="AD386" s="45">
        <v>36641</v>
      </c>
      <c r="AE386" s="101" t="s">
        <v>30</v>
      </c>
      <c r="AF386" s="36" t="s">
        <v>26</v>
      </c>
      <c r="AG386" s="47" t="s">
        <v>49</v>
      </c>
      <c r="AH386" s="48" t="s">
        <v>49</v>
      </c>
      <c r="AI386" s="48" t="s">
        <v>49</v>
      </c>
      <c r="AJ386" s="48" t="s">
        <v>49</v>
      </c>
      <c r="AK386" s="48" t="s">
        <v>49</v>
      </c>
      <c r="AL386" s="48" t="s">
        <v>49</v>
      </c>
      <c r="AM386" s="49" t="s">
        <v>49</v>
      </c>
      <c r="AN386" s="48" t="s">
        <v>49</v>
      </c>
      <c r="AO386" s="62" t="s">
        <v>32</v>
      </c>
      <c r="AP386" s="62"/>
      <c r="AQ386" s="59"/>
    </row>
    <row r="387" spans="1:43" x14ac:dyDescent="0.2">
      <c r="A387">
        <v>386</v>
      </c>
      <c r="B387" s="33" t="e">
        <f>+B386+1</f>
        <v>#REF!</v>
      </c>
      <c r="C387" s="34" t="s">
        <v>3112</v>
      </c>
      <c r="D387" s="35" t="s">
        <v>3113</v>
      </c>
      <c r="E387" s="36" t="s">
        <v>4794</v>
      </c>
      <c r="F387" s="334">
        <v>23994</v>
      </c>
      <c r="G387" s="36" t="s">
        <v>54</v>
      </c>
      <c r="H387" s="34" t="s">
        <v>3115</v>
      </c>
      <c r="I387" s="37" t="s">
        <v>73</v>
      </c>
      <c r="J387" s="425" t="s">
        <v>4765</v>
      </c>
      <c r="K387" s="37" t="s">
        <v>73</v>
      </c>
      <c r="L387" s="34" t="s">
        <v>3116</v>
      </c>
      <c r="M387" s="34" t="s">
        <v>3117</v>
      </c>
      <c r="N387" s="39" t="s">
        <v>42</v>
      </c>
      <c r="O387" s="99" t="s">
        <v>3118</v>
      </c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2" t="s">
        <v>3119</v>
      </c>
      <c r="AB387" s="58" t="s">
        <v>3120</v>
      </c>
      <c r="AC387" s="44" t="s">
        <v>61</v>
      </c>
      <c r="AD387" s="45">
        <v>36641</v>
      </c>
      <c r="AE387" s="101" t="s">
        <v>30</v>
      </c>
      <c r="AF387" s="36" t="s">
        <v>26</v>
      </c>
      <c r="AG387" s="61" t="s">
        <v>49</v>
      </c>
      <c r="AH387" s="48" t="s">
        <v>49</v>
      </c>
      <c r="AI387" s="48" t="s">
        <v>49</v>
      </c>
      <c r="AJ387" s="48" t="s">
        <v>49</v>
      </c>
      <c r="AK387" s="48" t="s">
        <v>49</v>
      </c>
      <c r="AL387" s="48" t="s">
        <v>49</v>
      </c>
      <c r="AM387" s="49" t="s">
        <v>49</v>
      </c>
      <c r="AN387" s="48" t="s">
        <v>49</v>
      </c>
      <c r="AO387" s="62" t="s">
        <v>32</v>
      </c>
      <c r="AP387" s="62"/>
      <c r="AQ387" s="59"/>
    </row>
    <row r="388" spans="1:43" x14ac:dyDescent="0.2">
      <c r="A388">
        <v>387</v>
      </c>
      <c r="B388" s="33" t="e">
        <f>+B387+1</f>
        <v>#REF!</v>
      </c>
      <c r="C388" s="34" t="s">
        <v>3121</v>
      </c>
      <c r="D388" s="35" t="s">
        <v>3122</v>
      </c>
      <c r="E388" s="36" t="s">
        <v>3123</v>
      </c>
      <c r="F388" s="334">
        <v>26393</v>
      </c>
      <c r="G388" s="36" t="s">
        <v>54</v>
      </c>
      <c r="H388" s="34" t="s">
        <v>3124</v>
      </c>
      <c r="I388" s="37" t="s">
        <v>39</v>
      </c>
      <c r="J388" s="425" t="s">
        <v>4766</v>
      </c>
      <c r="K388" s="37" t="s">
        <v>39</v>
      </c>
      <c r="L388" s="34" t="s">
        <v>3125</v>
      </c>
      <c r="M388" s="34" t="s">
        <v>3126</v>
      </c>
      <c r="N388" s="39" t="s">
        <v>42</v>
      </c>
      <c r="O388" s="99" t="s">
        <v>1869</v>
      </c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2" t="s">
        <v>3127</v>
      </c>
      <c r="AB388" s="58" t="s">
        <v>3128</v>
      </c>
      <c r="AC388" s="44" t="s">
        <v>3129</v>
      </c>
      <c r="AD388" s="45">
        <v>42158</v>
      </c>
      <c r="AE388" s="101" t="s">
        <v>30</v>
      </c>
      <c r="AF388" s="36" t="s">
        <v>26</v>
      </c>
      <c r="AG388" s="47" t="s">
        <v>49</v>
      </c>
      <c r="AH388" s="48" t="s">
        <v>49</v>
      </c>
      <c r="AI388" s="48" t="s">
        <v>49</v>
      </c>
      <c r="AJ388" s="48" t="s">
        <v>49</v>
      </c>
      <c r="AK388" s="48" t="s">
        <v>41</v>
      </c>
      <c r="AL388" s="48" t="s">
        <v>41</v>
      </c>
      <c r="AM388" s="49" t="s">
        <v>41</v>
      </c>
      <c r="AN388" s="48" t="s">
        <v>41</v>
      </c>
      <c r="AO388" s="62" t="s">
        <v>139</v>
      </c>
      <c r="AP388" s="62"/>
      <c r="AQ388" s="59"/>
    </row>
    <row r="389" spans="1:43" x14ac:dyDescent="0.2">
      <c r="A389">
        <v>388</v>
      </c>
      <c r="B389" s="33" t="e">
        <f>+B388+1</f>
        <v>#REF!</v>
      </c>
      <c r="C389" s="34" t="s">
        <v>3130</v>
      </c>
      <c r="D389" s="35" t="s">
        <v>3131</v>
      </c>
      <c r="E389" s="36" t="s">
        <v>3132</v>
      </c>
      <c r="F389" s="334">
        <v>31655</v>
      </c>
      <c r="G389" s="36" t="s">
        <v>54</v>
      </c>
      <c r="H389" s="34" t="s">
        <v>3133</v>
      </c>
      <c r="I389" s="37" t="s">
        <v>323</v>
      </c>
      <c r="J389" s="425" t="s">
        <v>4758</v>
      </c>
      <c r="K389" s="37" t="s">
        <v>39</v>
      </c>
      <c r="L389" s="38" t="s">
        <v>3134</v>
      </c>
      <c r="M389" s="394" t="s">
        <v>41</v>
      </c>
      <c r="N389" s="39" t="s">
        <v>42</v>
      </c>
      <c r="O389" s="120">
        <v>42249</v>
      </c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7" t="s">
        <v>3135</v>
      </c>
      <c r="AB389" s="52" t="s">
        <v>3136</v>
      </c>
      <c r="AC389" s="44" t="s">
        <v>3137</v>
      </c>
      <c r="AD389" s="45" t="s">
        <v>1130</v>
      </c>
      <c r="AE389" s="101" t="s">
        <v>30</v>
      </c>
      <c r="AF389" s="36" t="s">
        <v>26</v>
      </c>
      <c r="AG389" s="47" t="s">
        <v>49</v>
      </c>
      <c r="AH389" s="48" t="s">
        <v>49</v>
      </c>
      <c r="AI389" s="48" t="s">
        <v>49</v>
      </c>
      <c r="AJ389" s="48" t="s">
        <v>49</v>
      </c>
      <c r="AK389" s="48" t="s">
        <v>49</v>
      </c>
      <c r="AL389" s="48" t="s">
        <v>49</v>
      </c>
      <c r="AM389" s="49" t="s">
        <v>49</v>
      </c>
      <c r="AN389" s="48" t="s">
        <v>49</v>
      </c>
      <c r="AO389" s="62" t="s">
        <v>32</v>
      </c>
      <c r="AP389" s="62"/>
      <c r="AQ389" s="59"/>
    </row>
    <row r="390" spans="1:43" x14ac:dyDescent="0.2">
      <c r="A390">
        <v>389</v>
      </c>
      <c r="B390" s="33" t="e">
        <f>+B389+1</f>
        <v>#REF!</v>
      </c>
      <c r="C390" s="34" t="s">
        <v>3138</v>
      </c>
      <c r="D390" s="35" t="s">
        <v>3139</v>
      </c>
      <c r="E390" s="36" t="s">
        <v>3140</v>
      </c>
      <c r="F390" s="334">
        <v>30833</v>
      </c>
      <c r="G390" s="36" t="s">
        <v>54</v>
      </c>
      <c r="H390" s="34" t="s">
        <v>3141</v>
      </c>
      <c r="I390" s="37" t="s">
        <v>38</v>
      </c>
      <c r="J390" s="425" t="s">
        <v>4762</v>
      </c>
      <c r="K390" s="37" t="s">
        <v>39</v>
      </c>
      <c r="L390" s="38" t="s">
        <v>3142</v>
      </c>
      <c r="M390" s="394" t="s">
        <v>41</v>
      </c>
      <c r="N390" s="39" t="s">
        <v>42</v>
      </c>
      <c r="O390" s="99" t="s">
        <v>3143</v>
      </c>
      <c r="P390" s="56"/>
      <c r="Q390" s="56"/>
      <c r="R390" s="56"/>
      <c r="S390" s="56"/>
      <c r="T390" s="56"/>
      <c r="U390" s="56"/>
      <c r="V390" s="56"/>
      <c r="W390" s="56"/>
      <c r="X390" s="56" t="s">
        <v>732</v>
      </c>
      <c r="Y390" s="56"/>
      <c r="Z390" s="56"/>
      <c r="AA390" s="42" t="s">
        <v>3144</v>
      </c>
      <c r="AB390" s="58" t="s">
        <v>3145</v>
      </c>
      <c r="AC390" s="44" t="s">
        <v>61</v>
      </c>
      <c r="AD390" s="45">
        <v>36641</v>
      </c>
      <c r="AE390" s="101" t="s">
        <v>30</v>
      </c>
      <c r="AF390" s="36" t="s">
        <v>26</v>
      </c>
      <c r="AG390" s="47" t="s">
        <v>49</v>
      </c>
      <c r="AH390" s="48" t="s">
        <v>49</v>
      </c>
      <c r="AI390" s="48" t="s">
        <v>49</v>
      </c>
      <c r="AJ390" s="48" t="s">
        <v>49</v>
      </c>
      <c r="AK390" s="48" t="s">
        <v>49</v>
      </c>
      <c r="AL390" s="48" t="s">
        <v>49</v>
      </c>
      <c r="AM390" s="49" t="s">
        <v>49</v>
      </c>
      <c r="AN390" s="48" t="s">
        <v>49</v>
      </c>
      <c r="AO390" s="62" t="s">
        <v>32</v>
      </c>
      <c r="AP390" s="62"/>
      <c r="AQ390" s="59"/>
    </row>
    <row r="391" spans="1:43" x14ac:dyDescent="0.2">
      <c r="A391">
        <v>390</v>
      </c>
      <c r="B391" s="33" t="e">
        <f>+B390+1</f>
        <v>#REF!</v>
      </c>
      <c r="C391" s="34" t="s">
        <v>3146</v>
      </c>
      <c r="D391" s="35" t="s">
        <v>3147</v>
      </c>
      <c r="E391" s="36" t="s">
        <v>3148</v>
      </c>
      <c r="F391" s="334">
        <v>33910</v>
      </c>
      <c r="G391" s="36" t="s">
        <v>36</v>
      </c>
      <c r="H391" s="34" t="s">
        <v>3149</v>
      </c>
      <c r="I391" s="37" t="s">
        <v>205</v>
      </c>
      <c r="J391" s="425" t="s">
        <v>4764</v>
      </c>
      <c r="K391" s="37" t="s">
        <v>205</v>
      </c>
      <c r="L391" s="38" t="s">
        <v>3150</v>
      </c>
      <c r="M391" s="34" t="s">
        <v>41</v>
      </c>
      <c r="N391" s="39" t="s">
        <v>42</v>
      </c>
      <c r="O391" s="120">
        <v>45805</v>
      </c>
      <c r="P391" s="56" t="s">
        <v>179</v>
      </c>
      <c r="Q391" s="56"/>
      <c r="R391" s="56"/>
      <c r="S391" s="56"/>
      <c r="T391" s="56" t="s">
        <v>179</v>
      </c>
      <c r="U391" s="56"/>
      <c r="V391" s="56"/>
      <c r="W391" s="56"/>
      <c r="X391" s="56"/>
      <c r="Y391" s="56" t="s">
        <v>44</v>
      </c>
      <c r="Z391" s="56"/>
      <c r="AA391" s="38" t="s">
        <v>3151</v>
      </c>
      <c r="AB391" s="58" t="s">
        <v>3152</v>
      </c>
      <c r="AC391" s="44"/>
      <c r="AD391" s="45"/>
      <c r="AE391" s="101"/>
      <c r="AF391" s="36"/>
      <c r="AG391" s="47" t="s">
        <v>49</v>
      </c>
      <c r="AH391" s="48" t="s">
        <v>41</v>
      </c>
      <c r="AI391" s="48" t="s">
        <v>41</v>
      </c>
      <c r="AJ391" s="48" t="s">
        <v>41</v>
      </c>
      <c r="AK391" s="48" t="s">
        <v>41</v>
      </c>
      <c r="AL391" s="48" t="s">
        <v>41</v>
      </c>
      <c r="AM391" s="49" t="s">
        <v>49</v>
      </c>
      <c r="AN391" s="48" t="s">
        <v>41</v>
      </c>
      <c r="AO391" s="62" t="s">
        <v>148</v>
      </c>
      <c r="AP391" s="62"/>
      <c r="AQ391" s="59"/>
    </row>
    <row r="392" spans="1:43" x14ac:dyDescent="0.2">
      <c r="A392">
        <v>391</v>
      </c>
      <c r="B392" s="33" t="e">
        <f>+B391+1</f>
        <v>#REF!</v>
      </c>
      <c r="C392" s="34" t="s">
        <v>3162</v>
      </c>
      <c r="D392" s="35" t="s">
        <v>3163</v>
      </c>
      <c r="E392" s="73" t="s">
        <v>3164</v>
      </c>
      <c r="F392" s="335">
        <v>30172</v>
      </c>
      <c r="G392" s="36" t="s">
        <v>54</v>
      </c>
      <c r="H392" s="98" t="s">
        <v>3165</v>
      </c>
      <c r="I392" s="37" t="s">
        <v>73</v>
      </c>
      <c r="J392" s="425" t="s">
        <v>4765</v>
      </c>
      <c r="K392" s="37" t="s">
        <v>73</v>
      </c>
      <c r="L392" s="38" t="s">
        <v>3166</v>
      </c>
      <c r="M392" s="34"/>
      <c r="N392" s="39" t="s">
        <v>42</v>
      </c>
      <c r="O392" s="120">
        <v>45587</v>
      </c>
      <c r="P392" s="56"/>
      <c r="Q392" s="56"/>
      <c r="R392" s="56"/>
      <c r="S392" s="56"/>
      <c r="T392" s="56"/>
      <c r="U392" s="56"/>
      <c r="V392" s="56"/>
      <c r="W392" s="56"/>
      <c r="X392" s="56" t="s">
        <v>44</v>
      </c>
      <c r="Y392" s="56"/>
      <c r="Z392" s="56"/>
      <c r="AA392" s="54" t="s">
        <v>3167</v>
      </c>
      <c r="AB392" s="58" t="s">
        <v>3168</v>
      </c>
      <c r="AC392" s="44"/>
      <c r="AD392" s="45"/>
      <c r="AE392" s="101"/>
      <c r="AF392" s="73"/>
      <c r="AG392" s="64" t="s">
        <v>120</v>
      </c>
      <c r="AH392" s="48" t="s">
        <v>41</v>
      </c>
      <c r="AI392" s="48" t="s">
        <v>41</v>
      </c>
      <c r="AJ392" s="48" t="s">
        <v>41</v>
      </c>
      <c r="AK392" s="48" t="s">
        <v>41</v>
      </c>
      <c r="AL392" s="48" t="s">
        <v>41</v>
      </c>
      <c r="AM392" s="49" t="s">
        <v>120</v>
      </c>
      <c r="AN392" s="48" t="s">
        <v>49</v>
      </c>
      <c r="AO392" s="62" t="s">
        <v>32</v>
      </c>
      <c r="AP392" s="62"/>
      <c r="AQ392" s="59"/>
    </row>
    <row r="393" spans="1:43" x14ac:dyDescent="0.2">
      <c r="A393">
        <v>392</v>
      </c>
      <c r="B393" s="33" t="e">
        <f>+B392+1</f>
        <v>#REF!</v>
      </c>
      <c r="C393" s="34" t="s">
        <v>3153</v>
      </c>
      <c r="D393" s="35" t="s">
        <v>3154</v>
      </c>
      <c r="E393" s="73" t="s">
        <v>3155</v>
      </c>
      <c r="F393" s="73"/>
      <c r="G393" s="36" t="s">
        <v>36</v>
      </c>
      <c r="H393" s="401" t="s">
        <v>3156</v>
      </c>
      <c r="I393" s="37" t="s">
        <v>1417</v>
      </c>
      <c r="J393" s="425" t="s">
        <v>4738</v>
      </c>
      <c r="K393" s="37" t="s">
        <v>187</v>
      </c>
      <c r="L393" s="34" t="s">
        <v>3157</v>
      </c>
      <c r="M393" s="34"/>
      <c r="N393" s="39" t="s">
        <v>42</v>
      </c>
      <c r="O393" s="99" t="s">
        <v>3158</v>
      </c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229" t="s">
        <v>3159</v>
      </c>
      <c r="AB393" s="58" t="s">
        <v>3160</v>
      </c>
      <c r="AC393" s="44" t="s">
        <v>3161</v>
      </c>
      <c r="AD393" s="45">
        <v>41793</v>
      </c>
      <c r="AE393" s="101" t="s">
        <v>30</v>
      </c>
      <c r="AF393" s="73" t="s">
        <v>26</v>
      </c>
      <c r="AG393" s="47" t="s">
        <v>49</v>
      </c>
      <c r="AH393" s="48" t="s">
        <v>49</v>
      </c>
      <c r="AI393" s="48" t="s">
        <v>41</v>
      </c>
      <c r="AJ393" s="48" t="s">
        <v>41</v>
      </c>
      <c r="AK393" s="48" t="s">
        <v>41</v>
      </c>
      <c r="AL393" s="48" t="s">
        <v>41</v>
      </c>
      <c r="AM393" s="49" t="s">
        <v>41</v>
      </c>
      <c r="AN393" s="48" t="s">
        <v>41</v>
      </c>
      <c r="AO393" s="62" t="s">
        <v>4587</v>
      </c>
      <c r="AP393" s="62"/>
      <c r="AQ393" s="59"/>
    </row>
    <row r="394" spans="1:43" x14ac:dyDescent="0.2">
      <c r="A394">
        <v>393</v>
      </c>
      <c r="B394" s="33" t="e">
        <f>+B393+1</f>
        <v>#REF!</v>
      </c>
      <c r="C394" s="34" t="s">
        <v>3169</v>
      </c>
      <c r="D394" s="35" t="s">
        <v>3170</v>
      </c>
      <c r="E394" s="36" t="s">
        <v>3171</v>
      </c>
      <c r="F394" s="334">
        <v>20942</v>
      </c>
      <c r="G394" s="36" t="s">
        <v>54</v>
      </c>
      <c r="H394" s="34" t="s">
        <v>3172</v>
      </c>
      <c r="I394" s="37" t="s">
        <v>323</v>
      </c>
      <c r="J394" s="425" t="s">
        <v>4758</v>
      </c>
      <c r="K394" s="37" t="s">
        <v>39</v>
      </c>
      <c r="L394" s="38" t="s">
        <v>3173</v>
      </c>
      <c r="M394" s="34" t="s">
        <v>41</v>
      </c>
      <c r="N394" s="39" t="s">
        <v>42</v>
      </c>
      <c r="O394" s="99" t="s">
        <v>3174</v>
      </c>
      <c r="P394" s="56"/>
      <c r="Q394" s="56"/>
      <c r="R394" s="56"/>
      <c r="S394" s="56"/>
      <c r="T394" s="56"/>
      <c r="U394" s="56"/>
      <c r="V394" s="56"/>
      <c r="W394" s="56" t="s">
        <v>44</v>
      </c>
      <c r="X394" s="56"/>
      <c r="Y394" s="56"/>
      <c r="Z394" s="56"/>
      <c r="AA394" s="42" t="s">
        <v>3175</v>
      </c>
      <c r="AB394" s="83" t="s">
        <v>3176</v>
      </c>
      <c r="AC394" s="44"/>
      <c r="AD394" s="45">
        <v>45642</v>
      </c>
      <c r="AE394" s="101"/>
      <c r="AF394" s="36"/>
      <c r="AG394" s="47" t="s">
        <v>49</v>
      </c>
      <c r="AH394" s="48" t="s">
        <v>41</v>
      </c>
      <c r="AI394" s="48" t="s">
        <v>41</v>
      </c>
      <c r="AJ394" s="48" t="s">
        <v>41</v>
      </c>
      <c r="AK394" s="48" t="s">
        <v>49</v>
      </c>
      <c r="AL394" s="48" t="s">
        <v>49</v>
      </c>
      <c r="AM394" s="49" t="s">
        <v>49</v>
      </c>
      <c r="AN394" s="48" t="s">
        <v>49</v>
      </c>
      <c r="AO394" s="62" t="s">
        <v>32</v>
      </c>
      <c r="AP394" s="62"/>
      <c r="AQ394" s="59"/>
    </row>
    <row r="395" spans="1:43" x14ac:dyDescent="0.2">
      <c r="A395">
        <v>394</v>
      </c>
      <c r="B395" s="33" t="e">
        <f>+B394+1</f>
        <v>#REF!</v>
      </c>
      <c r="C395" s="34" t="s">
        <v>3177</v>
      </c>
      <c r="D395" s="35" t="s">
        <v>3178</v>
      </c>
      <c r="E395" s="36" t="s">
        <v>3179</v>
      </c>
      <c r="F395" s="334">
        <v>27597</v>
      </c>
      <c r="G395" s="36" t="s">
        <v>54</v>
      </c>
      <c r="H395" s="34" t="s">
        <v>3180</v>
      </c>
      <c r="I395" s="37" t="s">
        <v>73</v>
      </c>
      <c r="J395" s="425" t="s">
        <v>4765</v>
      </c>
      <c r="K395" s="37" t="s">
        <v>73</v>
      </c>
      <c r="L395" s="38" t="s">
        <v>3181</v>
      </c>
      <c r="M395" s="113" t="s">
        <v>3182</v>
      </c>
      <c r="N395" s="39" t="s">
        <v>42</v>
      </c>
      <c r="O395" s="120">
        <v>34344</v>
      </c>
      <c r="P395" s="56"/>
      <c r="Q395" s="56"/>
      <c r="R395" s="56"/>
      <c r="S395" s="56"/>
      <c r="T395" s="56"/>
      <c r="U395" s="56"/>
      <c r="V395" s="56"/>
      <c r="W395" s="56" t="s">
        <v>732</v>
      </c>
      <c r="X395" s="56"/>
      <c r="Y395" s="56"/>
      <c r="Z395" s="56"/>
      <c r="AA395" s="42" t="s">
        <v>3183</v>
      </c>
      <c r="AB395" s="100" t="s">
        <v>3184</v>
      </c>
      <c r="AC395" s="44"/>
      <c r="AD395" s="45" t="s">
        <v>47</v>
      </c>
      <c r="AE395" s="101"/>
      <c r="AF395" s="36" t="s">
        <v>26</v>
      </c>
      <c r="AG395" s="47" t="s">
        <v>49</v>
      </c>
      <c r="AH395" s="48" t="s">
        <v>49</v>
      </c>
      <c r="AI395" s="48" t="s">
        <v>49</v>
      </c>
      <c r="AJ395" s="48" t="s">
        <v>49</v>
      </c>
      <c r="AK395" s="48" t="s">
        <v>49</v>
      </c>
      <c r="AL395" s="48" t="s">
        <v>49</v>
      </c>
      <c r="AM395" s="49" t="s">
        <v>49</v>
      </c>
      <c r="AN395" s="48" t="s">
        <v>49</v>
      </c>
      <c r="AO395" s="62" t="s">
        <v>32</v>
      </c>
      <c r="AP395" s="62"/>
      <c r="AQ395" s="59"/>
    </row>
    <row r="396" spans="1:43" x14ac:dyDescent="0.2">
      <c r="A396">
        <v>395</v>
      </c>
      <c r="B396" s="33" t="e">
        <f>+B395+1</f>
        <v>#REF!</v>
      </c>
      <c r="C396" s="34" t="s">
        <v>3185</v>
      </c>
      <c r="D396" s="35" t="s">
        <v>3186</v>
      </c>
      <c r="E396" s="36" t="s">
        <v>3187</v>
      </c>
      <c r="F396" s="334">
        <v>27847</v>
      </c>
      <c r="G396" s="36" t="s">
        <v>54</v>
      </c>
      <c r="H396" s="34" t="s">
        <v>3188</v>
      </c>
      <c r="I396" s="37" t="s">
        <v>398</v>
      </c>
      <c r="J396" s="425" t="s">
        <v>4745</v>
      </c>
      <c r="K396" s="37" t="s">
        <v>205</v>
      </c>
      <c r="L396" s="38" t="s">
        <v>3189</v>
      </c>
      <c r="M396" s="38" t="s">
        <v>3190</v>
      </c>
      <c r="N396" s="39" t="s">
        <v>42</v>
      </c>
      <c r="O396" s="120">
        <v>42499</v>
      </c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42" t="s">
        <v>3191</v>
      </c>
      <c r="AB396" s="100" t="s">
        <v>3192</v>
      </c>
      <c r="AC396" s="44" t="s">
        <v>3193</v>
      </c>
      <c r="AD396" s="45">
        <v>42935</v>
      </c>
      <c r="AE396" s="101" t="s">
        <v>30</v>
      </c>
      <c r="AF396" s="36" t="s">
        <v>26</v>
      </c>
      <c r="AG396" s="47" t="s">
        <v>49</v>
      </c>
      <c r="AH396" s="48" t="s">
        <v>49</v>
      </c>
      <c r="AI396" s="48" t="s">
        <v>49</v>
      </c>
      <c r="AJ396" s="48" t="s">
        <v>49</v>
      </c>
      <c r="AK396" s="48" t="s">
        <v>49</v>
      </c>
      <c r="AL396" s="48" t="s">
        <v>41</v>
      </c>
      <c r="AM396" s="49" t="s">
        <v>41</v>
      </c>
      <c r="AN396" s="48" t="s">
        <v>41</v>
      </c>
      <c r="AO396" s="62" t="s">
        <v>4589</v>
      </c>
      <c r="AP396" s="62"/>
      <c r="AQ396" s="59"/>
    </row>
    <row r="397" spans="1:43" x14ac:dyDescent="0.2">
      <c r="A397">
        <v>396</v>
      </c>
      <c r="B397" s="33" t="e">
        <f>+B396+1</f>
        <v>#REF!</v>
      </c>
      <c r="C397" s="34" t="s">
        <v>3194</v>
      </c>
      <c r="D397" s="35" t="s">
        <v>3195</v>
      </c>
      <c r="E397" s="36" t="s">
        <v>3196</v>
      </c>
      <c r="F397" s="36"/>
      <c r="G397" s="36" t="s">
        <v>54</v>
      </c>
      <c r="H397" s="108" t="s">
        <v>3197</v>
      </c>
      <c r="I397" s="37" t="s">
        <v>4658</v>
      </c>
      <c r="J397" s="425" t="s">
        <v>4753</v>
      </c>
      <c r="K397" s="37" t="s">
        <v>350</v>
      </c>
      <c r="L397" s="38" t="s">
        <v>3198</v>
      </c>
      <c r="M397" s="34" t="s">
        <v>41</v>
      </c>
      <c r="N397" s="39" t="s">
        <v>42</v>
      </c>
      <c r="O397" s="99" t="s">
        <v>1254</v>
      </c>
      <c r="P397" s="56" t="s">
        <v>179</v>
      </c>
      <c r="Q397" s="56"/>
      <c r="R397" s="56"/>
      <c r="S397" s="56">
        <v>5</v>
      </c>
      <c r="T397" s="56"/>
      <c r="U397" s="56"/>
      <c r="V397" s="56"/>
      <c r="W397" s="56"/>
      <c r="X397" s="56"/>
      <c r="Y397" s="56"/>
      <c r="Z397" s="56"/>
      <c r="AA397" s="42" t="s">
        <v>3199</v>
      </c>
      <c r="AB397" s="100" t="s">
        <v>3200</v>
      </c>
      <c r="AC397" s="44"/>
      <c r="AD397" s="45" t="s">
        <v>47</v>
      </c>
      <c r="AE397" s="101"/>
      <c r="AF397" s="36"/>
      <c r="AG397" s="47" t="s">
        <v>49</v>
      </c>
      <c r="AH397" s="48" t="s">
        <v>41</v>
      </c>
      <c r="AI397" s="48" t="s">
        <v>41</v>
      </c>
      <c r="AJ397" s="48" t="s">
        <v>41</v>
      </c>
      <c r="AK397" s="48" t="s">
        <v>41</v>
      </c>
      <c r="AL397" s="48" t="s">
        <v>41</v>
      </c>
      <c r="AM397" s="49" t="s">
        <v>41</v>
      </c>
      <c r="AN397" s="48" t="s">
        <v>41</v>
      </c>
      <c r="AO397" s="65" t="s">
        <v>4588</v>
      </c>
      <c r="AP397" s="65"/>
      <c r="AQ397" s="67"/>
    </row>
    <row r="398" spans="1:43" x14ac:dyDescent="0.2">
      <c r="A398">
        <v>397</v>
      </c>
      <c r="B398" s="33" t="e">
        <f>+B397+1</f>
        <v>#REF!</v>
      </c>
      <c r="C398" s="34" t="s">
        <v>3201</v>
      </c>
      <c r="D398" s="35" t="s">
        <v>3202</v>
      </c>
      <c r="E398" s="73" t="s">
        <v>4835</v>
      </c>
      <c r="F398" s="335">
        <v>23870</v>
      </c>
      <c r="G398" s="36" t="s">
        <v>54</v>
      </c>
      <c r="H398" s="98" t="s">
        <v>3204</v>
      </c>
      <c r="I398" s="37" t="s">
        <v>252</v>
      </c>
      <c r="J398" s="425" t="s">
        <v>4763</v>
      </c>
      <c r="K398" s="37" t="s">
        <v>57</v>
      </c>
      <c r="L398" s="38" t="s">
        <v>3205</v>
      </c>
      <c r="M398" s="34"/>
      <c r="N398" s="39" t="s">
        <v>42</v>
      </c>
      <c r="O398" s="99" t="s">
        <v>3206</v>
      </c>
      <c r="P398" s="56"/>
      <c r="Q398" s="56"/>
      <c r="R398" s="56"/>
      <c r="S398" s="56"/>
      <c r="T398" s="56"/>
      <c r="U398" s="56"/>
      <c r="V398" s="56"/>
      <c r="W398" s="56" t="s">
        <v>44</v>
      </c>
      <c r="X398" s="56"/>
      <c r="Y398" s="56"/>
      <c r="Z398" s="56"/>
      <c r="AA398" s="42" t="s">
        <v>3207</v>
      </c>
      <c r="AB398" s="58" t="s">
        <v>3208</v>
      </c>
      <c r="AC398" s="58"/>
      <c r="AD398" s="45">
        <v>45644</v>
      </c>
      <c r="AE398" s="101" t="s">
        <v>30</v>
      </c>
      <c r="AF398" s="73"/>
      <c r="AG398" s="47" t="s">
        <v>49</v>
      </c>
      <c r="AH398" s="48" t="s">
        <v>41</v>
      </c>
      <c r="AI398" s="48" t="s">
        <v>41</v>
      </c>
      <c r="AJ398" s="48" t="s">
        <v>41</v>
      </c>
      <c r="AK398" s="48" t="s">
        <v>49</v>
      </c>
      <c r="AL398" s="48" t="s">
        <v>49</v>
      </c>
      <c r="AM398" s="49" t="s">
        <v>49</v>
      </c>
      <c r="AN398" s="48" t="s">
        <v>49</v>
      </c>
      <c r="AO398" s="65" t="s">
        <v>32</v>
      </c>
      <c r="AP398" s="65"/>
      <c r="AQ398" s="59"/>
    </row>
    <row r="399" spans="1:43" x14ac:dyDescent="0.2">
      <c r="A399">
        <v>398</v>
      </c>
      <c r="B399" s="33" t="e">
        <f>+B398+1</f>
        <v>#REF!</v>
      </c>
      <c r="C399" s="34" t="s">
        <v>3209</v>
      </c>
      <c r="D399" s="35" t="s">
        <v>3210</v>
      </c>
      <c r="E399" s="36" t="s">
        <v>3211</v>
      </c>
      <c r="F399" s="334">
        <v>26131</v>
      </c>
      <c r="G399" s="36" t="s">
        <v>54</v>
      </c>
      <c r="H399" s="226" t="s">
        <v>3212</v>
      </c>
      <c r="I399" s="37" t="s">
        <v>4660</v>
      </c>
      <c r="J399" s="425" t="s">
        <v>4760</v>
      </c>
      <c r="K399" s="37" t="s">
        <v>39</v>
      </c>
      <c r="L399" s="38" t="s">
        <v>3213</v>
      </c>
      <c r="M399" s="34" t="s">
        <v>41</v>
      </c>
      <c r="N399" s="39" t="s">
        <v>42</v>
      </c>
      <c r="O399" s="99" t="s">
        <v>1119</v>
      </c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42" t="s">
        <v>3214</v>
      </c>
      <c r="AB399" s="69" t="s">
        <v>3215</v>
      </c>
      <c r="AC399" s="44" t="s">
        <v>61</v>
      </c>
      <c r="AD399" s="45">
        <v>40280</v>
      </c>
      <c r="AE399" s="101" t="s">
        <v>30</v>
      </c>
      <c r="AF399" s="36" t="s">
        <v>26</v>
      </c>
      <c r="AG399" s="47" t="s">
        <v>49</v>
      </c>
      <c r="AH399" s="48" t="s">
        <v>49</v>
      </c>
      <c r="AI399" s="48" t="s">
        <v>49</v>
      </c>
      <c r="AJ399" s="48" t="s">
        <v>49</v>
      </c>
      <c r="AK399" s="48" t="s">
        <v>49</v>
      </c>
      <c r="AL399" s="48" t="s">
        <v>49</v>
      </c>
      <c r="AM399" s="49" t="s">
        <v>49</v>
      </c>
      <c r="AN399" s="48" t="s">
        <v>49</v>
      </c>
      <c r="AO399" s="62" t="s">
        <v>32</v>
      </c>
      <c r="AP399" s="62"/>
      <c r="AQ399" s="423"/>
    </row>
    <row r="400" spans="1:43" x14ac:dyDescent="0.2">
      <c r="A400">
        <v>399</v>
      </c>
      <c r="B400" s="33" t="e">
        <f>+B399+1</f>
        <v>#REF!</v>
      </c>
      <c r="C400" s="34" t="s">
        <v>3216</v>
      </c>
      <c r="D400" s="35" t="s">
        <v>3217</v>
      </c>
      <c r="E400" s="36" t="s">
        <v>3218</v>
      </c>
      <c r="F400" s="334">
        <v>27508</v>
      </c>
      <c r="G400" s="36" t="s">
        <v>54</v>
      </c>
      <c r="H400" s="34" t="s">
        <v>3219</v>
      </c>
      <c r="I400" s="37" t="s">
        <v>323</v>
      </c>
      <c r="J400" s="425" t="s">
        <v>4758</v>
      </c>
      <c r="K400" s="37" t="s">
        <v>39</v>
      </c>
      <c r="L400" s="34" t="s">
        <v>3220</v>
      </c>
      <c r="M400" s="34" t="s">
        <v>41</v>
      </c>
      <c r="N400" s="39" t="s">
        <v>42</v>
      </c>
      <c r="O400" s="99" t="s">
        <v>3003</v>
      </c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2" t="s">
        <v>3221</v>
      </c>
      <c r="AB400" s="69" t="s">
        <v>3222</v>
      </c>
      <c r="AC400" s="44" t="s">
        <v>61</v>
      </c>
      <c r="AD400" s="45">
        <v>36803</v>
      </c>
      <c r="AE400" s="101" t="s">
        <v>30</v>
      </c>
      <c r="AF400" s="36" t="s">
        <v>26</v>
      </c>
      <c r="AG400" s="47" t="s">
        <v>49</v>
      </c>
      <c r="AH400" s="48" t="s">
        <v>49</v>
      </c>
      <c r="AI400" s="48" t="s">
        <v>49</v>
      </c>
      <c r="AJ400" s="48" t="s">
        <v>49</v>
      </c>
      <c r="AK400" s="48" t="s">
        <v>49</v>
      </c>
      <c r="AL400" s="48" t="s">
        <v>49</v>
      </c>
      <c r="AM400" s="49" t="s">
        <v>49</v>
      </c>
      <c r="AN400" s="48" t="s">
        <v>49</v>
      </c>
      <c r="AO400" s="62" t="s">
        <v>32</v>
      </c>
      <c r="AP400" s="62"/>
      <c r="AQ400" s="59"/>
    </row>
    <row r="401" spans="1:43" x14ac:dyDescent="0.2">
      <c r="A401">
        <v>400</v>
      </c>
      <c r="B401" s="33" t="e">
        <f>+B400+1</f>
        <v>#REF!</v>
      </c>
      <c r="C401" s="34" t="s">
        <v>3223</v>
      </c>
      <c r="D401" s="35" t="s">
        <v>3224</v>
      </c>
      <c r="E401" s="36" t="s">
        <v>3225</v>
      </c>
      <c r="F401" s="334">
        <v>25991</v>
      </c>
      <c r="G401" s="36" t="s">
        <v>54</v>
      </c>
      <c r="H401" s="34" t="s">
        <v>3226</v>
      </c>
      <c r="I401" s="37" t="s">
        <v>73</v>
      </c>
      <c r="J401" s="425" t="s">
        <v>4765</v>
      </c>
      <c r="K401" s="37" t="s">
        <v>73</v>
      </c>
      <c r="L401" s="404" t="s">
        <v>3227</v>
      </c>
      <c r="M401" s="34" t="s">
        <v>3227</v>
      </c>
      <c r="N401" s="39" t="s">
        <v>42</v>
      </c>
      <c r="O401" s="120">
        <v>36594</v>
      </c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2" t="s">
        <v>3228</v>
      </c>
      <c r="AB401" s="100" t="s">
        <v>3229</v>
      </c>
      <c r="AC401" s="44" t="s">
        <v>61</v>
      </c>
      <c r="AD401" s="45">
        <v>36803</v>
      </c>
      <c r="AE401" s="101" t="s">
        <v>30</v>
      </c>
      <c r="AF401" s="36" t="s">
        <v>26</v>
      </c>
      <c r="AG401" s="47" t="s">
        <v>49</v>
      </c>
      <c r="AH401" s="48" t="s">
        <v>49</v>
      </c>
      <c r="AI401" s="48" t="s">
        <v>49</v>
      </c>
      <c r="AJ401" s="48" t="s">
        <v>49</v>
      </c>
      <c r="AK401" s="48" t="s">
        <v>49</v>
      </c>
      <c r="AL401" s="48" t="s">
        <v>49</v>
      </c>
      <c r="AM401" s="49" t="s">
        <v>49</v>
      </c>
      <c r="AN401" s="48" t="s">
        <v>49</v>
      </c>
      <c r="AO401" s="62" t="s">
        <v>32</v>
      </c>
      <c r="AP401" s="62"/>
      <c r="AQ401" s="59"/>
    </row>
    <row r="402" spans="1:43" x14ac:dyDescent="0.2">
      <c r="A402">
        <v>401</v>
      </c>
      <c r="B402" s="33" t="e">
        <f>+B401+1</f>
        <v>#REF!</v>
      </c>
      <c r="C402" s="34" t="s">
        <v>3230</v>
      </c>
      <c r="D402" s="35" t="s">
        <v>3231</v>
      </c>
      <c r="E402" s="36" t="s">
        <v>4810</v>
      </c>
      <c r="F402" s="334">
        <v>20374</v>
      </c>
      <c r="G402" s="36" t="s">
        <v>54</v>
      </c>
      <c r="H402" s="34" t="s">
        <v>3233</v>
      </c>
      <c r="I402" s="37" t="s">
        <v>73</v>
      </c>
      <c r="J402" s="425" t="s">
        <v>4765</v>
      </c>
      <c r="K402" s="37" t="s">
        <v>73</v>
      </c>
      <c r="L402" s="34" t="s">
        <v>1679</v>
      </c>
      <c r="M402" s="34" t="s">
        <v>1877</v>
      </c>
      <c r="N402" s="39" t="s">
        <v>42</v>
      </c>
      <c r="O402" s="99" t="s">
        <v>3234</v>
      </c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42" t="s">
        <v>3235</v>
      </c>
      <c r="AB402" s="58" t="s">
        <v>3236</v>
      </c>
      <c r="AC402" s="44" t="s">
        <v>61</v>
      </c>
      <c r="AD402" s="45">
        <v>36803</v>
      </c>
      <c r="AE402" s="101" t="s">
        <v>30</v>
      </c>
      <c r="AF402" s="36" t="s">
        <v>26</v>
      </c>
      <c r="AG402" s="64" t="s">
        <v>120</v>
      </c>
      <c r="AH402" s="48" t="s">
        <v>120</v>
      </c>
      <c r="AI402" s="48" t="s">
        <v>120</v>
      </c>
      <c r="AJ402" s="48" t="s">
        <v>120</v>
      </c>
      <c r="AK402" s="48" t="s">
        <v>120</v>
      </c>
      <c r="AL402" s="48" t="s">
        <v>120</v>
      </c>
      <c r="AM402" s="49" t="s">
        <v>120</v>
      </c>
      <c r="AN402" s="48" t="s">
        <v>120</v>
      </c>
      <c r="AO402" s="65" t="s">
        <v>32</v>
      </c>
      <c r="AP402" s="65"/>
      <c r="AQ402" s="59"/>
    </row>
    <row r="403" spans="1:43" x14ac:dyDescent="0.2">
      <c r="A403">
        <v>402</v>
      </c>
      <c r="B403" s="33" t="e">
        <f>+B402+1</f>
        <v>#REF!</v>
      </c>
      <c r="C403" s="34" t="s">
        <v>3237</v>
      </c>
      <c r="D403" s="35" t="s">
        <v>3238</v>
      </c>
      <c r="E403" s="36" t="s">
        <v>4607</v>
      </c>
      <c r="F403" s="334">
        <v>36424</v>
      </c>
      <c r="G403" s="36" t="s">
        <v>54</v>
      </c>
      <c r="H403" s="34" t="s">
        <v>4608</v>
      </c>
      <c r="I403" s="37" t="s">
        <v>73</v>
      </c>
      <c r="J403" s="425" t="s">
        <v>4765</v>
      </c>
      <c r="K403" s="37" t="s">
        <v>73</v>
      </c>
      <c r="L403" s="57" t="s">
        <v>4610</v>
      </c>
      <c r="M403" s="34" t="s">
        <v>41</v>
      </c>
      <c r="N403" s="39" t="s">
        <v>42</v>
      </c>
      <c r="O403" s="120">
        <v>37202</v>
      </c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 t="s">
        <v>732</v>
      </c>
      <c r="AA403" s="42" t="s">
        <v>4609</v>
      </c>
      <c r="AB403" s="58" t="s">
        <v>3239</v>
      </c>
      <c r="AC403" s="44" t="s">
        <v>61</v>
      </c>
      <c r="AD403" s="45">
        <v>40280</v>
      </c>
      <c r="AE403" s="101" t="s">
        <v>30</v>
      </c>
      <c r="AF403" s="36" t="s">
        <v>26</v>
      </c>
      <c r="AG403" s="47" t="s">
        <v>49</v>
      </c>
      <c r="AH403" s="48" t="s">
        <v>49</v>
      </c>
      <c r="AI403" s="48" t="s">
        <v>49</v>
      </c>
      <c r="AJ403" s="48" t="s">
        <v>49</v>
      </c>
      <c r="AK403" s="48" t="s">
        <v>49</v>
      </c>
      <c r="AL403" s="48" t="s">
        <v>49</v>
      </c>
      <c r="AM403" s="49" t="s">
        <v>49</v>
      </c>
      <c r="AN403" s="48" t="s">
        <v>49</v>
      </c>
      <c r="AO403" s="62" t="s">
        <v>32</v>
      </c>
      <c r="AP403" s="62"/>
      <c r="AQ403" s="59"/>
    </row>
    <row r="404" spans="1:43" x14ac:dyDescent="0.2">
      <c r="A404">
        <v>403</v>
      </c>
      <c r="B404" s="33" t="e">
        <f>+B403+1</f>
        <v>#REF!</v>
      </c>
      <c r="C404" s="34" t="s">
        <v>3240</v>
      </c>
      <c r="D404" s="35" t="s">
        <v>3241</v>
      </c>
      <c r="E404" s="36" t="s">
        <v>3242</v>
      </c>
      <c r="F404" s="334">
        <v>25943</v>
      </c>
      <c r="G404" s="36" t="s">
        <v>36</v>
      </c>
      <c r="H404" s="34" t="s">
        <v>3243</v>
      </c>
      <c r="I404" s="37" t="s">
        <v>73</v>
      </c>
      <c r="J404" s="425" t="s">
        <v>4765</v>
      </c>
      <c r="K404" s="37" t="s">
        <v>73</v>
      </c>
      <c r="L404" s="34" t="s">
        <v>3244</v>
      </c>
      <c r="M404" s="34" t="s">
        <v>41</v>
      </c>
      <c r="N404" s="39" t="s">
        <v>42</v>
      </c>
      <c r="O404" s="120">
        <v>36895</v>
      </c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2" t="s">
        <v>3245</v>
      </c>
      <c r="AB404" s="52" t="s">
        <v>3246</v>
      </c>
      <c r="AC404" s="44" t="s">
        <v>61</v>
      </c>
      <c r="AD404" s="45">
        <v>36803</v>
      </c>
      <c r="AE404" s="101" t="s">
        <v>30</v>
      </c>
      <c r="AF404" s="36" t="s">
        <v>26</v>
      </c>
      <c r="AG404" s="47" t="s">
        <v>49</v>
      </c>
      <c r="AH404" s="48" t="s">
        <v>49</v>
      </c>
      <c r="AI404" s="48" t="s">
        <v>49</v>
      </c>
      <c r="AJ404" s="48" t="s">
        <v>49</v>
      </c>
      <c r="AK404" s="48" t="s">
        <v>49</v>
      </c>
      <c r="AL404" s="48" t="s">
        <v>49</v>
      </c>
      <c r="AM404" s="49" t="s">
        <v>49</v>
      </c>
      <c r="AN404" s="48" t="s">
        <v>49</v>
      </c>
      <c r="AO404" s="65" t="s">
        <v>32</v>
      </c>
      <c r="AP404" s="65"/>
      <c r="AQ404" s="59"/>
    </row>
    <row r="405" spans="1:43" x14ac:dyDescent="0.2">
      <c r="A405">
        <v>404</v>
      </c>
      <c r="B405" s="33" t="e">
        <f>+B404+1</f>
        <v>#REF!</v>
      </c>
      <c r="C405" s="34" t="s">
        <v>3247</v>
      </c>
      <c r="D405" s="35" t="s">
        <v>3248</v>
      </c>
      <c r="E405" s="73" t="s">
        <v>4820</v>
      </c>
      <c r="F405" s="73"/>
      <c r="G405" s="36" t="s">
        <v>54</v>
      </c>
      <c r="H405" s="98" t="s">
        <v>3250</v>
      </c>
      <c r="I405" s="37" t="s">
        <v>73</v>
      </c>
      <c r="J405" s="425" t="s">
        <v>4765</v>
      </c>
      <c r="K405" s="37" t="s">
        <v>73</v>
      </c>
      <c r="L405" s="34" t="s">
        <v>3251</v>
      </c>
      <c r="M405" s="34" t="s">
        <v>41</v>
      </c>
      <c r="N405" s="39" t="s">
        <v>42</v>
      </c>
      <c r="O405" s="120">
        <v>35681</v>
      </c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42" t="s">
        <v>3252</v>
      </c>
      <c r="AB405" s="58" t="s">
        <v>3253</v>
      </c>
      <c r="AC405" s="44" t="s">
        <v>3254</v>
      </c>
      <c r="AD405" s="45">
        <v>42325</v>
      </c>
      <c r="AE405" s="101" t="s">
        <v>30</v>
      </c>
      <c r="AF405" s="73"/>
      <c r="AG405" s="47" t="s">
        <v>49</v>
      </c>
      <c r="AH405" s="48" t="s">
        <v>41</v>
      </c>
      <c r="AI405" s="48" t="s">
        <v>41</v>
      </c>
      <c r="AJ405" s="48" t="s">
        <v>41</v>
      </c>
      <c r="AK405" s="48" t="s">
        <v>41</v>
      </c>
      <c r="AL405" s="48" t="s">
        <v>41</v>
      </c>
      <c r="AM405" s="49" t="s">
        <v>41</v>
      </c>
      <c r="AN405" s="48" t="s">
        <v>41</v>
      </c>
      <c r="AO405" s="65" t="s">
        <v>4590</v>
      </c>
      <c r="AP405" s="65"/>
      <c r="AQ405" s="59"/>
    </row>
    <row r="406" spans="1:43" x14ac:dyDescent="0.2">
      <c r="A406">
        <v>405</v>
      </c>
      <c r="B406" s="33" t="e">
        <f>+B405+1</f>
        <v>#REF!</v>
      </c>
      <c r="C406" s="34" t="s">
        <v>3255</v>
      </c>
      <c r="D406" s="35" t="s">
        <v>3256</v>
      </c>
      <c r="E406" s="36" t="s">
        <v>3257</v>
      </c>
      <c r="F406" s="334">
        <v>26423</v>
      </c>
      <c r="G406" s="36" t="s">
        <v>36</v>
      </c>
      <c r="H406" s="34" t="s">
        <v>3258</v>
      </c>
      <c r="I406" s="37" t="s">
        <v>73</v>
      </c>
      <c r="J406" s="425" t="s">
        <v>4765</v>
      </c>
      <c r="K406" s="37" t="s">
        <v>73</v>
      </c>
      <c r="L406" s="34" t="s">
        <v>3259</v>
      </c>
      <c r="M406" s="34" t="s">
        <v>41</v>
      </c>
      <c r="N406" s="39" t="s">
        <v>42</v>
      </c>
      <c r="O406" s="120" t="s">
        <v>3260</v>
      </c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2" t="s">
        <v>3261</v>
      </c>
      <c r="AB406" s="58" t="s">
        <v>3262</v>
      </c>
      <c r="AC406" s="44" t="s">
        <v>3263</v>
      </c>
      <c r="AD406" s="45">
        <v>43200</v>
      </c>
      <c r="AE406" s="101" t="s">
        <v>30</v>
      </c>
      <c r="AF406" s="36" t="s">
        <v>26</v>
      </c>
      <c r="AG406" s="47" t="s">
        <v>49</v>
      </c>
      <c r="AH406" s="48" t="s">
        <v>49</v>
      </c>
      <c r="AI406" s="48" t="s">
        <v>49</v>
      </c>
      <c r="AJ406" s="48" t="s">
        <v>49</v>
      </c>
      <c r="AK406" s="48" t="s">
        <v>49</v>
      </c>
      <c r="AL406" s="48" t="s">
        <v>49</v>
      </c>
      <c r="AM406" s="49" t="s">
        <v>49</v>
      </c>
      <c r="AN406" s="48" t="s">
        <v>49</v>
      </c>
      <c r="AO406" s="65" t="s">
        <v>32</v>
      </c>
      <c r="AP406" s="65"/>
      <c r="AQ406" s="59"/>
    </row>
    <row r="407" spans="1:43" x14ac:dyDescent="0.2">
      <c r="A407">
        <v>406</v>
      </c>
      <c r="B407" s="33" t="e">
        <f>+B406+1</f>
        <v>#REF!</v>
      </c>
      <c r="C407" s="34" t="s">
        <v>3264</v>
      </c>
      <c r="D407" s="35" t="s">
        <v>3265</v>
      </c>
      <c r="E407" s="36" t="s">
        <v>3266</v>
      </c>
      <c r="F407" s="334">
        <v>32004</v>
      </c>
      <c r="G407" s="36" t="s">
        <v>54</v>
      </c>
      <c r="H407" s="34" t="s">
        <v>3267</v>
      </c>
      <c r="I407" s="37" t="s">
        <v>73</v>
      </c>
      <c r="J407" s="425" t="s">
        <v>4765</v>
      </c>
      <c r="K407" s="37" t="s">
        <v>73</v>
      </c>
      <c r="L407" s="38" t="s">
        <v>3268</v>
      </c>
      <c r="M407" s="34" t="s">
        <v>41</v>
      </c>
      <c r="N407" s="39" t="s">
        <v>42</v>
      </c>
      <c r="O407" s="120" t="s">
        <v>3269</v>
      </c>
      <c r="P407" s="41"/>
      <c r="Q407" s="41"/>
      <c r="R407" s="41"/>
      <c r="S407" s="41"/>
      <c r="T407" s="41"/>
      <c r="U407" s="41"/>
      <c r="V407" s="41"/>
      <c r="W407" s="41" t="s">
        <v>44</v>
      </c>
      <c r="X407" s="41"/>
      <c r="Y407" s="41"/>
      <c r="Z407" s="41"/>
      <c r="AA407" s="42" t="s">
        <v>3270</v>
      </c>
      <c r="AB407" s="83" t="s">
        <v>3271</v>
      </c>
      <c r="AC407" s="83"/>
      <c r="AD407" s="45">
        <v>45642</v>
      </c>
      <c r="AE407" s="101"/>
      <c r="AF407" s="36"/>
      <c r="AG407" s="47" t="s">
        <v>49</v>
      </c>
      <c r="AH407" s="48" t="s">
        <v>41</v>
      </c>
      <c r="AI407" s="48" t="s">
        <v>41</v>
      </c>
      <c r="AJ407" s="48" t="s">
        <v>41</v>
      </c>
      <c r="AK407" s="48" t="s">
        <v>49</v>
      </c>
      <c r="AL407" s="48" t="s">
        <v>49</v>
      </c>
      <c r="AM407" s="49" t="s">
        <v>49</v>
      </c>
      <c r="AN407" s="48" t="s">
        <v>49</v>
      </c>
      <c r="AO407" s="65" t="s">
        <v>32</v>
      </c>
      <c r="AP407" s="65" t="s">
        <v>4681</v>
      </c>
      <c r="AQ407" s="59"/>
    </row>
    <row r="408" spans="1:43" x14ac:dyDescent="0.2">
      <c r="A408">
        <v>407</v>
      </c>
      <c r="B408" s="33" t="e">
        <f>+B407+1</f>
        <v>#REF!</v>
      </c>
      <c r="C408" s="34" t="s">
        <v>3272</v>
      </c>
      <c r="D408" s="35" t="s">
        <v>3273</v>
      </c>
      <c r="E408" s="36" t="s">
        <v>3274</v>
      </c>
      <c r="F408" s="334">
        <v>30908</v>
      </c>
      <c r="G408" s="36" t="s">
        <v>54</v>
      </c>
      <c r="H408" s="34" t="s">
        <v>3275</v>
      </c>
      <c r="I408" s="37" t="s">
        <v>73</v>
      </c>
      <c r="J408" s="425" t="s">
        <v>4765</v>
      </c>
      <c r="K408" s="37" t="s">
        <v>73</v>
      </c>
      <c r="L408" s="34" t="s">
        <v>3276</v>
      </c>
      <c r="M408" s="34" t="s">
        <v>41</v>
      </c>
      <c r="N408" s="39" t="s">
        <v>42</v>
      </c>
      <c r="O408" s="120">
        <v>35531</v>
      </c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42" t="s">
        <v>3277</v>
      </c>
      <c r="AB408" s="100" t="s">
        <v>3278</v>
      </c>
      <c r="AC408" s="44" t="s">
        <v>3279</v>
      </c>
      <c r="AD408" s="45">
        <v>42935</v>
      </c>
      <c r="AE408" s="101" t="s">
        <v>30</v>
      </c>
      <c r="AF408" s="36" t="s">
        <v>26</v>
      </c>
      <c r="AG408" s="64" t="s">
        <v>120</v>
      </c>
      <c r="AH408" s="48" t="s">
        <v>120</v>
      </c>
      <c r="AI408" s="48" t="s">
        <v>120</v>
      </c>
      <c r="AJ408" s="48" t="s">
        <v>120</v>
      </c>
      <c r="AK408" s="48" t="s">
        <v>120</v>
      </c>
      <c r="AL408" s="48" t="s">
        <v>120</v>
      </c>
      <c r="AM408" s="49" t="s">
        <v>120</v>
      </c>
      <c r="AN408" s="48" t="s">
        <v>120</v>
      </c>
      <c r="AO408" s="65" t="s">
        <v>32</v>
      </c>
      <c r="AP408" s="65"/>
      <c r="AQ408" s="59"/>
    </row>
    <row r="409" spans="1:43" x14ac:dyDescent="0.2">
      <c r="A409">
        <v>408</v>
      </c>
      <c r="B409" s="33" t="e">
        <f>+B408+1</f>
        <v>#REF!</v>
      </c>
      <c r="C409" s="34" t="s">
        <v>3280</v>
      </c>
      <c r="D409" s="35" t="s">
        <v>3281</v>
      </c>
      <c r="E409" s="36" t="s">
        <v>4852</v>
      </c>
      <c r="F409" s="36"/>
      <c r="G409" s="36" t="s">
        <v>54</v>
      </c>
      <c r="H409" s="34" t="s">
        <v>3283</v>
      </c>
      <c r="I409" s="37" t="s">
        <v>73</v>
      </c>
      <c r="J409" s="425" t="s">
        <v>4765</v>
      </c>
      <c r="K409" s="37" t="s">
        <v>73</v>
      </c>
      <c r="L409" s="34" t="s">
        <v>3284</v>
      </c>
      <c r="M409" s="34" t="s">
        <v>41</v>
      </c>
      <c r="N409" s="39" t="s">
        <v>42</v>
      </c>
      <c r="O409" s="99" t="s">
        <v>3285</v>
      </c>
      <c r="P409" s="56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42" t="s">
        <v>3286</v>
      </c>
      <c r="AB409" s="58" t="s">
        <v>3287</v>
      </c>
      <c r="AC409" s="44" t="s">
        <v>61</v>
      </c>
      <c r="AD409" s="45">
        <v>39286</v>
      </c>
      <c r="AE409" s="101" t="s">
        <v>30</v>
      </c>
      <c r="AF409" s="36"/>
      <c r="AG409" s="47" t="s">
        <v>49</v>
      </c>
      <c r="AH409" s="48" t="s">
        <v>41</v>
      </c>
      <c r="AI409" s="48" t="s">
        <v>41</v>
      </c>
      <c r="AJ409" s="48" t="s">
        <v>41</v>
      </c>
      <c r="AK409" s="48" t="s">
        <v>41</v>
      </c>
      <c r="AL409" s="48" t="s">
        <v>41</v>
      </c>
      <c r="AM409" s="49" t="s">
        <v>41</v>
      </c>
      <c r="AN409" s="48" t="s">
        <v>41</v>
      </c>
      <c r="AO409" s="65" t="s">
        <v>4588</v>
      </c>
      <c r="AP409" s="65"/>
      <c r="AQ409" s="59"/>
    </row>
    <row r="410" spans="1:43" x14ac:dyDescent="0.2">
      <c r="A410">
        <v>409</v>
      </c>
      <c r="B410" s="33" t="e">
        <f>+B409+1</f>
        <v>#REF!</v>
      </c>
      <c r="C410" s="34" t="s">
        <v>3288</v>
      </c>
      <c r="D410" s="35" t="s">
        <v>3289</v>
      </c>
      <c r="E410" s="36" t="s">
        <v>3290</v>
      </c>
      <c r="F410" s="36"/>
      <c r="G410" s="36" t="s">
        <v>241</v>
      </c>
      <c r="H410" s="34" t="s">
        <v>3291</v>
      </c>
      <c r="I410" s="37" t="s">
        <v>73</v>
      </c>
      <c r="J410" s="425" t="s">
        <v>4765</v>
      </c>
      <c r="K410" s="37" t="s">
        <v>73</v>
      </c>
      <c r="L410" s="34" t="s">
        <v>3292</v>
      </c>
      <c r="M410" s="34" t="s">
        <v>41</v>
      </c>
      <c r="N410" s="39" t="s">
        <v>42</v>
      </c>
      <c r="O410" s="99" t="s">
        <v>3293</v>
      </c>
      <c r="P410" s="41"/>
      <c r="Q410" s="177"/>
      <c r="R410" s="112"/>
      <c r="S410" s="177"/>
      <c r="T410" s="112"/>
      <c r="U410" s="112"/>
      <c r="V410" s="112"/>
      <c r="W410" s="177"/>
      <c r="X410" s="112"/>
      <c r="Y410" s="41"/>
      <c r="Z410" s="41"/>
      <c r="AA410" s="42" t="s">
        <v>3294</v>
      </c>
      <c r="AB410" s="58" t="s">
        <v>3295</v>
      </c>
      <c r="AC410" s="44" t="s">
        <v>61</v>
      </c>
      <c r="AD410" s="45">
        <v>34597</v>
      </c>
      <c r="AE410" s="101" t="s">
        <v>129</v>
      </c>
      <c r="AF410" s="36" t="s">
        <v>26</v>
      </c>
      <c r="AG410" s="47" t="s">
        <v>49</v>
      </c>
      <c r="AH410" s="48" t="s">
        <v>49</v>
      </c>
      <c r="AI410" s="48" t="s">
        <v>41</v>
      </c>
      <c r="AJ410" s="48" t="s">
        <v>41</v>
      </c>
      <c r="AK410" s="48" t="s">
        <v>41</v>
      </c>
      <c r="AL410" s="48" t="s">
        <v>41</v>
      </c>
      <c r="AM410" s="49" t="s">
        <v>41</v>
      </c>
      <c r="AN410" s="48" t="s">
        <v>41</v>
      </c>
      <c r="AO410" s="62" t="s">
        <v>4587</v>
      </c>
      <c r="AP410" s="62"/>
      <c r="AQ410" s="59"/>
    </row>
    <row r="411" spans="1:43" x14ac:dyDescent="0.2">
      <c r="A411">
        <v>410</v>
      </c>
      <c r="B411" s="33" t="e">
        <f>+B410+1</f>
        <v>#REF!</v>
      </c>
      <c r="C411" s="108" t="s">
        <v>3296</v>
      </c>
      <c r="D411" s="35" t="s">
        <v>3297</v>
      </c>
      <c r="E411" s="73" t="s">
        <v>4774</v>
      </c>
      <c r="F411" s="335">
        <v>27257</v>
      </c>
      <c r="G411" s="36" t="s">
        <v>36</v>
      </c>
      <c r="H411" s="467" t="s">
        <v>3299</v>
      </c>
      <c r="I411" s="37" t="s">
        <v>398</v>
      </c>
      <c r="J411" s="425" t="s">
        <v>4745</v>
      </c>
      <c r="K411" s="37" t="s">
        <v>205</v>
      </c>
      <c r="L411" s="140" t="s">
        <v>3300</v>
      </c>
      <c r="M411" s="38" t="s">
        <v>41</v>
      </c>
      <c r="N411" s="39" t="s">
        <v>42</v>
      </c>
      <c r="O411" s="166" t="s">
        <v>3301</v>
      </c>
      <c r="P411" s="56"/>
      <c r="Q411" s="114"/>
      <c r="R411" s="115"/>
      <c r="S411" s="114"/>
      <c r="T411" s="115"/>
      <c r="U411" s="115"/>
      <c r="V411" s="115"/>
      <c r="W411" s="114"/>
      <c r="X411" s="115"/>
      <c r="Y411" s="56"/>
      <c r="Z411" s="56"/>
      <c r="AA411" s="42" t="s">
        <v>3302</v>
      </c>
      <c r="AB411" s="58" t="s">
        <v>3303</v>
      </c>
      <c r="AC411" s="44" t="s">
        <v>3304</v>
      </c>
      <c r="AD411" s="45">
        <v>42325</v>
      </c>
      <c r="AE411" s="101" t="s">
        <v>30</v>
      </c>
      <c r="AF411" s="73" t="s">
        <v>26</v>
      </c>
      <c r="AG411" s="47" t="s">
        <v>49</v>
      </c>
      <c r="AH411" s="48" t="s">
        <v>49</v>
      </c>
      <c r="AI411" s="48" t="s">
        <v>49</v>
      </c>
      <c r="AJ411" s="48" t="s">
        <v>49</v>
      </c>
      <c r="AK411" s="48" t="s">
        <v>49</v>
      </c>
      <c r="AL411" s="48" t="s">
        <v>49</v>
      </c>
      <c r="AM411" s="49" t="s">
        <v>49</v>
      </c>
      <c r="AN411" s="48" t="s">
        <v>49</v>
      </c>
      <c r="AO411" s="65" t="s">
        <v>32</v>
      </c>
      <c r="AP411" s="65" t="s">
        <v>4681</v>
      </c>
      <c r="AQ411" s="59"/>
    </row>
    <row r="412" spans="1:43" x14ac:dyDescent="0.2">
      <c r="A412">
        <v>411</v>
      </c>
      <c r="B412" s="33" t="e">
        <f>+B411+1</f>
        <v>#REF!</v>
      </c>
      <c r="C412" s="34" t="s">
        <v>3305</v>
      </c>
      <c r="D412" s="35" t="s">
        <v>3306</v>
      </c>
      <c r="E412" s="36" t="s">
        <v>3307</v>
      </c>
      <c r="F412" s="334">
        <v>25016</v>
      </c>
      <c r="G412" s="36" t="s">
        <v>54</v>
      </c>
      <c r="H412" s="34" t="s">
        <v>3308</v>
      </c>
      <c r="I412" s="37" t="s">
        <v>73</v>
      </c>
      <c r="J412" s="425" t="s">
        <v>4765</v>
      </c>
      <c r="K412" s="37" t="s">
        <v>73</v>
      </c>
      <c r="L412" s="34" t="s">
        <v>3309</v>
      </c>
      <c r="M412" s="34" t="s">
        <v>41</v>
      </c>
      <c r="N412" s="39" t="s">
        <v>42</v>
      </c>
      <c r="O412" s="120">
        <v>36895</v>
      </c>
      <c r="P412" s="41"/>
      <c r="Q412" s="410"/>
      <c r="R412" s="112"/>
      <c r="S412" s="410"/>
      <c r="T412" s="112"/>
      <c r="U412" s="112"/>
      <c r="V412" s="112"/>
      <c r="W412" s="230"/>
      <c r="X412" s="112"/>
      <c r="Y412" s="41"/>
      <c r="Z412" s="41"/>
      <c r="AA412" s="42" t="s">
        <v>3310</v>
      </c>
      <c r="AB412" s="52" t="s">
        <v>3311</v>
      </c>
      <c r="AC412" s="44" t="s">
        <v>61</v>
      </c>
      <c r="AD412" s="45">
        <v>39286</v>
      </c>
      <c r="AE412" s="101" t="s">
        <v>30</v>
      </c>
      <c r="AF412" s="36" t="s">
        <v>26</v>
      </c>
      <c r="AG412" s="61" t="s">
        <v>49</v>
      </c>
      <c r="AH412" s="48" t="s">
        <v>49</v>
      </c>
      <c r="AI412" s="48" t="s">
        <v>49</v>
      </c>
      <c r="AJ412" s="48" t="s">
        <v>49</v>
      </c>
      <c r="AK412" s="48" t="s">
        <v>49</v>
      </c>
      <c r="AL412" s="48" t="s">
        <v>49</v>
      </c>
      <c r="AM412" s="49" t="s">
        <v>49</v>
      </c>
      <c r="AN412" s="48" t="s">
        <v>49</v>
      </c>
      <c r="AO412" s="65" t="s">
        <v>32</v>
      </c>
      <c r="AP412" s="65"/>
      <c r="AQ412" s="59"/>
    </row>
    <row r="413" spans="1:43" x14ac:dyDescent="0.2">
      <c r="A413">
        <v>412</v>
      </c>
      <c r="B413" s="33" t="e">
        <f>+B412+1</f>
        <v>#REF!</v>
      </c>
      <c r="C413" s="34" t="s">
        <v>3312</v>
      </c>
      <c r="D413" s="35" t="s">
        <v>3313</v>
      </c>
      <c r="E413" s="36" t="s">
        <v>3314</v>
      </c>
      <c r="F413" s="334">
        <v>26867</v>
      </c>
      <c r="G413" s="36" t="s">
        <v>54</v>
      </c>
      <c r="H413" s="34" t="s">
        <v>3315</v>
      </c>
      <c r="I413" s="37" t="s">
        <v>323</v>
      </c>
      <c r="J413" s="425" t="s">
        <v>4758</v>
      </c>
      <c r="K413" s="37" t="s">
        <v>39</v>
      </c>
      <c r="L413" s="34" t="s">
        <v>3316</v>
      </c>
      <c r="M413" s="34" t="s">
        <v>41</v>
      </c>
      <c r="N413" s="39" t="s">
        <v>42</v>
      </c>
      <c r="O413" s="120">
        <v>42254</v>
      </c>
      <c r="P413" s="56"/>
      <c r="Q413" s="56"/>
      <c r="R413" s="56"/>
      <c r="S413" s="56"/>
      <c r="T413" s="115"/>
      <c r="U413" s="147"/>
      <c r="V413" s="115"/>
      <c r="W413" s="246"/>
      <c r="X413" s="115"/>
      <c r="Y413" s="56"/>
      <c r="Z413" s="56"/>
      <c r="AA413" s="42" t="s">
        <v>3317</v>
      </c>
      <c r="AB413" s="100" t="s">
        <v>3318</v>
      </c>
      <c r="AC413" s="44" t="s">
        <v>3319</v>
      </c>
      <c r="AD413" s="45">
        <v>42325</v>
      </c>
      <c r="AE413" s="101" t="s">
        <v>30</v>
      </c>
      <c r="AF413" s="36" t="s">
        <v>26</v>
      </c>
      <c r="AG413" s="47" t="s">
        <v>49</v>
      </c>
      <c r="AH413" s="48" t="s">
        <v>49</v>
      </c>
      <c r="AI413" s="48" t="s">
        <v>49</v>
      </c>
      <c r="AJ413" s="48" t="s">
        <v>49</v>
      </c>
      <c r="AK413" s="48" t="s">
        <v>49</v>
      </c>
      <c r="AL413" s="48" t="s">
        <v>49</v>
      </c>
      <c r="AM413" s="49" t="s">
        <v>49</v>
      </c>
      <c r="AN413" s="48" t="s">
        <v>49</v>
      </c>
      <c r="AO413" s="62" t="s">
        <v>32</v>
      </c>
      <c r="AP413" s="62"/>
      <c r="AQ413" s="59"/>
    </row>
    <row r="414" spans="1:43" x14ac:dyDescent="0.2">
      <c r="A414">
        <v>413</v>
      </c>
      <c r="B414" s="33" t="e">
        <f>+B413+1</f>
        <v>#REF!</v>
      </c>
      <c r="C414" s="34" t="s">
        <v>3320</v>
      </c>
      <c r="D414" s="35" t="s">
        <v>3321</v>
      </c>
      <c r="E414" s="109" t="s">
        <v>3322</v>
      </c>
      <c r="F414" s="336">
        <v>30008</v>
      </c>
      <c r="G414" s="36" t="s">
        <v>54</v>
      </c>
      <c r="H414" s="108" t="s">
        <v>3323</v>
      </c>
      <c r="I414" s="37" t="s">
        <v>413</v>
      </c>
      <c r="J414" s="425" t="s">
        <v>4754</v>
      </c>
      <c r="K414" s="37" t="s">
        <v>378</v>
      </c>
      <c r="L414" s="108" t="s">
        <v>3324</v>
      </c>
      <c r="M414" s="38" t="s">
        <v>3325</v>
      </c>
      <c r="N414" s="39" t="s">
        <v>42</v>
      </c>
      <c r="O414" s="120">
        <v>40004</v>
      </c>
      <c r="P414" s="41"/>
      <c r="Q414" s="41"/>
      <c r="R414" s="41"/>
      <c r="S414" s="41"/>
      <c r="T414" s="112"/>
      <c r="U414" s="231"/>
      <c r="V414" s="112"/>
      <c r="W414" s="177"/>
      <c r="X414" s="112"/>
      <c r="Y414" s="41"/>
      <c r="Z414" s="41"/>
      <c r="AA414" s="42" t="s">
        <v>3326</v>
      </c>
      <c r="AB414" s="52" t="s">
        <v>3327</v>
      </c>
      <c r="AC414" s="119" t="s">
        <v>61</v>
      </c>
      <c r="AD414" s="45">
        <v>39286</v>
      </c>
      <c r="AE414" s="101" t="s">
        <v>30</v>
      </c>
      <c r="AF414" s="36" t="s">
        <v>26</v>
      </c>
      <c r="AG414" s="47" t="s">
        <v>49</v>
      </c>
      <c r="AH414" s="48" t="s">
        <v>49</v>
      </c>
      <c r="AI414" s="48" t="s">
        <v>49</v>
      </c>
      <c r="AJ414" s="48" t="s">
        <v>49</v>
      </c>
      <c r="AK414" s="48" t="s">
        <v>49</v>
      </c>
      <c r="AL414" s="48" t="s">
        <v>49</v>
      </c>
      <c r="AM414" s="49" t="s">
        <v>49</v>
      </c>
      <c r="AN414" s="48" t="s">
        <v>49</v>
      </c>
      <c r="AO414" s="62" t="s">
        <v>32</v>
      </c>
      <c r="AP414" s="62"/>
      <c r="AQ414" s="59"/>
    </row>
    <row r="415" spans="1:43" x14ac:dyDescent="0.2">
      <c r="A415">
        <v>414</v>
      </c>
      <c r="B415" s="33" t="e">
        <f>+B414+1</f>
        <v>#REF!</v>
      </c>
      <c r="C415" s="34" t="s">
        <v>3328</v>
      </c>
      <c r="D415" s="35" t="s">
        <v>3329</v>
      </c>
      <c r="E415" s="36" t="s">
        <v>4806</v>
      </c>
      <c r="F415" s="334">
        <v>21790</v>
      </c>
      <c r="G415" s="36" t="s">
        <v>54</v>
      </c>
      <c r="H415" s="34" t="s">
        <v>3331</v>
      </c>
      <c r="I415" s="37" t="s">
        <v>73</v>
      </c>
      <c r="J415" s="425" t="s">
        <v>4765</v>
      </c>
      <c r="K415" s="37" t="s">
        <v>73</v>
      </c>
      <c r="L415" s="34" t="s">
        <v>3332</v>
      </c>
      <c r="M415" s="34" t="s">
        <v>3333</v>
      </c>
      <c r="N415" s="39" t="s">
        <v>42</v>
      </c>
      <c r="O415" s="99" t="s">
        <v>3334</v>
      </c>
      <c r="P415" s="41"/>
      <c r="Q415" s="41"/>
      <c r="R415" s="41"/>
      <c r="S415" s="41"/>
      <c r="T415" s="41"/>
      <c r="U415" s="41"/>
      <c r="V415" s="41"/>
      <c r="W415" s="177"/>
      <c r="X415" s="112"/>
      <c r="Y415" s="41"/>
      <c r="Z415" s="41"/>
      <c r="AA415" s="42" t="s">
        <v>3335</v>
      </c>
      <c r="AB415" s="43" t="s">
        <v>3336</v>
      </c>
      <c r="AC415" s="44" t="s">
        <v>61</v>
      </c>
      <c r="AD415" s="45">
        <v>34597</v>
      </c>
      <c r="AE415" s="101" t="s">
        <v>30</v>
      </c>
      <c r="AF415" s="36" t="s">
        <v>26</v>
      </c>
      <c r="AG415" s="47" t="s">
        <v>49</v>
      </c>
      <c r="AH415" s="48" t="s">
        <v>49</v>
      </c>
      <c r="AI415" s="48" t="s">
        <v>49</v>
      </c>
      <c r="AJ415" s="48" t="s">
        <v>49</v>
      </c>
      <c r="AK415" s="48" t="s">
        <v>49</v>
      </c>
      <c r="AL415" s="48" t="s">
        <v>49</v>
      </c>
      <c r="AM415" s="49" t="s">
        <v>49</v>
      </c>
      <c r="AN415" s="48" t="s">
        <v>49</v>
      </c>
      <c r="AO415" s="65" t="s">
        <v>32</v>
      </c>
      <c r="AP415" s="65"/>
      <c r="AQ415" s="59"/>
    </row>
    <row r="416" spans="1:43" x14ac:dyDescent="0.2">
      <c r="A416">
        <v>415</v>
      </c>
      <c r="B416" s="33" t="e">
        <f>+B415+1</f>
        <v>#REF!</v>
      </c>
      <c r="C416" s="34" t="s">
        <v>3337</v>
      </c>
      <c r="D416" s="35" t="s">
        <v>3338</v>
      </c>
      <c r="E416" s="36" t="s">
        <v>3339</v>
      </c>
      <c r="F416" s="334">
        <v>30626</v>
      </c>
      <c r="G416" s="36" t="s">
        <v>54</v>
      </c>
      <c r="H416" s="34" t="s">
        <v>3340</v>
      </c>
      <c r="I416" s="37" t="s">
        <v>73</v>
      </c>
      <c r="J416" s="425" t="s">
        <v>4765</v>
      </c>
      <c r="K416" s="37" t="s">
        <v>73</v>
      </c>
      <c r="L416" s="34" t="s">
        <v>3341</v>
      </c>
      <c r="M416" s="34" t="s">
        <v>41</v>
      </c>
      <c r="N416" s="39" t="s">
        <v>42</v>
      </c>
      <c r="O416" s="99" t="s">
        <v>3342</v>
      </c>
      <c r="P416" s="41"/>
      <c r="Q416" s="41"/>
      <c r="R416" s="41"/>
      <c r="S416" s="41"/>
      <c r="T416" s="41"/>
      <c r="U416" s="41"/>
      <c r="V416" s="41"/>
      <c r="W416" s="177"/>
      <c r="X416" s="112"/>
      <c r="Y416" s="112"/>
      <c r="Z416" s="112"/>
      <c r="AA416" s="57" t="s">
        <v>3343</v>
      </c>
      <c r="AB416" s="43" t="s">
        <v>3344</v>
      </c>
      <c r="AC416" s="121" t="s">
        <v>3345</v>
      </c>
      <c r="AD416" s="45">
        <v>44650</v>
      </c>
      <c r="AE416" s="101" t="s">
        <v>30</v>
      </c>
      <c r="AF416" s="36"/>
      <c r="AG416" s="47" t="s">
        <v>49</v>
      </c>
      <c r="AH416" s="48" t="s">
        <v>41</v>
      </c>
      <c r="AI416" s="48" t="s">
        <v>49</v>
      </c>
      <c r="AJ416" s="48" t="s">
        <v>49</v>
      </c>
      <c r="AK416" s="48" t="s">
        <v>49</v>
      </c>
      <c r="AL416" s="48" t="s">
        <v>49</v>
      </c>
      <c r="AM416" s="49" t="s">
        <v>49</v>
      </c>
      <c r="AN416" s="48" t="s">
        <v>49</v>
      </c>
      <c r="AO416" s="62" t="s">
        <v>32</v>
      </c>
      <c r="AP416" s="62"/>
      <c r="AQ416" s="59"/>
    </row>
    <row r="417" spans="1:43" x14ac:dyDescent="0.2">
      <c r="A417">
        <v>416</v>
      </c>
      <c r="B417" s="33" t="e">
        <f>+B416+1</f>
        <v>#REF!</v>
      </c>
      <c r="C417" s="34" t="s">
        <v>3346</v>
      </c>
      <c r="D417" s="35" t="s">
        <v>3347</v>
      </c>
      <c r="E417" s="36" t="s">
        <v>3348</v>
      </c>
      <c r="F417" s="334">
        <v>34327</v>
      </c>
      <c r="G417" s="36" t="s">
        <v>54</v>
      </c>
      <c r="H417" s="34" t="s">
        <v>3349</v>
      </c>
      <c r="I417" s="37" t="s">
        <v>73</v>
      </c>
      <c r="J417" s="425" t="s">
        <v>4765</v>
      </c>
      <c r="K417" s="37" t="s">
        <v>73</v>
      </c>
      <c r="L417" s="38" t="s">
        <v>3350</v>
      </c>
      <c r="M417" s="34" t="s">
        <v>41</v>
      </c>
      <c r="N417" s="39" t="s">
        <v>42</v>
      </c>
      <c r="O417" s="99" t="s">
        <v>3351</v>
      </c>
      <c r="P417" s="41"/>
      <c r="Q417" s="41"/>
      <c r="R417" s="41"/>
      <c r="S417" s="41"/>
      <c r="T417" s="41"/>
      <c r="U417" s="41"/>
      <c r="V417" s="41"/>
      <c r="W417" s="41" t="s">
        <v>44</v>
      </c>
      <c r="X417" s="41" t="s">
        <v>732</v>
      </c>
      <c r="Y417" s="41"/>
      <c r="Z417" s="41"/>
      <c r="AA417" s="42" t="s">
        <v>3352</v>
      </c>
      <c r="AB417" s="55" t="s">
        <v>3353</v>
      </c>
      <c r="AC417" s="44"/>
      <c r="AD417" s="45">
        <v>45642</v>
      </c>
      <c r="AE417" s="101"/>
      <c r="AF417" s="36"/>
      <c r="AG417" s="47" t="s">
        <v>49</v>
      </c>
      <c r="AH417" s="48" t="s">
        <v>41</v>
      </c>
      <c r="AI417" s="48" t="s">
        <v>41</v>
      </c>
      <c r="AJ417" s="48" t="s">
        <v>41</v>
      </c>
      <c r="AK417" s="48" t="s">
        <v>49</v>
      </c>
      <c r="AL417" s="48" t="s">
        <v>49</v>
      </c>
      <c r="AM417" s="49" t="s">
        <v>41</v>
      </c>
      <c r="AN417" s="48" t="s">
        <v>41</v>
      </c>
      <c r="AO417" s="62" t="s">
        <v>276</v>
      </c>
      <c r="AP417" s="62"/>
      <c r="AQ417" s="59"/>
    </row>
    <row r="418" spans="1:43" x14ac:dyDescent="0.2">
      <c r="A418">
        <v>417</v>
      </c>
      <c r="B418" s="33" t="e">
        <f>+B417+1</f>
        <v>#REF!</v>
      </c>
      <c r="C418" s="34" t="s">
        <v>3354</v>
      </c>
      <c r="D418" s="35" t="s">
        <v>3355</v>
      </c>
      <c r="E418" s="36" t="s">
        <v>4838</v>
      </c>
      <c r="F418" s="334">
        <v>23341</v>
      </c>
      <c r="G418" s="36" t="s">
        <v>54</v>
      </c>
      <c r="H418" s="34" t="s">
        <v>3357</v>
      </c>
      <c r="I418" s="37" t="s">
        <v>73</v>
      </c>
      <c r="J418" s="425" t="s">
        <v>4765</v>
      </c>
      <c r="K418" s="37" t="s">
        <v>73</v>
      </c>
      <c r="L418" s="34" t="s">
        <v>3358</v>
      </c>
      <c r="M418" s="34" t="s">
        <v>41</v>
      </c>
      <c r="N418" s="39" t="s">
        <v>42</v>
      </c>
      <c r="O418" s="120">
        <v>40399</v>
      </c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2" t="s">
        <v>3359</v>
      </c>
      <c r="AB418" s="69" t="s">
        <v>3360</v>
      </c>
      <c r="AC418" s="44" t="s">
        <v>3361</v>
      </c>
      <c r="AD418" s="45">
        <v>42936</v>
      </c>
      <c r="AE418" s="101" t="s">
        <v>30</v>
      </c>
      <c r="AF418" s="36" t="s">
        <v>26</v>
      </c>
      <c r="AG418" s="64" t="s">
        <v>120</v>
      </c>
      <c r="AH418" s="48" t="s">
        <v>120</v>
      </c>
      <c r="AI418" s="48" t="s">
        <v>120</v>
      </c>
      <c r="AJ418" s="48" t="s">
        <v>120</v>
      </c>
      <c r="AK418" s="48" t="s">
        <v>41</v>
      </c>
      <c r="AL418" s="48" t="s">
        <v>41</v>
      </c>
      <c r="AM418" s="49" t="s">
        <v>41</v>
      </c>
      <c r="AN418" s="48" t="s">
        <v>41</v>
      </c>
      <c r="AO418" s="62" t="s">
        <v>139</v>
      </c>
      <c r="AP418" s="62"/>
      <c r="AQ418" s="59"/>
    </row>
    <row r="419" spans="1:43" x14ac:dyDescent="0.2">
      <c r="A419">
        <v>418</v>
      </c>
      <c r="B419" s="33" t="e">
        <f>+B418+1</f>
        <v>#REF!</v>
      </c>
      <c r="C419" s="34" t="s">
        <v>3362</v>
      </c>
      <c r="D419" s="35" t="s">
        <v>3363</v>
      </c>
      <c r="E419" s="36" t="s">
        <v>3364</v>
      </c>
      <c r="F419" s="334">
        <v>22352</v>
      </c>
      <c r="G419" s="36" t="s">
        <v>36</v>
      </c>
      <c r="H419" s="34" t="s">
        <v>3365</v>
      </c>
      <c r="I419" s="37" t="s">
        <v>73</v>
      </c>
      <c r="J419" s="425" t="s">
        <v>4765</v>
      </c>
      <c r="K419" s="37" t="s">
        <v>73</v>
      </c>
      <c r="L419" s="38" t="s">
        <v>3366</v>
      </c>
      <c r="M419" s="34" t="s">
        <v>41</v>
      </c>
      <c r="N419" s="39" t="s">
        <v>42</v>
      </c>
      <c r="O419" s="120">
        <v>43750</v>
      </c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7" t="s">
        <v>3367</v>
      </c>
      <c r="AB419" s="58" t="s">
        <v>3368</v>
      </c>
      <c r="AC419" s="44" t="s">
        <v>3369</v>
      </c>
      <c r="AD419" s="45">
        <v>44041</v>
      </c>
      <c r="AE419" s="101" t="s">
        <v>30</v>
      </c>
      <c r="AF419" s="36" t="s">
        <v>26</v>
      </c>
      <c r="AG419" s="47" t="s">
        <v>49</v>
      </c>
      <c r="AH419" s="48" t="s">
        <v>49</v>
      </c>
      <c r="AI419" s="48" t="s">
        <v>49</v>
      </c>
      <c r="AJ419" s="48" t="s">
        <v>49</v>
      </c>
      <c r="AK419" s="48" t="s">
        <v>49</v>
      </c>
      <c r="AL419" s="48" t="s">
        <v>49</v>
      </c>
      <c r="AM419" s="49" t="s">
        <v>49</v>
      </c>
      <c r="AN419" s="48" t="s">
        <v>49</v>
      </c>
      <c r="AO419" s="62" t="s">
        <v>32</v>
      </c>
      <c r="AP419" s="62"/>
      <c r="AQ419" s="59"/>
    </row>
    <row r="420" spans="1:43" x14ac:dyDescent="0.2">
      <c r="A420">
        <v>419</v>
      </c>
      <c r="B420" s="33" t="e">
        <f>+B419+1</f>
        <v>#REF!</v>
      </c>
      <c r="C420" s="34" t="s">
        <v>3370</v>
      </c>
      <c r="D420" s="35" t="s">
        <v>3371</v>
      </c>
      <c r="E420" s="36" t="s">
        <v>4828</v>
      </c>
      <c r="F420" s="334">
        <v>22600</v>
      </c>
      <c r="G420" s="36" t="s">
        <v>54</v>
      </c>
      <c r="H420" s="34" t="s">
        <v>3373</v>
      </c>
      <c r="I420" s="37" t="s">
        <v>73</v>
      </c>
      <c r="J420" s="425" t="s">
        <v>4765</v>
      </c>
      <c r="K420" s="37" t="s">
        <v>73</v>
      </c>
      <c r="L420" s="34" t="s">
        <v>3374</v>
      </c>
      <c r="M420" s="34" t="s">
        <v>3375</v>
      </c>
      <c r="N420" s="39" t="s">
        <v>42</v>
      </c>
      <c r="O420" s="99" t="s">
        <v>3376</v>
      </c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2" t="s">
        <v>3377</v>
      </c>
      <c r="AB420" s="100" t="s">
        <v>3378</v>
      </c>
      <c r="AC420" s="44" t="s">
        <v>61</v>
      </c>
      <c r="AD420" s="45">
        <v>36641</v>
      </c>
      <c r="AE420" s="101" t="s">
        <v>30</v>
      </c>
      <c r="AF420" s="36" t="s">
        <v>26</v>
      </c>
      <c r="AG420" s="47" t="s">
        <v>49</v>
      </c>
      <c r="AH420" s="48" t="s">
        <v>49</v>
      </c>
      <c r="AI420" s="48" t="s">
        <v>49</v>
      </c>
      <c r="AJ420" s="48" t="s">
        <v>49</v>
      </c>
      <c r="AK420" s="48" t="s">
        <v>49</v>
      </c>
      <c r="AL420" s="48" t="s">
        <v>49</v>
      </c>
      <c r="AM420" s="49" t="s">
        <v>49</v>
      </c>
      <c r="AN420" s="48" t="s">
        <v>49</v>
      </c>
      <c r="AO420" s="65" t="s">
        <v>32</v>
      </c>
      <c r="AP420" s="65"/>
      <c r="AQ420" s="59"/>
    </row>
    <row r="421" spans="1:43" x14ac:dyDescent="0.2">
      <c r="A421">
        <v>420</v>
      </c>
      <c r="B421" s="33" t="e">
        <f>+B420+1</f>
        <v>#REF!</v>
      </c>
      <c r="C421" s="34" t="s">
        <v>3379</v>
      </c>
      <c r="D421" s="35" t="s">
        <v>3380</v>
      </c>
      <c r="E421" s="36" t="s">
        <v>3381</v>
      </c>
      <c r="F421" s="334">
        <v>26351</v>
      </c>
      <c r="G421" s="36" t="s">
        <v>54</v>
      </c>
      <c r="H421" s="34" t="s">
        <v>3382</v>
      </c>
      <c r="I421" s="37" t="s">
        <v>456</v>
      </c>
      <c r="J421" s="425" t="s">
        <v>4770</v>
      </c>
      <c r="K421" s="37" t="s">
        <v>187</v>
      </c>
      <c r="L421" s="38" t="s">
        <v>3383</v>
      </c>
      <c r="M421" s="34" t="s">
        <v>41</v>
      </c>
      <c r="N421" s="39" t="s">
        <v>42</v>
      </c>
      <c r="O421" s="99" t="s">
        <v>3384</v>
      </c>
      <c r="P421" s="56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42" t="s">
        <v>3385</v>
      </c>
      <c r="AB421" s="58" t="s">
        <v>3386</v>
      </c>
      <c r="AC421" s="44" t="s">
        <v>61</v>
      </c>
      <c r="AD421" s="45">
        <v>38593</v>
      </c>
      <c r="AE421" s="101" t="s">
        <v>30</v>
      </c>
      <c r="AF421" s="36" t="s">
        <v>26</v>
      </c>
      <c r="AG421" s="47" t="s">
        <v>49</v>
      </c>
      <c r="AH421" s="48" t="s">
        <v>49</v>
      </c>
      <c r="AI421" s="48" t="s">
        <v>49</v>
      </c>
      <c r="AJ421" s="48" t="s">
        <v>49</v>
      </c>
      <c r="AK421" s="48" t="s">
        <v>49</v>
      </c>
      <c r="AL421" s="48" t="s">
        <v>49</v>
      </c>
      <c r="AM421" s="49" t="s">
        <v>49</v>
      </c>
      <c r="AN421" s="48" t="s">
        <v>41</v>
      </c>
      <c r="AO421" s="65" t="s">
        <v>148</v>
      </c>
      <c r="AP421" s="65"/>
      <c r="AQ421" s="59"/>
    </row>
    <row r="422" spans="1:43" x14ac:dyDescent="0.2">
      <c r="A422">
        <v>421</v>
      </c>
      <c r="B422" s="33" t="e">
        <f>+B421+1</f>
        <v>#REF!</v>
      </c>
      <c r="C422" s="34" t="s">
        <v>3387</v>
      </c>
      <c r="D422" s="35" t="s">
        <v>3388</v>
      </c>
      <c r="E422" s="36" t="s">
        <v>3389</v>
      </c>
      <c r="F422" s="334">
        <v>34720</v>
      </c>
      <c r="G422" s="36" t="s">
        <v>54</v>
      </c>
      <c r="H422" s="34" t="s">
        <v>3390</v>
      </c>
      <c r="I422" s="37" t="s">
        <v>176</v>
      </c>
      <c r="J422" s="425" t="s">
        <v>4767</v>
      </c>
      <c r="K422" s="37" t="s">
        <v>39</v>
      </c>
      <c r="L422" s="38" t="s">
        <v>3391</v>
      </c>
      <c r="M422" s="34"/>
      <c r="N422" s="39" t="s">
        <v>42</v>
      </c>
      <c r="O422" s="99" t="s">
        <v>3392</v>
      </c>
      <c r="P422" s="56"/>
      <c r="Q422" s="56"/>
      <c r="R422" s="56"/>
      <c r="S422" s="56"/>
      <c r="T422" s="56"/>
      <c r="U422" s="56"/>
      <c r="V422" s="56"/>
      <c r="W422" s="56" t="s">
        <v>44</v>
      </c>
      <c r="X422" s="56"/>
      <c r="Y422" s="56"/>
      <c r="Z422" s="56"/>
      <c r="AA422" s="42" t="s">
        <v>3393</v>
      </c>
      <c r="AB422" s="58" t="s">
        <v>3394</v>
      </c>
      <c r="AC422" s="44"/>
      <c r="AD422" s="45">
        <v>45642</v>
      </c>
      <c r="AE422" s="101"/>
      <c r="AF422" s="36"/>
      <c r="AG422" s="47" t="s">
        <v>49</v>
      </c>
      <c r="AH422" s="48" t="s">
        <v>41</v>
      </c>
      <c r="AI422" s="48" t="s">
        <v>41</v>
      </c>
      <c r="AJ422" s="48" t="s">
        <v>41</v>
      </c>
      <c r="AK422" s="48" t="s">
        <v>49</v>
      </c>
      <c r="AL422" s="48" t="s">
        <v>49</v>
      </c>
      <c r="AM422" s="49" t="s">
        <v>49</v>
      </c>
      <c r="AN422" s="48" t="s">
        <v>49</v>
      </c>
      <c r="AO422" s="62" t="s">
        <v>32</v>
      </c>
      <c r="AP422" s="62"/>
      <c r="AQ422" s="59"/>
    </row>
    <row r="423" spans="1:43" x14ac:dyDescent="0.2">
      <c r="A423">
        <v>422</v>
      </c>
      <c r="B423" s="33" t="e">
        <f>+B422+1</f>
        <v>#REF!</v>
      </c>
      <c r="C423" s="34" t="s">
        <v>3395</v>
      </c>
      <c r="D423" s="35" t="s">
        <v>3396</v>
      </c>
      <c r="E423" s="36" t="s">
        <v>3397</v>
      </c>
      <c r="F423" s="334">
        <v>29508</v>
      </c>
      <c r="G423" s="36" t="s">
        <v>54</v>
      </c>
      <c r="H423" s="34" t="s">
        <v>3398</v>
      </c>
      <c r="I423" s="37" t="s">
        <v>73</v>
      </c>
      <c r="J423" s="425" t="s">
        <v>4765</v>
      </c>
      <c r="K423" s="37" t="s">
        <v>73</v>
      </c>
      <c r="L423" s="38" t="s">
        <v>3399</v>
      </c>
      <c r="M423" s="34" t="s">
        <v>41</v>
      </c>
      <c r="N423" s="39" t="s">
        <v>42</v>
      </c>
      <c r="O423" s="120">
        <v>45355</v>
      </c>
      <c r="P423" s="41"/>
      <c r="Q423" s="41"/>
      <c r="R423" s="41"/>
      <c r="S423" s="41"/>
      <c r="T423" s="41"/>
      <c r="U423" s="41"/>
      <c r="V423" s="41"/>
      <c r="W423" s="41"/>
      <c r="X423" s="41" t="s">
        <v>44</v>
      </c>
      <c r="Y423" s="41"/>
      <c r="Z423" s="41"/>
      <c r="AA423" s="54" t="s">
        <v>3400</v>
      </c>
      <c r="AB423" s="58" t="s">
        <v>3401</v>
      </c>
      <c r="AC423" s="44"/>
      <c r="AD423" s="45"/>
      <c r="AE423" s="101"/>
      <c r="AF423" s="36"/>
      <c r="AG423" s="61" t="s">
        <v>49</v>
      </c>
      <c r="AH423" s="48" t="s">
        <v>41</v>
      </c>
      <c r="AI423" s="48" t="s">
        <v>41</v>
      </c>
      <c r="AJ423" s="48" t="s">
        <v>41</v>
      </c>
      <c r="AK423" s="48" t="s">
        <v>41</v>
      </c>
      <c r="AL423" s="48" t="s">
        <v>49</v>
      </c>
      <c r="AM423" s="49" t="s">
        <v>41</v>
      </c>
      <c r="AN423" s="48" t="s">
        <v>41</v>
      </c>
      <c r="AO423" s="62" t="s">
        <v>276</v>
      </c>
      <c r="AP423" s="62"/>
      <c r="AQ423" s="59"/>
    </row>
    <row r="424" spans="1:43" x14ac:dyDescent="0.2">
      <c r="A424">
        <v>423</v>
      </c>
      <c r="B424" s="33" t="e">
        <f>+B423+1</f>
        <v>#REF!</v>
      </c>
      <c r="C424" s="34" t="s">
        <v>3402</v>
      </c>
      <c r="D424" s="35" t="s">
        <v>3403</v>
      </c>
      <c r="E424" s="36" t="s">
        <v>3404</v>
      </c>
      <c r="F424" s="36"/>
      <c r="G424" s="36" t="s">
        <v>54</v>
      </c>
      <c r="H424" s="34" t="s">
        <v>3405</v>
      </c>
      <c r="I424" s="37" t="s">
        <v>38</v>
      </c>
      <c r="J424" s="425" t="s">
        <v>4762</v>
      </c>
      <c r="K424" s="37" t="s">
        <v>39</v>
      </c>
      <c r="L424" s="38" t="s">
        <v>3325</v>
      </c>
      <c r="M424" s="34" t="s">
        <v>41</v>
      </c>
      <c r="N424" s="39" t="s">
        <v>42</v>
      </c>
      <c r="O424" s="99" t="s">
        <v>1824</v>
      </c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42" t="s">
        <v>3406</v>
      </c>
      <c r="AB424" s="58" t="s">
        <v>3407</v>
      </c>
      <c r="AC424" s="119" t="s">
        <v>61</v>
      </c>
      <c r="AD424" s="45">
        <v>39288</v>
      </c>
      <c r="AE424" s="101" t="s">
        <v>30</v>
      </c>
      <c r="AF424" s="36" t="s">
        <v>26</v>
      </c>
      <c r="AG424" s="47" t="s">
        <v>49</v>
      </c>
      <c r="AH424" s="48" t="s">
        <v>49</v>
      </c>
      <c r="AI424" s="48" t="s">
        <v>41</v>
      </c>
      <c r="AJ424" s="48" t="s">
        <v>41</v>
      </c>
      <c r="AK424" s="48" t="s">
        <v>41</v>
      </c>
      <c r="AL424" s="48" t="s">
        <v>41</v>
      </c>
      <c r="AM424" s="49" t="s">
        <v>41</v>
      </c>
      <c r="AN424" s="48" t="s">
        <v>41</v>
      </c>
      <c r="AO424" s="62" t="s">
        <v>4587</v>
      </c>
      <c r="AP424" s="62"/>
      <c r="AQ424" s="59"/>
    </row>
    <row r="425" spans="1:43" x14ac:dyDescent="0.2">
      <c r="A425">
        <v>424</v>
      </c>
      <c r="B425" s="33" t="e">
        <f>+B424+1</f>
        <v>#REF!</v>
      </c>
      <c r="C425" s="34" t="s">
        <v>3408</v>
      </c>
      <c r="D425" s="35" t="s">
        <v>3409</v>
      </c>
      <c r="E425" s="36" t="s">
        <v>3410</v>
      </c>
      <c r="F425" s="334">
        <v>29566</v>
      </c>
      <c r="G425" s="36" t="s">
        <v>54</v>
      </c>
      <c r="H425" s="34" t="s">
        <v>3411</v>
      </c>
      <c r="I425" s="37" t="s">
        <v>73</v>
      </c>
      <c r="J425" s="425" t="s">
        <v>4765</v>
      </c>
      <c r="K425" s="37" t="s">
        <v>73</v>
      </c>
      <c r="L425" s="34" t="s">
        <v>3412</v>
      </c>
      <c r="M425" s="34" t="s">
        <v>3413</v>
      </c>
      <c r="N425" s="39" t="s">
        <v>42</v>
      </c>
      <c r="O425" s="120">
        <v>34761</v>
      </c>
      <c r="P425" s="112"/>
      <c r="Q425" s="112"/>
      <c r="R425" s="112"/>
      <c r="S425" s="112"/>
      <c r="T425" s="112"/>
      <c r="U425" s="112"/>
      <c r="V425" s="112"/>
      <c r="W425" s="41"/>
      <c r="X425" s="41" t="s">
        <v>732</v>
      </c>
      <c r="Y425" s="41"/>
      <c r="Z425" s="41"/>
      <c r="AA425" s="42" t="s">
        <v>3414</v>
      </c>
      <c r="AB425" s="58" t="s">
        <v>3415</v>
      </c>
      <c r="AC425" s="44" t="s">
        <v>61</v>
      </c>
      <c r="AD425" s="45">
        <v>40815</v>
      </c>
      <c r="AE425" s="101" t="s">
        <v>30</v>
      </c>
      <c r="AF425" s="36" t="s">
        <v>26</v>
      </c>
      <c r="AG425" s="64" t="s">
        <v>120</v>
      </c>
      <c r="AH425" s="48" t="s">
        <v>120</v>
      </c>
      <c r="AI425" s="48" t="s">
        <v>120</v>
      </c>
      <c r="AJ425" s="48" t="s">
        <v>120</v>
      </c>
      <c r="AK425" s="48" t="s">
        <v>120</v>
      </c>
      <c r="AL425" s="48" t="s">
        <v>120</v>
      </c>
      <c r="AM425" s="49" t="s">
        <v>41</v>
      </c>
      <c r="AN425" s="48" t="s">
        <v>41</v>
      </c>
      <c r="AO425" s="62" t="s">
        <v>276</v>
      </c>
      <c r="AP425" s="62"/>
      <c r="AQ425" s="59"/>
    </row>
    <row r="426" spans="1:43" x14ac:dyDescent="0.2">
      <c r="A426">
        <v>425</v>
      </c>
      <c r="B426" s="33" t="e">
        <f>+B425+1</f>
        <v>#REF!</v>
      </c>
      <c r="C426" s="34" t="s">
        <v>3416</v>
      </c>
      <c r="D426" s="35" t="s">
        <v>3417</v>
      </c>
      <c r="E426" s="36" t="s">
        <v>3418</v>
      </c>
      <c r="F426" s="334">
        <v>35424</v>
      </c>
      <c r="G426" s="36" t="s">
        <v>54</v>
      </c>
      <c r="H426" s="34" t="s">
        <v>3419</v>
      </c>
      <c r="I426" s="37" t="s">
        <v>176</v>
      </c>
      <c r="J426" s="425" t="s">
        <v>4767</v>
      </c>
      <c r="K426" s="37" t="s">
        <v>39</v>
      </c>
      <c r="L426" s="38" t="s">
        <v>3420</v>
      </c>
      <c r="M426" s="34" t="s">
        <v>41</v>
      </c>
      <c r="N426" s="39" t="s">
        <v>42</v>
      </c>
      <c r="O426" s="120">
        <v>45349</v>
      </c>
      <c r="P426" s="115"/>
      <c r="Q426" s="115"/>
      <c r="R426" s="115"/>
      <c r="S426" s="115"/>
      <c r="T426" s="115"/>
      <c r="U426" s="115"/>
      <c r="V426" s="115"/>
      <c r="W426" s="56"/>
      <c r="X426" s="56" t="s">
        <v>44</v>
      </c>
      <c r="Y426" s="56"/>
      <c r="Z426" s="56"/>
      <c r="AA426" s="54" t="s">
        <v>3421</v>
      </c>
      <c r="AB426" s="83" t="s">
        <v>3422</v>
      </c>
      <c r="AC426" s="44"/>
      <c r="AD426" s="45"/>
      <c r="AE426" s="101"/>
      <c r="AF426" s="36"/>
      <c r="AG426" s="47" t="s">
        <v>49</v>
      </c>
      <c r="AH426" s="48" t="s">
        <v>41</v>
      </c>
      <c r="AI426" s="48" t="s">
        <v>41</v>
      </c>
      <c r="AJ426" s="48" t="s">
        <v>41</v>
      </c>
      <c r="AK426" s="48" t="s">
        <v>41</v>
      </c>
      <c r="AL426" s="48" t="s">
        <v>49</v>
      </c>
      <c r="AM426" s="49" t="s">
        <v>41</v>
      </c>
      <c r="AN426" s="48" t="s">
        <v>41</v>
      </c>
      <c r="AO426" s="62" t="s">
        <v>276</v>
      </c>
      <c r="AP426" s="62"/>
      <c r="AQ426" s="59"/>
    </row>
    <row r="427" spans="1:43" x14ac:dyDescent="0.2">
      <c r="A427">
        <v>426</v>
      </c>
      <c r="B427" s="33" t="e">
        <f>+B426+1</f>
        <v>#REF!</v>
      </c>
      <c r="C427" s="34" t="s">
        <v>3423</v>
      </c>
      <c r="D427" s="35" t="s">
        <v>3424</v>
      </c>
      <c r="E427" s="36" t="s">
        <v>3425</v>
      </c>
      <c r="F427" s="334">
        <v>30580</v>
      </c>
      <c r="G427" s="36" t="s">
        <v>54</v>
      </c>
      <c r="H427" s="34" t="s">
        <v>3426</v>
      </c>
      <c r="I427" s="37" t="s">
        <v>176</v>
      </c>
      <c r="J427" s="425" t="s">
        <v>4767</v>
      </c>
      <c r="K427" s="37" t="s">
        <v>39</v>
      </c>
      <c r="L427" s="38" t="s">
        <v>3427</v>
      </c>
      <c r="M427" s="34" t="s">
        <v>41</v>
      </c>
      <c r="N427" s="39" t="s">
        <v>42</v>
      </c>
      <c r="O427" s="99" t="s">
        <v>3428</v>
      </c>
      <c r="P427" s="115"/>
      <c r="Q427" s="115"/>
      <c r="R427" s="115"/>
      <c r="S427" s="115"/>
      <c r="T427" s="115"/>
      <c r="U427" s="115"/>
      <c r="V427" s="115"/>
      <c r="W427" s="56"/>
      <c r="X427" s="56"/>
      <c r="Y427" s="56"/>
      <c r="Z427" s="56"/>
      <c r="AA427" s="42" t="s">
        <v>3429</v>
      </c>
      <c r="AB427" s="58" t="s">
        <v>3430</v>
      </c>
      <c r="AC427" s="121" t="s">
        <v>3431</v>
      </c>
      <c r="AD427" s="131">
        <v>44650</v>
      </c>
      <c r="AE427" s="101" t="s">
        <v>30</v>
      </c>
      <c r="AF427" s="36" t="s">
        <v>26</v>
      </c>
      <c r="AG427" s="47" t="s">
        <v>49</v>
      </c>
      <c r="AH427" s="48" t="s">
        <v>49</v>
      </c>
      <c r="AI427" s="48" t="s">
        <v>49</v>
      </c>
      <c r="AJ427" s="48" t="s">
        <v>49</v>
      </c>
      <c r="AK427" s="48" t="s">
        <v>49</v>
      </c>
      <c r="AL427" s="48" t="s">
        <v>49</v>
      </c>
      <c r="AM427" s="49" t="s">
        <v>41</v>
      </c>
      <c r="AN427" s="48" t="s">
        <v>41</v>
      </c>
      <c r="AO427" s="62" t="s">
        <v>276</v>
      </c>
      <c r="AP427" s="62"/>
      <c r="AQ427" s="59"/>
    </row>
    <row r="428" spans="1:43" x14ac:dyDescent="0.2">
      <c r="A428">
        <v>427</v>
      </c>
      <c r="B428" s="33" t="e">
        <f>+B427+1</f>
        <v>#REF!</v>
      </c>
      <c r="C428" s="34" t="s">
        <v>3432</v>
      </c>
      <c r="D428" s="123" t="s">
        <v>3433</v>
      </c>
      <c r="E428" s="202" t="s">
        <v>3434</v>
      </c>
      <c r="F428" s="342">
        <v>26517</v>
      </c>
      <c r="G428" s="36" t="s">
        <v>54</v>
      </c>
      <c r="H428" s="34" t="s">
        <v>3435</v>
      </c>
      <c r="I428" s="126" t="s">
        <v>205</v>
      </c>
      <c r="J428" s="425" t="s">
        <v>4764</v>
      </c>
      <c r="K428" s="126" t="s">
        <v>205</v>
      </c>
      <c r="L428" s="38" t="s">
        <v>3436</v>
      </c>
      <c r="M428" s="38" t="s">
        <v>3437</v>
      </c>
      <c r="N428" s="128" t="s">
        <v>42</v>
      </c>
      <c r="O428" s="99" t="s">
        <v>3438</v>
      </c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42" t="s">
        <v>3439</v>
      </c>
      <c r="AB428" s="58" t="s">
        <v>3440</v>
      </c>
      <c r="AC428" s="119" t="s">
        <v>3441</v>
      </c>
      <c r="AD428" s="131">
        <v>44041</v>
      </c>
      <c r="AE428" s="164" t="s">
        <v>30</v>
      </c>
      <c r="AF428" s="36" t="s">
        <v>26</v>
      </c>
      <c r="AG428" s="133" t="s">
        <v>49</v>
      </c>
      <c r="AH428" s="48" t="s">
        <v>49</v>
      </c>
      <c r="AI428" s="48" t="s">
        <v>49</v>
      </c>
      <c r="AJ428" s="48" t="s">
        <v>49</v>
      </c>
      <c r="AK428" s="48" t="s">
        <v>49</v>
      </c>
      <c r="AL428" s="48" t="s">
        <v>49</v>
      </c>
      <c r="AM428" s="49" t="s">
        <v>49</v>
      </c>
      <c r="AN428" s="48" t="s">
        <v>49</v>
      </c>
      <c r="AO428" s="62" t="s">
        <v>32</v>
      </c>
      <c r="AP428" s="232"/>
      <c r="AQ428" s="134"/>
    </row>
    <row r="429" spans="1:43" x14ac:dyDescent="0.2">
      <c r="A429">
        <v>428</v>
      </c>
      <c r="B429" s="33" t="e">
        <f>+B428+1</f>
        <v>#REF!</v>
      </c>
      <c r="C429" s="34" t="s">
        <v>3442</v>
      </c>
      <c r="D429" s="123" t="s">
        <v>3443</v>
      </c>
      <c r="E429" s="202" t="s">
        <v>3444</v>
      </c>
      <c r="F429" s="342">
        <v>27643</v>
      </c>
      <c r="G429" s="36" t="s">
        <v>36</v>
      </c>
      <c r="H429" s="34" t="s">
        <v>3445</v>
      </c>
      <c r="I429" s="126" t="s">
        <v>243</v>
      </c>
      <c r="J429" s="425" t="s">
        <v>4744</v>
      </c>
      <c r="K429" s="126" t="s">
        <v>205</v>
      </c>
      <c r="L429" s="38" t="s">
        <v>3446</v>
      </c>
      <c r="M429" s="38" t="s">
        <v>41</v>
      </c>
      <c r="N429" s="128" t="s">
        <v>42</v>
      </c>
      <c r="O429" s="163" t="s">
        <v>3447</v>
      </c>
      <c r="P429" s="130"/>
      <c r="Q429" s="130"/>
      <c r="R429" s="130"/>
      <c r="S429" s="130"/>
      <c r="T429" s="130"/>
      <c r="U429" s="130"/>
      <c r="V429" s="130" t="s">
        <v>44</v>
      </c>
      <c r="W429" s="130"/>
      <c r="X429" s="130"/>
      <c r="Y429" s="130"/>
      <c r="Z429" s="130"/>
      <c r="AA429" s="42" t="s">
        <v>3448</v>
      </c>
      <c r="AB429" s="58" t="s">
        <v>3449</v>
      </c>
      <c r="AC429" s="58"/>
      <c r="AD429" s="223" t="s">
        <v>47</v>
      </c>
      <c r="AE429" s="101"/>
      <c r="AF429" s="36"/>
      <c r="AG429" s="133" t="s">
        <v>49</v>
      </c>
      <c r="AH429" s="48" t="s">
        <v>41</v>
      </c>
      <c r="AI429" s="48" t="s">
        <v>41</v>
      </c>
      <c r="AJ429" s="48" t="s">
        <v>49</v>
      </c>
      <c r="AK429" s="48" t="s">
        <v>49</v>
      </c>
      <c r="AL429" s="48" t="s">
        <v>49</v>
      </c>
      <c r="AM429" s="49" t="s">
        <v>49</v>
      </c>
      <c r="AN429" s="48" t="s">
        <v>41</v>
      </c>
      <c r="AO429" s="232" t="s">
        <v>148</v>
      </c>
      <c r="AP429" s="232"/>
      <c r="AQ429" s="134"/>
    </row>
    <row r="430" spans="1:43" x14ac:dyDescent="0.2">
      <c r="A430">
        <v>429</v>
      </c>
      <c r="B430" s="33" t="e">
        <f>+B429+1</f>
        <v>#REF!</v>
      </c>
      <c r="C430" s="122" t="s">
        <v>3450</v>
      </c>
      <c r="D430" s="123" t="s">
        <v>3451</v>
      </c>
      <c r="E430" s="202" t="s">
        <v>3452</v>
      </c>
      <c r="F430" s="342">
        <v>27669</v>
      </c>
      <c r="G430" s="36" t="s">
        <v>54</v>
      </c>
      <c r="H430" s="122" t="s">
        <v>3453</v>
      </c>
      <c r="I430" s="126" t="s">
        <v>323</v>
      </c>
      <c r="J430" s="425" t="s">
        <v>4758</v>
      </c>
      <c r="K430" s="126" t="s">
        <v>39</v>
      </c>
      <c r="L430" s="122" t="s">
        <v>3454</v>
      </c>
      <c r="M430" s="122" t="s">
        <v>3455</v>
      </c>
      <c r="N430" s="128" t="s">
        <v>42</v>
      </c>
      <c r="O430" s="165">
        <v>37201</v>
      </c>
      <c r="P430" s="188"/>
      <c r="Q430" s="188"/>
      <c r="R430" s="188"/>
      <c r="S430" s="188"/>
      <c r="T430" s="188"/>
      <c r="U430" s="188"/>
      <c r="V430" s="188"/>
      <c r="W430" s="188"/>
      <c r="X430" s="188"/>
      <c r="Y430" s="188"/>
      <c r="Z430" s="188"/>
      <c r="AA430" s="42" t="s">
        <v>3456</v>
      </c>
      <c r="AB430" s="100" t="s">
        <v>3457</v>
      </c>
      <c r="AC430" s="44" t="s">
        <v>61</v>
      </c>
      <c r="AD430" s="45">
        <v>39286</v>
      </c>
      <c r="AE430" s="101" t="s">
        <v>30</v>
      </c>
      <c r="AF430" s="36" t="s">
        <v>26</v>
      </c>
      <c r="AG430" s="133" t="s">
        <v>49</v>
      </c>
      <c r="AH430" s="48" t="s">
        <v>49</v>
      </c>
      <c r="AI430" s="48" t="s">
        <v>49</v>
      </c>
      <c r="AJ430" s="48" t="s">
        <v>49</v>
      </c>
      <c r="AK430" s="48" t="s">
        <v>49</v>
      </c>
      <c r="AL430" s="48" t="s">
        <v>49</v>
      </c>
      <c r="AM430" s="49" t="s">
        <v>49</v>
      </c>
      <c r="AN430" s="48" t="s">
        <v>49</v>
      </c>
      <c r="AO430" s="62" t="s">
        <v>32</v>
      </c>
      <c r="AP430" s="232"/>
      <c r="AQ430" s="134"/>
    </row>
    <row r="431" spans="1:43" x14ac:dyDescent="0.2">
      <c r="A431">
        <v>430</v>
      </c>
      <c r="B431" s="33" t="e">
        <f>+B430+1</f>
        <v>#REF!</v>
      </c>
      <c r="C431" s="34" t="s">
        <v>3458</v>
      </c>
      <c r="D431" s="35" t="s">
        <v>3459</v>
      </c>
      <c r="E431" s="36" t="s">
        <v>3460</v>
      </c>
      <c r="F431" s="36"/>
      <c r="G431" s="36" t="s">
        <v>54</v>
      </c>
      <c r="H431" s="34" t="s">
        <v>3461</v>
      </c>
      <c r="I431" s="37" t="s">
        <v>349</v>
      </c>
      <c r="J431" s="425" t="s">
        <v>4750</v>
      </c>
      <c r="K431" s="37" t="s">
        <v>350</v>
      </c>
      <c r="L431" s="38" t="s">
        <v>3462</v>
      </c>
      <c r="M431" s="34" t="s">
        <v>41</v>
      </c>
      <c r="N431" s="39" t="s">
        <v>42</v>
      </c>
      <c r="O431" s="99" t="s">
        <v>3463</v>
      </c>
      <c r="P431" s="56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42" t="s">
        <v>3464</v>
      </c>
      <c r="AB431" s="58" t="s">
        <v>3465</v>
      </c>
      <c r="AC431" s="44" t="s">
        <v>3466</v>
      </c>
      <c r="AD431" s="45">
        <v>42935</v>
      </c>
      <c r="AE431" s="101" t="s">
        <v>30</v>
      </c>
      <c r="AF431" s="36" t="s">
        <v>26</v>
      </c>
      <c r="AG431" s="47" t="s">
        <v>49</v>
      </c>
      <c r="AH431" s="48" t="s">
        <v>49</v>
      </c>
      <c r="AI431" s="48" t="s">
        <v>41</v>
      </c>
      <c r="AJ431" s="48" t="s">
        <v>41</v>
      </c>
      <c r="AK431" s="48" t="s">
        <v>41</v>
      </c>
      <c r="AL431" s="48" t="s">
        <v>41</v>
      </c>
      <c r="AM431" s="49" t="s">
        <v>41</v>
      </c>
      <c r="AN431" s="48" t="s">
        <v>41</v>
      </c>
      <c r="AO431" s="62" t="s">
        <v>4587</v>
      </c>
      <c r="AP431" s="62"/>
      <c r="AQ431" s="59"/>
    </row>
    <row r="432" spans="1:43" x14ac:dyDescent="0.2">
      <c r="A432">
        <v>431</v>
      </c>
      <c r="B432" s="33" t="e">
        <f>+B431+1</f>
        <v>#REF!</v>
      </c>
      <c r="C432" s="34" t="s">
        <v>3467</v>
      </c>
      <c r="D432" s="35" t="s">
        <v>3468</v>
      </c>
      <c r="E432" s="36" t="s">
        <v>3469</v>
      </c>
      <c r="F432" s="334">
        <v>33768</v>
      </c>
      <c r="G432" s="36" t="s">
        <v>54</v>
      </c>
      <c r="H432" s="34" t="s">
        <v>3470</v>
      </c>
      <c r="I432" s="37" t="s">
        <v>73</v>
      </c>
      <c r="J432" s="425" t="s">
        <v>4765</v>
      </c>
      <c r="K432" s="37" t="s">
        <v>73</v>
      </c>
      <c r="L432" s="38" t="s">
        <v>3471</v>
      </c>
      <c r="M432" s="34"/>
      <c r="N432" s="39" t="s">
        <v>42</v>
      </c>
      <c r="O432" s="99" t="s">
        <v>3472</v>
      </c>
      <c r="P432" s="56"/>
      <c r="Q432" s="56"/>
      <c r="R432" s="56"/>
      <c r="S432" s="56"/>
      <c r="T432" s="56"/>
      <c r="U432" s="56"/>
      <c r="V432" s="56" t="s">
        <v>44</v>
      </c>
      <c r="W432" s="56"/>
      <c r="X432" s="56"/>
      <c r="Y432" s="56"/>
      <c r="Z432" s="56"/>
      <c r="AA432" s="42" t="s">
        <v>3474</v>
      </c>
      <c r="AB432" s="58" t="s">
        <v>3475</v>
      </c>
      <c r="AC432" s="121" t="s">
        <v>3476</v>
      </c>
      <c r="AD432" s="45">
        <v>44650</v>
      </c>
      <c r="AE432" s="101" t="s">
        <v>30</v>
      </c>
      <c r="AF432" s="36"/>
      <c r="AG432" s="47" t="s">
        <v>49</v>
      </c>
      <c r="AH432" s="48" t="s">
        <v>41</v>
      </c>
      <c r="AI432" s="48" t="s">
        <v>41</v>
      </c>
      <c r="AJ432" s="48" t="s">
        <v>49</v>
      </c>
      <c r="AK432" s="48" t="s">
        <v>49</v>
      </c>
      <c r="AL432" s="48" t="s">
        <v>49</v>
      </c>
      <c r="AM432" s="49" t="s">
        <v>49</v>
      </c>
      <c r="AN432" s="48" t="s">
        <v>49</v>
      </c>
      <c r="AO432" s="65" t="s">
        <v>32</v>
      </c>
      <c r="AP432" s="65"/>
      <c r="AQ432" s="59"/>
    </row>
    <row r="433" spans="1:43" x14ac:dyDescent="0.2">
      <c r="A433">
        <v>432</v>
      </c>
      <c r="B433" s="33" t="e">
        <f>+B432+1</f>
        <v>#REF!</v>
      </c>
      <c r="C433" s="34" t="s">
        <v>3477</v>
      </c>
      <c r="D433" s="35" t="s">
        <v>3478</v>
      </c>
      <c r="E433" s="36" t="s">
        <v>3479</v>
      </c>
      <c r="F433" s="36"/>
      <c r="G433" s="36" t="s">
        <v>36</v>
      </c>
      <c r="H433" s="34" t="s">
        <v>3480</v>
      </c>
      <c r="I433" s="37" t="s">
        <v>38</v>
      </c>
      <c r="J433" s="425" t="s">
        <v>4762</v>
      </c>
      <c r="K433" s="37" t="s">
        <v>39</v>
      </c>
      <c r="L433" s="405" t="s">
        <v>3481</v>
      </c>
      <c r="M433" s="34" t="s">
        <v>41</v>
      </c>
      <c r="N433" s="39" t="s">
        <v>42</v>
      </c>
      <c r="O433" s="120">
        <v>38295</v>
      </c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42" t="s">
        <v>3482</v>
      </c>
      <c r="AB433" s="58" t="s">
        <v>3483</v>
      </c>
      <c r="AC433" s="44" t="s">
        <v>61</v>
      </c>
      <c r="AD433" s="131">
        <v>39286</v>
      </c>
      <c r="AE433" s="101" t="s">
        <v>30</v>
      </c>
      <c r="AF433" s="36"/>
      <c r="AG433" s="47" t="s">
        <v>49</v>
      </c>
      <c r="AH433" s="48" t="s">
        <v>41</v>
      </c>
      <c r="AI433" s="48" t="s">
        <v>41</v>
      </c>
      <c r="AJ433" s="48" t="s">
        <v>41</v>
      </c>
      <c r="AK433" s="48" t="s">
        <v>41</v>
      </c>
      <c r="AL433" s="48" t="s">
        <v>41</v>
      </c>
      <c r="AM433" s="49" t="s">
        <v>41</v>
      </c>
      <c r="AN433" s="48" t="s">
        <v>41</v>
      </c>
      <c r="AO433" s="65" t="s">
        <v>4588</v>
      </c>
      <c r="AP433" s="65"/>
      <c r="AQ433" s="59" t="s">
        <v>451</v>
      </c>
    </row>
    <row r="434" spans="1:43" x14ac:dyDescent="0.2">
      <c r="A434">
        <v>433</v>
      </c>
      <c r="B434" s="33" t="e">
        <f>+B433+1</f>
        <v>#REF!</v>
      </c>
      <c r="C434" s="34" t="s">
        <v>3484</v>
      </c>
      <c r="D434" s="35" t="s">
        <v>3485</v>
      </c>
      <c r="E434" s="73" t="s">
        <v>4845</v>
      </c>
      <c r="F434" s="73"/>
      <c r="G434" s="36" t="s">
        <v>54</v>
      </c>
      <c r="H434" s="98" t="s">
        <v>3487</v>
      </c>
      <c r="I434" s="37" t="s">
        <v>747</v>
      </c>
      <c r="J434" s="425" t="s">
        <v>4755</v>
      </c>
      <c r="K434" s="37" t="s">
        <v>378</v>
      </c>
      <c r="L434" s="34" t="s">
        <v>3488</v>
      </c>
      <c r="M434" s="34" t="s">
        <v>41</v>
      </c>
      <c r="N434" s="39" t="s">
        <v>42</v>
      </c>
      <c r="O434" s="120" t="s">
        <v>3489</v>
      </c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2" t="s">
        <v>3490</v>
      </c>
      <c r="AB434" s="58" t="s">
        <v>3491</v>
      </c>
      <c r="AC434" s="44" t="s">
        <v>61</v>
      </c>
      <c r="AD434" s="45">
        <v>36641</v>
      </c>
      <c r="AE434" s="101" t="s">
        <v>30</v>
      </c>
      <c r="AF434" s="73"/>
      <c r="AG434" s="47" t="s">
        <v>49</v>
      </c>
      <c r="AH434" s="48" t="s">
        <v>41</v>
      </c>
      <c r="AI434" s="48" t="s">
        <v>41</v>
      </c>
      <c r="AJ434" s="48" t="s">
        <v>41</v>
      </c>
      <c r="AK434" s="48" t="s">
        <v>41</v>
      </c>
      <c r="AL434" s="48" t="s">
        <v>41</v>
      </c>
      <c r="AM434" s="49" t="s">
        <v>41</v>
      </c>
      <c r="AN434" s="48" t="s">
        <v>41</v>
      </c>
      <c r="AO434" s="65" t="s">
        <v>4588</v>
      </c>
      <c r="AP434" s="65"/>
      <c r="AQ434" s="59" t="s">
        <v>192</v>
      </c>
    </row>
    <row r="435" spans="1:43" x14ac:dyDescent="0.2">
      <c r="A435">
        <v>434</v>
      </c>
      <c r="B435" s="33" t="e">
        <f>+B434+1</f>
        <v>#REF!</v>
      </c>
      <c r="C435" s="34" t="s">
        <v>3492</v>
      </c>
      <c r="D435" s="35" t="s">
        <v>3493</v>
      </c>
      <c r="E435" s="36" t="s">
        <v>3494</v>
      </c>
      <c r="F435" s="334">
        <v>26923</v>
      </c>
      <c r="G435" s="36" t="s">
        <v>36</v>
      </c>
      <c r="H435" s="34" t="s">
        <v>3495</v>
      </c>
      <c r="I435" s="37" t="s">
        <v>4660</v>
      </c>
      <c r="J435" s="425" t="s">
        <v>4760</v>
      </c>
      <c r="K435" s="37" t="s">
        <v>39</v>
      </c>
      <c r="L435" s="38" t="s">
        <v>3496</v>
      </c>
      <c r="M435" s="34" t="s">
        <v>41</v>
      </c>
      <c r="N435" s="39" t="s">
        <v>42</v>
      </c>
      <c r="O435" s="120" t="s">
        <v>3497</v>
      </c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2" t="s">
        <v>3498</v>
      </c>
      <c r="AB435" s="100" t="s">
        <v>3499</v>
      </c>
      <c r="AC435" s="44" t="s">
        <v>3500</v>
      </c>
      <c r="AD435" s="45">
        <v>44041</v>
      </c>
      <c r="AE435" s="101" t="s">
        <v>30</v>
      </c>
      <c r="AF435" s="36" t="s">
        <v>26</v>
      </c>
      <c r="AG435" s="47" t="s">
        <v>49</v>
      </c>
      <c r="AH435" s="48" t="s">
        <v>49</v>
      </c>
      <c r="AI435" s="48" t="s">
        <v>49</v>
      </c>
      <c r="AJ435" s="48" t="s">
        <v>49</v>
      </c>
      <c r="AK435" s="48" t="s">
        <v>49</v>
      </c>
      <c r="AL435" s="48" t="s">
        <v>49</v>
      </c>
      <c r="AM435" s="49" t="s">
        <v>49</v>
      </c>
      <c r="AN435" s="48" t="s">
        <v>49</v>
      </c>
      <c r="AO435" s="65" t="s">
        <v>32</v>
      </c>
      <c r="AP435" s="65"/>
      <c r="AQ435" s="59"/>
    </row>
    <row r="436" spans="1:43" x14ac:dyDescent="0.2">
      <c r="A436">
        <v>435</v>
      </c>
      <c r="B436" s="33" t="e">
        <f>+B435+1</f>
        <v>#REF!</v>
      </c>
      <c r="C436" s="34" t="s">
        <v>3501</v>
      </c>
      <c r="D436" s="35" t="s">
        <v>3502</v>
      </c>
      <c r="E436" s="73" t="s">
        <v>3503</v>
      </c>
      <c r="F436" s="335">
        <v>27527</v>
      </c>
      <c r="G436" s="36" t="s">
        <v>54</v>
      </c>
      <c r="H436" s="226" t="s">
        <v>3504</v>
      </c>
      <c r="I436" s="37" t="s">
        <v>73</v>
      </c>
      <c r="J436" s="425" t="s">
        <v>4765</v>
      </c>
      <c r="K436" s="37" t="s">
        <v>73</v>
      </c>
      <c r="L436" s="108" t="s">
        <v>3505</v>
      </c>
      <c r="M436" s="34" t="s">
        <v>41</v>
      </c>
      <c r="N436" s="39" t="s">
        <v>42</v>
      </c>
      <c r="O436" s="99" t="s">
        <v>3506</v>
      </c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42" t="s">
        <v>3507</v>
      </c>
      <c r="AB436" s="58" t="s">
        <v>3508</v>
      </c>
      <c r="AC436" s="44" t="s">
        <v>61</v>
      </c>
      <c r="AD436" s="131">
        <v>38593</v>
      </c>
      <c r="AE436" s="101" t="s">
        <v>30</v>
      </c>
      <c r="AF436" s="73" t="s">
        <v>26</v>
      </c>
      <c r="AG436" s="47" t="s">
        <v>49</v>
      </c>
      <c r="AH436" s="48" t="s">
        <v>49</v>
      </c>
      <c r="AI436" s="48" t="s">
        <v>49</v>
      </c>
      <c r="AJ436" s="48" t="s">
        <v>49</v>
      </c>
      <c r="AK436" s="48" t="s">
        <v>49</v>
      </c>
      <c r="AL436" s="48" t="s">
        <v>49</v>
      </c>
      <c r="AM436" s="49" t="s">
        <v>49</v>
      </c>
      <c r="AN436" s="48" t="s">
        <v>49</v>
      </c>
      <c r="AO436" s="62" t="s">
        <v>32</v>
      </c>
      <c r="AP436" s="62"/>
      <c r="AQ436" s="59"/>
    </row>
    <row r="437" spans="1:43" x14ac:dyDescent="0.2">
      <c r="A437">
        <v>436</v>
      </c>
      <c r="B437" s="33" t="e">
        <f>+B436+1</f>
        <v>#REF!</v>
      </c>
      <c r="C437" s="34" t="s">
        <v>3509</v>
      </c>
      <c r="D437" s="35" t="s">
        <v>3510</v>
      </c>
      <c r="E437" s="36" t="s">
        <v>3511</v>
      </c>
      <c r="F437" s="334">
        <v>30760</v>
      </c>
      <c r="G437" s="36" t="s">
        <v>54</v>
      </c>
      <c r="H437" s="34" t="s">
        <v>3512</v>
      </c>
      <c r="I437" s="37" t="s">
        <v>243</v>
      </c>
      <c r="J437" s="425" t="s">
        <v>4744</v>
      </c>
      <c r="K437" s="37" t="s">
        <v>205</v>
      </c>
      <c r="L437" s="34" t="s">
        <v>3513</v>
      </c>
      <c r="M437" s="34" t="s">
        <v>3514</v>
      </c>
      <c r="N437" s="39" t="s">
        <v>42</v>
      </c>
      <c r="O437" s="99" t="s">
        <v>3515</v>
      </c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2" t="s">
        <v>3516</v>
      </c>
      <c r="AB437" s="43" t="s">
        <v>3517</v>
      </c>
      <c r="AC437" s="44" t="s">
        <v>61</v>
      </c>
      <c r="AD437" s="45">
        <v>40280</v>
      </c>
      <c r="AE437" s="101" t="s">
        <v>30</v>
      </c>
      <c r="AF437" s="36" t="s">
        <v>26</v>
      </c>
      <c r="AG437" s="47" t="s">
        <v>49</v>
      </c>
      <c r="AH437" s="48" t="s">
        <v>49</v>
      </c>
      <c r="AI437" s="48" t="s">
        <v>49</v>
      </c>
      <c r="AJ437" s="48" t="s">
        <v>49</v>
      </c>
      <c r="AK437" s="48" t="s">
        <v>49</v>
      </c>
      <c r="AL437" s="48" t="s">
        <v>49</v>
      </c>
      <c r="AM437" s="49" t="s">
        <v>49</v>
      </c>
      <c r="AN437" s="48" t="s">
        <v>49</v>
      </c>
      <c r="AO437" s="65" t="s">
        <v>32</v>
      </c>
      <c r="AP437" s="65"/>
      <c r="AQ437" s="59"/>
    </row>
    <row r="438" spans="1:43" x14ac:dyDescent="0.2">
      <c r="A438">
        <v>437</v>
      </c>
      <c r="B438" s="33" t="e">
        <f>+B437+1</f>
        <v>#REF!</v>
      </c>
      <c r="C438" s="34" t="s">
        <v>3518</v>
      </c>
      <c r="D438" s="35" t="s">
        <v>3519</v>
      </c>
      <c r="E438" s="36" t="s">
        <v>3520</v>
      </c>
      <c r="F438" s="36"/>
      <c r="G438" s="36" t="s">
        <v>54</v>
      </c>
      <c r="H438" s="34" t="s">
        <v>3521</v>
      </c>
      <c r="I438" s="37" t="s">
        <v>39</v>
      </c>
      <c r="J438" s="425" t="s">
        <v>4759</v>
      </c>
      <c r="K438" s="37" t="s">
        <v>39</v>
      </c>
      <c r="L438" s="34" t="s">
        <v>3522</v>
      </c>
      <c r="M438" s="34" t="s">
        <v>3523</v>
      </c>
      <c r="N438" s="39" t="s">
        <v>42</v>
      </c>
      <c r="O438" s="120">
        <v>33918</v>
      </c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2" t="s">
        <v>3524</v>
      </c>
      <c r="AB438" s="58" t="s">
        <v>3525</v>
      </c>
      <c r="AC438" s="44" t="s">
        <v>61</v>
      </c>
      <c r="AD438" s="45">
        <v>39286</v>
      </c>
      <c r="AE438" s="101" t="s">
        <v>30</v>
      </c>
      <c r="AF438" s="36"/>
      <c r="AG438" s="47" t="s">
        <v>49</v>
      </c>
      <c r="AH438" s="48" t="s">
        <v>41</v>
      </c>
      <c r="AI438" s="48" t="s">
        <v>41</v>
      </c>
      <c r="AJ438" s="48" t="s">
        <v>41</v>
      </c>
      <c r="AK438" s="48" t="s">
        <v>41</v>
      </c>
      <c r="AL438" s="48" t="s">
        <v>41</v>
      </c>
      <c r="AM438" s="49" t="s">
        <v>41</v>
      </c>
      <c r="AN438" s="48" t="s">
        <v>41</v>
      </c>
      <c r="AO438" s="65" t="s">
        <v>4591</v>
      </c>
      <c r="AP438" s="65"/>
      <c r="AQ438" s="59" t="s">
        <v>1230</v>
      </c>
    </row>
    <row r="439" spans="1:43" x14ac:dyDescent="0.2">
      <c r="A439">
        <v>438</v>
      </c>
      <c r="B439" s="33" t="e">
        <f>+B438+1</f>
        <v>#REF!</v>
      </c>
      <c r="C439" s="34" t="s">
        <v>3526</v>
      </c>
      <c r="D439" s="35" t="s">
        <v>3527</v>
      </c>
      <c r="E439" s="36" t="s">
        <v>3528</v>
      </c>
      <c r="F439" s="334">
        <v>27427</v>
      </c>
      <c r="G439" s="36" t="s">
        <v>54</v>
      </c>
      <c r="H439" s="87" t="s">
        <v>3529</v>
      </c>
      <c r="I439" s="37" t="s">
        <v>73</v>
      </c>
      <c r="J439" s="425" t="s">
        <v>4765</v>
      </c>
      <c r="K439" s="37" t="s">
        <v>73</v>
      </c>
      <c r="L439" s="34" t="s">
        <v>3530</v>
      </c>
      <c r="M439" s="394" t="s">
        <v>3531</v>
      </c>
      <c r="N439" s="39" t="s">
        <v>42</v>
      </c>
      <c r="O439" s="120" t="s">
        <v>2817</v>
      </c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2" t="s">
        <v>3532</v>
      </c>
      <c r="AB439" s="83" t="s">
        <v>3533</v>
      </c>
      <c r="AC439" s="44" t="s">
        <v>61</v>
      </c>
      <c r="AD439" s="45">
        <v>40280</v>
      </c>
      <c r="AE439" s="101" t="s">
        <v>30</v>
      </c>
      <c r="AF439" s="36" t="s">
        <v>26</v>
      </c>
      <c r="AG439" s="47" t="s">
        <v>49</v>
      </c>
      <c r="AH439" s="48" t="s">
        <v>49</v>
      </c>
      <c r="AI439" s="48" t="s">
        <v>49</v>
      </c>
      <c r="AJ439" s="48" t="s">
        <v>49</v>
      </c>
      <c r="AK439" s="48" t="s">
        <v>49</v>
      </c>
      <c r="AL439" s="48" t="s">
        <v>49</v>
      </c>
      <c r="AM439" s="49" t="s">
        <v>49</v>
      </c>
      <c r="AN439" s="48" t="s">
        <v>41</v>
      </c>
      <c r="AO439" s="62" t="s">
        <v>148</v>
      </c>
      <c r="AP439" s="62"/>
      <c r="AQ439" s="59"/>
    </row>
    <row r="440" spans="1:43" x14ac:dyDescent="0.2">
      <c r="A440">
        <v>439</v>
      </c>
      <c r="B440" s="33" t="e">
        <f>+B439+1</f>
        <v>#REF!</v>
      </c>
      <c r="C440" s="34" t="s">
        <v>3534</v>
      </c>
      <c r="D440" s="35" t="s">
        <v>3535</v>
      </c>
      <c r="E440" s="36" t="s">
        <v>3536</v>
      </c>
      <c r="F440" s="334">
        <v>34682</v>
      </c>
      <c r="G440" s="36" t="s">
        <v>54</v>
      </c>
      <c r="H440" s="34" t="s">
        <v>3537</v>
      </c>
      <c r="I440" s="37" t="s">
        <v>4605</v>
      </c>
      <c r="J440" s="425" t="s">
        <v>4747</v>
      </c>
      <c r="K440" s="37" t="s">
        <v>205</v>
      </c>
      <c r="L440" s="405" t="s">
        <v>3538</v>
      </c>
      <c r="M440" s="34" t="s">
        <v>41</v>
      </c>
      <c r="N440" s="39" t="s">
        <v>42</v>
      </c>
      <c r="O440" s="120">
        <v>44167</v>
      </c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2" t="s">
        <v>3539</v>
      </c>
      <c r="AB440" s="43" t="s">
        <v>3540</v>
      </c>
      <c r="AC440" s="44" t="s">
        <v>2487</v>
      </c>
      <c r="AD440" s="45">
        <v>44041</v>
      </c>
      <c r="AE440" s="101" t="s">
        <v>30</v>
      </c>
      <c r="AF440" s="36" t="s">
        <v>26</v>
      </c>
      <c r="AG440" s="47" t="s">
        <v>49</v>
      </c>
      <c r="AH440" s="48" t="s">
        <v>49</v>
      </c>
      <c r="AI440" s="48" t="s">
        <v>49</v>
      </c>
      <c r="AJ440" s="48" t="s">
        <v>49</v>
      </c>
      <c r="AK440" s="48" t="s">
        <v>49</v>
      </c>
      <c r="AL440" s="48" t="s">
        <v>49</v>
      </c>
      <c r="AM440" s="49" t="s">
        <v>49</v>
      </c>
      <c r="AN440" s="48" t="s">
        <v>49</v>
      </c>
      <c r="AO440" s="62" t="s">
        <v>32</v>
      </c>
      <c r="AP440" s="62"/>
      <c r="AQ440" s="59"/>
    </row>
    <row r="441" spans="1:43" ht="15" customHeight="1" x14ac:dyDescent="0.2">
      <c r="A441">
        <v>440</v>
      </c>
      <c r="B441" s="33" t="e">
        <f>+B440+1</f>
        <v>#REF!</v>
      </c>
      <c r="C441" s="34" t="s">
        <v>3541</v>
      </c>
      <c r="D441" s="35" t="s">
        <v>3542</v>
      </c>
      <c r="E441" s="36" t="s">
        <v>3543</v>
      </c>
      <c r="F441" s="334">
        <v>29886</v>
      </c>
      <c r="G441" s="36" t="s">
        <v>36</v>
      </c>
      <c r="H441" s="34" t="s">
        <v>3544</v>
      </c>
      <c r="I441" s="37" t="s">
        <v>252</v>
      </c>
      <c r="J441" s="425" t="s">
        <v>4742</v>
      </c>
      <c r="K441" s="37" t="s">
        <v>57</v>
      </c>
      <c r="L441" s="394" t="s">
        <v>3545</v>
      </c>
      <c r="M441" s="34" t="s">
        <v>41</v>
      </c>
      <c r="N441" s="39" t="s">
        <v>42</v>
      </c>
      <c r="O441" s="120">
        <v>37381</v>
      </c>
      <c r="P441" s="41"/>
      <c r="Q441" s="41"/>
      <c r="R441" s="41"/>
      <c r="S441" s="41"/>
      <c r="T441" s="41"/>
      <c r="U441" s="41"/>
      <c r="V441" s="41"/>
      <c r="W441" s="41"/>
      <c r="X441" s="41" t="s">
        <v>732</v>
      </c>
      <c r="Y441" s="41"/>
      <c r="Z441" s="41"/>
      <c r="AA441" s="42" t="s">
        <v>3547</v>
      </c>
      <c r="AB441" s="58" t="s">
        <v>3548</v>
      </c>
      <c r="AC441" s="119"/>
      <c r="AD441" s="45" t="s">
        <v>47</v>
      </c>
      <c r="AE441" s="101"/>
      <c r="AF441" s="36" t="s">
        <v>26</v>
      </c>
      <c r="AG441" s="47" t="s">
        <v>49</v>
      </c>
      <c r="AH441" s="48" t="s">
        <v>49</v>
      </c>
      <c r="AI441" s="48" t="s">
        <v>49</v>
      </c>
      <c r="AJ441" s="48" t="s">
        <v>49</v>
      </c>
      <c r="AK441" s="48" t="s">
        <v>49</v>
      </c>
      <c r="AL441" s="48" t="s">
        <v>49</v>
      </c>
      <c r="AM441" s="49" t="s">
        <v>41</v>
      </c>
      <c r="AN441" s="48" t="s">
        <v>41</v>
      </c>
      <c r="AO441" s="62" t="s">
        <v>276</v>
      </c>
      <c r="AP441" s="62"/>
      <c r="AQ441" s="59"/>
    </row>
    <row r="442" spans="1:43" ht="15" customHeight="1" x14ac:dyDescent="0.2">
      <c r="A442">
        <v>441</v>
      </c>
      <c r="B442" s="33" t="e">
        <f>+B441+1</f>
        <v>#REF!</v>
      </c>
      <c r="C442" s="34" t="s">
        <v>3549</v>
      </c>
      <c r="D442" s="35" t="s">
        <v>3550</v>
      </c>
      <c r="E442" s="36" t="s">
        <v>3551</v>
      </c>
      <c r="F442" s="334">
        <v>29061</v>
      </c>
      <c r="G442" s="36" t="s">
        <v>54</v>
      </c>
      <c r="H442" s="34" t="s">
        <v>3552</v>
      </c>
      <c r="I442" s="37" t="s">
        <v>73</v>
      </c>
      <c r="J442" s="425" t="s">
        <v>4765</v>
      </c>
      <c r="K442" s="37" t="s">
        <v>73</v>
      </c>
      <c r="L442" s="34" t="s">
        <v>3553</v>
      </c>
      <c r="M442" s="34" t="s">
        <v>3554</v>
      </c>
      <c r="N442" s="39" t="s">
        <v>42</v>
      </c>
      <c r="O442" s="120">
        <v>35952</v>
      </c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42" t="s">
        <v>3555</v>
      </c>
      <c r="AB442" s="52" t="s">
        <v>3556</v>
      </c>
      <c r="AC442" s="119" t="s">
        <v>3557</v>
      </c>
      <c r="AD442" s="45">
        <v>44041</v>
      </c>
      <c r="AE442" s="101" t="s">
        <v>30</v>
      </c>
      <c r="AF442" s="36" t="s">
        <v>26</v>
      </c>
      <c r="AG442" s="47" t="s">
        <v>49</v>
      </c>
      <c r="AH442" s="48" t="s">
        <v>49</v>
      </c>
      <c r="AI442" s="48" t="s">
        <v>49</v>
      </c>
      <c r="AJ442" s="48" t="s">
        <v>49</v>
      </c>
      <c r="AK442" s="48" t="s">
        <v>49</v>
      </c>
      <c r="AL442" s="48" t="s">
        <v>49</v>
      </c>
      <c r="AM442" s="49" t="s">
        <v>49</v>
      </c>
      <c r="AN442" s="48" t="s">
        <v>49</v>
      </c>
      <c r="AO442" s="62" t="s">
        <v>32</v>
      </c>
      <c r="AP442" s="62"/>
      <c r="AQ442" s="59"/>
    </row>
    <row r="443" spans="1:43" ht="15" customHeight="1" x14ac:dyDescent="0.2">
      <c r="A443">
        <v>442</v>
      </c>
      <c r="B443" s="33" t="e">
        <f>+B442+1</f>
        <v>#REF!</v>
      </c>
      <c r="C443" s="34" t="s">
        <v>3558</v>
      </c>
      <c r="D443" s="35" t="s">
        <v>3559</v>
      </c>
      <c r="E443" s="36" t="s">
        <v>3560</v>
      </c>
      <c r="F443" s="36"/>
      <c r="G443" s="36" t="s">
        <v>54</v>
      </c>
      <c r="H443" s="226" t="s">
        <v>3561</v>
      </c>
      <c r="I443" s="37" t="s">
        <v>186</v>
      </c>
      <c r="J443" s="425" t="s">
        <v>4768</v>
      </c>
      <c r="K443" s="37" t="s">
        <v>187</v>
      </c>
      <c r="L443" s="140" t="s">
        <v>3562</v>
      </c>
      <c r="M443" s="34" t="s">
        <v>41</v>
      </c>
      <c r="N443" s="39" t="s">
        <v>42</v>
      </c>
      <c r="O443" s="99" t="s">
        <v>3563</v>
      </c>
      <c r="P443" s="41"/>
      <c r="Q443" s="41"/>
      <c r="R443" s="41"/>
      <c r="S443" s="41"/>
      <c r="T443" s="41"/>
      <c r="U443" s="41"/>
      <c r="V443" s="41" t="s">
        <v>44</v>
      </c>
      <c r="W443" s="41"/>
      <c r="X443" s="41"/>
      <c r="Y443" s="41"/>
      <c r="Z443" s="41"/>
      <c r="AA443" s="57" t="s">
        <v>3564</v>
      </c>
      <c r="AB443" s="43" t="s">
        <v>3565</v>
      </c>
      <c r="AC443" s="211" t="s">
        <v>3566</v>
      </c>
      <c r="AD443" s="45">
        <v>44944</v>
      </c>
      <c r="AE443" s="101" t="s">
        <v>30</v>
      </c>
      <c r="AF443" s="36"/>
      <c r="AG443" s="47" t="s">
        <v>49</v>
      </c>
      <c r="AH443" s="48" t="s">
        <v>41</v>
      </c>
      <c r="AI443" s="48" t="s">
        <v>41</v>
      </c>
      <c r="AJ443" s="48" t="s">
        <v>49</v>
      </c>
      <c r="AK443" s="48" t="s">
        <v>41</v>
      </c>
      <c r="AL443" s="48" t="s">
        <v>41</v>
      </c>
      <c r="AM443" s="49" t="s">
        <v>41</v>
      </c>
      <c r="AN443" s="48" t="s">
        <v>41</v>
      </c>
      <c r="AO443" s="62" t="s">
        <v>139</v>
      </c>
      <c r="AP443" s="62"/>
      <c r="AQ443" s="59"/>
    </row>
    <row r="444" spans="1:43" ht="15" customHeight="1" x14ac:dyDescent="0.2">
      <c r="A444">
        <v>443</v>
      </c>
      <c r="B444" s="33" t="e">
        <f>+B443+1</f>
        <v>#REF!</v>
      </c>
      <c r="C444" s="34" t="s">
        <v>3567</v>
      </c>
      <c r="D444" s="35" t="s">
        <v>3568</v>
      </c>
      <c r="E444" s="36" t="s">
        <v>3569</v>
      </c>
      <c r="F444" s="36"/>
      <c r="G444" s="36" t="s">
        <v>54</v>
      </c>
      <c r="H444" s="226" t="s">
        <v>3570</v>
      </c>
      <c r="I444" s="37" t="s">
        <v>360</v>
      </c>
      <c r="J444" s="425" t="s">
        <v>4749</v>
      </c>
      <c r="K444" s="37" t="s">
        <v>350</v>
      </c>
      <c r="L444" s="140" t="s">
        <v>3571</v>
      </c>
      <c r="M444" s="34" t="s">
        <v>41</v>
      </c>
      <c r="N444" s="39" t="s">
        <v>42</v>
      </c>
      <c r="O444" s="99" t="s">
        <v>1409</v>
      </c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2" t="s">
        <v>3572</v>
      </c>
      <c r="AB444" s="52" t="s">
        <v>3573</v>
      </c>
      <c r="AC444" s="119" t="s">
        <v>61</v>
      </c>
      <c r="AD444" s="45">
        <v>40280</v>
      </c>
      <c r="AE444" s="101" t="s">
        <v>30</v>
      </c>
      <c r="AF444" s="36" t="s">
        <v>26</v>
      </c>
      <c r="AG444" s="47" t="s">
        <v>49</v>
      </c>
      <c r="AH444" s="48" t="s">
        <v>49</v>
      </c>
      <c r="AI444" s="48" t="s">
        <v>41</v>
      </c>
      <c r="AJ444" s="48" t="s">
        <v>41</v>
      </c>
      <c r="AK444" s="48" t="s">
        <v>41</v>
      </c>
      <c r="AL444" s="48" t="s">
        <v>41</v>
      </c>
      <c r="AM444" s="49" t="s">
        <v>41</v>
      </c>
      <c r="AN444" s="48" t="s">
        <v>41</v>
      </c>
      <c r="AO444" s="62" t="s">
        <v>4587</v>
      </c>
      <c r="AP444" s="62"/>
      <c r="AQ444" s="59"/>
    </row>
    <row r="445" spans="1:43" ht="15" customHeight="1" x14ac:dyDescent="0.2">
      <c r="A445">
        <v>444</v>
      </c>
      <c r="B445" s="33" t="e">
        <f>+B444+1</f>
        <v>#REF!</v>
      </c>
      <c r="C445" s="34" t="s">
        <v>3574</v>
      </c>
      <c r="D445" s="35" t="s">
        <v>3575</v>
      </c>
      <c r="E445" s="36" t="s">
        <v>3576</v>
      </c>
      <c r="F445" s="334">
        <v>33356</v>
      </c>
      <c r="G445" s="36" t="s">
        <v>36</v>
      </c>
      <c r="H445" s="226" t="s">
        <v>3577</v>
      </c>
      <c r="I445" s="37" t="s">
        <v>252</v>
      </c>
      <c r="J445" s="425" t="s">
        <v>4742</v>
      </c>
      <c r="K445" s="37" t="s">
        <v>57</v>
      </c>
      <c r="L445" s="140" t="s">
        <v>3578</v>
      </c>
      <c r="M445" s="34"/>
      <c r="N445" s="39" t="s">
        <v>42</v>
      </c>
      <c r="O445" s="120">
        <v>45699</v>
      </c>
      <c r="P445" s="112"/>
      <c r="Q445" s="112"/>
      <c r="R445" s="112"/>
      <c r="S445" s="112"/>
      <c r="T445" s="112"/>
      <c r="U445" s="112"/>
      <c r="V445" s="112"/>
      <c r="W445" s="41"/>
      <c r="X445" s="41"/>
      <c r="Y445" s="41" t="s">
        <v>44</v>
      </c>
      <c r="Z445" s="41"/>
      <c r="AA445" s="145" t="s">
        <v>3579</v>
      </c>
      <c r="AB445" s="43" t="s">
        <v>3580</v>
      </c>
      <c r="AC445" s="44"/>
      <c r="AD445" s="45"/>
      <c r="AE445" s="101"/>
      <c r="AF445" s="36"/>
      <c r="AG445" s="47" t="s">
        <v>49</v>
      </c>
      <c r="AH445" s="48" t="s">
        <v>41</v>
      </c>
      <c r="AI445" s="48" t="s">
        <v>41</v>
      </c>
      <c r="AJ445" s="48" t="s">
        <v>41</v>
      </c>
      <c r="AK445" s="48" t="s">
        <v>41</v>
      </c>
      <c r="AL445" s="48" t="s">
        <v>41</v>
      </c>
      <c r="AM445" s="49" t="s">
        <v>49</v>
      </c>
      <c r="AN445" s="48" t="s">
        <v>49</v>
      </c>
      <c r="AO445" s="62" t="s">
        <v>32</v>
      </c>
      <c r="AP445" s="62"/>
      <c r="AQ445" s="59"/>
    </row>
    <row r="446" spans="1:43" ht="15" customHeight="1" x14ac:dyDescent="0.2">
      <c r="A446">
        <v>445</v>
      </c>
      <c r="B446" s="33" t="e">
        <f>+B445+1</f>
        <v>#REF!</v>
      </c>
      <c r="C446" s="122" t="s">
        <v>3581</v>
      </c>
      <c r="D446" s="123" t="s">
        <v>3582</v>
      </c>
      <c r="E446" s="202" t="s">
        <v>3583</v>
      </c>
      <c r="F446" s="342">
        <v>36387</v>
      </c>
      <c r="G446" s="36" t="s">
        <v>54</v>
      </c>
      <c r="H446" s="434" t="s">
        <v>3584</v>
      </c>
      <c r="I446" s="126" t="s">
        <v>377</v>
      </c>
      <c r="J446" s="425" t="s">
        <v>4757</v>
      </c>
      <c r="K446" s="126" t="s">
        <v>378</v>
      </c>
      <c r="L446" s="408" t="s">
        <v>3585</v>
      </c>
      <c r="M446" s="122" t="s">
        <v>41</v>
      </c>
      <c r="N446" s="128" t="s">
        <v>42</v>
      </c>
      <c r="O446" s="163" t="s">
        <v>3586</v>
      </c>
      <c r="P446" s="115"/>
      <c r="Q446" s="115"/>
      <c r="R446" s="115"/>
      <c r="S446" s="115"/>
      <c r="T446" s="115"/>
      <c r="U446" s="115"/>
      <c r="V446" s="115"/>
      <c r="W446" s="56"/>
      <c r="X446" s="56"/>
      <c r="Y446" s="56"/>
      <c r="Z446" s="56"/>
      <c r="AA446" s="42" t="s">
        <v>3587</v>
      </c>
      <c r="AB446" s="52" t="s">
        <v>3588</v>
      </c>
      <c r="AC446" s="446" t="s">
        <v>3589</v>
      </c>
      <c r="AD446" s="45">
        <v>44944</v>
      </c>
      <c r="AE446" s="164" t="s">
        <v>30</v>
      </c>
      <c r="AF446" s="36" t="s">
        <v>26</v>
      </c>
      <c r="AG446" s="133" t="s">
        <v>49</v>
      </c>
      <c r="AH446" s="48" t="s">
        <v>49</v>
      </c>
      <c r="AI446" s="48" t="s">
        <v>49</v>
      </c>
      <c r="AJ446" s="48" t="s">
        <v>49</v>
      </c>
      <c r="AK446" s="48" t="s">
        <v>49</v>
      </c>
      <c r="AL446" s="48" t="s">
        <v>49</v>
      </c>
      <c r="AM446" s="49" t="s">
        <v>49</v>
      </c>
      <c r="AN446" s="48" t="s">
        <v>41</v>
      </c>
      <c r="AO446" s="62" t="s">
        <v>148</v>
      </c>
      <c r="AP446" s="232"/>
      <c r="AQ446" s="134"/>
    </row>
    <row r="447" spans="1:43" ht="15" customHeight="1" x14ac:dyDescent="0.2">
      <c r="A447">
        <v>446</v>
      </c>
      <c r="B447" s="33" t="e">
        <f>+B446+1</f>
        <v>#REF!</v>
      </c>
      <c r="C447" s="122" t="s">
        <v>3590</v>
      </c>
      <c r="D447" s="123" t="s">
        <v>3591</v>
      </c>
      <c r="E447" s="202" t="s">
        <v>3592</v>
      </c>
      <c r="F447" s="342">
        <v>30607</v>
      </c>
      <c r="G447" s="36" t="s">
        <v>36</v>
      </c>
      <c r="H447" s="434" t="s">
        <v>3593</v>
      </c>
      <c r="I447" s="126" t="s">
        <v>1354</v>
      </c>
      <c r="J447" s="425" t="s">
        <v>4741</v>
      </c>
      <c r="K447" s="126" t="s">
        <v>57</v>
      </c>
      <c r="L447" s="408" t="s">
        <v>3594</v>
      </c>
      <c r="M447" s="122" t="s">
        <v>41</v>
      </c>
      <c r="N447" s="128" t="s">
        <v>42</v>
      </c>
      <c r="O447" s="165">
        <v>44689</v>
      </c>
      <c r="P447" s="56"/>
      <c r="Q447" s="130"/>
      <c r="R447" s="130"/>
      <c r="S447" s="130"/>
      <c r="T447" s="130"/>
      <c r="U447" s="130"/>
      <c r="V447" s="130" t="s">
        <v>44</v>
      </c>
      <c r="W447" s="130"/>
      <c r="X447" s="130"/>
      <c r="Y447" s="130"/>
      <c r="Z447" s="130"/>
      <c r="AA447" s="42" t="s">
        <v>3595</v>
      </c>
      <c r="AB447" s="43" t="s">
        <v>3596</v>
      </c>
      <c r="AC447" s="207" t="s">
        <v>3597</v>
      </c>
      <c r="AD447" s="45">
        <v>44944</v>
      </c>
      <c r="AE447" s="164" t="s">
        <v>30</v>
      </c>
      <c r="AF447" s="36"/>
      <c r="AG447" s="133" t="s">
        <v>49</v>
      </c>
      <c r="AH447" s="48" t="s">
        <v>41</v>
      </c>
      <c r="AI447" s="48" t="s">
        <v>41</v>
      </c>
      <c r="AJ447" s="48" t="s">
        <v>49</v>
      </c>
      <c r="AK447" s="48" t="s">
        <v>49</v>
      </c>
      <c r="AL447" s="48" t="s">
        <v>49</v>
      </c>
      <c r="AM447" s="49" t="s">
        <v>49</v>
      </c>
      <c r="AN447" s="48" t="s">
        <v>49</v>
      </c>
      <c r="AO447" s="62" t="s">
        <v>32</v>
      </c>
      <c r="AP447" s="232"/>
      <c r="AQ447" s="134"/>
    </row>
    <row r="448" spans="1:43" ht="15" customHeight="1" x14ac:dyDescent="0.2">
      <c r="A448">
        <v>447</v>
      </c>
      <c r="B448" s="33" t="e">
        <f>+B447+1</f>
        <v>#REF!</v>
      </c>
      <c r="C448" s="34" t="s">
        <v>3598</v>
      </c>
      <c r="D448" s="35" t="s">
        <v>3599</v>
      </c>
      <c r="E448" s="36" t="s">
        <v>3600</v>
      </c>
      <c r="F448" s="334">
        <v>24890</v>
      </c>
      <c r="G448" s="36" t="s">
        <v>54</v>
      </c>
      <c r="H448" s="34" t="s">
        <v>3601</v>
      </c>
      <c r="I448" s="37" t="s">
        <v>323</v>
      </c>
      <c r="J448" s="425" t="s">
        <v>4758</v>
      </c>
      <c r="K448" s="37" t="s">
        <v>39</v>
      </c>
      <c r="L448" s="34" t="s">
        <v>3602</v>
      </c>
      <c r="M448" s="122" t="s">
        <v>41</v>
      </c>
      <c r="N448" s="39" t="s">
        <v>42</v>
      </c>
      <c r="O448" s="99" t="s">
        <v>3603</v>
      </c>
      <c r="P448" s="41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42" t="s">
        <v>3604</v>
      </c>
      <c r="AB448" s="52" t="s">
        <v>3605</v>
      </c>
      <c r="AC448" s="44" t="s">
        <v>61</v>
      </c>
      <c r="AD448" s="45">
        <v>40280</v>
      </c>
      <c r="AE448" s="101" t="s">
        <v>30</v>
      </c>
      <c r="AF448" s="36" t="s">
        <v>26</v>
      </c>
      <c r="AG448" s="47" t="s">
        <v>49</v>
      </c>
      <c r="AH448" s="48" t="s">
        <v>49</v>
      </c>
      <c r="AI448" s="48" t="s">
        <v>49</v>
      </c>
      <c r="AJ448" s="48" t="s">
        <v>49</v>
      </c>
      <c r="AK448" s="48" t="s">
        <v>49</v>
      </c>
      <c r="AL448" s="48" t="s">
        <v>49</v>
      </c>
      <c r="AM448" s="49" t="s">
        <v>49</v>
      </c>
      <c r="AN448" s="48" t="s">
        <v>49</v>
      </c>
      <c r="AO448" s="62" t="s">
        <v>32</v>
      </c>
      <c r="AP448" s="62"/>
      <c r="AQ448" s="59"/>
    </row>
    <row r="449" spans="1:43" ht="15" customHeight="1" x14ac:dyDescent="0.2">
      <c r="A449">
        <v>448</v>
      </c>
      <c r="B449" s="33" t="e">
        <f>+B448+1</f>
        <v>#REF!</v>
      </c>
      <c r="C449" s="34" t="s">
        <v>3606</v>
      </c>
      <c r="D449" s="35" t="s">
        <v>3607</v>
      </c>
      <c r="E449" s="36" t="s">
        <v>4817</v>
      </c>
      <c r="F449" s="334">
        <v>21715</v>
      </c>
      <c r="G449" s="36" t="s">
        <v>54</v>
      </c>
      <c r="H449" s="34" t="s">
        <v>3609</v>
      </c>
      <c r="I449" s="37" t="s">
        <v>747</v>
      </c>
      <c r="J449" s="425" t="s">
        <v>4755</v>
      </c>
      <c r="K449" s="37" t="s">
        <v>378</v>
      </c>
      <c r="L449" s="34" t="s">
        <v>3610</v>
      </c>
      <c r="M449" s="34" t="s">
        <v>3611</v>
      </c>
      <c r="N449" s="39" t="s">
        <v>42</v>
      </c>
      <c r="O449" s="99" t="s">
        <v>3612</v>
      </c>
      <c r="P449" s="41"/>
      <c r="Q449" s="177"/>
      <c r="R449" s="112"/>
      <c r="S449" s="177"/>
      <c r="T449" s="112"/>
      <c r="U449" s="112"/>
      <c r="V449" s="177"/>
      <c r="W449" s="112"/>
      <c r="X449" s="112"/>
      <c r="Y449" s="112"/>
      <c r="Z449" s="112"/>
      <c r="AA449" s="57" t="s">
        <v>3613</v>
      </c>
      <c r="AB449" s="52" t="s">
        <v>3614</v>
      </c>
      <c r="AC449" s="44" t="s">
        <v>61</v>
      </c>
      <c r="AD449" s="45">
        <v>38593</v>
      </c>
      <c r="AE449" s="101" t="s">
        <v>30</v>
      </c>
      <c r="AF449" s="36" t="s">
        <v>26</v>
      </c>
      <c r="AG449" s="47" t="s">
        <v>49</v>
      </c>
      <c r="AH449" s="48" t="s">
        <v>49</v>
      </c>
      <c r="AI449" s="48" t="s">
        <v>49</v>
      </c>
      <c r="AJ449" s="48" t="s">
        <v>49</v>
      </c>
      <c r="AK449" s="48" t="s">
        <v>49</v>
      </c>
      <c r="AL449" s="48" t="s">
        <v>49</v>
      </c>
      <c r="AM449" s="49" t="s">
        <v>49</v>
      </c>
      <c r="AN449" s="48" t="s">
        <v>49</v>
      </c>
      <c r="AO449" s="62" t="s">
        <v>32</v>
      </c>
      <c r="AP449" s="62"/>
      <c r="AQ449" s="59"/>
    </row>
    <row r="450" spans="1:43" ht="15" customHeight="1" x14ac:dyDescent="0.2">
      <c r="A450">
        <v>449</v>
      </c>
      <c r="B450" s="33" t="e">
        <f>+B449+1</f>
        <v>#REF!</v>
      </c>
      <c r="C450" s="34" t="s">
        <v>3615</v>
      </c>
      <c r="D450" s="35" t="s">
        <v>3616</v>
      </c>
      <c r="E450" s="36" t="s">
        <v>3617</v>
      </c>
      <c r="F450" s="334">
        <v>27157</v>
      </c>
      <c r="G450" s="36" t="s">
        <v>54</v>
      </c>
      <c r="H450" s="34" t="s">
        <v>3618</v>
      </c>
      <c r="I450" s="37" t="s">
        <v>186</v>
      </c>
      <c r="J450" s="425" t="s">
        <v>4768</v>
      </c>
      <c r="K450" s="37" t="s">
        <v>187</v>
      </c>
      <c r="L450" s="34" t="s">
        <v>3619</v>
      </c>
      <c r="M450" s="34" t="s">
        <v>41</v>
      </c>
      <c r="N450" s="39" t="s">
        <v>42</v>
      </c>
      <c r="O450" s="99" t="s">
        <v>3158</v>
      </c>
      <c r="P450" s="56"/>
      <c r="Q450" s="56"/>
      <c r="R450" s="56"/>
      <c r="S450" s="56"/>
      <c r="T450" s="56"/>
      <c r="U450" s="56"/>
      <c r="V450" s="56"/>
      <c r="W450" s="56" t="s">
        <v>732</v>
      </c>
      <c r="X450" s="56"/>
      <c r="Y450" s="56"/>
      <c r="Z450" s="56"/>
      <c r="AA450" s="42" t="s">
        <v>3620</v>
      </c>
      <c r="AB450" s="58" t="s">
        <v>3621</v>
      </c>
      <c r="AC450" s="44"/>
      <c r="AD450" s="131">
        <v>45642</v>
      </c>
      <c r="AE450" s="101"/>
      <c r="AF450" s="36" t="s">
        <v>26</v>
      </c>
      <c r="AG450" s="47" t="s">
        <v>49</v>
      </c>
      <c r="AH450" s="48" t="s">
        <v>49</v>
      </c>
      <c r="AI450" s="48" t="s">
        <v>49</v>
      </c>
      <c r="AJ450" s="48" t="s">
        <v>49</v>
      </c>
      <c r="AK450" s="48" t="s">
        <v>49</v>
      </c>
      <c r="AL450" s="48" t="s">
        <v>49</v>
      </c>
      <c r="AM450" s="49" t="s">
        <v>49</v>
      </c>
      <c r="AN450" s="48" t="s">
        <v>49</v>
      </c>
      <c r="AO450" s="62" t="s">
        <v>32</v>
      </c>
      <c r="AP450" s="62"/>
      <c r="AQ450" s="59"/>
    </row>
    <row r="451" spans="1:43" ht="15" customHeight="1" x14ac:dyDescent="0.2">
      <c r="A451">
        <v>450</v>
      </c>
      <c r="B451" s="33" t="e">
        <f>+B450+1</f>
        <v>#REF!</v>
      </c>
      <c r="C451" s="34" t="s">
        <v>3622</v>
      </c>
      <c r="D451" s="35" t="s">
        <v>3623</v>
      </c>
      <c r="E451" s="36" t="s">
        <v>3624</v>
      </c>
      <c r="F451" s="334">
        <v>33030</v>
      </c>
      <c r="G451" s="36" t="s">
        <v>54</v>
      </c>
      <c r="H451" s="34" t="s">
        <v>3625</v>
      </c>
      <c r="I451" s="37" t="s">
        <v>858</v>
      </c>
      <c r="J451" s="425" t="s">
        <v>4740</v>
      </c>
      <c r="K451" s="37" t="s">
        <v>57</v>
      </c>
      <c r="L451" s="34" t="s">
        <v>3626</v>
      </c>
      <c r="M451" s="34" t="s">
        <v>41</v>
      </c>
      <c r="N451" s="39" t="s">
        <v>42</v>
      </c>
      <c r="O451" s="120">
        <v>31057</v>
      </c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42" t="s">
        <v>3627</v>
      </c>
      <c r="AB451" s="43" t="s">
        <v>3628</v>
      </c>
      <c r="AC451" s="44" t="s">
        <v>3629</v>
      </c>
      <c r="AD451" s="45">
        <v>42325</v>
      </c>
      <c r="AE451" s="101" t="s">
        <v>30</v>
      </c>
      <c r="AF451" s="36" t="s">
        <v>26</v>
      </c>
      <c r="AG451" s="47" t="s">
        <v>49</v>
      </c>
      <c r="AH451" s="48" t="s">
        <v>49</v>
      </c>
      <c r="AI451" s="48" t="s">
        <v>49</v>
      </c>
      <c r="AJ451" s="48" t="s">
        <v>49</v>
      </c>
      <c r="AK451" s="48" t="s">
        <v>49</v>
      </c>
      <c r="AL451" s="48" t="s">
        <v>49</v>
      </c>
      <c r="AM451" s="49" t="s">
        <v>49</v>
      </c>
      <c r="AN451" s="48" t="s">
        <v>49</v>
      </c>
      <c r="AO451" s="65" t="s">
        <v>32</v>
      </c>
      <c r="AP451" s="65"/>
      <c r="AQ451" s="59"/>
    </row>
    <row r="452" spans="1:43" ht="15" customHeight="1" x14ac:dyDescent="0.2">
      <c r="A452">
        <v>451</v>
      </c>
      <c r="B452" s="33" t="e">
        <f>+B451+1</f>
        <v>#REF!</v>
      </c>
      <c r="C452" s="34" t="s">
        <v>3630</v>
      </c>
      <c r="D452" s="35" t="s">
        <v>3631</v>
      </c>
      <c r="E452" s="36" t="s">
        <v>3632</v>
      </c>
      <c r="F452" s="334">
        <v>24162</v>
      </c>
      <c r="G452" s="36" t="s">
        <v>241</v>
      </c>
      <c r="H452" s="34" t="s">
        <v>3633</v>
      </c>
      <c r="I452" s="37" t="s">
        <v>858</v>
      </c>
      <c r="J452" s="425" t="s">
        <v>4740</v>
      </c>
      <c r="K452" s="37" t="s">
        <v>57</v>
      </c>
      <c r="L452" s="34" t="s">
        <v>3634</v>
      </c>
      <c r="M452" s="38" t="s">
        <v>3635</v>
      </c>
      <c r="N452" s="39" t="s">
        <v>42</v>
      </c>
      <c r="O452" s="99" t="s">
        <v>3636</v>
      </c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57" t="s">
        <v>3637</v>
      </c>
      <c r="AB452" s="83" t="s">
        <v>3638</v>
      </c>
      <c r="AC452" s="417" t="s">
        <v>61</v>
      </c>
      <c r="AD452" s="45">
        <v>36803</v>
      </c>
      <c r="AE452" s="101" t="s">
        <v>30</v>
      </c>
      <c r="AF452" s="36" t="s">
        <v>26</v>
      </c>
      <c r="AG452" s="47" t="s">
        <v>49</v>
      </c>
      <c r="AH452" s="48" t="s">
        <v>49</v>
      </c>
      <c r="AI452" s="48" t="s">
        <v>49</v>
      </c>
      <c r="AJ452" s="48" t="s">
        <v>49</v>
      </c>
      <c r="AK452" s="48" t="s">
        <v>49</v>
      </c>
      <c r="AL452" s="48" t="s">
        <v>49</v>
      </c>
      <c r="AM452" s="49" t="s">
        <v>49</v>
      </c>
      <c r="AN452" s="48" t="s">
        <v>49</v>
      </c>
      <c r="AO452" s="62" t="s">
        <v>32</v>
      </c>
      <c r="AP452" s="62"/>
      <c r="AQ452" s="59"/>
    </row>
    <row r="453" spans="1:43" ht="15" customHeight="1" x14ac:dyDescent="0.2">
      <c r="A453">
        <v>452</v>
      </c>
      <c r="B453" s="33" t="e">
        <f>+B452+1</f>
        <v>#REF!</v>
      </c>
      <c r="C453" s="34" t="s">
        <v>3639</v>
      </c>
      <c r="D453" s="35" t="s">
        <v>3640</v>
      </c>
      <c r="E453" s="36" t="s">
        <v>3641</v>
      </c>
      <c r="F453" s="334">
        <v>25620</v>
      </c>
      <c r="G453" s="36" t="s">
        <v>54</v>
      </c>
      <c r="H453" s="34" t="s">
        <v>3642</v>
      </c>
      <c r="I453" s="37" t="s">
        <v>73</v>
      </c>
      <c r="J453" s="425" t="s">
        <v>4765</v>
      </c>
      <c r="K453" s="37" t="s">
        <v>73</v>
      </c>
      <c r="L453" s="34" t="s">
        <v>3643</v>
      </c>
      <c r="M453" s="34" t="s">
        <v>3644</v>
      </c>
      <c r="N453" s="39" t="s">
        <v>42</v>
      </c>
      <c r="O453" s="99" t="s">
        <v>3645</v>
      </c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42" t="s">
        <v>3646</v>
      </c>
      <c r="AB453" s="100" t="s">
        <v>3647</v>
      </c>
      <c r="AC453" s="119" t="s">
        <v>61</v>
      </c>
      <c r="AD453" s="45">
        <v>38593</v>
      </c>
      <c r="AE453" s="101" t="s">
        <v>30</v>
      </c>
      <c r="AF453" s="36" t="s">
        <v>26</v>
      </c>
      <c r="AG453" s="47" t="s">
        <v>49</v>
      </c>
      <c r="AH453" s="48" t="s">
        <v>49</v>
      </c>
      <c r="AI453" s="48" t="s">
        <v>49</v>
      </c>
      <c r="AJ453" s="48" t="s">
        <v>49</v>
      </c>
      <c r="AK453" s="48" t="s">
        <v>41</v>
      </c>
      <c r="AL453" s="48" t="s">
        <v>41</v>
      </c>
      <c r="AM453" s="49" t="s">
        <v>41</v>
      </c>
      <c r="AN453" s="48" t="s">
        <v>41</v>
      </c>
      <c r="AO453" s="62" t="s">
        <v>139</v>
      </c>
      <c r="AP453" s="62"/>
      <c r="AQ453" s="59"/>
    </row>
    <row r="454" spans="1:43" ht="15" customHeight="1" x14ac:dyDescent="0.2">
      <c r="A454">
        <v>453</v>
      </c>
      <c r="B454" s="33" t="e">
        <f>+B453+1</f>
        <v>#REF!</v>
      </c>
      <c r="C454" s="34" t="s">
        <v>3655</v>
      </c>
      <c r="D454" s="35" t="s">
        <v>3656</v>
      </c>
      <c r="E454" s="36" t="s">
        <v>3657</v>
      </c>
      <c r="F454" s="334">
        <v>19677</v>
      </c>
      <c r="G454" s="36" t="s">
        <v>54</v>
      </c>
      <c r="H454" s="34" t="s">
        <v>3658</v>
      </c>
      <c r="I454" s="37" t="s">
        <v>1285</v>
      </c>
      <c r="J454" s="425" t="s">
        <v>4752</v>
      </c>
      <c r="K454" s="37" t="s">
        <v>350</v>
      </c>
      <c r="L454" s="34" t="s">
        <v>3659</v>
      </c>
      <c r="M454" s="34" t="s">
        <v>41</v>
      </c>
      <c r="N454" s="39" t="s">
        <v>42</v>
      </c>
      <c r="O454" s="120">
        <v>36739</v>
      </c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2" t="s">
        <v>3660</v>
      </c>
      <c r="AB454" s="52" t="s">
        <v>3661</v>
      </c>
      <c r="AC454" s="119" t="s">
        <v>61</v>
      </c>
      <c r="AD454" s="45">
        <v>40280</v>
      </c>
      <c r="AE454" s="101" t="s">
        <v>30</v>
      </c>
      <c r="AF454" s="36" t="s">
        <v>26</v>
      </c>
      <c r="AG454" s="47" t="s">
        <v>49</v>
      </c>
      <c r="AH454" s="48" t="s">
        <v>49</v>
      </c>
      <c r="AI454" s="48" t="s">
        <v>49</v>
      </c>
      <c r="AJ454" s="48" t="s">
        <v>49</v>
      </c>
      <c r="AK454" s="48" t="s">
        <v>49</v>
      </c>
      <c r="AL454" s="48" t="s">
        <v>49</v>
      </c>
      <c r="AM454" s="49" t="s">
        <v>49</v>
      </c>
      <c r="AN454" s="48" t="s">
        <v>49</v>
      </c>
      <c r="AO454" s="62" t="s">
        <v>32</v>
      </c>
      <c r="AP454" s="62"/>
      <c r="AQ454" s="59"/>
    </row>
    <row r="455" spans="1:43" ht="15" customHeight="1" x14ac:dyDescent="0.2">
      <c r="A455">
        <v>454</v>
      </c>
      <c r="B455" s="33" t="e">
        <f>+B454+1</f>
        <v>#REF!</v>
      </c>
      <c r="C455" s="34" t="s">
        <v>3648</v>
      </c>
      <c r="D455" s="35" t="s">
        <v>3649</v>
      </c>
      <c r="E455" s="36" t="s">
        <v>3650</v>
      </c>
      <c r="F455" s="334">
        <v>29820</v>
      </c>
      <c r="G455" s="36" t="s">
        <v>54</v>
      </c>
      <c r="H455" s="34" t="s">
        <v>3651</v>
      </c>
      <c r="I455" s="37" t="s">
        <v>205</v>
      </c>
      <c r="J455" s="425" t="s">
        <v>4764</v>
      </c>
      <c r="K455" s="37" t="s">
        <v>205</v>
      </c>
      <c r="L455" s="38" t="s">
        <v>3652</v>
      </c>
      <c r="M455" s="34" t="s">
        <v>41</v>
      </c>
      <c r="N455" s="39" t="s">
        <v>42</v>
      </c>
      <c r="O455" s="120">
        <v>45803</v>
      </c>
      <c r="P455" s="56"/>
      <c r="Q455" s="137"/>
      <c r="R455" s="137"/>
      <c r="S455" s="137"/>
      <c r="T455" s="137"/>
      <c r="U455" s="137"/>
      <c r="V455" s="137"/>
      <c r="W455" s="137"/>
      <c r="X455" s="137"/>
      <c r="Y455" s="137" t="s">
        <v>44</v>
      </c>
      <c r="Z455" s="137"/>
      <c r="AA455" s="54" t="s">
        <v>3653</v>
      </c>
      <c r="AB455" s="146" t="s">
        <v>3654</v>
      </c>
      <c r="AC455" s="44"/>
      <c r="AD455" s="45"/>
      <c r="AE455" s="101"/>
      <c r="AF455" s="36"/>
      <c r="AG455" s="47" t="s">
        <v>49</v>
      </c>
      <c r="AH455" s="48" t="s">
        <v>41</v>
      </c>
      <c r="AI455" s="48" t="s">
        <v>41</v>
      </c>
      <c r="AJ455" s="48" t="s">
        <v>41</v>
      </c>
      <c r="AK455" s="48" t="s">
        <v>41</v>
      </c>
      <c r="AL455" s="48" t="s">
        <v>41</v>
      </c>
      <c r="AM455" s="49" t="s">
        <v>49</v>
      </c>
      <c r="AN455" s="48" t="s">
        <v>41</v>
      </c>
      <c r="AO455" s="62" t="s">
        <v>148</v>
      </c>
      <c r="AP455" s="62"/>
      <c r="AQ455" s="59"/>
    </row>
    <row r="456" spans="1:43" x14ac:dyDescent="0.2">
      <c r="A456">
        <v>455</v>
      </c>
      <c r="B456" s="33" t="e">
        <f>+B455+1</f>
        <v>#REF!</v>
      </c>
      <c r="C456" s="34" t="s">
        <v>3662</v>
      </c>
      <c r="D456" s="35" t="s">
        <v>3663</v>
      </c>
      <c r="E456" s="36" t="s">
        <v>3664</v>
      </c>
      <c r="F456" s="334">
        <v>33722</v>
      </c>
      <c r="G456" s="36" t="s">
        <v>54</v>
      </c>
      <c r="H456" s="34" t="s">
        <v>3665</v>
      </c>
      <c r="I456" s="37" t="s">
        <v>4658</v>
      </c>
      <c r="J456" s="425" t="s">
        <v>4753</v>
      </c>
      <c r="K456" s="37" t="s">
        <v>350</v>
      </c>
      <c r="L456" s="38" t="s">
        <v>3666</v>
      </c>
      <c r="M456" s="34" t="s">
        <v>41</v>
      </c>
      <c r="N456" s="39" t="s">
        <v>42</v>
      </c>
      <c r="O456" s="120" t="s">
        <v>3667</v>
      </c>
      <c r="P456" s="41"/>
      <c r="Q456" s="41"/>
      <c r="R456" s="41"/>
      <c r="S456" s="41"/>
      <c r="T456" s="112"/>
      <c r="U456" s="41"/>
      <c r="V456" s="41"/>
      <c r="W456" s="41"/>
      <c r="X456" s="41"/>
      <c r="Y456" s="41"/>
      <c r="Z456" s="41"/>
      <c r="AA456" s="42" t="s">
        <v>3668</v>
      </c>
      <c r="AB456" s="43" t="s">
        <v>3669</v>
      </c>
      <c r="AC456" s="84" t="s">
        <v>3670</v>
      </c>
      <c r="AD456" s="45">
        <v>44650</v>
      </c>
      <c r="AE456" s="101" t="s">
        <v>30</v>
      </c>
      <c r="AF456" s="36" t="s">
        <v>26</v>
      </c>
      <c r="AG456" s="47" t="s">
        <v>49</v>
      </c>
      <c r="AH456" s="48" t="s">
        <v>49</v>
      </c>
      <c r="AI456" s="48" t="s">
        <v>49</v>
      </c>
      <c r="AJ456" s="48" t="s">
        <v>49</v>
      </c>
      <c r="AK456" s="48" t="s">
        <v>41</v>
      </c>
      <c r="AL456" s="48" t="s">
        <v>41</v>
      </c>
      <c r="AM456" s="49" t="s">
        <v>41</v>
      </c>
      <c r="AN456" s="48" t="s">
        <v>41</v>
      </c>
      <c r="AO456" s="62" t="s">
        <v>139</v>
      </c>
      <c r="AP456" s="62"/>
      <c r="AQ456" s="59"/>
    </row>
    <row r="457" spans="1:43" ht="16" x14ac:dyDescent="0.2">
      <c r="A457">
        <v>456</v>
      </c>
      <c r="B457" s="33" t="e">
        <f>+B456+1</f>
        <v>#REF!</v>
      </c>
      <c r="C457" s="34" t="s">
        <v>3671</v>
      </c>
      <c r="D457" s="35" t="s">
        <v>3672</v>
      </c>
      <c r="E457" s="36" t="s">
        <v>3673</v>
      </c>
      <c r="F457" s="334">
        <v>31484</v>
      </c>
      <c r="G457" s="36" t="s">
        <v>54</v>
      </c>
      <c r="H457" s="34" t="s">
        <v>3674</v>
      </c>
      <c r="I457" s="37" t="s">
        <v>73</v>
      </c>
      <c r="J457" s="425" t="s">
        <v>4765</v>
      </c>
      <c r="K457" s="37" t="s">
        <v>73</v>
      </c>
      <c r="L457" s="38" t="s">
        <v>3675</v>
      </c>
      <c r="M457" s="34" t="s">
        <v>41</v>
      </c>
      <c r="N457" s="39" t="s">
        <v>42</v>
      </c>
      <c r="O457" s="120">
        <v>44844</v>
      </c>
      <c r="P457" s="41"/>
      <c r="Q457" s="41"/>
      <c r="R457" s="41"/>
      <c r="S457" s="41"/>
      <c r="T457" s="41"/>
      <c r="U457" s="41"/>
      <c r="V457" s="41" t="s">
        <v>44</v>
      </c>
      <c r="W457" s="41"/>
      <c r="X457" s="41"/>
      <c r="Y457" s="41"/>
      <c r="Z457" s="41"/>
      <c r="AA457" s="42" t="s">
        <v>3676</v>
      </c>
      <c r="AB457" s="43" t="s">
        <v>3677</v>
      </c>
      <c r="AC457" s="207" t="s">
        <v>3678</v>
      </c>
      <c r="AD457" s="45">
        <v>44944</v>
      </c>
      <c r="AE457" s="101" t="s">
        <v>30</v>
      </c>
      <c r="AF457" s="36"/>
      <c r="AG457" s="47" t="s">
        <v>49</v>
      </c>
      <c r="AH457" s="48" t="s">
        <v>41</v>
      </c>
      <c r="AI457" s="48" t="s">
        <v>41</v>
      </c>
      <c r="AJ457" s="48" t="s">
        <v>49</v>
      </c>
      <c r="AK457" s="48" t="s">
        <v>49</v>
      </c>
      <c r="AL457" s="48" t="s">
        <v>49</v>
      </c>
      <c r="AM457" s="49" t="s">
        <v>41</v>
      </c>
      <c r="AN457" s="48" t="s">
        <v>41</v>
      </c>
      <c r="AO457" s="62" t="s">
        <v>276</v>
      </c>
      <c r="AP457" s="62"/>
      <c r="AQ457" s="59"/>
    </row>
    <row r="458" spans="1:43" x14ac:dyDescent="0.2">
      <c r="A458">
        <v>457</v>
      </c>
      <c r="B458" s="33" t="e">
        <f>+B457+1</f>
        <v>#REF!</v>
      </c>
      <c r="C458" s="34" t="s">
        <v>3679</v>
      </c>
      <c r="D458" s="35" t="s">
        <v>3680</v>
      </c>
      <c r="E458" s="36" t="s">
        <v>3681</v>
      </c>
      <c r="F458" s="334">
        <v>29356</v>
      </c>
      <c r="G458" s="36" t="s">
        <v>54</v>
      </c>
      <c r="H458" s="34" t="s">
        <v>3682</v>
      </c>
      <c r="I458" s="37" t="s">
        <v>73</v>
      </c>
      <c r="J458" s="425" t="s">
        <v>4765</v>
      </c>
      <c r="K458" s="37" t="s">
        <v>73</v>
      </c>
      <c r="L458" s="34" t="s">
        <v>3683</v>
      </c>
      <c r="M458" s="34" t="s">
        <v>3683</v>
      </c>
      <c r="N458" s="39" t="s">
        <v>42</v>
      </c>
      <c r="O458" s="120" t="s">
        <v>3684</v>
      </c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2" t="s">
        <v>3685</v>
      </c>
      <c r="AB458" s="58" t="s">
        <v>3686</v>
      </c>
      <c r="AC458" s="121" t="s">
        <v>3687</v>
      </c>
      <c r="AD458" s="45">
        <v>44650</v>
      </c>
      <c r="AE458" s="101" t="s">
        <v>30</v>
      </c>
      <c r="AF458" s="36" t="s">
        <v>26</v>
      </c>
      <c r="AG458" s="61" t="s">
        <v>49</v>
      </c>
      <c r="AH458" s="48" t="s">
        <v>49</v>
      </c>
      <c r="AI458" s="48" t="s">
        <v>49</v>
      </c>
      <c r="AJ458" s="48" t="s">
        <v>49</v>
      </c>
      <c r="AK458" s="48" t="s">
        <v>49</v>
      </c>
      <c r="AL458" s="48" t="s">
        <v>49</v>
      </c>
      <c r="AM458" s="49" t="s">
        <v>49</v>
      </c>
      <c r="AN458" s="48" t="s">
        <v>49</v>
      </c>
      <c r="AO458" s="62" t="s">
        <v>32</v>
      </c>
      <c r="AP458" s="62"/>
      <c r="AQ458" s="59"/>
    </row>
    <row r="459" spans="1:43" x14ac:dyDescent="0.2">
      <c r="A459">
        <v>458</v>
      </c>
      <c r="B459" s="33" t="e">
        <f>+B458+1</f>
        <v>#REF!</v>
      </c>
      <c r="C459" s="34" t="s">
        <v>3688</v>
      </c>
      <c r="D459" s="35" t="s">
        <v>3689</v>
      </c>
      <c r="E459" s="36" t="s">
        <v>3690</v>
      </c>
      <c r="F459" s="334">
        <v>30523</v>
      </c>
      <c r="G459" s="36" t="s">
        <v>36</v>
      </c>
      <c r="H459" s="34" t="s">
        <v>3552</v>
      </c>
      <c r="I459" s="37" t="s">
        <v>73</v>
      </c>
      <c r="J459" s="425" t="s">
        <v>4765</v>
      </c>
      <c r="K459" s="37" t="s">
        <v>73</v>
      </c>
      <c r="L459" s="34" t="s">
        <v>3553</v>
      </c>
      <c r="M459" s="34" t="s">
        <v>3691</v>
      </c>
      <c r="N459" s="39" t="s">
        <v>42</v>
      </c>
      <c r="O459" s="120">
        <v>30353</v>
      </c>
      <c r="P459" s="41"/>
      <c r="Q459" s="41"/>
      <c r="R459" s="41"/>
      <c r="S459" s="41"/>
      <c r="T459" s="41"/>
      <c r="U459" s="41"/>
      <c r="V459" s="41"/>
      <c r="W459" s="41"/>
      <c r="X459" s="41" t="s">
        <v>732</v>
      </c>
      <c r="Y459" s="41"/>
      <c r="Z459" s="41"/>
      <c r="AA459" s="42" t="s">
        <v>3692</v>
      </c>
      <c r="AB459" s="58" t="s">
        <v>3693</v>
      </c>
      <c r="AC459" s="119" t="s">
        <v>61</v>
      </c>
      <c r="AD459" s="45">
        <v>40815</v>
      </c>
      <c r="AE459" s="101" t="s">
        <v>30</v>
      </c>
      <c r="AF459" s="36" t="s">
        <v>26</v>
      </c>
      <c r="AG459" s="64" t="s">
        <v>120</v>
      </c>
      <c r="AH459" s="48" t="s">
        <v>120</v>
      </c>
      <c r="AI459" s="48" t="s">
        <v>130</v>
      </c>
      <c r="AJ459" s="48" t="s">
        <v>120</v>
      </c>
      <c r="AK459" s="48" t="s">
        <v>120</v>
      </c>
      <c r="AL459" s="48" t="s">
        <v>120</v>
      </c>
      <c r="AM459" s="49" t="s">
        <v>120</v>
      </c>
      <c r="AN459" s="48" t="s">
        <v>120</v>
      </c>
      <c r="AO459" s="62" t="s">
        <v>32</v>
      </c>
      <c r="AP459" s="62"/>
      <c r="AQ459" s="59"/>
    </row>
    <row r="460" spans="1:43" x14ac:dyDescent="0.2">
      <c r="A460">
        <v>459</v>
      </c>
      <c r="B460" s="33" t="e">
        <f>+B459+1</f>
        <v>#REF!</v>
      </c>
      <c r="C460" s="34" t="s">
        <v>3694</v>
      </c>
      <c r="D460" s="35" t="s">
        <v>3695</v>
      </c>
      <c r="E460" s="36" t="s">
        <v>3696</v>
      </c>
      <c r="F460" s="334">
        <v>25385</v>
      </c>
      <c r="G460" s="36" t="s">
        <v>54</v>
      </c>
      <c r="H460" s="34" t="s">
        <v>3697</v>
      </c>
      <c r="I460" s="37" t="s">
        <v>39</v>
      </c>
      <c r="J460" s="425" t="s">
        <v>4766</v>
      </c>
      <c r="K460" s="37" t="s">
        <v>39</v>
      </c>
      <c r="L460" s="34" t="s">
        <v>3698</v>
      </c>
      <c r="M460" s="34" t="s">
        <v>3699</v>
      </c>
      <c r="N460" s="39" t="s">
        <v>42</v>
      </c>
      <c r="O460" s="120">
        <v>37439</v>
      </c>
      <c r="P460" s="41"/>
      <c r="Q460" s="41"/>
      <c r="R460" s="41"/>
      <c r="S460" s="41"/>
      <c r="T460" s="112"/>
      <c r="U460" s="41"/>
      <c r="V460" s="41"/>
      <c r="W460" s="41"/>
      <c r="X460" s="41"/>
      <c r="Y460" s="41"/>
      <c r="Z460" s="41"/>
      <c r="AA460" s="42" t="s">
        <v>3700</v>
      </c>
      <c r="AB460" s="58" t="s">
        <v>3701</v>
      </c>
      <c r="AC460" s="417" t="s">
        <v>61</v>
      </c>
      <c r="AD460" s="45">
        <v>37877</v>
      </c>
      <c r="AE460" s="101" t="s">
        <v>30</v>
      </c>
      <c r="AF460" s="36" t="s">
        <v>26</v>
      </c>
      <c r="AG460" s="47" t="s">
        <v>49</v>
      </c>
      <c r="AH460" s="48" t="s">
        <v>49</v>
      </c>
      <c r="AI460" s="48" t="s">
        <v>49</v>
      </c>
      <c r="AJ460" s="48" t="s">
        <v>49</v>
      </c>
      <c r="AK460" s="48" t="s">
        <v>49</v>
      </c>
      <c r="AL460" s="48" t="s">
        <v>49</v>
      </c>
      <c r="AM460" s="49" t="s">
        <v>41</v>
      </c>
      <c r="AN460" s="48" t="s">
        <v>41</v>
      </c>
      <c r="AO460" s="62" t="s">
        <v>276</v>
      </c>
      <c r="AP460" s="62"/>
      <c r="AQ460" s="59"/>
    </row>
    <row r="461" spans="1:43" x14ac:dyDescent="0.2">
      <c r="A461">
        <v>460</v>
      </c>
      <c r="B461" s="33" t="e">
        <f>+B460+1</f>
        <v>#REF!</v>
      </c>
      <c r="C461" s="34" t="s">
        <v>3702</v>
      </c>
      <c r="D461" s="35" t="s">
        <v>3703</v>
      </c>
      <c r="E461" s="36" t="s">
        <v>4855</v>
      </c>
      <c r="F461" s="36"/>
      <c r="G461" s="36" t="s">
        <v>54</v>
      </c>
      <c r="H461" s="34" t="s">
        <v>3705</v>
      </c>
      <c r="I461" s="37" t="s">
        <v>73</v>
      </c>
      <c r="J461" s="425" t="s">
        <v>4765</v>
      </c>
      <c r="K461" s="37" t="s">
        <v>73</v>
      </c>
      <c r="L461" s="34" t="s">
        <v>3292</v>
      </c>
      <c r="M461" s="34" t="s">
        <v>41</v>
      </c>
      <c r="N461" s="39" t="s">
        <v>42</v>
      </c>
      <c r="O461" s="99" t="s">
        <v>3706</v>
      </c>
      <c r="P461" s="41"/>
      <c r="Q461" s="410"/>
      <c r="R461" s="410"/>
      <c r="S461" s="410"/>
      <c r="T461" s="112"/>
      <c r="U461" s="112"/>
      <c r="V461" s="112"/>
      <c r="W461" s="41"/>
      <c r="X461" s="41"/>
      <c r="Y461" s="41"/>
      <c r="Z461" s="41"/>
      <c r="AA461" s="42" t="s">
        <v>3707</v>
      </c>
      <c r="AB461" s="58" t="s">
        <v>3708</v>
      </c>
      <c r="AC461" s="44" t="s">
        <v>61</v>
      </c>
      <c r="AD461" s="45">
        <v>34597</v>
      </c>
      <c r="AE461" s="101" t="s">
        <v>30</v>
      </c>
      <c r="AF461" s="36"/>
      <c r="AG461" s="47" t="s">
        <v>49</v>
      </c>
      <c r="AH461" s="48" t="s">
        <v>41</v>
      </c>
      <c r="AI461" s="48" t="s">
        <v>41</v>
      </c>
      <c r="AJ461" s="48" t="s">
        <v>41</v>
      </c>
      <c r="AK461" s="48" t="s">
        <v>41</v>
      </c>
      <c r="AL461" s="48" t="s">
        <v>41</v>
      </c>
      <c r="AM461" s="49" t="s">
        <v>41</v>
      </c>
      <c r="AN461" s="48" t="s">
        <v>41</v>
      </c>
      <c r="AO461" s="65" t="s">
        <v>4588</v>
      </c>
      <c r="AP461" s="65"/>
      <c r="AQ461" s="59"/>
    </row>
    <row r="462" spans="1:43" x14ac:dyDescent="0.2">
      <c r="A462">
        <v>461</v>
      </c>
      <c r="B462" s="33" t="e">
        <f>+B461+1</f>
        <v>#REF!</v>
      </c>
      <c r="C462" s="34" t="s">
        <v>3709</v>
      </c>
      <c r="D462" s="35" t="s">
        <v>3710</v>
      </c>
      <c r="E462" s="36" t="s">
        <v>3711</v>
      </c>
      <c r="F462" s="334">
        <v>36333</v>
      </c>
      <c r="G462" s="36" t="s">
        <v>54</v>
      </c>
      <c r="H462" s="34" t="s">
        <v>3712</v>
      </c>
      <c r="I462" s="37" t="s">
        <v>528</v>
      </c>
      <c r="J462" s="425" t="s">
        <v>4756</v>
      </c>
      <c r="K462" s="37" t="s">
        <v>57</v>
      </c>
      <c r="L462" s="38" t="s">
        <v>3713</v>
      </c>
      <c r="M462" s="34" t="s">
        <v>41</v>
      </c>
      <c r="N462" s="39" t="s">
        <v>42</v>
      </c>
      <c r="O462" s="120">
        <v>44409</v>
      </c>
      <c r="P462" s="41"/>
      <c r="Q462" s="41"/>
      <c r="R462" s="41"/>
      <c r="S462" s="41"/>
      <c r="T462" s="41"/>
      <c r="U462" s="41" t="s">
        <v>44</v>
      </c>
      <c r="V462" s="41"/>
      <c r="W462" s="41"/>
      <c r="X462" s="41"/>
      <c r="Y462" s="41"/>
      <c r="Z462" s="41"/>
      <c r="AA462" s="42" t="s">
        <v>3714</v>
      </c>
      <c r="AB462" s="58" t="s">
        <v>3715</v>
      </c>
      <c r="AC462" s="121" t="s">
        <v>3716</v>
      </c>
      <c r="AD462" s="45">
        <v>44650</v>
      </c>
      <c r="AE462" s="101" t="s">
        <v>30</v>
      </c>
      <c r="AF462" s="36"/>
      <c r="AG462" s="47" t="s">
        <v>49</v>
      </c>
      <c r="AH462" s="48" t="s">
        <v>41</v>
      </c>
      <c r="AI462" s="48" t="s">
        <v>49</v>
      </c>
      <c r="AJ462" s="48" t="s">
        <v>41</v>
      </c>
      <c r="AK462" s="48" t="s">
        <v>41</v>
      </c>
      <c r="AL462" s="48" t="s">
        <v>41</v>
      </c>
      <c r="AM462" s="49" t="s">
        <v>41</v>
      </c>
      <c r="AN462" s="48" t="s">
        <v>41</v>
      </c>
      <c r="AO462" s="62" t="s">
        <v>110</v>
      </c>
      <c r="AP462" s="62"/>
      <c r="AQ462" s="59"/>
    </row>
    <row r="463" spans="1:43" x14ac:dyDescent="0.2">
      <c r="A463">
        <v>462</v>
      </c>
      <c r="B463" s="33" t="e">
        <f>+B462+1</f>
        <v>#REF!</v>
      </c>
      <c r="C463" s="34" t="s">
        <v>3717</v>
      </c>
      <c r="D463" s="35" t="s">
        <v>3718</v>
      </c>
      <c r="E463" s="36" t="s">
        <v>3719</v>
      </c>
      <c r="F463" s="334">
        <v>25792</v>
      </c>
      <c r="G463" s="36" t="s">
        <v>54</v>
      </c>
      <c r="H463" s="34" t="s">
        <v>3720</v>
      </c>
      <c r="I463" s="37" t="s">
        <v>1285</v>
      </c>
      <c r="J463" s="425" t="s">
        <v>4752</v>
      </c>
      <c r="K463" s="37" t="s">
        <v>350</v>
      </c>
      <c r="L463" s="34" t="s">
        <v>3721</v>
      </c>
      <c r="M463" s="34" t="s">
        <v>41</v>
      </c>
      <c r="N463" s="39" t="s">
        <v>42</v>
      </c>
      <c r="O463" s="99" t="s">
        <v>3722</v>
      </c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42" t="s">
        <v>3723</v>
      </c>
      <c r="AB463" s="69" t="s">
        <v>3724</v>
      </c>
      <c r="AC463" s="44" t="s">
        <v>61</v>
      </c>
      <c r="AD463" s="45">
        <v>36803</v>
      </c>
      <c r="AE463" s="101" t="s">
        <v>30</v>
      </c>
      <c r="AF463" s="36" t="s">
        <v>26</v>
      </c>
      <c r="AG463" s="47" t="s">
        <v>49</v>
      </c>
      <c r="AH463" s="48" t="s">
        <v>49</v>
      </c>
      <c r="AI463" s="48" t="s">
        <v>49</v>
      </c>
      <c r="AJ463" s="48" t="s">
        <v>49</v>
      </c>
      <c r="AK463" s="48" t="s">
        <v>49</v>
      </c>
      <c r="AL463" s="48" t="s">
        <v>49</v>
      </c>
      <c r="AM463" s="49" t="s">
        <v>49</v>
      </c>
      <c r="AN463" s="48" t="s">
        <v>49</v>
      </c>
      <c r="AO463" s="62" t="s">
        <v>32</v>
      </c>
      <c r="AP463" s="62"/>
      <c r="AQ463" s="59"/>
    </row>
    <row r="464" spans="1:43" x14ac:dyDescent="0.2">
      <c r="A464">
        <v>463</v>
      </c>
      <c r="B464" s="33" t="e">
        <f>+B463+1</f>
        <v>#REF!</v>
      </c>
      <c r="C464" s="34" t="s">
        <v>3725</v>
      </c>
      <c r="D464" s="35" t="s">
        <v>3726</v>
      </c>
      <c r="E464" s="36" t="s">
        <v>3727</v>
      </c>
      <c r="F464" s="334">
        <v>29470</v>
      </c>
      <c r="G464" s="36" t="s">
        <v>36</v>
      </c>
      <c r="H464" s="34" t="s">
        <v>3728</v>
      </c>
      <c r="I464" s="37" t="s">
        <v>73</v>
      </c>
      <c r="J464" s="425" t="s">
        <v>4765</v>
      </c>
      <c r="K464" s="37" t="s">
        <v>73</v>
      </c>
      <c r="L464" s="34" t="s">
        <v>3729</v>
      </c>
      <c r="M464" s="34" t="s">
        <v>41</v>
      </c>
      <c r="N464" s="39" t="s">
        <v>42</v>
      </c>
      <c r="O464" s="120">
        <v>35106</v>
      </c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42" t="s">
        <v>3730</v>
      </c>
      <c r="AB464" s="52" t="s">
        <v>3731</v>
      </c>
      <c r="AC464" s="44" t="s">
        <v>3732</v>
      </c>
      <c r="AD464" s="45">
        <v>42325</v>
      </c>
      <c r="AE464" s="101" t="s">
        <v>30</v>
      </c>
      <c r="AF464" s="36" t="s">
        <v>26</v>
      </c>
      <c r="AG464" s="47" t="s">
        <v>49</v>
      </c>
      <c r="AH464" s="48" t="s">
        <v>49</v>
      </c>
      <c r="AI464" s="48" t="s">
        <v>49</v>
      </c>
      <c r="AJ464" s="48" t="s">
        <v>49</v>
      </c>
      <c r="AK464" s="48" t="s">
        <v>49</v>
      </c>
      <c r="AL464" s="48" t="s">
        <v>49</v>
      </c>
      <c r="AM464" s="49" t="s">
        <v>49</v>
      </c>
      <c r="AN464" s="48" t="s">
        <v>49</v>
      </c>
      <c r="AO464" s="62" t="s">
        <v>32</v>
      </c>
      <c r="AP464" s="62"/>
      <c r="AQ464" s="59"/>
    </row>
    <row r="465" spans="1:43" x14ac:dyDescent="0.2">
      <c r="A465">
        <v>464</v>
      </c>
      <c r="B465" s="33" t="e">
        <f>+B464+1</f>
        <v>#REF!</v>
      </c>
      <c r="C465" s="34" t="s">
        <v>3733</v>
      </c>
      <c r="D465" s="35" t="s">
        <v>3734</v>
      </c>
      <c r="E465" s="36" t="s">
        <v>3735</v>
      </c>
      <c r="F465" s="334">
        <v>24904</v>
      </c>
      <c r="G465" s="36" t="s">
        <v>54</v>
      </c>
      <c r="H465" s="34" t="s">
        <v>3736</v>
      </c>
      <c r="I465" s="37" t="s">
        <v>73</v>
      </c>
      <c r="J465" s="425" t="s">
        <v>4765</v>
      </c>
      <c r="K465" s="37" t="s">
        <v>73</v>
      </c>
      <c r="L465" s="34" t="s">
        <v>3737</v>
      </c>
      <c r="M465" s="34" t="s">
        <v>41</v>
      </c>
      <c r="N465" s="39" t="s">
        <v>42</v>
      </c>
      <c r="O465" s="120">
        <v>43807</v>
      </c>
      <c r="P465" s="56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42" t="s">
        <v>3738</v>
      </c>
      <c r="AB465" s="58" t="s">
        <v>3739</v>
      </c>
      <c r="AC465" s="44" t="s">
        <v>3740</v>
      </c>
      <c r="AD465" s="45">
        <v>42325</v>
      </c>
      <c r="AE465" s="101" t="s">
        <v>30</v>
      </c>
      <c r="AF465" s="36" t="s">
        <v>26</v>
      </c>
      <c r="AG465" s="47" t="s">
        <v>49</v>
      </c>
      <c r="AH465" s="48" t="s">
        <v>49</v>
      </c>
      <c r="AI465" s="48" t="s">
        <v>49</v>
      </c>
      <c r="AJ465" s="48" t="s">
        <v>49</v>
      </c>
      <c r="AK465" s="48" t="s">
        <v>49</v>
      </c>
      <c r="AL465" s="48" t="s">
        <v>49</v>
      </c>
      <c r="AM465" s="49" t="s">
        <v>49</v>
      </c>
      <c r="AN465" s="48" t="s">
        <v>49</v>
      </c>
      <c r="AO465" s="62" t="s">
        <v>32</v>
      </c>
      <c r="AP465" s="62"/>
      <c r="AQ465" s="59"/>
    </row>
    <row r="466" spans="1:43" x14ac:dyDescent="0.2">
      <c r="A466">
        <v>465</v>
      </c>
      <c r="B466" s="33" t="e">
        <f>+B465+1</f>
        <v>#REF!</v>
      </c>
      <c r="C466" s="34" t="s">
        <v>3741</v>
      </c>
      <c r="D466" s="35" t="s">
        <v>3742</v>
      </c>
      <c r="E466" s="36" t="s">
        <v>3743</v>
      </c>
      <c r="F466" s="334">
        <v>29257</v>
      </c>
      <c r="G466" s="36" t="s">
        <v>36</v>
      </c>
      <c r="H466" s="34" t="s">
        <v>3744</v>
      </c>
      <c r="I466" s="37" t="s">
        <v>73</v>
      </c>
      <c r="J466" s="425" t="s">
        <v>4765</v>
      </c>
      <c r="K466" s="37" t="s">
        <v>73</v>
      </c>
      <c r="L466" s="34" t="s">
        <v>3745</v>
      </c>
      <c r="M466" s="34" t="s">
        <v>3746</v>
      </c>
      <c r="N466" s="39" t="s">
        <v>42</v>
      </c>
      <c r="O466" s="99" t="s">
        <v>3747</v>
      </c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42" t="s">
        <v>3748</v>
      </c>
      <c r="AB466" s="69" t="s">
        <v>3749</v>
      </c>
      <c r="AC466" s="44" t="s">
        <v>61</v>
      </c>
      <c r="AD466" s="45">
        <v>42325</v>
      </c>
      <c r="AE466" s="101" t="s">
        <v>30</v>
      </c>
      <c r="AF466" s="36" t="s">
        <v>26</v>
      </c>
      <c r="AG466" s="64" t="s">
        <v>120</v>
      </c>
      <c r="AH466" s="48" t="s">
        <v>120</v>
      </c>
      <c r="AI466" s="48" t="s">
        <v>120</v>
      </c>
      <c r="AJ466" s="48" t="s">
        <v>120</v>
      </c>
      <c r="AK466" s="48" t="s">
        <v>120</v>
      </c>
      <c r="AL466" s="48" t="s">
        <v>120</v>
      </c>
      <c r="AM466" s="49" t="s">
        <v>120</v>
      </c>
      <c r="AN466" s="48" t="s">
        <v>120</v>
      </c>
      <c r="AO466" s="65" t="s">
        <v>32</v>
      </c>
      <c r="AP466" s="65"/>
      <c r="AQ466" s="67"/>
    </row>
    <row r="467" spans="1:43" x14ac:dyDescent="0.2">
      <c r="A467">
        <v>466</v>
      </c>
      <c r="B467" s="33" t="e">
        <f>+B466+1</f>
        <v>#REF!</v>
      </c>
      <c r="C467" s="34" t="s">
        <v>3750</v>
      </c>
      <c r="D467" s="35" t="s">
        <v>3751</v>
      </c>
      <c r="E467" s="36" t="s">
        <v>4854</v>
      </c>
      <c r="F467" s="334">
        <v>19791</v>
      </c>
      <c r="G467" s="36" t="s">
        <v>54</v>
      </c>
      <c r="H467" s="34" t="s">
        <v>3753</v>
      </c>
      <c r="I467" s="37" t="s">
        <v>73</v>
      </c>
      <c r="J467" s="425" t="s">
        <v>4765</v>
      </c>
      <c r="K467" s="37" t="s">
        <v>73</v>
      </c>
      <c r="L467" s="34" t="s">
        <v>3754</v>
      </c>
      <c r="M467" s="38" t="s">
        <v>3755</v>
      </c>
      <c r="N467" s="39" t="s">
        <v>42</v>
      </c>
      <c r="O467" s="120">
        <v>34430</v>
      </c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57" t="s">
        <v>3756</v>
      </c>
      <c r="AB467" s="69" t="s">
        <v>3757</v>
      </c>
      <c r="AC467" s="44" t="s">
        <v>61</v>
      </c>
      <c r="AD467" s="45">
        <v>34597</v>
      </c>
      <c r="AE467" s="101" t="s">
        <v>30</v>
      </c>
      <c r="AF467" s="36" t="s">
        <v>26</v>
      </c>
      <c r="AG467" s="47" t="s">
        <v>49</v>
      </c>
      <c r="AH467" s="48" t="s">
        <v>49</v>
      </c>
      <c r="AI467" s="48" t="s">
        <v>49</v>
      </c>
      <c r="AJ467" s="48" t="s">
        <v>49</v>
      </c>
      <c r="AK467" s="48" t="s">
        <v>41</v>
      </c>
      <c r="AL467" s="48" t="s">
        <v>41</v>
      </c>
      <c r="AM467" s="49" t="s">
        <v>41</v>
      </c>
      <c r="AN467" s="48" t="s">
        <v>41</v>
      </c>
      <c r="AO467" s="62" t="s">
        <v>139</v>
      </c>
      <c r="AP467" s="62"/>
      <c r="AQ467" s="59"/>
    </row>
    <row r="468" spans="1:43" x14ac:dyDescent="0.2">
      <c r="A468">
        <v>467</v>
      </c>
      <c r="B468" s="33" t="e">
        <f>+B467+1</f>
        <v>#REF!</v>
      </c>
      <c r="C468" s="34" t="s">
        <v>3758</v>
      </c>
      <c r="D468" s="35" t="s">
        <v>3759</v>
      </c>
      <c r="E468" s="36" t="s">
        <v>3760</v>
      </c>
      <c r="F468" s="334">
        <v>36370</v>
      </c>
      <c r="G468" s="36" t="s">
        <v>54</v>
      </c>
      <c r="H468" s="34" t="s">
        <v>3761</v>
      </c>
      <c r="I468" s="37" t="s">
        <v>323</v>
      </c>
      <c r="J468" s="425" t="s">
        <v>4758</v>
      </c>
      <c r="K468" s="37" t="s">
        <v>39</v>
      </c>
      <c r="L468" s="38" t="s">
        <v>3762</v>
      </c>
      <c r="M468" s="38"/>
      <c r="N468" s="39" t="s">
        <v>42</v>
      </c>
      <c r="O468" s="120">
        <v>45357</v>
      </c>
      <c r="P468" s="41"/>
      <c r="Q468" s="41"/>
      <c r="R468" s="41"/>
      <c r="S468" s="41"/>
      <c r="T468" s="41"/>
      <c r="U468" s="41"/>
      <c r="V468" s="41"/>
      <c r="W468" s="41"/>
      <c r="X468" s="41" t="s">
        <v>44</v>
      </c>
      <c r="Y468" s="41"/>
      <c r="Z468" s="41"/>
      <c r="AA468" s="54" t="s">
        <v>3763</v>
      </c>
      <c r="AB468" s="58" t="s">
        <v>3764</v>
      </c>
      <c r="AC468" s="44"/>
      <c r="AD468" s="45"/>
      <c r="AE468" s="101"/>
      <c r="AF468" s="36"/>
      <c r="AG468" s="47" t="s">
        <v>49</v>
      </c>
      <c r="AH468" s="48" t="s">
        <v>41</v>
      </c>
      <c r="AI468" s="48" t="s">
        <v>41</v>
      </c>
      <c r="AJ468" s="48" t="s">
        <v>41</v>
      </c>
      <c r="AK468" s="48" t="s">
        <v>41</v>
      </c>
      <c r="AL468" s="48" t="s">
        <v>49</v>
      </c>
      <c r="AM468" s="49" t="s">
        <v>49</v>
      </c>
      <c r="AN468" s="48" t="s">
        <v>49</v>
      </c>
      <c r="AO468" s="65" t="s">
        <v>32</v>
      </c>
      <c r="AP468" s="65"/>
      <c r="AQ468" s="423"/>
    </row>
    <row r="469" spans="1:43" ht="15" customHeight="1" x14ac:dyDescent="0.2">
      <c r="A469">
        <v>468</v>
      </c>
      <c r="B469" s="33" t="e">
        <f>+B468+1</f>
        <v>#REF!</v>
      </c>
      <c r="C469" s="34" t="s">
        <v>3765</v>
      </c>
      <c r="D469" s="35" t="s">
        <v>3766</v>
      </c>
      <c r="E469" s="36" t="s">
        <v>3767</v>
      </c>
      <c r="F469" s="36"/>
      <c r="G469" s="36" t="s">
        <v>54</v>
      </c>
      <c r="H469" s="34" t="s">
        <v>3768</v>
      </c>
      <c r="I469" s="37" t="s">
        <v>1417</v>
      </c>
      <c r="J469" s="425" t="s">
        <v>4738</v>
      </c>
      <c r="K469" s="37" t="s">
        <v>187</v>
      </c>
      <c r="L469" s="38" t="s">
        <v>3769</v>
      </c>
      <c r="M469" s="34" t="s">
        <v>41</v>
      </c>
      <c r="N469" s="39" t="s">
        <v>42</v>
      </c>
      <c r="O469" s="120">
        <v>42562</v>
      </c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42" t="s">
        <v>3770</v>
      </c>
      <c r="AB469" s="58" t="s">
        <v>3771</v>
      </c>
      <c r="AC469" s="44" t="s">
        <v>3772</v>
      </c>
      <c r="AD469" s="45">
        <v>44041</v>
      </c>
      <c r="AE469" s="101" t="s">
        <v>30</v>
      </c>
      <c r="AF469" s="36" t="s">
        <v>26</v>
      </c>
      <c r="AG469" s="47" t="s">
        <v>49</v>
      </c>
      <c r="AH469" s="48" t="s">
        <v>49</v>
      </c>
      <c r="AI469" s="48" t="s">
        <v>41</v>
      </c>
      <c r="AJ469" s="48" t="s">
        <v>41</v>
      </c>
      <c r="AK469" s="48" t="s">
        <v>41</v>
      </c>
      <c r="AL469" s="48" t="s">
        <v>41</v>
      </c>
      <c r="AM469" s="49" t="s">
        <v>41</v>
      </c>
      <c r="AN469" s="48" t="s">
        <v>41</v>
      </c>
      <c r="AO469" s="62" t="s">
        <v>4587</v>
      </c>
      <c r="AP469" s="62"/>
      <c r="AQ469" s="59"/>
    </row>
    <row r="470" spans="1:43" ht="15" customHeight="1" x14ac:dyDescent="0.2">
      <c r="A470">
        <v>469</v>
      </c>
      <c r="B470" s="33" t="e">
        <f>+B469+1</f>
        <v>#REF!</v>
      </c>
      <c r="C470" s="34" t="s">
        <v>3773</v>
      </c>
      <c r="D470" s="35" t="s">
        <v>3774</v>
      </c>
      <c r="E470" s="36" t="s">
        <v>3775</v>
      </c>
      <c r="F470" s="334">
        <v>32991</v>
      </c>
      <c r="G470" s="36" t="s">
        <v>54</v>
      </c>
      <c r="H470" s="34" t="s">
        <v>3776</v>
      </c>
      <c r="I470" s="37" t="s">
        <v>1417</v>
      </c>
      <c r="J470" s="425" t="s">
        <v>4738</v>
      </c>
      <c r="K470" s="37" t="s">
        <v>187</v>
      </c>
      <c r="L470" s="38" t="s">
        <v>3777</v>
      </c>
      <c r="M470" s="34" t="s">
        <v>41</v>
      </c>
      <c r="N470" s="39" t="s">
        <v>42</v>
      </c>
      <c r="O470" s="120">
        <v>43227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42" t="s">
        <v>3778</v>
      </c>
      <c r="AB470" s="69" t="s">
        <v>3779</v>
      </c>
      <c r="AC470" s="119" t="s">
        <v>3780</v>
      </c>
      <c r="AD470" s="45">
        <v>44041</v>
      </c>
      <c r="AE470" s="101" t="s">
        <v>30</v>
      </c>
      <c r="AF470" s="36" t="s">
        <v>26</v>
      </c>
      <c r="AG470" s="47" t="s">
        <v>49</v>
      </c>
      <c r="AH470" s="48" t="s">
        <v>49</v>
      </c>
      <c r="AI470" s="48" t="s">
        <v>49</v>
      </c>
      <c r="AJ470" s="48" t="s">
        <v>49</v>
      </c>
      <c r="AK470" s="48" t="s">
        <v>49</v>
      </c>
      <c r="AL470" s="48" t="s">
        <v>49</v>
      </c>
      <c r="AM470" s="49" t="s">
        <v>49</v>
      </c>
      <c r="AN470" s="48" t="s">
        <v>49</v>
      </c>
      <c r="AO470" s="62" t="s">
        <v>32</v>
      </c>
      <c r="AP470" s="62" t="s">
        <v>4681</v>
      </c>
      <c r="AQ470" s="59"/>
    </row>
    <row r="471" spans="1:43" ht="15" customHeight="1" x14ac:dyDescent="0.2">
      <c r="A471">
        <v>470</v>
      </c>
      <c r="B471" s="33" t="e">
        <f>+B470+1</f>
        <v>#REF!</v>
      </c>
      <c r="C471" s="34" t="s">
        <v>3781</v>
      </c>
      <c r="D471" s="35" t="s">
        <v>3782</v>
      </c>
      <c r="E471" s="36" t="s">
        <v>3783</v>
      </c>
      <c r="F471" s="334">
        <v>29248</v>
      </c>
      <c r="G471" s="36" t="s">
        <v>54</v>
      </c>
      <c r="H471" s="34" t="s">
        <v>3784</v>
      </c>
      <c r="I471" s="37" t="s">
        <v>323</v>
      </c>
      <c r="J471" s="425" t="s">
        <v>4758</v>
      </c>
      <c r="K471" s="37" t="s">
        <v>39</v>
      </c>
      <c r="L471" s="38" t="s">
        <v>3785</v>
      </c>
      <c r="M471" s="34" t="s">
        <v>41</v>
      </c>
      <c r="N471" s="39" t="s">
        <v>42</v>
      </c>
      <c r="O471" s="120" t="s">
        <v>3786</v>
      </c>
      <c r="P471" s="56"/>
      <c r="Q471" s="56"/>
      <c r="R471" s="56"/>
      <c r="S471" s="56"/>
      <c r="T471" s="56"/>
      <c r="U471" s="56" t="s">
        <v>44</v>
      </c>
      <c r="V471" s="56"/>
      <c r="W471" s="56"/>
      <c r="X471" s="56"/>
      <c r="Y471" s="56"/>
      <c r="Z471" s="56"/>
      <c r="AA471" s="42" t="s">
        <v>3787</v>
      </c>
      <c r="AB471" s="58" t="s">
        <v>3788</v>
      </c>
      <c r="AC471" s="207" t="s">
        <v>3789</v>
      </c>
      <c r="AD471" s="45">
        <v>44944</v>
      </c>
      <c r="AE471" s="101" t="s">
        <v>30</v>
      </c>
      <c r="AF471" s="36"/>
      <c r="AG471" s="47" t="s">
        <v>49</v>
      </c>
      <c r="AH471" s="48" t="s">
        <v>41</v>
      </c>
      <c r="AI471" s="48" t="s">
        <v>49</v>
      </c>
      <c r="AJ471" s="48" t="s">
        <v>49</v>
      </c>
      <c r="AK471" s="48" t="s">
        <v>49</v>
      </c>
      <c r="AL471" s="48" t="s">
        <v>49</v>
      </c>
      <c r="AM471" s="49" t="s">
        <v>49</v>
      </c>
      <c r="AN471" s="48" t="s">
        <v>49</v>
      </c>
      <c r="AO471" s="65" t="s">
        <v>32</v>
      </c>
      <c r="AP471" s="65"/>
      <c r="AQ471" s="59"/>
    </row>
    <row r="472" spans="1:43" ht="15" customHeight="1" x14ac:dyDescent="0.2">
      <c r="A472">
        <v>471</v>
      </c>
      <c r="B472" s="33" t="e">
        <f>+B471+1</f>
        <v>#REF!</v>
      </c>
      <c r="C472" s="34" t="s">
        <v>4622</v>
      </c>
      <c r="D472" s="35" t="s">
        <v>3791</v>
      </c>
      <c r="E472" s="36" t="s">
        <v>4623</v>
      </c>
      <c r="F472" s="334">
        <v>35342</v>
      </c>
      <c r="G472" s="36" t="s">
        <v>54</v>
      </c>
      <c r="H472" s="34" t="s">
        <v>4621</v>
      </c>
      <c r="I472" s="37" t="s">
        <v>252</v>
      </c>
      <c r="J472" s="425" t="s">
        <v>4763</v>
      </c>
      <c r="K472" s="37" t="s">
        <v>57</v>
      </c>
      <c r="L472" s="34" t="s">
        <v>3794</v>
      </c>
      <c r="M472" s="34" t="s">
        <v>41</v>
      </c>
      <c r="N472" s="39" t="s">
        <v>42</v>
      </c>
      <c r="O472" s="120">
        <v>30353</v>
      </c>
      <c r="P472" s="41"/>
      <c r="Q472" s="41"/>
      <c r="R472" s="41"/>
      <c r="S472" s="41"/>
      <c r="T472" s="41"/>
      <c r="U472" s="41"/>
      <c r="V472" s="41"/>
      <c r="W472" s="41" t="s">
        <v>732</v>
      </c>
      <c r="X472" s="41"/>
      <c r="Y472" s="41"/>
      <c r="Z472" s="41"/>
      <c r="AA472" s="42" t="s">
        <v>3795</v>
      </c>
      <c r="AB472" s="43" t="s">
        <v>3796</v>
      </c>
      <c r="AC472" s="44" t="s">
        <v>61</v>
      </c>
      <c r="AD472" s="45">
        <v>34597</v>
      </c>
      <c r="AE472" s="101" t="s">
        <v>30</v>
      </c>
      <c r="AF472" s="36" t="s">
        <v>26</v>
      </c>
      <c r="AG472" s="47" t="s">
        <v>49</v>
      </c>
      <c r="AH472" s="48" t="s">
        <v>49</v>
      </c>
      <c r="AI472" s="48" t="s">
        <v>49</v>
      </c>
      <c r="AJ472" s="48" t="s">
        <v>49</v>
      </c>
      <c r="AK472" s="48" t="s">
        <v>49</v>
      </c>
      <c r="AL472" s="48" t="s">
        <v>49</v>
      </c>
      <c r="AM472" s="49" t="s">
        <v>49</v>
      </c>
      <c r="AN472" s="48" t="s">
        <v>49</v>
      </c>
      <c r="AO472" s="65" t="s">
        <v>32</v>
      </c>
      <c r="AP472" s="65"/>
      <c r="AQ472" s="59"/>
    </row>
    <row r="473" spans="1:43" ht="15" customHeight="1" x14ac:dyDescent="0.2">
      <c r="A473">
        <v>472</v>
      </c>
      <c r="B473" s="33" t="e">
        <f>+B472+1</f>
        <v>#REF!</v>
      </c>
      <c r="C473" s="34" t="s">
        <v>3797</v>
      </c>
      <c r="D473" s="35" t="s">
        <v>3798</v>
      </c>
      <c r="E473" s="398" t="s">
        <v>3799</v>
      </c>
      <c r="F473" s="334">
        <v>33374</v>
      </c>
      <c r="G473" s="36" t="s">
        <v>54</v>
      </c>
      <c r="H473" s="34" t="s">
        <v>3800</v>
      </c>
      <c r="I473" s="37" t="s">
        <v>73</v>
      </c>
      <c r="J473" s="425" t="s">
        <v>4765</v>
      </c>
      <c r="K473" s="37" t="s">
        <v>73</v>
      </c>
      <c r="L473" s="34" t="s">
        <v>3801</v>
      </c>
      <c r="M473" s="38" t="s">
        <v>41</v>
      </c>
      <c r="N473" s="39" t="s">
        <v>42</v>
      </c>
      <c r="O473" s="120">
        <v>33795</v>
      </c>
      <c r="P473" s="56" t="s">
        <v>179</v>
      </c>
      <c r="Q473" s="56" t="s">
        <v>341</v>
      </c>
      <c r="R473" s="56" t="s">
        <v>1878</v>
      </c>
      <c r="S473" s="56"/>
      <c r="T473" s="56"/>
      <c r="U473" s="56"/>
      <c r="V473" s="56"/>
      <c r="W473" s="56"/>
      <c r="X473" s="56" t="s">
        <v>732</v>
      </c>
      <c r="Y473" s="56"/>
      <c r="Z473" s="56"/>
      <c r="AA473" s="42" t="s">
        <v>3802</v>
      </c>
      <c r="AB473" s="69" t="s">
        <v>3803</v>
      </c>
      <c r="AC473" s="119" t="s">
        <v>3804</v>
      </c>
      <c r="AD473" s="45">
        <v>44041</v>
      </c>
      <c r="AE473" s="101" t="s">
        <v>30</v>
      </c>
      <c r="AF473" s="36" t="s">
        <v>26</v>
      </c>
      <c r="AG473" s="47" t="s">
        <v>49</v>
      </c>
      <c r="AH473" s="48" t="s">
        <v>49</v>
      </c>
      <c r="AI473" s="48" t="s">
        <v>49</v>
      </c>
      <c r="AJ473" s="48" t="s">
        <v>49</v>
      </c>
      <c r="AK473" s="48" t="s">
        <v>49</v>
      </c>
      <c r="AL473" s="48" t="s">
        <v>49</v>
      </c>
      <c r="AM473" s="49" t="s">
        <v>41</v>
      </c>
      <c r="AN473" s="48" t="s">
        <v>41</v>
      </c>
      <c r="AO473" s="62" t="s">
        <v>276</v>
      </c>
      <c r="AP473" s="62"/>
      <c r="AQ473" s="59"/>
    </row>
    <row r="474" spans="1:43" ht="15" customHeight="1" x14ac:dyDescent="0.2">
      <c r="A474">
        <v>473</v>
      </c>
      <c r="B474" s="33" t="e">
        <f>+B473+1</f>
        <v>#REF!</v>
      </c>
      <c r="C474" s="34" t="s">
        <v>3805</v>
      </c>
      <c r="D474" s="35" t="s">
        <v>3806</v>
      </c>
      <c r="E474" s="174" t="s">
        <v>3807</v>
      </c>
      <c r="F474" s="341">
        <v>28083</v>
      </c>
      <c r="G474" s="36" t="s">
        <v>54</v>
      </c>
      <c r="H474" s="34" t="s">
        <v>3808</v>
      </c>
      <c r="I474" s="37" t="s">
        <v>73</v>
      </c>
      <c r="J474" s="425" t="s">
        <v>4765</v>
      </c>
      <c r="K474" s="37" t="s">
        <v>73</v>
      </c>
      <c r="L474" s="38" t="s">
        <v>3809</v>
      </c>
      <c r="M474" s="38" t="s">
        <v>41</v>
      </c>
      <c r="N474" s="39" t="s">
        <v>42</v>
      </c>
      <c r="O474" s="120" t="s">
        <v>3810</v>
      </c>
      <c r="P474" s="56"/>
      <c r="Q474" s="56"/>
      <c r="R474" s="56"/>
      <c r="S474" s="56"/>
      <c r="T474" s="56"/>
      <c r="U474" s="56" t="s">
        <v>44</v>
      </c>
      <c r="V474" s="56"/>
      <c r="W474" s="56"/>
      <c r="X474" s="56" t="s">
        <v>732</v>
      </c>
      <c r="Y474" s="56"/>
      <c r="Z474" s="56"/>
      <c r="AA474" s="42" t="s">
        <v>3811</v>
      </c>
      <c r="AB474" s="58" t="s">
        <v>3812</v>
      </c>
      <c r="AC474" s="121"/>
      <c r="AD474" s="45"/>
      <c r="AE474" s="101"/>
      <c r="AF474" s="36"/>
      <c r="AG474" s="47" t="s">
        <v>49</v>
      </c>
      <c r="AH474" s="48" t="s">
        <v>41</v>
      </c>
      <c r="AI474" s="48" t="s">
        <v>49</v>
      </c>
      <c r="AJ474" s="48" t="s">
        <v>49</v>
      </c>
      <c r="AK474" s="48" t="s">
        <v>49</v>
      </c>
      <c r="AL474" s="48" t="s">
        <v>49</v>
      </c>
      <c r="AM474" s="49" t="s">
        <v>49</v>
      </c>
      <c r="AN474" s="48" t="s">
        <v>49</v>
      </c>
      <c r="AO474" s="62" t="s">
        <v>32</v>
      </c>
      <c r="AP474" s="62"/>
      <c r="AQ474" s="59"/>
    </row>
    <row r="475" spans="1:43" ht="15" customHeight="1" x14ac:dyDescent="0.2">
      <c r="A475">
        <v>474</v>
      </c>
      <c r="B475" s="33" t="e">
        <f>+B474+1</f>
        <v>#REF!</v>
      </c>
      <c r="C475" s="34" t="s">
        <v>3813</v>
      </c>
      <c r="D475" s="35" t="s">
        <v>3814</v>
      </c>
      <c r="E475" s="36" t="s">
        <v>4813</v>
      </c>
      <c r="F475" s="334">
        <v>18881</v>
      </c>
      <c r="G475" s="36" t="s">
        <v>54</v>
      </c>
      <c r="H475" s="34" t="s">
        <v>3816</v>
      </c>
      <c r="I475" s="37" t="s">
        <v>73</v>
      </c>
      <c r="J475" s="425" t="s">
        <v>4765</v>
      </c>
      <c r="K475" s="37" t="s">
        <v>73</v>
      </c>
      <c r="L475" s="34" t="s">
        <v>3746</v>
      </c>
      <c r="M475" s="34" t="s">
        <v>41</v>
      </c>
      <c r="N475" s="39" t="s">
        <v>42</v>
      </c>
      <c r="O475" s="99" t="s">
        <v>3817</v>
      </c>
      <c r="P475" s="56"/>
      <c r="Q475" s="56"/>
      <c r="R475" s="56"/>
      <c r="S475" s="56"/>
      <c r="T475" s="56"/>
      <c r="U475" s="56"/>
      <c r="V475" s="56"/>
      <c r="W475" s="56" t="s">
        <v>732</v>
      </c>
      <c r="X475" s="56"/>
      <c r="Y475" s="56"/>
      <c r="Z475" s="56"/>
      <c r="AA475" s="42" t="s">
        <v>3818</v>
      </c>
      <c r="AB475" s="52" t="s">
        <v>3819</v>
      </c>
      <c r="AC475" s="44"/>
      <c r="AD475" s="45">
        <v>45642</v>
      </c>
      <c r="AE475" s="101"/>
      <c r="AF475" s="36" t="s">
        <v>26</v>
      </c>
      <c r="AG475" s="47" t="s">
        <v>49</v>
      </c>
      <c r="AH475" s="48" t="s">
        <v>49</v>
      </c>
      <c r="AI475" s="48" t="s">
        <v>49</v>
      </c>
      <c r="AJ475" s="48" t="s">
        <v>49</v>
      </c>
      <c r="AK475" s="48" t="s">
        <v>49</v>
      </c>
      <c r="AL475" s="48" t="s">
        <v>49</v>
      </c>
      <c r="AM475" s="49" t="s">
        <v>49</v>
      </c>
      <c r="AN475" s="48" t="s">
        <v>49</v>
      </c>
      <c r="AO475" s="65" t="s">
        <v>32</v>
      </c>
      <c r="AP475" s="65"/>
      <c r="AQ475" s="59"/>
    </row>
    <row r="476" spans="1:43" ht="15" customHeight="1" x14ac:dyDescent="0.2">
      <c r="A476">
        <v>475</v>
      </c>
      <c r="B476" s="33" t="e">
        <f>+B475+1</f>
        <v>#REF!</v>
      </c>
      <c r="C476" s="34" t="s">
        <v>3820</v>
      </c>
      <c r="D476" s="35" t="s">
        <v>3821</v>
      </c>
      <c r="E476" s="36" t="s">
        <v>3822</v>
      </c>
      <c r="F476" s="334">
        <v>33391</v>
      </c>
      <c r="G476" s="36" t="s">
        <v>54</v>
      </c>
      <c r="H476" s="34" t="s">
        <v>3808</v>
      </c>
      <c r="I476" s="37" t="s">
        <v>73</v>
      </c>
      <c r="J476" s="425" t="s">
        <v>4765</v>
      </c>
      <c r="K476" s="37" t="s">
        <v>73</v>
      </c>
      <c r="L476" s="34" t="s">
        <v>3823</v>
      </c>
      <c r="M476" s="34" t="s">
        <v>41</v>
      </c>
      <c r="N476" s="39" t="s">
        <v>42</v>
      </c>
      <c r="O476" s="99" t="s">
        <v>3824</v>
      </c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42" t="s">
        <v>3825</v>
      </c>
      <c r="AB476" s="58" t="s">
        <v>3826</v>
      </c>
      <c r="AC476" s="44" t="s">
        <v>3827</v>
      </c>
      <c r="AD476" s="45">
        <v>44041</v>
      </c>
      <c r="AE476" s="101" t="s">
        <v>30</v>
      </c>
      <c r="AF476" s="36" t="s">
        <v>26</v>
      </c>
      <c r="AG476" s="47" t="s">
        <v>49</v>
      </c>
      <c r="AH476" s="48" t="s">
        <v>49</v>
      </c>
      <c r="AI476" s="48" t="s">
        <v>49</v>
      </c>
      <c r="AJ476" s="48" t="s">
        <v>49</v>
      </c>
      <c r="AK476" s="48" t="s">
        <v>49</v>
      </c>
      <c r="AL476" s="48" t="s">
        <v>49</v>
      </c>
      <c r="AM476" s="49" t="s">
        <v>49</v>
      </c>
      <c r="AN476" s="48" t="s">
        <v>49</v>
      </c>
      <c r="AO476" s="62" t="s">
        <v>32</v>
      </c>
      <c r="AP476" s="62"/>
      <c r="AQ476" s="59"/>
    </row>
    <row r="477" spans="1:43" ht="15" customHeight="1" x14ac:dyDescent="0.2">
      <c r="A477">
        <v>476</v>
      </c>
      <c r="B477" s="33" t="e">
        <f>+B476+1</f>
        <v>#REF!</v>
      </c>
      <c r="C477" s="34" t="s">
        <v>3828</v>
      </c>
      <c r="D477" s="35" t="s">
        <v>3829</v>
      </c>
      <c r="E477" s="36" t="s">
        <v>3830</v>
      </c>
      <c r="F477" s="334">
        <v>30664</v>
      </c>
      <c r="G477" s="36" t="s">
        <v>54</v>
      </c>
      <c r="H477" s="34" t="s">
        <v>3831</v>
      </c>
      <c r="I477" s="37" t="s">
        <v>176</v>
      </c>
      <c r="J477" s="425" t="s">
        <v>4767</v>
      </c>
      <c r="K477" s="37" t="s">
        <v>39</v>
      </c>
      <c r="L477" s="38" t="s">
        <v>3832</v>
      </c>
      <c r="M477" s="34" t="s">
        <v>41</v>
      </c>
      <c r="N477" s="39" t="s">
        <v>42</v>
      </c>
      <c r="O477" s="99" t="s">
        <v>3833</v>
      </c>
      <c r="P477" s="56"/>
      <c r="Q477" s="56"/>
      <c r="R477" s="56"/>
      <c r="S477" s="56"/>
      <c r="T477" s="56"/>
      <c r="U477" s="56"/>
      <c r="V477" s="56"/>
      <c r="W477" s="56" t="s">
        <v>732</v>
      </c>
      <c r="X477" s="56"/>
      <c r="Y477" s="56"/>
      <c r="Z477" s="56"/>
      <c r="AA477" s="42" t="s">
        <v>3834</v>
      </c>
      <c r="AB477" s="58" t="s">
        <v>3835</v>
      </c>
      <c r="AC477" s="58"/>
      <c r="AD477" s="58" t="s">
        <v>47</v>
      </c>
      <c r="AE477" s="101"/>
      <c r="AF477" s="36" t="s">
        <v>26</v>
      </c>
      <c r="AG477" s="47" t="s">
        <v>49</v>
      </c>
      <c r="AH477" s="48" t="s">
        <v>49</v>
      </c>
      <c r="AI477" s="48" t="s">
        <v>49</v>
      </c>
      <c r="AJ477" s="48" t="s">
        <v>49</v>
      </c>
      <c r="AK477" s="48" t="s">
        <v>49</v>
      </c>
      <c r="AL477" s="48" t="s">
        <v>41</v>
      </c>
      <c r="AM477" s="49" t="s">
        <v>41</v>
      </c>
      <c r="AN477" s="48" t="s">
        <v>41</v>
      </c>
      <c r="AO477" s="62" t="s">
        <v>4589</v>
      </c>
      <c r="AP477" s="62"/>
      <c r="AQ477" s="59"/>
    </row>
    <row r="478" spans="1:43" ht="15" customHeight="1" x14ac:dyDescent="0.2">
      <c r="A478">
        <v>477</v>
      </c>
      <c r="B478" s="33" t="e">
        <f>+B477+1</f>
        <v>#REF!</v>
      </c>
      <c r="C478" s="34" t="s">
        <v>3836</v>
      </c>
      <c r="D478" s="35" t="s">
        <v>3837</v>
      </c>
      <c r="E478" s="36" t="s">
        <v>3838</v>
      </c>
      <c r="F478" s="334">
        <v>30463</v>
      </c>
      <c r="G478" s="36" t="s">
        <v>54</v>
      </c>
      <c r="H478" s="34" t="s">
        <v>3839</v>
      </c>
      <c r="I478" s="37" t="s">
        <v>252</v>
      </c>
      <c r="J478" s="425" t="s">
        <v>4742</v>
      </c>
      <c r="K478" s="37" t="s">
        <v>57</v>
      </c>
      <c r="L478" s="38" t="s">
        <v>3840</v>
      </c>
      <c r="M478" s="34" t="s">
        <v>41</v>
      </c>
      <c r="N478" s="39" t="s">
        <v>42</v>
      </c>
      <c r="O478" s="120">
        <v>45322</v>
      </c>
      <c r="P478" s="41"/>
      <c r="Q478" s="41"/>
      <c r="R478" s="41"/>
      <c r="S478" s="41"/>
      <c r="T478" s="41"/>
      <c r="U478" s="41"/>
      <c r="V478" s="41"/>
      <c r="W478" s="41"/>
      <c r="X478" s="41" t="s">
        <v>44</v>
      </c>
      <c r="Y478" s="41"/>
      <c r="Z478" s="41"/>
      <c r="AA478" s="42" t="s">
        <v>3841</v>
      </c>
      <c r="AB478" s="58" t="s">
        <v>3842</v>
      </c>
      <c r="AC478" s="121"/>
      <c r="AD478" s="45"/>
      <c r="AE478" s="101"/>
      <c r="AF478" s="36"/>
      <c r="AG478" s="47" t="s">
        <v>49</v>
      </c>
      <c r="AH478" s="48" t="s">
        <v>41</v>
      </c>
      <c r="AI478" s="48" t="s">
        <v>41</v>
      </c>
      <c r="AJ478" s="48" t="s">
        <v>41</v>
      </c>
      <c r="AK478" s="48" t="s">
        <v>41</v>
      </c>
      <c r="AL478" s="48" t="s">
        <v>49</v>
      </c>
      <c r="AM478" s="49" t="s">
        <v>49</v>
      </c>
      <c r="AN478" s="48" t="s">
        <v>49</v>
      </c>
      <c r="AO478" s="65" t="s">
        <v>32</v>
      </c>
      <c r="AP478" s="65"/>
      <c r="AQ478" s="59"/>
    </row>
    <row r="479" spans="1:43" ht="15" customHeight="1" x14ac:dyDescent="0.2">
      <c r="A479">
        <v>478</v>
      </c>
      <c r="B479" s="33" t="e">
        <f>+B478+1</f>
        <v>#REF!</v>
      </c>
      <c r="C479" s="34" t="s">
        <v>3843</v>
      </c>
      <c r="D479" s="35" t="s">
        <v>3844</v>
      </c>
      <c r="E479" s="36" t="s">
        <v>3845</v>
      </c>
      <c r="F479" s="36"/>
      <c r="G479" s="36" t="s">
        <v>54</v>
      </c>
      <c r="H479" s="34" t="s">
        <v>3846</v>
      </c>
      <c r="I479" s="37" t="s">
        <v>360</v>
      </c>
      <c r="J479" s="425" t="s">
        <v>4749</v>
      </c>
      <c r="K479" s="37" t="s">
        <v>350</v>
      </c>
      <c r="L479" s="34" t="s">
        <v>3847</v>
      </c>
      <c r="M479" s="34"/>
      <c r="N479" s="39" t="s">
        <v>42</v>
      </c>
      <c r="O479" s="99" t="s">
        <v>3848</v>
      </c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57" t="s">
        <v>3849</v>
      </c>
      <c r="AB479" s="52" t="s">
        <v>3850</v>
      </c>
      <c r="AC479" s="417" t="s">
        <v>61</v>
      </c>
      <c r="AD479" s="45">
        <v>37877</v>
      </c>
      <c r="AE479" s="101" t="s">
        <v>30</v>
      </c>
      <c r="AF479" s="36"/>
      <c r="AG479" s="47" t="s">
        <v>49</v>
      </c>
      <c r="AH479" s="48" t="s">
        <v>41</v>
      </c>
      <c r="AI479" s="48" t="s">
        <v>41</v>
      </c>
      <c r="AJ479" s="48" t="s">
        <v>41</v>
      </c>
      <c r="AK479" s="48" t="s">
        <v>41</v>
      </c>
      <c r="AL479" s="48" t="s">
        <v>41</v>
      </c>
      <c r="AM479" s="49" t="s">
        <v>41</v>
      </c>
      <c r="AN479" s="48" t="s">
        <v>41</v>
      </c>
      <c r="AO479" s="65" t="s">
        <v>4590</v>
      </c>
      <c r="AP479" s="65"/>
      <c r="AQ479" s="59" t="s">
        <v>3851</v>
      </c>
    </row>
    <row r="480" spans="1:43" ht="15" customHeight="1" x14ac:dyDescent="0.2">
      <c r="A480">
        <v>479</v>
      </c>
      <c r="B480" s="33" t="e">
        <f>+B479+1</f>
        <v>#REF!</v>
      </c>
      <c r="C480" s="34" t="s">
        <v>3852</v>
      </c>
      <c r="D480" s="35" t="s">
        <v>3853</v>
      </c>
      <c r="E480" s="36" t="s">
        <v>4834</v>
      </c>
      <c r="F480" s="334">
        <v>25154</v>
      </c>
      <c r="G480" s="36" t="s">
        <v>54</v>
      </c>
      <c r="H480" s="34" t="s">
        <v>3855</v>
      </c>
      <c r="I480" s="37" t="s">
        <v>73</v>
      </c>
      <c r="J480" s="425" t="s">
        <v>4765</v>
      </c>
      <c r="K480" s="37" t="s">
        <v>73</v>
      </c>
      <c r="L480" s="34" t="s">
        <v>3856</v>
      </c>
      <c r="M480" s="34" t="s">
        <v>41</v>
      </c>
      <c r="N480" s="39" t="s">
        <v>42</v>
      </c>
      <c r="O480" s="99" t="s">
        <v>3857</v>
      </c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42" t="s">
        <v>3858</v>
      </c>
      <c r="AB480" s="52" t="s">
        <v>3859</v>
      </c>
      <c r="AC480" s="119" t="s">
        <v>61</v>
      </c>
      <c r="AD480" s="45">
        <v>38593</v>
      </c>
      <c r="AE480" s="101" t="s">
        <v>30</v>
      </c>
      <c r="AF480" s="36" t="s">
        <v>26</v>
      </c>
      <c r="AG480" s="47" t="s">
        <v>49</v>
      </c>
      <c r="AH480" s="48" t="s">
        <v>49</v>
      </c>
      <c r="AI480" s="48" t="s">
        <v>49</v>
      </c>
      <c r="AJ480" s="48" t="s">
        <v>49</v>
      </c>
      <c r="AK480" s="48" t="s">
        <v>49</v>
      </c>
      <c r="AL480" s="48" t="s">
        <v>41</v>
      </c>
      <c r="AM480" s="49" t="s">
        <v>41</v>
      </c>
      <c r="AN480" s="48" t="s">
        <v>41</v>
      </c>
      <c r="AO480" s="62" t="s">
        <v>4589</v>
      </c>
      <c r="AP480" s="62"/>
      <c r="AQ480" s="59"/>
    </row>
    <row r="481" spans="1:43" ht="15" customHeight="1" x14ac:dyDescent="0.2">
      <c r="A481">
        <v>480</v>
      </c>
      <c r="B481" s="33" t="e">
        <f>+B480+1</f>
        <v>#REF!</v>
      </c>
      <c r="C481" s="34" t="s">
        <v>3860</v>
      </c>
      <c r="D481" s="35" t="s">
        <v>3861</v>
      </c>
      <c r="E481" s="36" t="s">
        <v>3862</v>
      </c>
      <c r="F481" s="334">
        <v>31148</v>
      </c>
      <c r="G481" s="36" t="s">
        <v>54</v>
      </c>
      <c r="H481" s="34" t="s">
        <v>3863</v>
      </c>
      <c r="I481" s="37" t="s">
        <v>176</v>
      </c>
      <c r="J481" s="425" t="s">
        <v>4761</v>
      </c>
      <c r="K481" s="37" t="s">
        <v>39</v>
      </c>
      <c r="L481" s="34" t="s">
        <v>3864</v>
      </c>
      <c r="M481" s="34" t="s">
        <v>41</v>
      </c>
      <c r="N481" s="39" t="s">
        <v>42</v>
      </c>
      <c r="O481" s="99" t="s">
        <v>3865</v>
      </c>
      <c r="P481" s="56" t="s">
        <v>179</v>
      </c>
      <c r="Q481" s="56" t="s">
        <v>179</v>
      </c>
      <c r="R481" s="56"/>
      <c r="S481" s="56">
        <v>2</v>
      </c>
      <c r="T481" s="56"/>
      <c r="U481" s="56"/>
      <c r="V481" s="56"/>
      <c r="W481" s="56" t="s">
        <v>732</v>
      </c>
      <c r="X481" s="56"/>
      <c r="Y481" s="56"/>
      <c r="Z481" s="56"/>
      <c r="AA481" s="42" t="s">
        <v>3866</v>
      </c>
      <c r="AB481" s="55" t="s">
        <v>3867</v>
      </c>
      <c r="AC481" s="44" t="s">
        <v>3868</v>
      </c>
      <c r="AD481" s="45">
        <v>42325</v>
      </c>
      <c r="AE481" s="101" t="s">
        <v>30</v>
      </c>
      <c r="AF481" s="36" t="s">
        <v>26</v>
      </c>
      <c r="AG481" s="47" t="s">
        <v>49</v>
      </c>
      <c r="AH481" s="48" t="s">
        <v>49</v>
      </c>
      <c r="AI481" s="48" t="s">
        <v>49</v>
      </c>
      <c r="AJ481" s="48" t="s">
        <v>49</v>
      </c>
      <c r="AK481" s="48" t="s">
        <v>49</v>
      </c>
      <c r="AL481" s="48" t="s">
        <v>49</v>
      </c>
      <c r="AM481" s="49" t="s">
        <v>41</v>
      </c>
      <c r="AN481" s="48" t="s">
        <v>41</v>
      </c>
      <c r="AO481" s="62" t="s">
        <v>276</v>
      </c>
      <c r="AP481" s="62"/>
      <c r="AQ481" s="59"/>
    </row>
    <row r="482" spans="1:43" x14ac:dyDescent="0.2">
      <c r="A482">
        <v>481</v>
      </c>
      <c r="B482" s="33" t="e">
        <f>+B481+1</f>
        <v>#REF!</v>
      </c>
      <c r="C482" s="34" t="s">
        <v>3869</v>
      </c>
      <c r="D482" s="35" t="s">
        <v>3870</v>
      </c>
      <c r="E482" s="36" t="s">
        <v>3871</v>
      </c>
      <c r="F482" s="334">
        <v>35950</v>
      </c>
      <c r="G482" s="36" t="s">
        <v>54</v>
      </c>
      <c r="H482" s="34" t="s">
        <v>3872</v>
      </c>
      <c r="I482" s="37" t="s">
        <v>252</v>
      </c>
      <c r="J482" s="425" t="s">
        <v>4763</v>
      </c>
      <c r="K482" s="37" t="s">
        <v>57</v>
      </c>
      <c r="L482" s="38" t="s">
        <v>3873</v>
      </c>
      <c r="M482" s="34" t="s">
        <v>41</v>
      </c>
      <c r="N482" s="39" t="s">
        <v>42</v>
      </c>
      <c r="O482" s="120">
        <v>45322</v>
      </c>
      <c r="P482" s="56"/>
      <c r="Q482" s="56"/>
      <c r="R482" s="56"/>
      <c r="S482" s="56"/>
      <c r="T482" s="56"/>
      <c r="U482" s="56"/>
      <c r="V482" s="56"/>
      <c r="W482" s="56"/>
      <c r="X482" s="56" t="s">
        <v>44</v>
      </c>
      <c r="Y482" s="56"/>
      <c r="Z482" s="56"/>
      <c r="AA482" s="54" t="s">
        <v>3874</v>
      </c>
      <c r="AB482" s="43" t="s">
        <v>3875</v>
      </c>
      <c r="AC482" s="119"/>
      <c r="AD482" s="45"/>
      <c r="AE482" s="101"/>
      <c r="AF482" s="36"/>
      <c r="AG482" s="47" t="s">
        <v>49</v>
      </c>
      <c r="AH482" s="48" t="s">
        <v>41</v>
      </c>
      <c r="AI482" s="48" t="s">
        <v>41</v>
      </c>
      <c r="AJ482" s="48" t="s">
        <v>41</v>
      </c>
      <c r="AK482" s="48" t="s">
        <v>41</v>
      </c>
      <c r="AL482" s="48" t="s">
        <v>49</v>
      </c>
      <c r="AM482" s="49" t="s">
        <v>49</v>
      </c>
      <c r="AN482" s="48" t="s">
        <v>49</v>
      </c>
      <c r="AO482" s="62" t="s">
        <v>32</v>
      </c>
      <c r="AP482" s="62"/>
      <c r="AQ482" s="59"/>
    </row>
    <row r="483" spans="1:43" ht="16" x14ac:dyDescent="0.2">
      <c r="A483">
        <v>482</v>
      </c>
      <c r="B483" s="33" t="e">
        <f>+B482+1</f>
        <v>#REF!</v>
      </c>
      <c r="C483" s="34" t="s">
        <v>3876</v>
      </c>
      <c r="D483" s="35" t="s">
        <v>3877</v>
      </c>
      <c r="E483" s="36" t="s">
        <v>3878</v>
      </c>
      <c r="F483" s="334">
        <v>29259</v>
      </c>
      <c r="G483" s="36" t="s">
        <v>54</v>
      </c>
      <c r="H483" s="34" t="s">
        <v>3879</v>
      </c>
      <c r="I483" s="37" t="s">
        <v>176</v>
      </c>
      <c r="J483" s="425" t="s">
        <v>4761</v>
      </c>
      <c r="K483" s="37" t="s">
        <v>39</v>
      </c>
      <c r="L483" s="34" t="s">
        <v>3864</v>
      </c>
      <c r="M483" s="34" t="s">
        <v>41</v>
      </c>
      <c r="N483" s="39" t="s">
        <v>42</v>
      </c>
      <c r="O483" s="99" t="s">
        <v>3865</v>
      </c>
      <c r="P483" s="56"/>
      <c r="Q483" s="56"/>
      <c r="R483" s="56"/>
      <c r="S483" s="56"/>
      <c r="T483" s="56"/>
      <c r="U483" s="56"/>
      <c r="V483" s="56"/>
      <c r="W483" s="56" t="s">
        <v>44</v>
      </c>
      <c r="X483" s="56"/>
      <c r="Y483" s="56"/>
      <c r="Z483" s="56"/>
      <c r="AA483" s="42" t="s">
        <v>3880</v>
      </c>
      <c r="AB483" s="43" t="s">
        <v>3881</v>
      </c>
      <c r="AC483" s="207" t="s">
        <v>3882</v>
      </c>
      <c r="AD483" s="45">
        <v>44944</v>
      </c>
      <c r="AE483" s="101" t="s">
        <v>30</v>
      </c>
      <c r="AF483" s="36"/>
      <c r="AG483" s="47" t="s">
        <v>49</v>
      </c>
      <c r="AH483" s="48" t="s">
        <v>41</v>
      </c>
      <c r="AI483" s="48" t="s">
        <v>41</v>
      </c>
      <c r="AJ483" s="48" t="s">
        <v>41</v>
      </c>
      <c r="AK483" s="48" t="s">
        <v>49</v>
      </c>
      <c r="AL483" s="48" t="s">
        <v>49</v>
      </c>
      <c r="AM483" s="49" t="s">
        <v>49</v>
      </c>
      <c r="AN483" s="48" t="s">
        <v>49</v>
      </c>
      <c r="AO483" s="62" t="s">
        <v>32</v>
      </c>
      <c r="AP483" s="62"/>
      <c r="AQ483" s="59"/>
    </row>
    <row r="484" spans="1:43" x14ac:dyDescent="0.2">
      <c r="A484">
        <v>483</v>
      </c>
      <c r="B484" s="33" t="e">
        <f>+B483+1</f>
        <v>#REF!</v>
      </c>
      <c r="C484" s="34" t="s">
        <v>3883</v>
      </c>
      <c r="D484" s="35" t="s">
        <v>3884</v>
      </c>
      <c r="E484" s="36" t="s">
        <v>3885</v>
      </c>
      <c r="F484" s="334">
        <v>25342</v>
      </c>
      <c r="G484" s="36" t="s">
        <v>36</v>
      </c>
      <c r="H484" s="34" t="s">
        <v>3886</v>
      </c>
      <c r="I484" s="37" t="s">
        <v>73</v>
      </c>
      <c r="J484" s="425" t="s">
        <v>4765</v>
      </c>
      <c r="K484" s="37" t="s">
        <v>73</v>
      </c>
      <c r="L484" s="38" t="s">
        <v>3887</v>
      </c>
      <c r="M484" s="38" t="s">
        <v>41</v>
      </c>
      <c r="N484" s="39" t="s">
        <v>42</v>
      </c>
      <c r="O484" s="120" t="s">
        <v>3888</v>
      </c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42" t="s">
        <v>3889</v>
      </c>
      <c r="AB484" s="58" t="s">
        <v>3890</v>
      </c>
      <c r="AC484" s="44" t="s">
        <v>3891</v>
      </c>
      <c r="AD484" s="45">
        <v>43200</v>
      </c>
      <c r="AE484" s="101" t="s">
        <v>30</v>
      </c>
      <c r="AF484" s="36" t="s">
        <v>26</v>
      </c>
      <c r="AG484" s="64" t="s">
        <v>120</v>
      </c>
      <c r="AH484" s="48" t="s">
        <v>120</v>
      </c>
      <c r="AI484" s="48" t="s">
        <v>120</v>
      </c>
      <c r="AJ484" s="48" t="s">
        <v>120</v>
      </c>
      <c r="AK484" s="48" t="s">
        <v>120</v>
      </c>
      <c r="AL484" s="48" t="s">
        <v>120</v>
      </c>
      <c r="AM484" s="49" t="s">
        <v>120</v>
      </c>
      <c r="AN484" s="48" t="s">
        <v>120</v>
      </c>
      <c r="AO484" s="62" t="s">
        <v>32</v>
      </c>
      <c r="AP484" s="62"/>
      <c r="AQ484" s="59"/>
    </row>
    <row r="485" spans="1:43" x14ac:dyDescent="0.2">
      <c r="A485">
        <v>484</v>
      </c>
      <c r="B485" s="33" t="e">
        <f>+B484+1</f>
        <v>#REF!</v>
      </c>
      <c r="C485" s="34" t="s">
        <v>3892</v>
      </c>
      <c r="D485" s="35" t="s">
        <v>3893</v>
      </c>
      <c r="E485" s="36" t="s">
        <v>4780</v>
      </c>
      <c r="F485" s="334">
        <v>28600</v>
      </c>
      <c r="G485" s="36" t="s">
        <v>36</v>
      </c>
      <c r="H485" s="34" t="s">
        <v>3895</v>
      </c>
      <c r="I485" s="37" t="s">
        <v>73</v>
      </c>
      <c r="J485" s="425" t="s">
        <v>4765</v>
      </c>
      <c r="K485" s="37" t="s">
        <v>73</v>
      </c>
      <c r="L485" s="38" t="s">
        <v>3896</v>
      </c>
      <c r="M485" s="38" t="s">
        <v>41</v>
      </c>
      <c r="N485" s="39" t="s">
        <v>42</v>
      </c>
      <c r="O485" s="120" t="s">
        <v>3897</v>
      </c>
      <c r="P485" s="56"/>
      <c r="Q485" s="56"/>
      <c r="R485" s="56"/>
      <c r="S485" s="56"/>
      <c r="T485" s="56"/>
      <c r="U485" s="56" t="s">
        <v>44</v>
      </c>
      <c r="V485" s="56"/>
      <c r="W485" s="56"/>
      <c r="X485" s="56"/>
      <c r="Y485" s="56"/>
      <c r="Z485" s="56"/>
      <c r="AA485" s="42" t="s">
        <v>3898</v>
      </c>
      <c r="AB485" s="83" t="s">
        <v>3899</v>
      </c>
      <c r="AC485" s="84" t="s">
        <v>3900</v>
      </c>
      <c r="AD485" s="45">
        <v>44650</v>
      </c>
      <c r="AE485" s="101" t="s">
        <v>30</v>
      </c>
      <c r="AF485" s="36"/>
      <c r="AG485" s="61" t="s">
        <v>49</v>
      </c>
      <c r="AH485" s="48" t="s">
        <v>41</v>
      </c>
      <c r="AI485" s="48" t="s">
        <v>49</v>
      </c>
      <c r="AJ485" s="48" t="s">
        <v>49</v>
      </c>
      <c r="AK485" s="48" t="s">
        <v>49</v>
      </c>
      <c r="AL485" s="48" t="s">
        <v>41</v>
      </c>
      <c r="AM485" s="49" t="s">
        <v>41</v>
      </c>
      <c r="AN485" s="48" t="s">
        <v>41</v>
      </c>
      <c r="AO485" s="62" t="s">
        <v>4589</v>
      </c>
      <c r="AP485" s="62"/>
      <c r="AQ485" s="59"/>
    </row>
    <row r="486" spans="1:43" ht="20.25" customHeight="1" x14ac:dyDescent="0.2">
      <c r="A486">
        <v>485</v>
      </c>
      <c r="B486" s="33" t="e">
        <f>+B485+1</f>
        <v>#REF!</v>
      </c>
      <c r="C486" s="34" t="s">
        <v>3901</v>
      </c>
      <c r="D486" s="35" t="s">
        <v>3902</v>
      </c>
      <c r="E486" s="36" t="s">
        <v>4808</v>
      </c>
      <c r="F486" s="334">
        <v>19552</v>
      </c>
      <c r="G486" s="36" t="s">
        <v>54</v>
      </c>
      <c r="H486" s="34" t="s">
        <v>3904</v>
      </c>
      <c r="I486" s="37" t="s">
        <v>73</v>
      </c>
      <c r="J486" s="425" t="s">
        <v>4765</v>
      </c>
      <c r="K486" s="37" t="s">
        <v>73</v>
      </c>
      <c r="L486" s="34" t="s">
        <v>3905</v>
      </c>
      <c r="M486" s="34" t="s">
        <v>3906</v>
      </c>
      <c r="N486" s="39" t="s">
        <v>42</v>
      </c>
      <c r="O486" s="120">
        <v>30353</v>
      </c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2" t="s">
        <v>3907</v>
      </c>
      <c r="AB486" s="52" t="s">
        <v>3908</v>
      </c>
      <c r="AC486" s="44" t="s">
        <v>61</v>
      </c>
      <c r="AD486" s="45">
        <v>34597</v>
      </c>
      <c r="AE486" s="101" t="s">
        <v>30</v>
      </c>
      <c r="AF486" s="36" t="s">
        <v>26</v>
      </c>
      <c r="AG486" s="47" t="s">
        <v>49</v>
      </c>
      <c r="AH486" s="48" t="s">
        <v>49</v>
      </c>
      <c r="AI486" s="48" t="s">
        <v>49</v>
      </c>
      <c r="AJ486" s="48" t="s">
        <v>49</v>
      </c>
      <c r="AK486" s="48" t="s">
        <v>49</v>
      </c>
      <c r="AL486" s="48" t="s">
        <v>49</v>
      </c>
      <c r="AM486" s="49" t="s">
        <v>49</v>
      </c>
      <c r="AN486" s="48" t="s">
        <v>49</v>
      </c>
      <c r="AO486" s="65" t="s">
        <v>32</v>
      </c>
      <c r="AP486" s="65"/>
      <c r="AQ486" s="59"/>
    </row>
    <row r="487" spans="1:43" x14ac:dyDescent="0.2">
      <c r="A487">
        <v>486</v>
      </c>
      <c r="B487" s="33" t="e">
        <f>+B486+1</f>
        <v>#REF!</v>
      </c>
      <c r="C487" s="34" t="s">
        <v>3909</v>
      </c>
      <c r="D487" s="35" t="s">
        <v>3910</v>
      </c>
      <c r="E487" s="36" t="s">
        <v>3911</v>
      </c>
      <c r="F487" s="334">
        <v>32548</v>
      </c>
      <c r="G487" s="36" t="s">
        <v>36</v>
      </c>
      <c r="H487" s="34" t="s">
        <v>3912</v>
      </c>
      <c r="I487" s="37" t="s">
        <v>360</v>
      </c>
      <c r="J487" s="425" t="s">
        <v>4749</v>
      </c>
      <c r="K487" s="37" t="s">
        <v>350</v>
      </c>
      <c r="L487" s="38" t="s">
        <v>3913</v>
      </c>
      <c r="M487" s="38" t="s">
        <v>41</v>
      </c>
      <c r="N487" s="39" t="s">
        <v>42</v>
      </c>
      <c r="O487" s="120">
        <v>42499</v>
      </c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2" t="s">
        <v>3914</v>
      </c>
      <c r="AB487" s="69" t="s">
        <v>3915</v>
      </c>
      <c r="AC487" s="44" t="s">
        <v>3916</v>
      </c>
      <c r="AD487" s="45">
        <v>42935</v>
      </c>
      <c r="AE487" s="101" t="s">
        <v>30</v>
      </c>
      <c r="AF487" s="36" t="s">
        <v>26</v>
      </c>
      <c r="AG487" s="47" t="s">
        <v>49</v>
      </c>
      <c r="AH487" s="48" t="s">
        <v>49</v>
      </c>
      <c r="AI487" s="48" t="s">
        <v>49</v>
      </c>
      <c r="AJ487" s="48" t="s">
        <v>49</v>
      </c>
      <c r="AK487" s="48" t="s">
        <v>49</v>
      </c>
      <c r="AL487" s="48" t="s">
        <v>49</v>
      </c>
      <c r="AM487" s="49" t="s">
        <v>49</v>
      </c>
      <c r="AN487" s="48" t="s">
        <v>49</v>
      </c>
      <c r="AO487" s="62" t="s">
        <v>32</v>
      </c>
      <c r="AP487" s="62"/>
      <c r="AQ487" s="59"/>
    </row>
    <row r="488" spans="1:43" ht="16" x14ac:dyDescent="0.2">
      <c r="A488">
        <v>487</v>
      </c>
      <c r="B488" s="33" t="e">
        <f>+B487+1</f>
        <v>#REF!</v>
      </c>
      <c r="C488" s="34" t="s">
        <v>3917</v>
      </c>
      <c r="D488" s="35" t="s">
        <v>3918</v>
      </c>
      <c r="E488" s="36" t="s">
        <v>3919</v>
      </c>
      <c r="F488" s="334">
        <v>28541</v>
      </c>
      <c r="G488" s="36" t="s">
        <v>54</v>
      </c>
      <c r="H488" s="34" t="s">
        <v>3920</v>
      </c>
      <c r="I488" s="37" t="s">
        <v>73</v>
      </c>
      <c r="J488" s="425" t="s">
        <v>4765</v>
      </c>
      <c r="K488" s="37" t="s">
        <v>73</v>
      </c>
      <c r="L488" s="34" t="s">
        <v>3921</v>
      </c>
      <c r="M488" s="34" t="s">
        <v>3921</v>
      </c>
      <c r="N488" s="39" t="s">
        <v>42</v>
      </c>
      <c r="O488" s="161" t="s">
        <v>3922</v>
      </c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42" t="s">
        <v>3923</v>
      </c>
      <c r="AB488" s="58" t="s">
        <v>3924</v>
      </c>
      <c r="AC488" s="207" t="s">
        <v>3925</v>
      </c>
      <c r="AD488" s="45">
        <v>44944</v>
      </c>
      <c r="AE488" s="160" t="s">
        <v>30</v>
      </c>
      <c r="AF488" s="36" t="s">
        <v>26</v>
      </c>
      <c r="AG488" s="47" t="s">
        <v>49</v>
      </c>
      <c r="AH488" s="48" t="s">
        <v>49</v>
      </c>
      <c r="AI488" s="48" t="s">
        <v>49</v>
      </c>
      <c r="AJ488" s="48" t="s">
        <v>49</v>
      </c>
      <c r="AK488" s="48" t="s">
        <v>49</v>
      </c>
      <c r="AL488" s="48" t="s">
        <v>49</v>
      </c>
      <c r="AM488" s="49" t="s">
        <v>49</v>
      </c>
      <c r="AN488" s="48" t="s">
        <v>49</v>
      </c>
      <c r="AO488" s="62" t="s">
        <v>32</v>
      </c>
      <c r="AP488" s="62"/>
      <c r="AQ488" s="59"/>
    </row>
    <row r="489" spans="1:43" x14ac:dyDescent="0.2">
      <c r="A489">
        <v>488</v>
      </c>
      <c r="B489" s="33" t="e">
        <f>+B488+1</f>
        <v>#REF!</v>
      </c>
      <c r="C489" s="34" t="s">
        <v>3926</v>
      </c>
      <c r="D489" s="35" t="s">
        <v>3927</v>
      </c>
      <c r="E489" s="36" t="s">
        <v>3928</v>
      </c>
      <c r="F489" s="334">
        <v>25890</v>
      </c>
      <c r="G489" s="36" t="s">
        <v>36</v>
      </c>
      <c r="H489" s="34" t="s">
        <v>3929</v>
      </c>
      <c r="I489" s="37" t="s">
        <v>73</v>
      </c>
      <c r="J489" s="425" t="s">
        <v>4765</v>
      </c>
      <c r="K489" s="37" t="s">
        <v>73</v>
      </c>
      <c r="L489" s="34" t="s">
        <v>3930</v>
      </c>
      <c r="M489" s="34" t="s">
        <v>3931</v>
      </c>
      <c r="N489" s="39" t="s">
        <v>42</v>
      </c>
      <c r="O489" s="159" t="s">
        <v>3932</v>
      </c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42" t="s">
        <v>3933</v>
      </c>
      <c r="AB489" s="52" t="s">
        <v>3934</v>
      </c>
      <c r="AC489" s="119" t="s">
        <v>3935</v>
      </c>
      <c r="AD489" s="45">
        <v>42935</v>
      </c>
      <c r="AE489" s="160" t="s">
        <v>30</v>
      </c>
      <c r="AF489" s="36" t="s">
        <v>26</v>
      </c>
      <c r="AG489" s="64" t="s">
        <v>120</v>
      </c>
      <c r="AH489" s="48" t="s">
        <v>120</v>
      </c>
      <c r="AI489" s="48" t="s">
        <v>120</v>
      </c>
      <c r="AJ489" s="48" t="s">
        <v>120</v>
      </c>
      <c r="AK489" s="48" t="s">
        <v>120</v>
      </c>
      <c r="AL489" s="48" t="s">
        <v>120</v>
      </c>
      <c r="AM489" s="49" t="s">
        <v>120</v>
      </c>
      <c r="AN489" s="48" t="s">
        <v>120</v>
      </c>
      <c r="AO489" s="62" t="s">
        <v>32</v>
      </c>
      <c r="AP489" s="62"/>
      <c r="AQ489" s="59"/>
    </row>
    <row r="490" spans="1:43" x14ac:dyDescent="0.2">
      <c r="A490">
        <v>489</v>
      </c>
      <c r="B490" s="33" t="e">
        <f>+B489+1</f>
        <v>#REF!</v>
      </c>
      <c r="C490" s="34" t="s">
        <v>3936</v>
      </c>
      <c r="D490" s="35" t="s">
        <v>3937</v>
      </c>
      <c r="E490" s="36" t="s">
        <v>4821</v>
      </c>
      <c r="F490" s="334">
        <v>26135</v>
      </c>
      <c r="G490" s="36" t="s">
        <v>54</v>
      </c>
      <c r="H490" s="34" t="s">
        <v>3938</v>
      </c>
      <c r="I490" s="37" t="s">
        <v>73</v>
      </c>
      <c r="J490" s="425" t="s">
        <v>4765</v>
      </c>
      <c r="K490" s="37" t="s">
        <v>73</v>
      </c>
      <c r="L490" s="34" t="s">
        <v>3939</v>
      </c>
      <c r="M490" s="34" t="s">
        <v>3940</v>
      </c>
      <c r="N490" s="39" t="s">
        <v>42</v>
      </c>
      <c r="O490" s="159" t="s">
        <v>3941</v>
      </c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42" t="s">
        <v>3942</v>
      </c>
      <c r="AB490" s="52" t="s">
        <v>3943</v>
      </c>
      <c r="AC490" s="119" t="s">
        <v>3944</v>
      </c>
      <c r="AD490" s="45">
        <v>42935</v>
      </c>
      <c r="AE490" s="160" t="s">
        <v>30</v>
      </c>
      <c r="AF490" s="36" t="s">
        <v>26</v>
      </c>
      <c r="AG490" s="47" t="s">
        <v>49</v>
      </c>
      <c r="AH490" s="48" t="s">
        <v>49</v>
      </c>
      <c r="AI490" s="48" t="s">
        <v>49</v>
      </c>
      <c r="AJ490" s="48" t="s">
        <v>49</v>
      </c>
      <c r="AK490" s="48" t="s">
        <v>49</v>
      </c>
      <c r="AL490" s="48" t="s">
        <v>49</v>
      </c>
      <c r="AM490" s="49" t="s">
        <v>41</v>
      </c>
      <c r="AN490" s="48" t="s">
        <v>41</v>
      </c>
      <c r="AO490" s="62" t="s">
        <v>276</v>
      </c>
      <c r="AP490" s="62"/>
      <c r="AQ490" s="59"/>
    </row>
    <row r="491" spans="1:43" x14ac:dyDescent="0.2">
      <c r="A491">
        <v>490</v>
      </c>
      <c r="B491" s="33" t="e">
        <f>+B490+1</f>
        <v>#REF!</v>
      </c>
      <c r="C491" s="34" t="s">
        <v>3945</v>
      </c>
      <c r="D491" s="35" t="s">
        <v>3946</v>
      </c>
      <c r="E491" s="73" t="s">
        <v>3947</v>
      </c>
      <c r="F491" s="335">
        <v>29447</v>
      </c>
      <c r="G491" s="36" t="s">
        <v>54</v>
      </c>
      <c r="H491" s="98" t="s">
        <v>3948</v>
      </c>
      <c r="I491" s="37" t="s">
        <v>73</v>
      </c>
      <c r="J491" s="425" t="s">
        <v>4765</v>
      </c>
      <c r="K491" s="37" t="s">
        <v>73</v>
      </c>
      <c r="L491" s="38" t="s">
        <v>3949</v>
      </c>
      <c r="M491" s="38" t="s">
        <v>41</v>
      </c>
      <c r="N491" s="39" t="s">
        <v>42</v>
      </c>
      <c r="O491" s="235" t="s">
        <v>3950</v>
      </c>
      <c r="P491" s="68"/>
      <c r="Q491" s="68"/>
      <c r="R491" s="68"/>
      <c r="S491" s="68"/>
      <c r="T491" s="68"/>
      <c r="U491" s="68" t="s">
        <v>44</v>
      </c>
      <c r="V491" s="68"/>
      <c r="W491" s="68"/>
      <c r="X491" s="68"/>
      <c r="Y491" s="68"/>
      <c r="Z491" s="68"/>
      <c r="AA491" s="42" t="s">
        <v>3951</v>
      </c>
      <c r="AB491" s="58" t="s">
        <v>3952</v>
      </c>
      <c r="AC491" s="121" t="s">
        <v>3953</v>
      </c>
      <c r="AD491" s="45">
        <v>44650</v>
      </c>
      <c r="AE491" s="160" t="s">
        <v>30</v>
      </c>
      <c r="AF491" s="73"/>
      <c r="AG491" s="47" t="s">
        <v>49</v>
      </c>
      <c r="AH491" s="48" t="s">
        <v>41</v>
      </c>
      <c r="AI491" s="48" t="s">
        <v>49</v>
      </c>
      <c r="AJ491" s="48" t="s">
        <v>41</v>
      </c>
      <c r="AK491" s="48" t="s">
        <v>41</v>
      </c>
      <c r="AL491" s="48" t="s">
        <v>41</v>
      </c>
      <c r="AM491" s="49" t="s">
        <v>41</v>
      </c>
      <c r="AN491" s="48" t="s">
        <v>41</v>
      </c>
      <c r="AO491" s="62" t="s">
        <v>110</v>
      </c>
      <c r="AP491" s="62"/>
      <c r="AQ491" s="59"/>
    </row>
    <row r="492" spans="1:43" x14ac:dyDescent="0.2">
      <c r="A492">
        <v>491</v>
      </c>
      <c r="B492" s="33" t="e">
        <f>+B491+1</f>
        <v>#REF!</v>
      </c>
      <c r="C492" s="34" t="s">
        <v>3954</v>
      </c>
      <c r="D492" s="35" t="s">
        <v>3955</v>
      </c>
      <c r="E492" s="73" t="s">
        <v>3956</v>
      </c>
      <c r="F492" s="73"/>
      <c r="G492" s="36" t="s">
        <v>54</v>
      </c>
      <c r="H492" s="98" t="s">
        <v>3957</v>
      </c>
      <c r="I492" s="37" t="s">
        <v>73</v>
      </c>
      <c r="J492" s="425" t="s">
        <v>4765</v>
      </c>
      <c r="K492" s="37" t="s">
        <v>73</v>
      </c>
      <c r="L492" s="38" t="s">
        <v>3958</v>
      </c>
      <c r="M492" s="38" t="s">
        <v>41</v>
      </c>
      <c r="N492" s="39" t="s">
        <v>42</v>
      </c>
      <c r="O492" s="99" t="s">
        <v>3959</v>
      </c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42" t="s">
        <v>3960</v>
      </c>
      <c r="AB492" s="58" t="s">
        <v>3961</v>
      </c>
      <c r="AC492" s="44" t="s">
        <v>3962</v>
      </c>
      <c r="AD492" s="45">
        <v>42325</v>
      </c>
      <c r="AE492" s="101" t="s">
        <v>30</v>
      </c>
      <c r="AF492" s="73"/>
      <c r="AG492" s="47" t="s">
        <v>49</v>
      </c>
      <c r="AH492" s="48" t="s">
        <v>41</v>
      </c>
      <c r="AI492" s="48" t="s">
        <v>41</v>
      </c>
      <c r="AJ492" s="48" t="s">
        <v>41</v>
      </c>
      <c r="AK492" s="48" t="s">
        <v>41</v>
      </c>
      <c r="AL492" s="48" t="s">
        <v>41</v>
      </c>
      <c r="AM492" s="49" t="s">
        <v>41</v>
      </c>
      <c r="AN492" s="48" t="s">
        <v>41</v>
      </c>
      <c r="AO492" s="65" t="s">
        <v>4588</v>
      </c>
      <c r="AP492" s="65"/>
      <c r="AQ492" s="59"/>
    </row>
    <row r="493" spans="1:43" x14ac:dyDescent="0.2">
      <c r="A493">
        <v>492</v>
      </c>
      <c r="B493" s="33" t="e">
        <f>+B492+1</f>
        <v>#REF!</v>
      </c>
      <c r="C493" s="34" t="s">
        <v>3963</v>
      </c>
      <c r="D493" s="35" t="s">
        <v>3964</v>
      </c>
      <c r="E493" s="36" t="s">
        <v>3965</v>
      </c>
      <c r="F493" s="334">
        <v>27938</v>
      </c>
      <c r="G493" s="36" t="s">
        <v>54</v>
      </c>
      <c r="H493" s="98" t="s">
        <v>3966</v>
      </c>
      <c r="I493" s="37" t="s">
        <v>1354</v>
      </c>
      <c r="J493" s="425" t="s">
        <v>4741</v>
      </c>
      <c r="K493" s="37" t="s">
        <v>57</v>
      </c>
      <c r="L493" s="38" t="s">
        <v>3967</v>
      </c>
      <c r="M493" s="38" t="s">
        <v>41</v>
      </c>
      <c r="N493" s="39" t="s">
        <v>42</v>
      </c>
      <c r="O493" s="120">
        <v>44198</v>
      </c>
      <c r="P493" s="56"/>
      <c r="Q493" s="56"/>
      <c r="R493" s="56"/>
      <c r="S493" s="56"/>
      <c r="T493" s="56"/>
      <c r="U493" s="56" t="s">
        <v>44</v>
      </c>
      <c r="V493" s="56"/>
      <c r="W493" s="56"/>
      <c r="X493" s="56"/>
      <c r="Y493" s="56"/>
      <c r="Z493" s="56"/>
      <c r="AA493" s="42" t="s">
        <v>3968</v>
      </c>
      <c r="AB493" s="58" t="s">
        <v>3969</v>
      </c>
      <c r="AC493" s="84" t="s">
        <v>3970</v>
      </c>
      <c r="AD493" s="45">
        <v>44650</v>
      </c>
      <c r="AE493" s="101" t="s">
        <v>30</v>
      </c>
      <c r="AF493" s="73"/>
      <c r="AG493" s="47" t="s">
        <v>49</v>
      </c>
      <c r="AH493" s="48" t="s">
        <v>41</v>
      </c>
      <c r="AI493" s="48" t="s">
        <v>49</v>
      </c>
      <c r="AJ493" s="48" t="s">
        <v>49</v>
      </c>
      <c r="AK493" s="48" t="s">
        <v>49</v>
      </c>
      <c r="AL493" s="48" t="s">
        <v>49</v>
      </c>
      <c r="AM493" s="49" t="s">
        <v>49</v>
      </c>
      <c r="AN493" s="48" t="s">
        <v>49</v>
      </c>
      <c r="AO493" s="62" t="s">
        <v>32</v>
      </c>
      <c r="AP493" s="62"/>
      <c r="AQ493" s="59"/>
    </row>
    <row r="494" spans="1:43" x14ac:dyDescent="0.2">
      <c r="A494">
        <v>493</v>
      </c>
      <c r="B494" s="33" t="e">
        <f>+B493+1</f>
        <v>#REF!</v>
      </c>
      <c r="C494" s="34" t="s">
        <v>3971</v>
      </c>
      <c r="D494" s="35" t="s">
        <v>3972</v>
      </c>
      <c r="E494" s="36" t="s">
        <v>3973</v>
      </c>
      <c r="F494" s="334">
        <v>33571</v>
      </c>
      <c r="G494" s="36" t="s">
        <v>54</v>
      </c>
      <c r="H494" s="98" t="s">
        <v>3974</v>
      </c>
      <c r="I494" s="37" t="s">
        <v>377</v>
      </c>
      <c r="J494" s="425" t="s">
        <v>4757</v>
      </c>
      <c r="K494" s="37" t="s">
        <v>378</v>
      </c>
      <c r="L494" s="38" t="s">
        <v>3975</v>
      </c>
      <c r="M494" s="38" t="s">
        <v>41</v>
      </c>
      <c r="N494" s="39" t="s">
        <v>42</v>
      </c>
      <c r="O494" s="120" t="s">
        <v>3976</v>
      </c>
      <c r="P494" s="56"/>
      <c r="Q494" s="56"/>
      <c r="R494" s="56"/>
      <c r="S494" s="56"/>
      <c r="T494" s="56"/>
      <c r="U494" s="56"/>
      <c r="V494" s="56"/>
      <c r="W494" s="56" t="s">
        <v>44</v>
      </c>
      <c r="X494" s="56"/>
      <c r="Y494" s="56"/>
      <c r="Z494" s="56"/>
      <c r="AA494" s="42" t="s">
        <v>3977</v>
      </c>
      <c r="AB494" s="58" t="s">
        <v>3978</v>
      </c>
      <c r="AC494" s="58"/>
      <c r="AD494" s="45">
        <v>45642</v>
      </c>
      <c r="AE494" s="101"/>
      <c r="AF494" s="73"/>
      <c r="AG494" s="47" t="s">
        <v>49</v>
      </c>
      <c r="AH494" s="48" t="s">
        <v>41</v>
      </c>
      <c r="AI494" s="48" t="s">
        <v>41</v>
      </c>
      <c r="AJ494" s="48" t="s">
        <v>41</v>
      </c>
      <c r="AK494" s="48" t="s">
        <v>49</v>
      </c>
      <c r="AL494" s="48" t="s">
        <v>49</v>
      </c>
      <c r="AM494" s="49" t="s">
        <v>49</v>
      </c>
      <c r="AN494" s="48" t="s">
        <v>49</v>
      </c>
      <c r="AO494" s="62" t="s">
        <v>32</v>
      </c>
      <c r="AP494" s="62" t="s">
        <v>4681</v>
      </c>
      <c r="AQ494" s="59"/>
    </row>
    <row r="495" spans="1:43" x14ac:dyDescent="0.2">
      <c r="A495">
        <v>494</v>
      </c>
      <c r="B495" s="33" t="e">
        <f>+B494+1</f>
        <v>#REF!</v>
      </c>
      <c r="C495" s="34" t="s">
        <v>3979</v>
      </c>
      <c r="D495" s="35" t="s">
        <v>3980</v>
      </c>
      <c r="E495" s="36" t="s">
        <v>3981</v>
      </c>
      <c r="F495" s="36"/>
      <c r="G495" s="36" t="s">
        <v>54</v>
      </c>
      <c r="H495" s="34" t="s">
        <v>3982</v>
      </c>
      <c r="I495" s="37" t="s">
        <v>73</v>
      </c>
      <c r="J495" s="425" t="s">
        <v>4765</v>
      </c>
      <c r="K495" s="37" t="s">
        <v>73</v>
      </c>
      <c r="L495" s="34" t="s">
        <v>3983</v>
      </c>
      <c r="M495" s="475" t="s">
        <v>3984</v>
      </c>
      <c r="N495" s="39" t="s">
        <v>42</v>
      </c>
      <c r="O495" s="99" t="s">
        <v>3985</v>
      </c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42" t="s">
        <v>3986</v>
      </c>
      <c r="AB495" s="43" t="s">
        <v>3987</v>
      </c>
      <c r="AC495" s="44" t="s">
        <v>3988</v>
      </c>
      <c r="AD495" s="45">
        <v>41793</v>
      </c>
      <c r="AE495" s="101" t="s">
        <v>30</v>
      </c>
      <c r="AF495" s="36" t="s">
        <v>26</v>
      </c>
      <c r="AG495" s="47" t="s">
        <v>49</v>
      </c>
      <c r="AH495" s="48" t="s">
        <v>49</v>
      </c>
      <c r="AI495" s="48" t="s">
        <v>49</v>
      </c>
      <c r="AJ495" s="48" t="s">
        <v>49</v>
      </c>
      <c r="AK495" s="48" t="s">
        <v>41</v>
      </c>
      <c r="AL495" s="48" t="s">
        <v>41</v>
      </c>
      <c r="AM495" s="49" t="s">
        <v>41</v>
      </c>
      <c r="AN495" s="48" t="s">
        <v>41</v>
      </c>
      <c r="AO495" s="62" t="s">
        <v>139</v>
      </c>
      <c r="AP495" s="62"/>
      <c r="AQ495" s="59"/>
    </row>
    <row r="496" spans="1:43" x14ac:dyDescent="0.2">
      <c r="A496">
        <v>495</v>
      </c>
      <c r="B496" s="33" t="e">
        <f>+B495+1</f>
        <v>#REF!</v>
      </c>
      <c r="C496" s="34" t="s">
        <v>3989</v>
      </c>
      <c r="D496" s="35" t="s">
        <v>3990</v>
      </c>
      <c r="E496" s="36" t="s">
        <v>3991</v>
      </c>
      <c r="F496" s="334">
        <v>28929</v>
      </c>
      <c r="G496" s="36" t="s">
        <v>54</v>
      </c>
      <c r="H496" s="98" t="s">
        <v>3992</v>
      </c>
      <c r="I496" s="37" t="s">
        <v>4605</v>
      </c>
      <c r="J496" s="425" t="s">
        <v>4747</v>
      </c>
      <c r="K496" s="37" t="s">
        <v>205</v>
      </c>
      <c r="L496" s="38" t="s">
        <v>3993</v>
      </c>
      <c r="M496" s="34" t="s">
        <v>41</v>
      </c>
      <c r="N496" s="39" t="s">
        <v>42</v>
      </c>
      <c r="O496" s="163" t="s">
        <v>3994</v>
      </c>
      <c r="P496" s="130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42" t="s">
        <v>3995</v>
      </c>
      <c r="AB496" s="52" t="s">
        <v>3996</v>
      </c>
      <c r="AC496" s="44" t="s">
        <v>3997</v>
      </c>
      <c r="AD496" s="45">
        <v>41793</v>
      </c>
      <c r="AE496" s="164" t="s">
        <v>30</v>
      </c>
      <c r="AF496" s="36" t="s">
        <v>26</v>
      </c>
      <c r="AG496" s="47" t="s">
        <v>49</v>
      </c>
      <c r="AH496" s="48" t="s">
        <v>49</v>
      </c>
      <c r="AI496" s="48" t="s">
        <v>49</v>
      </c>
      <c r="AJ496" s="48" t="s">
        <v>49</v>
      </c>
      <c r="AK496" s="48" t="s">
        <v>49</v>
      </c>
      <c r="AL496" s="48" t="s">
        <v>49</v>
      </c>
      <c r="AM496" s="49" t="s">
        <v>41</v>
      </c>
      <c r="AN496" s="48" t="s">
        <v>41</v>
      </c>
      <c r="AO496" s="62" t="s">
        <v>276</v>
      </c>
      <c r="AP496" s="62"/>
      <c r="AQ496" s="59"/>
    </row>
    <row r="497" spans="1:43" x14ac:dyDescent="0.2">
      <c r="A497">
        <v>496</v>
      </c>
      <c r="B497" s="33" t="e">
        <f>+B496+1</f>
        <v>#REF!</v>
      </c>
      <c r="C497" s="34" t="s">
        <v>3998</v>
      </c>
      <c r="D497" s="35" t="s">
        <v>3999</v>
      </c>
      <c r="E497" s="36" t="s">
        <v>4777</v>
      </c>
      <c r="F497" s="334">
        <v>24567</v>
      </c>
      <c r="G497" s="36" t="s">
        <v>54</v>
      </c>
      <c r="H497" s="98" t="s">
        <v>4001</v>
      </c>
      <c r="I497" s="37" t="s">
        <v>73</v>
      </c>
      <c r="J497" s="425" t="s">
        <v>4765</v>
      </c>
      <c r="K497" s="37" t="s">
        <v>73</v>
      </c>
      <c r="L497" s="38" t="s">
        <v>4002</v>
      </c>
      <c r="M497" s="34" t="s">
        <v>41</v>
      </c>
      <c r="N497" s="39" t="s">
        <v>42</v>
      </c>
      <c r="O497" s="163" t="s">
        <v>4003</v>
      </c>
      <c r="P497" s="130"/>
      <c r="Q497" s="115"/>
      <c r="R497" s="115"/>
      <c r="S497" s="115"/>
      <c r="T497" s="115"/>
      <c r="U497" s="56"/>
      <c r="V497" s="56" t="s">
        <v>44</v>
      </c>
      <c r="W497" s="56"/>
      <c r="X497" s="56"/>
      <c r="Y497" s="56"/>
      <c r="Z497" s="56"/>
      <c r="AA497" s="57" t="s">
        <v>4004</v>
      </c>
      <c r="AB497" s="43" t="s">
        <v>4005</v>
      </c>
      <c r="AC497" s="121" t="s">
        <v>4006</v>
      </c>
      <c r="AD497" s="45">
        <v>44650</v>
      </c>
      <c r="AE497" s="164" t="s">
        <v>30</v>
      </c>
      <c r="AF497" s="36"/>
      <c r="AG497" s="47" t="s">
        <v>49</v>
      </c>
      <c r="AH497" s="48" t="s">
        <v>41</v>
      </c>
      <c r="AI497" s="48" t="s">
        <v>41</v>
      </c>
      <c r="AJ497" s="48" t="s">
        <v>49</v>
      </c>
      <c r="AK497" s="48" t="s">
        <v>49</v>
      </c>
      <c r="AL497" s="48" t="s">
        <v>49</v>
      </c>
      <c r="AM497" s="49" t="s">
        <v>49</v>
      </c>
      <c r="AN497" s="48" t="s">
        <v>49</v>
      </c>
      <c r="AO497" s="65" t="s">
        <v>32</v>
      </c>
      <c r="AP497" s="65"/>
      <c r="AQ497" s="59"/>
    </row>
    <row r="498" spans="1:43" x14ac:dyDescent="0.2">
      <c r="A498">
        <v>497</v>
      </c>
      <c r="B498" s="33" t="e">
        <f>+B497+1</f>
        <v>#REF!</v>
      </c>
      <c r="C498" s="34" t="s">
        <v>4007</v>
      </c>
      <c r="D498" s="35" t="s">
        <v>4008</v>
      </c>
      <c r="E498" s="73" t="s">
        <v>4009</v>
      </c>
      <c r="F498" s="335">
        <v>35233</v>
      </c>
      <c r="G498" s="36" t="s">
        <v>54</v>
      </c>
      <c r="H498" s="98" t="s">
        <v>4010</v>
      </c>
      <c r="I498" s="37" t="s">
        <v>73</v>
      </c>
      <c r="J498" s="425" t="s">
        <v>4765</v>
      </c>
      <c r="K498" s="37" t="s">
        <v>73</v>
      </c>
      <c r="L498" s="34" t="s">
        <v>4011</v>
      </c>
      <c r="M498" s="34" t="s">
        <v>41</v>
      </c>
      <c r="N498" s="39" t="s">
        <v>42</v>
      </c>
      <c r="O498" s="99" t="s">
        <v>4012</v>
      </c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42" t="s">
        <v>4013</v>
      </c>
      <c r="AB498" s="52" t="s">
        <v>4014</v>
      </c>
      <c r="AC498" s="44" t="s">
        <v>4015</v>
      </c>
      <c r="AD498" s="45">
        <v>42935</v>
      </c>
      <c r="AE498" s="101" t="s">
        <v>30</v>
      </c>
      <c r="AF498" s="73" t="s">
        <v>26</v>
      </c>
      <c r="AG498" s="47" t="s">
        <v>49</v>
      </c>
      <c r="AH498" s="48" t="s">
        <v>49</v>
      </c>
      <c r="AI498" s="48" t="s">
        <v>49</v>
      </c>
      <c r="AJ498" s="48" t="s">
        <v>49</v>
      </c>
      <c r="AK498" s="48" t="s">
        <v>49</v>
      </c>
      <c r="AL498" s="48" t="s">
        <v>49</v>
      </c>
      <c r="AM498" s="49" t="s">
        <v>49</v>
      </c>
      <c r="AN498" s="48" t="s">
        <v>41</v>
      </c>
      <c r="AO498" s="62" t="s">
        <v>148</v>
      </c>
      <c r="AP498" s="62"/>
      <c r="AQ498" s="59"/>
    </row>
    <row r="499" spans="1:43" x14ac:dyDescent="0.2">
      <c r="A499">
        <v>498</v>
      </c>
      <c r="B499" s="33" t="e">
        <f>+B498+1</f>
        <v>#REF!</v>
      </c>
      <c r="C499" s="34" t="s">
        <v>4016</v>
      </c>
      <c r="D499" s="35" t="s">
        <v>4017</v>
      </c>
      <c r="E499" s="73" t="s">
        <v>4018</v>
      </c>
      <c r="F499" s="73"/>
      <c r="G499" s="36" t="s">
        <v>36</v>
      </c>
      <c r="H499" s="34" t="s">
        <v>4019</v>
      </c>
      <c r="I499" s="37" t="s">
        <v>4605</v>
      </c>
      <c r="J499" s="425" t="s">
        <v>4747</v>
      </c>
      <c r="K499" s="37" t="s">
        <v>205</v>
      </c>
      <c r="L499" s="34" t="s">
        <v>4020</v>
      </c>
      <c r="M499" s="34" t="s">
        <v>4021</v>
      </c>
      <c r="N499" s="39" t="s">
        <v>42</v>
      </c>
      <c r="O499" s="120">
        <v>40706</v>
      </c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2" t="s">
        <v>4022</v>
      </c>
      <c r="AB499" s="58" t="s">
        <v>4023</v>
      </c>
      <c r="AC499" s="44" t="s">
        <v>4024</v>
      </c>
      <c r="AD499" s="45">
        <v>41793</v>
      </c>
      <c r="AE499" s="101" t="s">
        <v>30</v>
      </c>
      <c r="AF499" s="73"/>
      <c r="AG499" s="47" t="s">
        <v>49</v>
      </c>
      <c r="AH499" s="48" t="s">
        <v>41</v>
      </c>
      <c r="AI499" s="48" t="s">
        <v>41</v>
      </c>
      <c r="AJ499" s="48" t="s">
        <v>41</v>
      </c>
      <c r="AK499" s="48" t="s">
        <v>41</v>
      </c>
      <c r="AL499" s="48" t="s">
        <v>41</v>
      </c>
      <c r="AM499" s="49" t="s">
        <v>41</v>
      </c>
      <c r="AN499" s="48" t="s">
        <v>41</v>
      </c>
      <c r="AO499" s="65" t="s">
        <v>4588</v>
      </c>
      <c r="AP499" s="65"/>
      <c r="AQ499" s="59"/>
    </row>
    <row r="500" spans="1:43" x14ac:dyDescent="0.2">
      <c r="A500">
        <v>499</v>
      </c>
      <c r="B500" s="33" t="e">
        <f>+B499+1</f>
        <v>#REF!</v>
      </c>
      <c r="C500" s="34" t="s">
        <v>4025</v>
      </c>
      <c r="D500" s="35" t="s">
        <v>4026</v>
      </c>
      <c r="E500" s="73" t="s">
        <v>4027</v>
      </c>
      <c r="F500" s="335">
        <v>34938</v>
      </c>
      <c r="G500" s="36" t="s">
        <v>54</v>
      </c>
      <c r="H500" s="34" t="s">
        <v>4028</v>
      </c>
      <c r="I500" s="37" t="s">
        <v>360</v>
      </c>
      <c r="J500" s="425" t="s">
        <v>4749</v>
      </c>
      <c r="K500" s="37" t="s">
        <v>350</v>
      </c>
      <c r="L500" s="38" t="s">
        <v>4029</v>
      </c>
      <c r="M500" s="34" t="s">
        <v>41</v>
      </c>
      <c r="N500" s="39" t="s">
        <v>42</v>
      </c>
      <c r="O500" s="120" t="s">
        <v>4030</v>
      </c>
      <c r="P500" s="41"/>
      <c r="Q500" s="94"/>
      <c r="R500" s="94"/>
      <c r="S500" s="94"/>
      <c r="T500" s="94"/>
      <c r="U500" s="94"/>
      <c r="V500" s="94"/>
      <c r="W500" s="94" t="s">
        <v>44</v>
      </c>
      <c r="X500" s="94"/>
      <c r="Y500" s="94"/>
      <c r="Z500" s="94"/>
      <c r="AA500" s="54" t="s">
        <v>4031</v>
      </c>
      <c r="AB500" s="58" t="s">
        <v>4032</v>
      </c>
      <c r="AC500" s="44"/>
      <c r="AD500" s="45">
        <v>45642</v>
      </c>
      <c r="AE500" s="101"/>
      <c r="AF500" s="73"/>
      <c r="AG500" s="47" t="s">
        <v>49</v>
      </c>
      <c r="AH500" s="48" t="s">
        <v>41</v>
      </c>
      <c r="AI500" s="48" t="s">
        <v>41</v>
      </c>
      <c r="AJ500" s="48" t="s">
        <v>41</v>
      </c>
      <c r="AK500" s="48" t="s">
        <v>49</v>
      </c>
      <c r="AL500" s="48" t="s">
        <v>49</v>
      </c>
      <c r="AM500" s="49" t="s">
        <v>49</v>
      </c>
      <c r="AN500" s="48" t="s">
        <v>49</v>
      </c>
      <c r="AO500" s="62" t="s">
        <v>32</v>
      </c>
      <c r="AP500" s="62"/>
      <c r="AQ500" s="59"/>
    </row>
    <row r="501" spans="1:43" x14ac:dyDescent="0.2">
      <c r="A501">
        <v>500</v>
      </c>
      <c r="B501" s="33" t="e">
        <f>+B500+1</f>
        <v>#REF!</v>
      </c>
      <c r="C501" s="34" t="s">
        <v>4033</v>
      </c>
      <c r="D501" s="35" t="s">
        <v>4034</v>
      </c>
      <c r="E501" s="36" t="s">
        <v>4035</v>
      </c>
      <c r="F501" s="334">
        <v>27998</v>
      </c>
      <c r="G501" s="36" t="s">
        <v>54</v>
      </c>
      <c r="H501" s="34" t="s">
        <v>4036</v>
      </c>
      <c r="I501" s="37" t="s">
        <v>39</v>
      </c>
      <c r="J501" s="425" t="s">
        <v>4766</v>
      </c>
      <c r="K501" s="37" t="s">
        <v>39</v>
      </c>
      <c r="L501" s="34" t="s">
        <v>4037</v>
      </c>
      <c r="M501" s="38" t="s">
        <v>4038</v>
      </c>
      <c r="N501" s="39" t="s">
        <v>42</v>
      </c>
      <c r="O501" s="120">
        <v>41924</v>
      </c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42" t="s">
        <v>4039</v>
      </c>
      <c r="AB501" s="83" t="s">
        <v>4040</v>
      </c>
      <c r="AC501" s="44" t="s">
        <v>4041</v>
      </c>
      <c r="AD501" s="45">
        <v>42325</v>
      </c>
      <c r="AE501" s="101" t="s">
        <v>30</v>
      </c>
      <c r="AF501" s="36" t="s">
        <v>26</v>
      </c>
      <c r="AG501" s="47" t="s">
        <v>49</v>
      </c>
      <c r="AH501" s="48" t="s">
        <v>49</v>
      </c>
      <c r="AI501" s="48" t="s">
        <v>49</v>
      </c>
      <c r="AJ501" s="48" t="s">
        <v>49</v>
      </c>
      <c r="AK501" s="48" t="s">
        <v>49</v>
      </c>
      <c r="AL501" s="48" t="s">
        <v>49</v>
      </c>
      <c r="AM501" s="49" t="s">
        <v>49</v>
      </c>
      <c r="AN501" s="48" t="s">
        <v>49</v>
      </c>
      <c r="AO501" s="62" t="s">
        <v>32</v>
      </c>
      <c r="AP501" s="62"/>
      <c r="AQ501" s="59"/>
    </row>
    <row r="502" spans="1:43" x14ac:dyDescent="0.2">
      <c r="A502">
        <v>501</v>
      </c>
      <c r="B502" s="33" t="e">
        <f>+B501+1</f>
        <v>#REF!</v>
      </c>
      <c r="C502" s="34" t="s">
        <v>4042</v>
      </c>
      <c r="D502" s="35" t="s">
        <v>4043</v>
      </c>
      <c r="E502" s="36" t="s">
        <v>4044</v>
      </c>
      <c r="F502" s="334">
        <v>28636</v>
      </c>
      <c r="G502" s="36" t="s">
        <v>54</v>
      </c>
      <c r="H502" s="34" t="s">
        <v>4045</v>
      </c>
      <c r="I502" s="37" t="s">
        <v>73</v>
      </c>
      <c r="J502" s="425" t="s">
        <v>4765</v>
      </c>
      <c r="K502" s="37" t="s">
        <v>73</v>
      </c>
      <c r="L502" s="34" t="s">
        <v>3939</v>
      </c>
      <c r="M502" s="34" t="s">
        <v>4046</v>
      </c>
      <c r="N502" s="39" t="s">
        <v>42</v>
      </c>
      <c r="O502" s="120">
        <v>34761</v>
      </c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2" t="s">
        <v>4047</v>
      </c>
      <c r="AB502" s="69" t="s">
        <v>4048</v>
      </c>
      <c r="AC502" s="119" t="s">
        <v>4049</v>
      </c>
      <c r="AD502" s="45">
        <v>42325</v>
      </c>
      <c r="AE502" s="101" t="s">
        <v>30</v>
      </c>
      <c r="AF502" s="36" t="s">
        <v>26</v>
      </c>
      <c r="AG502" s="47" t="s">
        <v>49</v>
      </c>
      <c r="AH502" s="48" t="s">
        <v>49</v>
      </c>
      <c r="AI502" s="48" t="s">
        <v>49</v>
      </c>
      <c r="AJ502" s="48" t="s">
        <v>49</v>
      </c>
      <c r="AK502" s="48" t="s">
        <v>49</v>
      </c>
      <c r="AL502" s="48" t="s">
        <v>41</v>
      </c>
      <c r="AM502" s="49" t="s">
        <v>41</v>
      </c>
      <c r="AN502" s="48" t="s">
        <v>41</v>
      </c>
      <c r="AO502" s="62" t="s">
        <v>4589</v>
      </c>
      <c r="AP502" s="62"/>
      <c r="AQ502" s="59"/>
    </row>
    <row r="503" spans="1:43" x14ac:dyDescent="0.2">
      <c r="A503">
        <v>502</v>
      </c>
      <c r="B503" s="33" t="e">
        <f>+B502+1</f>
        <v>#REF!</v>
      </c>
      <c r="C503" s="34" t="s">
        <v>4050</v>
      </c>
      <c r="D503" s="35" t="s">
        <v>4051</v>
      </c>
      <c r="E503" s="73" t="s">
        <v>4052</v>
      </c>
      <c r="F503" s="335">
        <v>29324</v>
      </c>
      <c r="G503" s="36" t="s">
        <v>54</v>
      </c>
      <c r="H503" s="98" t="s">
        <v>4053</v>
      </c>
      <c r="I503" s="37" t="s">
        <v>73</v>
      </c>
      <c r="J503" s="425" t="s">
        <v>4765</v>
      </c>
      <c r="K503" s="37" t="s">
        <v>73</v>
      </c>
      <c r="L503" s="38" t="s">
        <v>4054</v>
      </c>
      <c r="M503" s="34" t="s">
        <v>41</v>
      </c>
      <c r="N503" s="39" t="s">
        <v>42</v>
      </c>
      <c r="O503" s="99" t="s">
        <v>3438</v>
      </c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42" t="s">
        <v>4055</v>
      </c>
      <c r="AB503" s="100" t="s">
        <v>4056</v>
      </c>
      <c r="AC503" s="119" t="s">
        <v>4057</v>
      </c>
      <c r="AD503" s="45">
        <v>44041</v>
      </c>
      <c r="AE503" s="101" t="s">
        <v>30</v>
      </c>
      <c r="AF503" s="73" t="s">
        <v>26</v>
      </c>
      <c r="AG503" s="47" t="s">
        <v>49</v>
      </c>
      <c r="AH503" s="48" t="s">
        <v>49</v>
      </c>
      <c r="AI503" s="48" t="s">
        <v>49</v>
      </c>
      <c r="AJ503" s="48" t="s">
        <v>49</v>
      </c>
      <c r="AK503" s="48" t="s">
        <v>49</v>
      </c>
      <c r="AL503" s="48" t="s">
        <v>49</v>
      </c>
      <c r="AM503" s="49" t="s">
        <v>49</v>
      </c>
      <c r="AN503" s="48" t="s">
        <v>49</v>
      </c>
      <c r="AO503" s="65" t="s">
        <v>32</v>
      </c>
      <c r="AP503" s="65" t="s">
        <v>4681</v>
      </c>
      <c r="AQ503" s="59"/>
    </row>
    <row r="504" spans="1:43" x14ac:dyDescent="0.2">
      <c r="A504">
        <v>503</v>
      </c>
      <c r="B504" s="33" t="e">
        <f>+B503+1</f>
        <v>#REF!</v>
      </c>
      <c r="C504" s="34" t="s">
        <v>4058</v>
      </c>
      <c r="D504" s="35" t="s">
        <v>4059</v>
      </c>
      <c r="E504" s="73" t="s">
        <v>4060</v>
      </c>
      <c r="F504" s="335">
        <v>34920</v>
      </c>
      <c r="G504" s="36" t="s">
        <v>54</v>
      </c>
      <c r="H504" s="98" t="s">
        <v>4061</v>
      </c>
      <c r="I504" s="37" t="s">
        <v>349</v>
      </c>
      <c r="J504" s="425" t="s">
        <v>4750</v>
      </c>
      <c r="K504" s="37" t="s">
        <v>350</v>
      </c>
      <c r="L504" s="38" t="s">
        <v>4062</v>
      </c>
      <c r="M504" s="34" t="s">
        <v>41</v>
      </c>
      <c r="N504" s="39" t="s">
        <v>42</v>
      </c>
      <c r="O504" s="99" t="s">
        <v>4063</v>
      </c>
      <c r="P504" s="56"/>
      <c r="Q504" s="56"/>
      <c r="R504" s="56"/>
      <c r="S504" s="56"/>
      <c r="T504" s="56"/>
      <c r="U504" s="56" t="s">
        <v>44</v>
      </c>
      <c r="V504" s="56"/>
      <c r="W504" s="56"/>
      <c r="X504" s="56"/>
      <c r="Y504" s="56"/>
      <c r="Z504" s="56"/>
      <c r="AA504" s="42" t="s">
        <v>4064</v>
      </c>
      <c r="AB504" s="100" t="s">
        <v>4065</v>
      </c>
      <c r="AC504" s="84" t="s">
        <v>4066</v>
      </c>
      <c r="AD504" s="45">
        <v>44650</v>
      </c>
      <c r="AE504" s="101" t="s">
        <v>30</v>
      </c>
      <c r="AF504" s="73"/>
      <c r="AG504" s="47" t="s">
        <v>49</v>
      </c>
      <c r="AH504" s="48" t="s">
        <v>41</v>
      </c>
      <c r="AI504" s="48" t="s">
        <v>49</v>
      </c>
      <c r="AJ504" s="48" t="s">
        <v>49</v>
      </c>
      <c r="AK504" s="48" t="s">
        <v>49</v>
      </c>
      <c r="AL504" s="48" t="s">
        <v>49</v>
      </c>
      <c r="AM504" s="49" t="s">
        <v>49</v>
      </c>
      <c r="AN504" s="48" t="s">
        <v>49</v>
      </c>
      <c r="AO504" s="65" t="s">
        <v>32</v>
      </c>
      <c r="AP504" s="65"/>
      <c r="AQ504" s="59"/>
    </row>
    <row r="505" spans="1:43" x14ac:dyDescent="0.2">
      <c r="A505">
        <v>504</v>
      </c>
      <c r="B505" s="33" t="e">
        <f>+B504+1</f>
        <v>#REF!</v>
      </c>
      <c r="C505" s="34" t="s">
        <v>4067</v>
      </c>
      <c r="D505" s="35" t="s">
        <v>4068</v>
      </c>
      <c r="E505" s="73" t="s">
        <v>4069</v>
      </c>
      <c r="F505" s="335">
        <v>31663</v>
      </c>
      <c r="G505" s="36" t="s">
        <v>54</v>
      </c>
      <c r="H505" s="98" t="s">
        <v>4070</v>
      </c>
      <c r="I505" s="37" t="s">
        <v>349</v>
      </c>
      <c r="J505" s="425" t="s">
        <v>4750</v>
      </c>
      <c r="K505" s="37" t="s">
        <v>350</v>
      </c>
      <c r="L505" s="38" t="s">
        <v>4071</v>
      </c>
      <c r="M505" s="34" t="s">
        <v>41</v>
      </c>
      <c r="N505" s="39" t="s">
        <v>42</v>
      </c>
      <c r="O505" s="99" t="s">
        <v>4072</v>
      </c>
      <c r="P505" s="56"/>
      <c r="Q505" s="56"/>
      <c r="R505" s="56"/>
      <c r="S505" s="56"/>
      <c r="T505" s="56"/>
      <c r="U505" s="56" t="s">
        <v>44</v>
      </c>
      <c r="V505" s="56"/>
      <c r="W505" s="56"/>
      <c r="X505" s="56"/>
      <c r="Y505" s="56"/>
      <c r="Z505" s="56"/>
      <c r="AA505" s="42" t="s">
        <v>4073</v>
      </c>
      <c r="AB505" s="100" t="s">
        <v>4074</v>
      </c>
      <c r="AC505" s="121" t="s">
        <v>4075</v>
      </c>
      <c r="AD505" s="45">
        <v>44650</v>
      </c>
      <c r="AE505" s="101" t="s">
        <v>30</v>
      </c>
      <c r="AF505" s="73"/>
      <c r="AG505" s="47" t="s">
        <v>49</v>
      </c>
      <c r="AH505" s="48" t="s">
        <v>41</v>
      </c>
      <c r="AI505" s="48" t="s">
        <v>49</v>
      </c>
      <c r="AJ505" s="48" t="s">
        <v>49</v>
      </c>
      <c r="AK505" s="48" t="s">
        <v>49</v>
      </c>
      <c r="AL505" s="48" t="s">
        <v>49</v>
      </c>
      <c r="AM505" s="49" t="s">
        <v>49</v>
      </c>
      <c r="AN505" s="48" t="s">
        <v>49</v>
      </c>
      <c r="AO505" s="62" t="s">
        <v>32</v>
      </c>
      <c r="AP505" s="62"/>
      <c r="AQ505" s="59"/>
    </row>
    <row r="506" spans="1:43" x14ac:dyDescent="0.2">
      <c r="A506">
        <v>505</v>
      </c>
      <c r="B506" s="33" t="e">
        <f>+B505+1</f>
        <v>#REF!</v>
      </c>
      <c r="C506" s="34" t="s">
        <v>4076</v>
      </c>
      <c r="D506" s="35" t="s">
        <v>4077</v>
      </c>
      <c r="E506" s="36" t="s">
        <v>4078</v>
      </c>
      <c r="F506" s="334">
        <v>25318</v>
      </c>
      <c r="G506" s="36" t="s">
        <v>54</v>
      </c>
      <c r="H506" s="34" t="s">
        <v>4079</v>
      </c>
      <c r="I506" s="37" t="s">
        <v>38</v>
      </c>
      <c r="J506" s="425" t="s">
        <v>4762</v>
      </c>
      <c r="K506" s="37" t="s">
        <v>39</v>
      </c>
      <c r="L506" s="34" t="s">
        <v>4080</v>
      </c>
      <c r="M506" s="34" t="s">
        <v>41</v>
      </c>
      <c r="N506" s="39" t="s">
        <v>42</v>
      </c>
      <c r="O506" s="99" t="s">
        <v>4081</v>
      </c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42" t="s">
        <v>4082</v>
      </c>
      <c r="AB506" s="58" t="s">
        <v>4083</v>
      </c>
      <c r="AC506" s="44" t="s">
        <v>61</v>
      </c>
      <c r="AD506" s="45">
        <v>39286</v>
      </c>
      <c r="AE506" s="101" t="s">
        <v>30</v>
      </c>
      <c r="AF506" s="36" t="s">
        <v>26</v>
      </c>
      <c r="AG506" s="47" t="s">
        <v>49</v>
      </c>
      <c r="AH506" s="48" t="s">
        <v>49</v>
      </c>
      <c r="AI506" s="48" t="s">
        <v>49</v>
      </c>
      <c r="AJ506" s="48" t="s">
        <v>49</v>
      </c>
      <c r="AK506" s="48" t="s">
        <v>49</v>
      </c>
      <c r="AL506" s="48" t="s">
        <v>49</v>
      </c>
      <c r="AM506" s="49" t="s">
        <v>49</v>
      </c>
      <c r="AN506" s="48" t="s">
        <v>41</v>
      </c>
      <c r="AO506" s="65" t="s">
        <v>148</v>
      </c>
      <c r="AP506" s="65"/>
      <c r="AQ506" s="59"/>
    </row>
    <row r="507" spans="1:43" x14ac:dyDescent="0.2">
      <c r="A507">
        <v>506</v>
      </c>
      <c r="B507" s="33" t="e">
        <f>+B506+1</f>
        <v>#REF!</v>
      </c>
      <c r="C507" s="34" t="s">
        <v>4084</v>
      </c>
      <c r="D507" s="35" t="s">
        <v>4085</v>
      </c>
      <c r="E507" s="36" t="s">
        <v>4086</v>
      </c>
      <c r="F507" s="334">
        <v>23632</v>
      </c>
      <c r="G507" s="36" t="s">
        <v>54</v>
      </c>
      <c r="H507" s="34" t="s">
        <v>4087</v>
      </c>
      <c r="I507" s="37" t="s">
        <v>243</v>
      </c>
      <c r="J507" s="425" t="s">
        <v>4744</v>
      </c>
      <c r="K507" s="37" t="s">
        <v>205</v>
      </c>
      <c r="L507" s="34" t="s">
        <v>4088</v>
      </c>
      <c r="M507" s="34" t="s">
        <v>41</v>
      </c>
      <c r="N507" s="39" t="s">
        <v>42</v>
      </c>
      <c r="O507" s="99" t="s">
        <v>4089</v>
      </c>
      <c r="P507" s="56" t="s">
        <v>179</v>
      </c>
      <c r="Q507" s="56" t="s">
        <v>179</v>
      </c>
      <c r="R507" s="56"/>
      <c r="S507" s="56">
        <v>2</v>
      </c>
      <c r="T507" s="56"/>
      <c r="U507" s="56"/>
      <c r="V507" s="56"/>
      <c r="W507" s="56"/>
      <c r="X507" s="56" t="s">
        <v>732</v>
      </c>
      <c r="Y507" s="56"/>
      <c r="Z507" s="56"/>
      <c r="AA507" s="42" t="s">
        <v>4090</v>
      </c>
      <c r="AB507" s="58" t="s">
        <v>4091</v>
      </c>
      <c r="AC507" s="44"/>
      <c r="AD507" s="45"/>
      <c r="AE507" s="101"/>
      <c r="AF507" s="73" t="s">
        <v>26</v>
      </c>
      <c r="AG507" s="47" t="s">
        <v>49</v>
      </c>
      <c r="AH507" s="48" t="s">
        <v>49</v>
      </c>
      <c r="AI507" s="48" t="s">
        <v>49</v>
      </c>
      <c r="AJ507" s="48" t="s">
        <v>49</v>
      </c>
      <c r="AK507" s="48" t="s">
        <v>49</v>
      </c>
      <c r="AL507" s="48" t="s">
        <v>49</v>
      </c>
      <c r="AM507" s="49" t="s">
        <v>41</v>
      </c>
      <c r="AN507" s="48" t="s">
        <v>41</v>
      </c>
      <c r="AO507" s="62" t="s">
        <v>276</v>
      </c>
      <c r="AP507" s="62"/>
      <c r="AQ507" s="59"/>
    </row>
    <row r="508" spans="1:43" x14ac:dyDescent="0.2">
      <c r="A508">
        <v>507</v>
      </c>
      <c r="B508" s="33" t="e">
        <f>+B507+1</f>
        <v>#REF!</v>
      </c>
      <c r="C508" s="34" t="s">
        <v>4092</v>
      </c>
      <c r="D508" s="35" t="s">
        <v>4093</v>
      </c>
      <c r="E508" s="73" t="s">
        <v>4094</v>
      </c>
      <c r="F508" s="335">
        <v>32013</v>
      </c>
      <c r="G508" s="36" t="s">
        <v>54</v>
      </c>
      <c r="H508" s="401" t="s">
        <v>4095</v>
      </c>
      <c r="I508" s="37" t="s">
        <v>73</v>
      </c>
      <c r="J508" s="425" t="s">
        <v>4765</v>
      </c>
      <c r="K508" s="37" t="s">
        <v>73</v>
      </c>
      <c r="L508" s="38" t="s">
        <v>4096</v>
      </c>
      <c r="M508" s="34" t="s">
        <v>41</v>
      </c>
      <c r="N508" s="39" t="s">
        <v>42</v>
      </c>
      <c r="O508" s="99" t="s">
        <v>4097</v>
      </c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42" t="s">
        <v>4098</v>
      </c>
      <c r="AB508" s="100" t="s">
        <v>4099</v>
      </c>
      <c r="AC508" s="121" t="s">
        <v>4100</v>
      </c>
      <c r="AD508" s="45">
        <v>44650</v>
      </c>
      <c r="AE508" s="101" t="s">
        <v>30</v>
      </c>
      <c r="AF508" s="73" t="s">
        <v>26</v>
      </c>
      <c r="AG508" s="47" t="s">
        <v>49</v>
      </c>
      <c r="AH508" s="48" t="s">
        <v>49</v>
      </c>
      <c r="AI508" s="48" t="s">
        <v>49</v>
      </c>
      <c r="AJ508" s="48" t="s">
        <v>49</v>
      </c>
      <c r="AK508" s="48" t="s">
        <v>49</v>
      </c>
      <c r="AL508" s="48" t="s">
        <v>49</v>
      </c>
      <c r="AM508" s="49" t="s">
        <v>49</v>
      </c>
      <c r="AN508" s="48" t="s">
        <v>49</v>
      </c>
      <c r="AO508" s="65" t="s">
        <v>32</v>
      </c>
      <c r="AP508" s="65"/>
      <c r="AQ508" s="59"/>
    </row>
    <row r="509" spans="1:43" x14ac:dyDescent="0.2">
      <c r="A509">
        <v>508</v>
      </c>
      <c r="B509" s="33" t="e">
        <f>+B508+1</f>
        <v>#REF!</v>
      </c>
      <c r="C509" s="394" t="s">
        <v>4101</v>
      </c>
      <c r="D509" s="35" t="s">
        <v>4102</v>
      </c>
      <c r="E509" s="36" t="s">
        <v>4103</v>
      </c>
      <c r="F509" s="334">
        <v>27952</v>
      </c>
      <c r="G509" s="36" t="s">
        <v>54</v>
      </c>
      <c r="H509" s="34" t="s">
        <v>4104</v>
      </c>
      <c r="I509" s="37" t="s">
        <v>73</v>
      </c>
      <c r="J509" s="425" t="s">
        <v>4765</v>
      </c>
      <c r="K509" s="37" t="s">
        <v>73</v>
      </c>
      <c r="L509" s="34" t="s">
        <v>4105</v>
      </c>
      <c r="M509" s="34" t="s">
        <v>4106</v>
      </c>
      <c r="N509" s="39" t="s">
        <v>42</v>
      </c>
      <c r="O509" s="99" t="s">
        <v>4107</v>
      </c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42" t="s">
        <v>4108</v>
      </c>
      <c r="AB509" s="43" t="s">
        <v>4109</v>
      </c>
      <c r="AC509" s="44" t="s">
        <v>4110</v>
      </c>
      <c r="AD509" s="45">
        <v>42935</v>
      </c>
      <c r="AE509" s="101" t="s">
        <v>30</v>
      </c>
      <c r="AF509" s="36" t="s">
        <v>26</v>
      </c>
      <c r="AG509" s="47" t="s">
        <v>49</v>
      </c>
      <c r="AH509" s="48" t="s">
        <v>49</v>
      </c>
      <c r="AI509" s="48" t="s">
        <v>49</v>
      </c>
      <c r="AJ509" s="48" t="s">
        <v>49</v>
      </c>
      <c r="AK509" s="48" t="s">
        <v>49</v>
      </c>
      <c r="AL509" s="48" t="s">
        <v>49</v>
      </c>
      <c r="AM509" s="49" t="s">
        <v>49</v>
      </c>
      <c r="AN509" s="48" t="s">
        <v>49</v>
      </c>
      <c r="AO509" s="65" t="s">
        <v>32</v>
      </c>
      <c r="AP509" s="65"/>
      <c r="AQ509" s="59"/>
    </row>
    <row r="510" spans="1:43" x14ac:dyDescent="0.2">
      <c r="A510">
        <v>509</v>
      </c>
      <c r="B510" s="33" t="e">
        <f>+B509+1</f>
        <v>#REF!</v>
      </c>
      <c r="C510" s="34" t="s">
        <v>4111</v>
      </c>
      <c r="D510" s="35" t="s">
        <v>4112</v>
      </c>
      <c r="E510" s="36" t="s">
        <v>4113</v>
      </c>
      <c r="F510" s="36"/>
      <c r="G510" s="36" t="s">
        <v>54</v>
      </c>
      <c r="H510" s="200" t="s">
        <v>4114</v>
      </c>
      <c r="I510" s="37" t="s">
        <v>73</v>
      </c>
      <c r="J510" s="425" t="s">
        <v>4765</v>
      </c>
      <c r="K510" s="37" t="s">
        <v>73</v>
      </c>
      <c r="L510" s="34" t="s">
        <v>4115</v>
      </c>
      <c r="M510" s="34" t="s">
        <v>41</v>
      </c>
      <c r="N510" s="39" t="s">
        <v>42</v>
      </c>
      <c r="O510" s="120">
        <v>30353</v>
      </c>
      <c r="P510" s="56" t="s">
        <v>179</v>
      </c>
      <c r="Q510" s="56"/>
      <c r="R510" s="56"/>
      <c r="S510" s="56">
        <v>2</v>
      </c>
      <c r="T510" s="56" t="s">
        <v>4116</v>
      </c>
      <c r="U510" s="56"/>
      <c r="V510" s="56"/>
      <c r="W510" s="56"/>
      <c r="X510" s="56"/>
      <c r="Y510" s="56"/>
      <c r="Z510" s="56"/>
      <c r="AA510" s="42" t="s">
        <v>4117</v>
      </c>
      <c r="AB510" s="58" t="s">
        <v>4118</v>
      </c>
      <c r="AC510" s="44"/>
      <c r="AD510" s="45" t="s">
        <v>47</v>
      </c>
      <c r="AE510" s="101"/>
      <c r="AF510" s="36" t="s">
        <v>26</v>
      </c>
      <c r="AG510" s="66" t="s">
        <v>130</v>
      </c>
      <c r="AH510" s="48" t="s">
        <v>130</v>
      </c>
      <c r="AI510" s="48" t="s">
        <v>41</v>
      </c>
      <c r="AJ510" s="48" t="s">
        <v>41</v>
      </c>
      <c r="AK510" s="48" t="s">
        <v>41</v>
      </c>
      <c r="AL510" s="48" t="s">
        <v>41</v>
      </c>
      <c r="AM510" s="49" t="s">
        <v>41</v>
      </c>
      <c r="AN510" s="48" t="s">
        <v>41</v>
      </c>
      <c r="AO510" s="62" t="s">
        <v>4587</v>
      </c>
      <c r="AP510" s="62"/>
      <c r="AQ510" s="59"/>
    </row>
    <row r="511" spans="1:43" x14ac:dyDescent="0.2">
      <c r="A511">
        <v>510</v>
      </c>
      <c r="B511" s="33" t="e">
        <f>+B510+1</f>
        <v>#REF!</v>
      </c>
      <c r="C511" s="394" t="s">
        <v>4119</v>
      </c>
      <c r="D511" s="35" t="s">
        <v>4120</v>
      </c>
      <c r="E511" s="36" t="s">
        <v>4121</v>
      </c>
      <c r="F511" s="334">
        <v>33104</v>
      </c>
      <c r="G511" s="36" t="s">
        <v>54</v>
      </c>
      <c r="H511" s="402" t="s">
        <v>4122</v>
      </c>
      <c r="I511" s="37" t="s">
        <v>1354</v>
      </c>
      <c r="J511" s="425" t="s">
        <v>4741</v>
      </c>
      <c r="K511" s="37" t="s">
        <v>57</v>
      </c>
      <c r="L511" s="221" t="s">
        <v>4123</v>
      </c>
      <c r="M511" s="34" t="s">
        <v>41</v>
      </c>
      <c r="N511" s="39" t="s">
        <v>42</v>
      </c>
      <c r="O511" s="228" t="s">
        <v>4124</v>
      </c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42" t="s">
        <v>4125</v>
      </c>
      <c r="AB511" s="58" t="s">
        <v>4126</v>
      </c>
      <c r="AC511" s="44" t="s">
        <v>4127</v>
      </c>
      <c r="AD511" s="45">
        <v>42325</v>
      </c>
      <c r="AE511" s="101"/>
      <c r="AF511" s="36" t="s">
        <v>26</v>
      </c>
      <c r="AG511" s="47" t="s">
        <v>49</v>
      </c>
      <c r="AH511" s="48" t="s">
        <v>49</v>
      </c>
      <c r="AI511" s="48" t="s">
        <v>49</v>
      </c>
      <c r="AJ511" s="48" t="s">
        <v>49</v>
      </c>
      <c r="AK511" s="48" t="s">
        <v>49</v>
      </c>
      <c r="AL511" s="48" t="s">
        <v>49</v>
      </c>
      <c r="AM511" s="49" t="s">
        <v>49</v>
      </c>
      <c r="AN511" s="48" t="s">
        <v>49</v>
      </c>
      <c r="AO511" s="65" t="s">
        <v>32</v>
      </c>
      <c r="AP511" s="65"/>
      <c r="AQ511" s="59"/>
    </row>
    <row r="512" spans="1:43" x14ac:dyDescent="0.2">
      <c r="A512">
        <v>511</v>
      </c>
      <c r="B512" s="33" t="e">
        <f>+B511+1</f>
        <v>#REF!</v>
      </c>
      <c r="C512" s="34" t="s">
        <v>4128</v>
      </c>
      <c r="D512" s="35" t="s">
        <v>4129</v>
      </c>
      <c r="E512" s="36" t="s">
        <v>4130</v>
      </c>
      <c r="F512" s="334">
        <v>30684</v>
      </c>
      <c r="G512" s="36" t="s">
        <v>54</v>
      </c>
      <c r="H512" s="60" t="s">
        <v>4131</v>
      </c>
      <c r="I512" s="37" t="s">
        <v>323</v>
      </c>
      <c r="J512" s="425" t="s">
        <v>4758</v>
      </c>
      <c r="K512" s="37" t="s">
        <v>39</v>
      </c>
      <c r="L512" s="221" t="s">
        <v>4132</v>
      </c>
      <c r="M512" s="34" t="s">
        <v>41</v>
      </c>
      <c r="N512" s="39" t="s">
        <v>42</v>
      </c>
      <c r="O512" s="99" t="s">
        <v>4133</v>
      </c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42" t="s">
        <v>4134</v>
      </c>
      <c r="AB512" s="58" t="s">
        <v>4135</v>
      </c>
      <c r="AC512" s="44" t="s">
        <v>61</v>
      </c>
      <c r="AD512" s="45">
        <v>40280</v>
      </c>
      <c r="AE512" s="101" t="s">
        <v>30</v>
      </c>
      <c r="AF512" s="36" t="s">
        <v>26</v>
      </c>
      <c r="AG512" s="47" t="s">
        <v>49</v>
      </c>
      <c r="AH512" s="48" t="s">
        <v>49</v>
      </c>
      <c r="AI512" s="48" t="s">
        <v>49</v>
      </c>
      <c r="AJ512" s="48" t="s">
        <v>49</v>
      </c>
      <c r="AK512" s="48" t="s">
        <v>49</v>
      </c>
      <c r="AL512" s="48" t="s">
        <v>49</v>
      </c>
      <c r="AM512" s="49" t="s">
        <v>49</v>
      </c>
      <c r="AN512" s="48" t="s">
        <v>49</v>
      </c>
      <c r="AO512" s="65" t="s">
        <v>32</v>
      </c>
      <c r="AP512" s="65"/>
      <c r="AQ512" s="59"/>
    </row>
    <row r="513" spans="1:43" x14ac:dyDescent="0.2">
      <c r="A513">
        <v>512</v>
      </c>
      <c r="B513" s="33" t="e">
        <f>+B512+1</f>
        <v>#REF!</v>
      </c>
      <c r="C513" s="34" t="s">
        <v>4136</v>
      </c>
      <c r="D513" s="35" t="s">
        <v>4137</v>
      </c>
      <c r="E513" s="154" t="s">
        <v>4138</v>
      </c>
      <c r="F513" s="345">
        <v>27857</v>
      </c>
      <c r="G513" s="36" t="s">
        <v>36</v>
      </c>
      <c r="H513" s="72" t="s">
        <v>4139</v>
      </c>
      <c r="I513" s="75" t="s">
        <v>243</v>
      </c>
      <c r="J513" s="425" t="s">
        <v>4744</v>
      </c>
      <c r="K513" s="75" t="s">
        <v>205</v>
      </c>
      <c r="L513" s="72" t="s">
        <v>4140</v>
      </c>
      <c r="M513" s="72" t="s">
        <v>41</v>
      </c>
      <c r="N513" s="77" t="s">
        <v>42</v>
      </c>
      <c r="O513" s="228" t="s">
        <v>4141</v>
      </c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  <c r="AA513" s="42" t="s">
        <v>4142</v>
      </c>
      <c r="AB513" s="58" t="s">
        <v>4143</v>
      </c>
      <c r="AC513" s="44" t="s">
        <v>61</v>
      </c>
      <c r="AD513" s="45">
        <v>40280</v>
      </c>
      <c r="AE513" s="206" t="s">
        <v>30</v>
      </c>
      <c r="AF513" s="154" t="s">
        <v>26</v>
      </c>
      <c r="AG513" s="81" t="s">
        <v>49</v>
      </c>
      <c r="AH513" s="48" t="s">
        <v>49</v>
      </c>
      <c r="AI513" s="48" t="s">
        <v>49</v>
      </c>
      <c r="AJ513" s="48" t="s">
        <v>49</v>
      </c>
      <c r="AK513" s="48" t="s">
        <v>49</v>
      </c>
      <c r="AL513" s="48" t="s">
        <v>49</v>
      </c>
      <c r="AM513" s="49" t="s">
        <v>49</v>
      </c>
      <c r="AN513" s="48" t="s">
        <v>49</v>
      </c>
      <c r="AO513" s="62" t="s">
        <v>32</v>
      </c>
      <c r="AP513" s="62" t="s">
        <v>4681</v>
      </c>
      <c r="AQ513" s="59"/>
    </row>
    <row r="514" spans="1:43" x14ac:dyDescent="0.2">
      <c r="A514">
        <v>513</v>
      </c>
      <c r="B514" s="33" t="e">
        <f>+B513+1</f>
        <v>#REF!</v>
      </c>
      <c r="C514" s="34" t="s">
        <v>4144</v>
      </c>
      <c r="D514" s="35" t="s">
        <v>4145</v>
      </c>
      <c r="E514" s="36" t="s">
        <v>4146</v>
      </c>
      <c r="F514" s="334">
        <v>34673</v>
      </c>
      <c r="G514" s="36" t="s">
        <v>54</v>
      </c>
      <c r="H514" s="52" t="s">
        <v>4147</v>
      </c>
      <c r="I514" s="37" t="s">
        <v>176</v>
      </c>
      <c r="J514" s="425" t="s">
        <v>4767</v>
      </c>
      <c r="K514" s="37" t="s">
        <v>39</v>
      </c>
      <c r="L514" s="38" t="s">
        <v>4148</v>
      </c>
      <c r="M514" s="34" t="s">
        <v>41</v>
      </c>
      <c r="N514" s="39" t="s">
        <v>42</v>
      </c>
      <c r="O514" s="99" t="s">
        <v>1955</v>
      </c>
      <c r="P514" s="56"/>
      <c r="Q514" s="56"/>
      <c r="R514" s="56"/>
      <c r="S514" s="56"/>
      <c r="T514" s="56"/>
      <c r="U514" s="56"/>
      <c r="V514" s="56" t="s">
        <v>44</v>
      </c>
      <c r="W514" s="56"/>
      <c r="X514" s="56"/>
      <c r="Y514" s="56"/>
      <c r="Z514" s="56"/>
      <c r="AA514" s="42" t="s">
        <v>4149</v>
      </c>
      <c r="AB514" s="58" t="s">
        <v>4150</v>
      </c>
      <c r="AC514" s="44"/>
      <c r="AD514" s="45">
        <v>45642</v>
      </c>
      <c r="AE514" s="101"/>
      <c r="AF514" s="36"/>
      <c r="AG514" s="47" t="s">
        <v>49</v>
      </c>
      <c r="AH514" s="48" t="s">
        <v>41</v>
      </c>
      <c r="AI514" s="48" t="s">
        <v>41</v>
      </c>
      <c r="AJ514" s="48" t="s">
        <v>49</v>
      </c>
      <c r="AK514" s="48" t="s">
        <v>49</v>
      </c>
      <c r="AL514" s="48" t="s">
        <v>49</v>
      </c>
      <c r="AM514" s="49" t="s">
        <v>41</v>
      </c>
      <c r="AN514" s="48" t="s">
        <v>41</v>
      </c>
      <c r="AO514" s="62" t="s">
        <v>276</v>
      </c>
      <c r="AP514" s="62"/>
      <c r="AQ514" s="59"/>
    </row>
    <row r="515" spans="1:43" x14ac:dyDescent="0.2">
      <c r="A515">
        <v>514</v>
      </c>
      <c r="B515" s="33" t="e">
        <f>+B514+1</f>
        <v>#REF!</v>
      </c>
      <c r="C515" s="34" t="s">
        <v>4151</v>
      </c>
      <c r="D515" s="35" t="s">
        <v>4152</v>
      </c>
      <c r="E515" s="36" t="s">
        <v>4818</v>
      </c>
      <c r="F515" s="36"/>
      <c r="G515" s="36" t="s">
        <v>54</v>
      </c>
      <c r="H515" s="108" t="s">
        <v>4154</v>
      </c>
      <c r="I515" s="37" t="s">
        <v>413</v>
      </c>
      <c r="J515" s="425" t="s">
        <v>4754</v>
      </c>
      <c r="K515" s="37" t="s">
        <v>378</v>
      </c>
      <c r="L515" s="457" t="s">
        <v>4155</v>
      </c>
      <c r="M515" s="34" t="s">
        <v>41</v>
      </c>
      <c r="N515" s="39" t="s">
        <v>42</v>
      </c>
      <c r="O515" s="99" t="s">
        <v>4156</v>
      </c>
      <c r="P515" s="41"/>
      <c r="Q515" s="41"/>
      <c r="R515" s="41"/>
      <c r="S515" s="41"/>
      <c r="T515" s="112"/>
      <c r="U515" s="41"/>
      <c r="V515" s="41"/>
      <c r="W515" s="41"/>
      <c r="X515" s="41"/>
      <c r="Y515" s="41"/>
      <c r="Z515" s="41"/>
      <c r="AA515" s="42" t="s">
        <v>4157</v>
      </c>
      <c r="AB515" s="58" t="s">
        <v>4158</v>
      </c>
      <c r="AC515" s="44" t="s">
        <v>61</v>
      </c>
      <c r="AD515" s="45">
        <v>37877</v>
      </c>
      <c r="AE515" s="101" t="s">
        <v>30</v>
      </c>
      <c r="AF515" s="36"/>
      <c r="AG515" s="47" t="s">
        <v>49</v>
      </c>
      <c r="AH515" s="48" t="s">
        <v>41</v>
      </c>
      <c r="AI515" s="48" t="s">
        <v>41</v>
      </c>
      <c r="AJ515" s="48" t="s">
        <v>41</v>
      </c>
      <c r="AK515" s="48" t="s">
        <v>41</v>
      </c>
      <c r="AL515" s="48" t="s">
        <v>41</v>
      </c>
      <c r="AM515" s="49" t="s">
        <v>41</v>
      </c>
      <c r="AN515" s="48" t="s">
        <v>41</v>
      </c>
      <c r="AO515" s="241" t="s">
        <v>4588</v>
      </c>
      <c r="AP515" s="241"/>
      <c r="AQ515" s="59" t="s">
        <v>1230</v>
      </c>
    </row>
    <row r="516" spans="1:43" x14ac:dyDescent="0.2">
      <c r="A516">
        <v>515</v>
      </c>
      <c r="B516" s="33" t="e">
        <f>+B515+1</f>
        <v>#REF!</v>
      </c>
      <c r="C516" s="34" t="s">
        <v>4159</v>
      </c>
      <c r="D516" s="35" t="s">
        <v>4160</v>
      </c>
      <c r="E516" s="36" t="s">
        <v>4161</v>
      </c>
      <c r="F516" s="36"/>
      <c r="G516" s="36" t="s">
        <v>241</v>
      </c>
      <c r="H516" s="34" t="s">
        <v>4162</v>
      </c>
      <c r="I516" s="37" t="s">
        <v>456</v>
      </c>
      <c r="J516" s="425" t="s">
        <v>4770</v>
      </c>
      <c r="K516" s="37" t="s">
        <v>187</v>
      </c>
      <c r="L516" s="34" t="s">
        <v>4163</v>
      </c>
      <c r="M516" s="34" t="s">
        <v>41</v>
      </c>
      <c r="N516" s="39" t="s">
        <v>42</v>
      </c>
      <c r="O516" s="99" t="s">
        <v>4164</v>
      </c>
      <c r="P516" s="41"/>
      <c r="Q516" s="112"/>
      <c r="R516" s="410"/>
      <c r="S516" s="112"/>
      <c r="T516" s="410"/>
      <c r="U516" s="112"/>
      <c r="V516" s="112"/>
      <c r="W516" s="41"/>
      <c r="X516" s="41"/>
      <c r="Y516" s="41"/>
      <c r="Z516" s="41"/>
      <c r="AA516" s="42" t="s">
        <v>1145</v>
      </c>
      <c r="AB516" s="58" t="s">
        <v>4165</v>
      </c>
      <c r="AC516" s="44" t="s">
        <v>61</v>
      </c>
      <c r="AD516" s="45">
        <v>36641</v>
      </c>
      <c r="AE516" s="101" t="s">
        <v>30</v>
      </c>
      <c r="AF516" s="36"/>
      <c r="AG516" s="47" t="s">
        <v>49</v>
      </c>
      <c r="AH516" s="48" t="s">
        <v>41</v>
      </c>
      <c r="AI516" s="48" t="s">
        <v>41</v>
      </c>
      <c r="AJ516" s="48" t="s">
        <v>41</v>
      </c>
      <c r="AK516" s="48" t="s">
        <v>41</v>
      </c>
      <c r="AL516" s="48" t="s">
        <v>41</v>
      </c>
      <c r="AM516" s="49" t="s">
        <v>41</v>
      </c>
      <c r="AN516" s="48" t="s">
        <v>41</v>
      </c>
      <c r="AO516" s="241" t="s">
        <v>4591</v>
      </c>
      <c r="AP516" s="241"/>
      <c r="AQ516" s="59" t="s">
        <v>460</v>
      </c>
    </row>
    <row r="517" spans="1:43" x14ac:dyDescent="0.2">
      <c r="A517">
        <v>516</v>
      </c>
      <c r="B517" s="33" t="e">
        <f>+B516+1</f>
        <v>#REF!</v>
      </c>
      <c r="C517" s="34" t="s">
        <v>4166</v>
      </c>
      <c r="D517" s="35" t="s">
        <v>4167</v>
      </c>
      <c r="E517" s="36" t="s">
        <v>4657</v>
      </c>
      <c r="F517" s="334">
        <v>34447</v>
      </c>
      <c r="G517" s="36" t="s">
        <v>4169</v>
      </c>
      <c r="H517" s="34" t="s">
        <v>4170</v>
      </c>
      <c r="I517" s="37" t="s">
        <v>73</v>
      </c>
      <c r="J517" s="425" t="s">
        <v>4765</v>
      </c>
      <c r="K517" s="37" t="s">
        <v>73</v>
      </c>
      <c r="L517" s="57" t="s">
        <v>4171</v>
      </c>
      <c r="M517" s="34" t="s">
        <v>41</v>
      </c>
      <c r="N517" s="39" t="s">
        <v>42</v>
      </c>
      <c r="O517" s="120">
        <v>45933</v>
      </c>
      <c r="P517" s="41"/>
      <c r="Q517" s="41"/>
      <c r="R517" s="41"/>
      <c r="S517" s="41"/>
      <c r="T517" s="41"/>
      <c r="U517" s="41"/>
      <c r="V517" s="41"/>
      <c r="W517" s="41"/>
      <c r="X517" s="41"/>
      <c r="Y517" s="41" t="s">
        <v>44</v>
      </c>
      <c r="Z517" s="41"/>
      <c r="AA517" s="42" t="s">
        <v>4172</v>
      </c>
      <c r="AB517" s="58" t="s">
        <v>4173</v>
      </c>
      <c r="AC517" s="44"/>
      <c r="AD517" s="45"/>
      <c r="AE517" s="101"/>
      <c r="AF517" s="36"/>
      <c r="AG517" s="47" t="s">
        <v>49</v>
      </c>
      <c r="AH517" s="48" t="s">
        <v>41</v>
      </c>
      <c r="AI517" s="48" t="s">
        <v>41</v>
      </c>
      <c r="AJ517" s="48" t="s">
        <v>41</v>
      </c>
      <c r="AK517" s="48" t="s">
        <v>41</v>
      </c>
      <c r="AL517" s="48" t="s">
        <v>41</v>
      </c>
      <c r="AM517" s="49" t="s">
        <v>49</v>
      </c>
      <c r="AN517" s="48" t="s">
        <v>49</v>
      </c>
      <c r="AO517" s="241" t="s">
        <v>32</v>
      </c>
      <c r="AP517" s="241"/>
      <c r="AQ517" s="59"/>
    </row>
    <row r="518" spans="1:43" x14ac:dyDescent="0.2">
      <c r="A518">
        <v>517</v>
      </c>
      <c r="B518" s="33" t="e">
        <f>+B517+1</f>
        <v>#REF!</v>
      </c>
      <c r="C518" s="34" t="s">
        <v>4174</v>
      </c>
      <c r="D518" s="35" t="s">
        <v>4175</v>
      </c>
      <c r="E518" s="36" t="s">
        <v>4176</v>
      </c>
      <c r="F518" s="334">
        <v>32716</v>
      </c>
      <c r="G518" s="36" t="s">
        <v>54</v>
      </c>
      <c r="H518" s="34" t="s">
        <v>4177</v>
      </c>
      <c r="I518" s="37" t="s">
        <v>39</v>
      </c>
      <c r="J518" s="425" t="s">
        <v>4759</v>
      </c>
      <c r="K518" s="37" t="s">
        <v>39</v>
      </c>
      <c r="L518" s="38" t="s">
        <v>4178</v>
      </c>
      <c r="M518" s="34" t="s">
        <v>41</v>
      </c>
      <c r="N518" s="39" t="s">
        <v>42</v>
      </c>
      <c r="O518" s="99" t="s">
        <v>282</v>
      </c>
      <c r="P518" s="41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42" t="s">
        <v>4179</v>
      </c>
      <c r="AB518" s="69" t="s">
        <v>4180</v>
      </c>
      <c r="AC518" s="44" t="s">
        <v>4181</v>
      </c>
      <c r="AD518" s="45">
        <v>42935</v>
      </c>
      <c r="AE518" s="101" t="s">
        <v>30</v>
      </c>
      <c r="AF518" s="36" t="s">
        <v>26</v>
      </c>
      <c r="AG518" s="47" t="s">
        <v>49</v>
      </c>
      <c r="AH518" s="48" t="s">
        <v>49</v>
      </c>
      <c r="AI518" s="48" t="s">
        <v>49</v>
      </c>
      <c r="AJ518" s="48" t="s">
        <v>49</v>
      </c>
      <c r="AK518" s="48" t="s">
        <v>49</v>
      </c>
      <c r="AL518" s="48" t="s">
        <v>49</v>
      </c>
      <c r="AM518" s="49" t="s">
        <v>49</v>
      </c>
      <c r="AN518" s="48" t="s">
        <v>49</v>
      </c>
      <c r="AO518" s="213">
        <v>0</v>
      </c>
      <c r="AP518" s="213"/>
      <c r="AQ518" s="59"/>
    </row>
    <row r="519" spans="1:43" x14ac:dyDescent="0.2">
      <c r="A519">
        <v>518</v>
      </c>
      <c r="B519" s="33" t="e">
        <f>+B518+1</f>
        <v>#REF!</v>
      </c>
      <c r="C519" s="34" t="s">
        <v>4182</v>
      </c>
      <c r="D519" s="35" t="s">
        <v>4183</v>
      </c>
      <c r="E519" s="36" t="s">
        <v>4184</v>
      </c>
      <c r="F519" s="334">
        <v>25131</v>
      </c>
      <c r="G519" s="36" t="s">
        <v>54</v>
      </c>
      <c r="H519" s="34" t="s">
        <v>4185</v>
      </c>
      <c r="I519" s="37" t="s">
        <v>377</v>
      </c>
      <c r="J519" s="425" t="s">
        <v>4757</v>
      </c>
      <c r="K519" s="37" t="s">
        <v>378</v>
      </c>
      <c r="L519" s="34" t="s">
        <v>41</v>
      </c>
      <c r="M519" s="34" t="s">
        <v>41</v>
      </c>
      <c r="N519" s="39" t="s">
        <v>42</v>
      </c>
      <c r="O519" s="99" t="s">
        <v>4186</v>
      </c>
      <c r="P519" s="41"/>
      <c r="Q519" s="41"/>
      <c r="R519" s="41"/>
      <c r="S519" s="41"/>
      <c r="T519" s="112"/>
      <c r="U519" s="112"/>
      <c r="V519" s="112"/>
      <c r="W519" s="41"/>
      <c r="X519" s="41" t="s">
        <v>732</v>
      </c>
      <c r="Y519" s="41"/>
      <c r="Z519" s="41"/>
      <c r="AA519" s="42" t="s">
        <v>4187</v>
      </c>
      <c r="AB519" s="52" t="s">
        <v>4720</v>
      </c>
      <c r="AC519" s="119"/>
      <c r="AD519" s="45"/>
      <c r="AE519" s="101" t="s">
        <v>30</v>
      </c>
      <c r="AF519" s="36" t="s">
        <v>26</v>
      </c>
      <c r="AG519" s="47" t="s">
        <v>49</v>
      </c>
      <c r="AH519" s="48" t="s">
        <v>49</v>
      </c>
      <c r="AI519" s="48" t="s">
        <v>49</v>
      </c>
      <c r="AJ519" s="48" t="s">
        <v>49</v>
      </c>
      <c r="AK519" s="48" t="s">
        <v>49</v>
      </c>
      <c r="AL519" s="48" t="s">
        <v>49</v>
      </c>
      <c r="AM519" s="49" t="s">
        <v>49</v>
      </c>
      <c r="AN519" s="48" t="s">
        <v>49</v>
      </c>
      <c r="AO519" s="62" t="s">
        <v>32</v>
      </c>
      <c r="AP519" s="62"/>
      <c r="AQ519" s="59"/>
    </row>
    <row r="520" spans="1:43" x14ac:dyDescent="0.2">
      <c r="A520">
        <v>519</v>
      </c>
      <c r="B520" s="33" t="e">
        <f>+B519+1</f>
        <v>#REF!</v>
      </c>
      <c r="C520" s="34" t="s">
        <v>4189</v>
      </c>
      <c r="D520" s="35" t="s">
        <v>4190</v>
      </c>
      <c r="E520" s="36" t="s">
        <v>4191</v>
      </c>
      <c r="F520" s="334">
        <v>28307</v>
      </c>
      <c r="G520" s="36" t="s">
        <v>54</v>
      </c>
      <c r="H520" s="34" t="s">
        <v>4192</v>
      </c>
      <c r="I520" s="37" t="s">
        <v>73</v>
      </c>
      <c r="J520" s="425" t="s">
        <v>4765</v>
      </c>
      <c r="K520" s="37" t="s">
        <v>73</v>
      </c>
      <c r="L520" s="38" t="s">
        <v>4193</v>
      </c>
      <c r="M520" s="34" t="s">
        <v>41</v>
      </c>
      <c r="N520" s="39" t="s">
        <v>42</v>
      </c>
      <c r="O520" s="99" t="s">
        <v>1887</v>
      </c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2" t="s">
        <v>4194</v>
      </c>
      <c r="AB520" s="43" t="s">
        <v>4195</v>
      </c>
      <c r="AC520" s="44" t="s">
        <v>4196</v>
      </c>
      <c r="AD520" s="45">
        <v>44041</v>
      </c>
      <c r="AE520" s="101" t="s">
        <v>30</v>
      </c>
      <c r="AF520" s="36" t="s">
        <v>26</v>
      </c>
      <c r="AG520" s="47" t="s">
        <v>49</v>
      </c>
      <c r="AH520" s="48" t="s">
        <v>49</v>
      </c>
      <c r="AI520" s="48" t="s">
        <v>49</v>
      </c>
      <c r="AJ520" s="48" t="s">
        <v>49</v>
      </c>
      <c r="AK520" s="48" t="s">
        <v>49</v>
      </c>
      <c r="AL520" s="48" t="s">
        <v>49</v>
      </c>
      <c r="AM520" s="49" t="s">
        <v>49</v>
      </c>
      <c r="AN520" s="48" t="s">
        <v>49</v>
      </c>
      <c r="AO520" s="62" t="s">
        <v>32</v>
      </c>
      <c r="AP520" s="62"/>
      <c r="AQ520" s="59"/>
    </row>
    <row r="521" spans="1:43" x14ac:dyDescent="0.2">
      <c r="A521">
        <v>520</v>
      </c>
      <c r="B521" s="33" t="e">
        <f>+B520+1</f>
        <v>#REF!</v>
      </c>
      <c r="C521" s="34" t="s">
        <v>4197</v>
      </c>
      <c r="D521" s="35" t="s">
        <v>4198</v>
      </c>
      <c r="E521" s="36" t="s">
        <v>4199</v>
      </c>
      <c r="F521" s="36"/>
      <c r="G521" s="36" t="s">
        <v>54</v>
      </c>
      <c r="H521" s="34" t="s">
        <v>4200</v>
      </c>
      <c r="I521" s="37" t="s">
        <v>73</v>
      </c>
      <c r="J521" s="425" t="s">
        <v>4765</v>
      </c>
      <c r="K521" s="37" t="s">
        <v>73</v>
      </c>
      <c r="L521" s="34" t="s">
        <v>3116</v>
      </c>
      <c r="M521" s="34" t="s">
        <v>3117</v>
      </c>
      <c r="N521" s="39" t="s">
        <v>42</v>
      </c>
      <c r="O521" s="120">
        <v>36591</v>
      </c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2" t="s">
        <v>4201</v>
      </c>
      <c r="AB521" s="100" t="s">
        <v>4202</v>
      </c>
      <c r="AC521" s="44" t="s">
        <v>61</v>
      </c>
      <c r="AD521" s="45">
        <v>37208</v>
      </c>
      <c r="AE521" s="101" t="s">
        <v>30</v>
      </c>
      <c r="AF521" s="36"/>
      <c r="AG521" s="47" t="s">
        <v>49</v>
      </c>
      <c r="AH521" s="48" t="s">
        <v>41</v>
      </c>
      <c r="AI521" s="48" t="s">
        <v>41</v>
      </c>
      <c r="AJ521" s="48" t="s">
        <v>41</v>
      </c>
      <c r="AK521" s="48" t="s">
        <v>41</v>
      </c>
      <c r="AL521" s="48" t="s">
        <v>41</v>
      </c>
      <c r="AM521" s="49" t="s">
        <v>41</v>
      </c>
      <c r="AN521" s="48" t="s">
        <v>41</v>
      </c>
      <c r="AO521" s="65" t="s">
        <v>4592</v>
      </c>
      <c r="AP521" s="65"/>
      <c r="AQ521" s="59" t="s">
        <v>192</v>
      </c>
    </row>
    <row r="522" spans="1:43" x14ac:dyDescent="0.2">
      <c r="A522">
        <v>521</v>
      </c>
      <c r="B522" s="33" t="e">
        <f>+B521+1</f>
        <v>#REF!</v>
      </c>
      <c r="C522" s="34" t="s">
        <v>4203</v>
      </c>
      <c r="D522" s="35" t="s">
        <v>4204</v>
      </c>
      <c r="E522" s="36" t="s">
        <v>4205</v>
      </c>
      <c r="F522" s="36"/>
      <c r="G522" s="36" t="s">
        <v>54</v>
      </c>
      <c r="H522" s="403" t="s">
        <v>4206</v>
      </c>
      <c r="I522" s="37" t="s">
        <v>73</v>
      </c>
      <c r="J522" s="425" t="s">
        <v>4765</v>
      </c>
      <c r="K522" s="37" t="s">
        <v>73</v>
      </c>
      <c r="L522" s="34" t="s">
        <v>4207</v>
      </c>
      <c r="M522" s="34" t="s">
        <v>41</v>
      </c>
      <c r="N522" s="39" t="s">
        <v>42</v>
      </c>
      <c r="O522" s="99" t="s">
        <v>235</v>
      </c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2" t="s">
        <v>4208</v>
      </c>
      <c r="AB522" s="58" t="s">
        <v>4209</v>
      </c>
      <c r="AC522" s="44" t="s">
        <v>61</v>
      </c>
      <c r="AD522" s="45">
        <v>40280</v>
      </c>
      <c r="AE522" s="101" t="s">
        <v>30</v>
      </c>
      <c r="AF522" s="36" t="s">
        <v>26</v>
      </c>
      <c r="AG522" s="47" t="s">
        <v>49</v>
      </c>
      <c r="AH522" s="48" t="s">
        <v>49</v>
      </c>
      <c r="AI522" s="48" t="s">
        <v>41</v>
      </c>
      <c r="AJ522" s="48" t="s">
        <v>41</v>
      </c>
      <c r="AK522" s="48" t="s">
        <v>41</v>
      </c>
      <c r="AL522" s="48" t="s">
        <v>41</v>
      </c>
      <c r="AM522" s="49" t="s">
        <v>41</v>
      </c>
      <c r="AN522" s="48" t="s">
        <v>41</v>
      </c>
      <c r="AO522" s="62" t="s">
        <v>4587</v>
      </c>
      <c r="AP522" s="62"/>
      <c r="AQ522" s="59"/>
    </row>
    <row r="523" spans="1:43" x14ac:dyDescent="0.2">
      <c r="A523">
        <v>522</v>
      </c>
      <c r="B523" s="33" t="e">
        <f>+B522+1</f>
        <v>#REF!</v>
      </c>
      <c r="C523" s="34" t="s">
        <v>4210</v>
      </c>
      <c r="D523" s="35" t="s">
        <v>4211</v>
      </c>
      <c r="E523" s="36" t="s">
        <v>4212</v>
      </c>
      <c r="F523" s="334">
        <v>28652</v>
      </c>
      <c r="G523" s="36" t="s">
        <v>54</v>
      </c>
      <c r="H523" s="98" t="s">
        <v>4213</v>
      </c>
      <c r="I523" s="37" t="s">
        <v>73</v>
      </c>
      <c r="J523" s="425" t="s">
        <v>4765</v>
      </c>
      <c r="K523" s="37" t="s">
        <v>73</v>
      </c>
      <c r="L523" s="34" t="s">
        <v>4214</v>
      </c>
      <c r="M523" s="34" t="s">
        <v>4214</v>
      </c>
      <c r="N523" s="39" t="s">
        <v>42</v>
      </c>
      <c r="O523" s="120">
        <v>37110</v>
      </c>
      <c r="P523" s="41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42" t="s">
        <v>4215</v>
      </c>
      <c r="AB523" s="58" t="s">
        <v>4216</v>
      </c>
      <c r="AC523" s="44" t="s">
        <v>4217</v>
      </c>
      <c r="AD523" s="45">
        <v>41793</v>
      </c>
      <c r="AE523" s="101" t="s">
        <v>30</v>
      </c>
      <c r="AF523" s="36" t="s">
        <v>26</v>
      </c>
      <c r="AG523" s="47" t="s">
        <v>49</v>
      </c>
      <c r="AH523" s="48" t="s">
        <v>49</v>
      </c>
      <c r="AI523" s="48" t="s">
        <v>49</v>
      </c>
      <c r="AJ523" s="48" t="s">
        <v>49</v>
      </c>
      <c r="AK523" s="48" t="s">
        <v>41</v>
      </c>
      <c r="AL523" s="48" t="s">
        <v>41</v>
      </c>
      <c r="AM523" s="49" t="s">
        <v>41</v>
      </c>
      <c r="AN523" s="48" t="s">
        <v>41</v>
      </c>
      <c r="AO523" s="62" t="s">
        <v>139</v>
      </c>
      <c r="AP523" s="62"/>
      <c r="AQ523" s="59"/>
    </row>
    <row r="524" spans="1:43" x14ac:dyDescent="0.2">
      <c r="A524">
        <v>523</v>
      </c>
      <c r="B524" s="33" t="e">
        <f>+B523+1</f>
        <v>#REF!</v>
      </c>
      <c r="C524" s="34" t="s">
        <v>4218</v>
      </c>
      <c r="D524" s="35" t="s">
        <v>4219</v>
      </c>
      <c r="E524" s="36" t="s">
        <v>4220</v>
      </c>
      <c r="F524" s="334">
        <v>32465</v>
      </c>
      <c r="G524" s="36" t="s">
        <v>36</v>
      </c>
      <c r="H524" s="200" t="s">
        <v>4221</v>
      </c>
      <c r="I524" s="37" t="s">
        <v>252</v>
      </c>
      <c r="J524" s="425" t="s">
        <v>4763</v>
      </c>
      <c r="K524" s="37" t="s">
        <v>57</v>
      </c>
      <c r="L524" s="34" t="s">
        <v>4222</v>
      </c>
      <c r="M524" s="34" t="s">
        <v>41</v>
      </c>
      <c r="N524" s="39" t="s">
        <v>42</v>
      </c>
      <c r="O524" s="120">
        <v>30353</v>
      </c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42" t="s">
        <v>4223</v>
      </c>
      <c r="AB524" s="58" t="s">
        <v>4224</v>
      </c>
      <c r="AC524" s="44" t="s">
        <v>4225</v>
      </c>
      <c r="AD524" s="45">
        <v>43200</v>
      </c>
      <c r="AE524" s="101" t="s">
        <v>30</v>
      </c>
      <c r="AF524" s="36" t="s">
        <v>26</v>
      </c>
      <c r="AG524" s="47" t="s">
        <v>49</v>
      </c>
      <c r="AH524" s="48" t="s">
        <v>49</v>
      </c>
      <c r="AI524" s="48" t="s">
        <v>49</v>
      </c>
      <c r="AJ524" s="48" t="s">
        <v>49</v>
      </c>
      <c r="AK524" s="48" t="s">
        <v>49</v>
      </c>
      <c r="AL524" s="48" t="s">
        <v>49</v>
      </c>
      <c r="AM524" s="49" t="s">
        <v>49</v>
      </c>
      <c r="AN524" s="48" t="s">
        <v>49</v>
      </c>
      <c r="AO524" s="62" t="s">
        <v>32</v>
      </c>
      <c r="AP524" s="62"/>
      <c r="AQ524" s="59"/>
    </row>
    <row r="525" spans="1:43" ht="14.25" customHeight="1" x14ac:dyDescent="0.2">
      <c r="A525">
        <v>524</v>
      </c>
      <c r="B525" s="33" t="e">
        <f>+B524+1</f>
        <v>#REF!</v>
      </c>
      <c r="C525" s="34" t="s">
        <v>4226</v>
      </c>
      <c r="D525" s="35" t="s">
        <v>4227</v>
      </c>
      <c r="E525" s="36" t="s">
        <v>4228</v>
      </c>
      <c r="F525" s="334">
        <v>29293</v>
      </c>
      <c r="G525" s="36" t="s">
        <v>54</v>
      </c>
      <c r="H525" s="34" t="s">
        <v>4229</v>
      </c>
      <c r="I525" s="37" t="s">
        <v>73</v>
      </c>
      <c r="J525" s="425" t="s">
        <v>4765</v>
      </c>
      <c r="K525" s="37" t="s">
        <v>73</v>
      </c>
      <c r="L525" s="34" t="s">
        <v>4230</v>
      </c>
      <c r="M525" s="34" t="s">
        <v>4230</v>
      </c>
      <c r="N525" s="39" t="s">
        <v>42</v>
      </c>
      <c r="O525" s="120" t="s">
        <v>4231</v>
      </c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2" t="s">
        <v>4232</v>
      </c>
      <c r="AB525" s="69" t="s">
        <v>4233</v>
      </c>
      <c r="AC525" s="44" t="s">
        <v>4234</v>
      </c>
      <c r="AD525" s="45">
        <v>42935</v>
      </c>
      <c r="AE525" s="101" t="s">
        <v>30</v>
      </c>
      <c r="AF525" s="36" t="s">
        <v>26</v>
      </c>
      <c r="AG525" s="47" t="s">
        <v>49</v>
      </c>
      <c r="AH525" s="48" t="s">
        <v>49</v>
      </c>
      <c r="AI525" s="48" t="s">
        <v>49</v>
      </c>
      <c r="AJ525" s="48" t="s">
        <v>49</v>
      </c>
      <c r="AK525" s="48" t="s">
        <v>49</v>
      </c>
      <c r="AL525" s="48" t="s">
        <v>49</v>
      </c>
      <c r="AM525" s="49" t="s">
        <v>41</v>
      </c>
      <c r="AN525" s="48" t="s">
        <v>41</v>
      </c>
      <c r="AO525" s="62" t="s">
        <v>276</v>
      </c>
      <c r="AP525" s="62"/>
      <c r="AQ525" s="59"/>
    </row>
    <row r="526" spans="1:43" ht="14.25" customHeight="1" x14ac:dyDescent="0.2">
      <c r="A526">
        <v>525</v>
      </c>
      <c r="B526" s="33" t="e">
        <f>+B525+1</f>
        <v>#REF!</v>
      </c>
      <c r="C526" s="34" t="s">
        <v>4235</v>
      </c>
      <c r="D526" s="35" t="s">
        <v>4236</v>
      </c>
      <c r="E526" s="36" t="s">
        <v>4237</v>
      </c>
      <c r="F526" s="334">
        <v>34410</v>
      </c>
      <c r="G526" s="36" t="s">
        <v>54</v>
      </c>
      <c r="H526" s="34" t="s">
        <v>4238</v>
      </c>
      <c r="I526" s="37" t="s">
        <v>73</v>
      </c>
      <c r="J526" s="425" t="s">
        <v>4765</v>
      </c>
      <c r="K526" s="37" t="s">
        <v>73</v>
      </c>
      <c r="L526" s="34" t="s">
        <v>4239</v>
      </c>
      <c r="M526" s="34" t="s">
        <v>4240</v>
      </c>
      <c r="N526" s="39" t="s">
        <v>42</v>
      </c>
      <c r="O526" s="99" t="s">
        <v>4241</v>
      </c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42" t="s">
        <v>4242</v>
      </c>
      <c r="AB526" s="52" t="s">
        <v>4243</v>
      </c>
      <c r="AC526" s="44" t="s">
        <v>4244</v>
      </c>
      <c r="AD526" s="45">
        <v>43200</v>
      </c>
      <c r="AE526" s="101" t="s">
        <v>30</v>
      </c>
      <c r="AF526" s="36" t="s">
        <v>26</v>
      </c>
      <c r="AG526" s="47" t="s">
        <v>49</v>
      </c>
      <c r="AH526" s="48" t="s">
        <v>49</v>
      </c>
      <c r="AI526" s="48" t="s">
        <v>49</v>
      </c>
      <c r="AJ526" s="48" t="s">
        <v>49</v>
      </c>
      <c r="AK526" s="48" t="s">
        <v>41</v>
      </c>
      <c r="AL526" s="48" t="s">
        <v>41</v>
      </c>
      <c r="AM526" s="49" t="s">
        <v>41</v>
      </c>
      <c r="AN526" s="48" t="s">
        <v>41</v>
      </c>
      <c r="AO526" s="62" t="s">
        <v>139</v>
      </c>
      <c r="AP526" s="62"/>
      <c r="AQ526" s="59"/>
    </row>
    <row r="527" spans="1:43" ht="14.25" customHeight="1" x14ac:dyDescent="0.2">
      <c r="A527">
        <v>526</v>
      </c>
      <c r="B527" s="33" t="e">
        <f>+B526+1</f>
        <v>#REF!</v>
      </c>
      <c r="C527" s="34" t="s">
        <v>4245</v>
      </c>
      <c r="D527" s="35" t="s">
        <v>4246</v>
      </c>
      <c r="E527" s="36" t="s">
        <v>4247</v>
      </c>
      <c r="F527" s="334">
        <v>35941</v>
      </c>
      <c r="G527" s="36" t="s">
        <v>54</v>
      </c>
      <c r="H527" s="34" t="s">
        <v>4248</v>
      </c>
      <c r="I527" s="37" t="s">
        <v>528</v>
      </c>
      <c r="J527" s="425" t="s">
        <v>4756</v>
      </c>
      <c r="K527" s="37" t="s">
        <v>57</v>
      </c>
      <c r="L527" s="38" t="s">
        <v>4249</v>
      </c>
      <c r="M527" s="34" t="s">
        <v>41</v>
      </c>
      <c r="N527" s="39" t="s">
        <v>42</v>
      </c>
      <c r="O527" s="99" t="s">
        <v>530</v>
      </c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2" t="s">
        <v>4250</v>
      </c>
      <c r="AB527" s="43" t="s">
        <v>4251</v>
      </c>
      <c r="AC527" s="207" t="s">
        <v>4252</v>
      </c>
      <c r="AD527" s="45">
        <v>44944</v>
      </c>
      <c r="AE527" s="101" t="s">
        <v>30</v>
      </c>
      <c r="AF527" s="36"/>
      <c r="AG527" s="47" t="s">
        <v>49</v>
      </c>
      <c r="AH527" s="48" t="s">
        <v>41</v>
      </c>
      <c r="AI527" s="48" t="s">
        <v>49</v>
      </c>
      <c r="AJ527" s="48" t="s">
        <v>49</v>
      </c>
      <c r="AK527" s="48" t="s">
        <v>49</v>
      </c>
      <c r="AL527" s="48" t="s">
        <v>49</v>
      </c>
      <c r="AM527" s="49" t="s">
        <v>41</v>
      </c>
      <c r="AN527" s="48" t="s">
        <v>41</v>
      </c>
      <c r="AO527" s="62" t="s">
        <v>276</v>
      </c>
      <c r="AP527" s="62"/>
      <c r="AQ527" s="59"/>
    </row>
    <row r="528" spans="1:43" ht="14.25" customHeight="1" x14ac:dyDescent="0.2">
      <c r="A528">
        <v>527</v>
      </c>
      <c r="B528" s="33" t="e">
        <f>+B527+1</f>
        <v>#REF!</v>
      </c>
      <c r="C528" s="34" t="s">
        <v>4253</v>
      </c>
      <c r="D528" s="35" t="s">
        <v>4254</v>
      </c>
      <c r="E528" s="36" t="s">
        <v>4255</v>
      </c>
      <c r="F528" s="334">
        <v>32935</v>
      </c>
      <c r="G528" s="36" t="s">
        <v>36</v>
      </c>
      <c r="H528" s="34" t="s">
        <v>4256</v>
      </c>
      <c r="I528" s="37" t="s">
        <v>56</v>
      </c>
      <c r="J528" s="425" t="s">
        <v>4739</v>
      </c>
      <c r="K528" s="37" t="s">
        <v>57</v>
      </c>
      <c r="L528" s="38" t="s">
        <v>4257</v>
      </c>
      <c r="M528" s="34" t="s">
        <v>41</v>
      </c>
      <c r="N528" s="39" t="s">
        <v>42</v>
      </c>
      <c r="O528" s="120" t="s">
        <v>4258</v>
      </c>
      <c r="P528" s="41"/>
      <c r="Q528" s="41"/>
      <c r="R528" s="41"/>
      <c r="S528" s="41"/>
      <c r="T528" s="41"/>
      <c r="U528" s="41"/>
      <c r="V528" s="41"/>
      <c r="W528" s="41" t="s">
        <v>44</v>
      </c>
      <c r="X528" s="41"/>
      <c r="Y528" s="41"/>
      <c r="Z528" s="41"/>
      <c r="AA528" s="42" t="s">
        <v>4259</v>
      </c>
      <c r="AB528" s="69" t="s">
        <v>4260</v>
      </c>
      <c r="AC528" s="119"/>
      <c r="AD528" s="45">
        <v>45642</v>
      </c>
      <c r="AE528" s="101"/>
      <c r="AF528" s="36"/>
      <c r="AG528" s="47" t="s">
        <v>49</v>
      </c>
      <c r="AH528" s="48" t="s">
        <v>41</v>
      </c>
      <c r="AI528" s="48" t="s">
        <v>41</v>
      </c>
      <c r="AJ528" s="48" t="s">
        <v>41</v>
      </c>
      <c r="AK528" s="48" t="s">
        <v>49</v>
      </c>
      <c r="AL528" s="48" t="s">
        <v>49</v>
      </c>
      <c r="AM528" s="49" t="s">
        <v>49</v>
      </c>
      <c r="AN528" s="48" t="s">
        <v>41</v>
      </c>
      <c r="AO528" s="65" t="s">
        <v>148</v>
      </c>
      <c r="AP528" s="65"/>
      <c r="AQ528" s="59"/>
    </row>
    <row r="529" spans="1:43" x14ac:dyDescent="0.2">
      <c r="A529">
        <v>528</v>
      </c>
      <c r="B529" s="33" t="e">
        <f>+B528+1</f>
        <v>#REF!</v>
      </c>
      <c r="C529" s="34" t="s">
        <v>4261</v>
      </c>
      <c r="D529" s="35" t="s">
        <v>4262</v>
      </c>
      <c r="E529" s="36" t="s">
        <v>4263</v>
      </c>
      <c r="F529" s="334">
        <v>29198</v>
      </c>
      <c r="G529" s="36" t="s">
        <v>54</v>
      </c>
      <c r="H529" s="34" t="s">
        <v>4264</v>
      </c>
      <c r="I529" s="37" t="s">
        <v>73</v>
      </c>
      <c r="J529" s="425" t="s">
        <v>4765</v>
      </c>
      <c r="K529" s="37" t="s">
        <v>73</v>
      </c>
      <c r="L529" s="34" t="s">
        <v>4265</v>
      </c>
      <c r="M529" s="34" t="s">
        <v>4266</v>
      </c>
      <c r="N529" s="39" t="s">
        <v>42</v>
      </c>
      <c r="O529" s="99" t="s">
        <v>4267</v>
      </c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42" t="s">
        <v>4604</v>
      </c>
      <c r="AB529" s="52" t="s">
        <v>4268</v>
      </c>
      <c r="AC529" s="119" t="s">
        <v>61</v>
      </c>
      <c r="AD529" s="45">
        <v>40280</v>
      </c>
      <c r="AE529" s="101" t="s">
        <v>30</v>
      </c>
      <c r="AF529" s="36" t="s">
        <v>26</v>
      </c>
      <c r="AG529" s="61" t="s">
        <v>49</v>
      </c>
      <c r="AH529" s="48" t="s">
        <v>49</v>
      </c>
      <c r="AI529" s="48" t="s">
        <v>49</v>
      </c>
      <c r="AJ529" s="48" t="s">
        <v>49</v>
      </c>
      <c r="AK529" s="48" t="s">
        <v>49</v>
      </c>
      <c r="AL529" s="48" t="s">
        <v>49</v>
      </c>
      <c r="AM529" s="49" t="s">
        <v>49</v>
      </c>
      <c r="AN529" s="48" t="s">
        <v>49</v>
      </c>
      <c r="AO529" s="65" t="s">
        <v>32</v>
      </c>
      <c r="AP529" s="65"/>
      <c r="AQ529" s="59"/>
    </row>
    <row r="530" spans="1:43" ht="16" x14ac:dyDescent="0.2">
      <c r="A530">
        <v>529</v>
      </c>
      <c r="B530" s="33" t="e">
        <f>+B529+1</f>
        <v>#REF!</v>
      </c>
      <c r="C530" s="34" t="s">
        <v>4269</v>
      </c>
      <c r="D530" s="35" t="s">
        <v>4270</v>
      </c>
      <c r="E530" s="36" t="s">
        <v>4271</v>
      </c>
      <c r="F530" s="334">
        <v>26984</v>
      </c>
      <c r="G530" s="36" t="s">
        <v>54</v>
      </c>
      <c r="H530" s="34" t="s">
        <v>4272</v>
      </c>
      <c r="I530" s="37" t="s">
        <v>73</v>
      </c>
      <c r="J530" s="425" t="s">
        <v>4765</v>
      </c>
      <c r="K530" s="37" t="s">
        <v>73</v>
      </c>
      <c r="L530" s="34" t="s">
        <v>4273</v>
      </c>
      <c r="M530" s="34" t="s">
        <v>41</v>
      </c>
      <c r="N530" s="39" t="s">
        <v>42</v>
      </c>
      <c r="O530" s="161">
        <v>44662</v>
      </c>
      <c r="P530" s="68"/>
      <c r="Q530" s="68"/>
      <c r="R530" s="68"/>
      <c r="S530" s="68"/>
      <c r="T530" s="68"/>
      <c r="U530" s="68"/>
      <c r="V530" s="68" t="s">
        <v>44</v>
      </c>
      <c r="W530" s="68"/>
      <c r="X530" s="68"/>
      <c r="Y530" s="68"/>
      <c r="Z530" s="68"/>
      <c r="AA530" s="42" t="s">
        <v>4274</v>
      </c>
      <c r="AB530" s="43" t="s">
        <v>4275</v>
      </c>
      <c r="AC530" s="207" t="s">
        <v>4276</v>
      </c>
      <c r="AD530" s="45">
        <v>44944</v>
      </c>
      <c r="AE530" s="160" t="s">
        <v>30</v>
      </c>
      <c r="AF530" s="36"/>
      <c r="AG530" s="61" t="s">
        <v>49</v>
      </c>
      <c r="AH530" s="48" t="s">
        <v>41</v>
      </c>
      <c r="AI530" s="48" t="s">
        <v>41</v>
      </c>
      <c r="AJ530" s="48" t="s">
        <v>49</v>
      </c>
      <c r="AK530" s="48" t="s">
        <v>49</v>
      </c>
      <c r="AL530" s="48" t="s">
        <v>49</v>
      </c>
      <c r="AM530" s="49" t="s">
        <v>49</v>
      </c>
      <c r="AN530" s="48" t="s">
        <v>49</v>
      </c>
      <c r="AO530" s="62" t="s">
        <v>32</v>
      </c>
      <c r="AP530" s="62"/>
      <c r="AQ530" s="59"/>
    </row>
    <row r="531" spans="1:43" x14ac:dyDescent="0.2">
      <c r="A531">
        <v>530</v>
      </c>
      <c r="B531" s="33" t="e">
        <f>+B530+1</f>
        <v>#REF!</v>
      </c>
      <c r="C531" s="34" t="s">
        <v>4277</v>
      </c>
      <c r="D531" s="35" t="s">
        <v>4278</v>
      </c>
      <c r="E531" s="36" t="s">
        <v>4796</v>
      </c>
      <c r="F531" s="334">
        <v>22859</v>
      </c>
      <c r="G531" s="36" t="s">
        <v>54</v>
      </c>
      <c r="H531" s="34" t="s">
        <v>4280</v>
      </c>
      <c r="I531" s="37" t="s">
        <v>73</v>
      </c>
      <c r="J531" s="425" t="s">
        <v>4765</v>
      </c>
      <c r="K531" s="37" t="s">
        <v>73</v>
      </c>
      <c r="L531" s="34" t="s">
        <v>2633</v>
      </c>
      <c r="M531" s="34" t="s">
        <v>2633</v>
      </c>
      <c r="N531" s="39" t="s">
        <v>42</v>
      </c>
      <c r="O531" s="161">
        <v>44837</v>
      </c>
      <c r="P531" s="68"/>
      <c r="Q531" s="68"/>
      <c r="R531" s="68"/>
      <c r="S531" s="68"/>
      <c r="T531" s="68"/>
      <c r="U531" s="68"/>
      <c r="V531" s="68" t="s">
        <v>44</v>
      </c>
      <c r="W531" s="68"/>
      <c r="X531" s="68"/>
      <c r="Y531" s="68"/>
      <c r="Z531" s="68"/>
      <c r="AA531" s="42" t="s">
        <v>4281</v>
      </c>
      <c r="AB531" s="43" t="s">
        <v>4282</v>
      </c>
      <c r="AC531" s="121" t="s">
        <v>4283</v>
      </c>
      <c r="AD531" s="45">
        <v>44650</v>
      </c>
      <c r="AE531" s="160" t="s">
        <v>30</v>
      </c>
      <c r="AF531" s="36"/>
      <c r="AG531" s="64" t="s">
        <v>120</v>
      </c>
      <c r="AH531" s="48" t="s">
        <v>41</v>
      </c>
      <c r="AI531" s="48" t="s">
        <v>120</v>
      </c>
      <c r="AJ531" s="48" t="s">
        <v>120</v>
      </c>
      <c r="AK531" s="48" t="s">
        <v>120</v>
      </c>
      <c r="AL531" s="48" t="s">
        <v>120</v>
      </c>
      <c r="AM531" s="49" t="s">
        <v>41</v>
      </c>
      <c r="AN531" s="48" t="s">
        <v>41</v>
      </c>
      <c r="AO531" s="62" t="s">
        <v>276</v>
      </c>
      <c r="AP531" s="62"/>
      <c r="AQ531" s="59"/>
    </row>
    <row r="532" spans="1:43" x14ac:dyDescent="0.2">
      <c r="A532">
        <v>531</v>
      </c>
      <c r="B532" s="33" t="e">
        <f>+B531+1</f>
        <v>#REF!</v>
      </c>
      <c r="C532" s="72" t="s">
        <v>4284</v>
      </c>
      <c r="D532" s="35" t="s">
        <v>4285</v>
      </c>
      <c r="E532" s="73" t="s">
        <v>4286</v>
      </c>
      <c r="F532" s="73"/>
      <c r="G532" s="36" t="s">
        <v>36</v>
      </c>
      <c r="H532" s="74" t="s">
        <v>4287</v>
      </c>
      <c r="I532" s="75" t="s">
        <v>73</v>
      </c>
      <c r="J532" s="425" t="s">
        <v>4765</v>
      </c>
      <c r="K532" s="75" t="s">
        <v>73</v>
      </c>
      <c r="L532" s="72" t="s">
        <v>4288</v>
      </c>
      <c r="M532" s="72" t="s">
        <v>4289</v>
      </c>
      <c r="N532" s="77" t="s">
        <v>42</v>
      </c>
      <c r="O532" s="242">
        <v>40195</v>
      </c>
      <c r="P532" s="243"/>
      <c r="Q532" s="243"/>
      <c r="R532" s="243"/>
      <c r="S532" s="243"/>
      <c r="T532" s="243"/>
      <c r="U532" s="243"/>
      <c r="V532" s="243"/>
      <c r="W532" s="243"/>
      <c r="X532" s="243"/>
      <c r="Y532" s="243"/>
      <c r="Z532" s="243"/>
      <c r="AA532" s="42" t="s">
        <v>4290</v>
      </c>
      <c r="AB532" s="58" t="s">
        <v>4291</v>
      </c>
      <c r="AC532" s="44" t="s">
        <v>4292</v>
      </c>
      <c r="AD532" s="45">
        <v>41793</v>
      </c>
      <c r="AE532" s="244" t="s">
        <v>129</v>
      </c>
      <c r="AF532" s="73" t="s">
        <v>26</v>
      </c>
      <c r="AG532" s="81" t="s">
        <v>49</v>
      </c>
      <c r="AH532" s="48" t="s">
        <v>49</v>
      </c>
      <c r="AI532" s="48" t="s">
        <v>49</v>
      </c>
      <c r="AJ532" s="48" t="s">
        <v>41</v>
      </c>
      <c r="AK532" s="48" t="s">
        <v>41</v>
      </c>
      <c r="AL532" s="48" t="s">
        <v>41</v>
      </c>
      <c r="AM532" s="49" t="s">
        <v>41</v>
      </c>
      <c r="AN532" s="48" t="s">
        <v>41</v>
      </c>
      <c r="AO532" s="62" t="s">
        <v>110</v>
      </c>
      <c r="AP532" s="62"/>
      <c r="AQ532" s="59"/>
    </row>
    <row r="533" spans="1:43" x14ac:dyDescent="0.2">
      <c r="A533">
        <v>532</v>
      </c>
      <c r="B533" s="33" t="e">
        <f>+B532+1</f>
        <v>#REF!</v>
      </c>
      <c r="C533" s="72" t="s">
        <v>4293</v>
      </c>
      <c r="D533" s="35" t="s">
        <v>4294</v>
      </c>
      <c r="E533" s="73" t="s">
        <v>4295</v>
      </c>
      <c r="F533" s="335">
        <v>30294</v>
      </c>
      <c r="G533" s="36" t="s">
        <v>36</v>
      </c>
      <c r="H533" s="74" t="s">
        <v>4296</v>
      </c>
      <c r="I533" s="75" t="s">
        <v>73</v>
      </c>
      <c r="J533" s="425" t="s">
        <v>4765</v>
      </c>
      <c r="K533" s="75" t="s">
        <v>73</v>
      </c>
      <c r="L533" s="245" t="s">
        <v>4297</v>
      </c>
      <c r="M533" s="72"/>
      <c r="N533" s="77" t="s">
        <v>42</v>
      </c>
      <c r="O533" s="155">
        <v>45198</v>
      </c>
      <c r="P533" s="79"/>
      <c r="Q533" s="79"/>
      <c r="R533" s="79"/>
      <c r="S533" s="79"/>
      <c r="T533" s="79"/>
      <c r="U533" s="79"/>
      <c r="V533" s="79"/>
      <c r="W533" s="79" t="s">
        <v>44</v>
      </c>
      <c r="X533" s="79"/>
      <c r="Y533" s="79"/>
      <c r="Z533" s="79"/>
      <c r="AA533" s="229" t="s">
        <v>4298</v>
      </c>
      <c r="AB533" s="58" t="s">
        <v>4299</v>
      </c>
      <c r="AC533" s="58"/>
      <c r="AD533" s="58" t="s">
        <v>47</v>
      </c>
      <c r="AE533" s="206"/>
      <c r="AF533" s="73"/>
      <c r="AG533" s="81" t="s">
        <v>49</v>
      </c>
      <c r="AH533" s="48" t="s">
        <v>41</v>
      </c>
      <c r="AI533" s="48" t="s">
        <v>41</v>
      </c>
      <c r="AJ533" s="48" t="s">
        <v>41</v>
      </c>
      <c r="AK533" s="48" t="s">
        <v>49</v>
      </c>
      <c r="AL533" s="48" t="s">
        <v>49</v>
      </c>
      <c r="AM533" s="49" t="s">
        <v>49</v>
      </c>
      <c r="AN533" s="48" t="s">
        <v>49</v>
      </c>
      <c r="AO533" s="62" t="s">
        <v>32</v>
      </c>
      <c r="AP533" s="62"/>
      <c r="AQ533" s="59"/>
    </row>
    <row r="534" spans="1:43" x14ac:dyDescent="0.2">
      <c r="A534">
        <v>533</v>
      </c>
      <c r="B534" s="33" t="e">
        <f>+B533+1</f>
        <v>#REF!</v>
      </c>
      <c r="C534" s="72" t="s">
        <v>4300</v>
      </c>
      <c r="D534" s="35" t="s">
        <v>4301</v>
      </c>
      <c r="E534" s="73" t="s">
        <v>4302</v>
      </c>
      <c r="F534" s="335">
        <v>35134</v>
      </c>
      <c r="G534" s="36" t="s">
        <v>36</v>
      </c>
      <c r="H534" s="74" t="s">
        <v>4303</v>
      </c>
      <c r="I534" s="75" t="s">
        <v>176</v>
      </c>
      <c r="J534" s="425" t="s">
        <v>4767</v>
      </c>
      <c r="K534" s="75" t="s">
        <v>39</v>
      </c>
      <c r="L534" s="72" t="s">
        <v>4304</v>
      </c>
      <c r="M534" s="72" t="s">
        <v>41</v>
      </c>
      <c r="N534" s="77" t="s">
        <v>42</v>
      </c>
      <c r="O534" s="155">
        <v>45171</v>
      </c>
      <c r="P534" s="79" t="s">
        <v>179</v>
      </c>
      <c r="Q534" s="79" t="s">
        <v>179</v>
      </c>
      <c r="R534" s="79"/>
      <c r="S534" s="79">
        <v>3</v>
      </c>
      <c r="T534" s="79"/>
      <c r="U534" s="79"/>
      <c r="V534" s="79"/>
      <c r="W534" s="79" t="s">
        <v>44</v>
      </c>
      <c r="X534" s="79"/>
      <c r="Y534" s="79"/>
      <c r="Z534" s="79"/>
      <c r="AA534" s="42" t="s">
        <v>4305</v>
      </c>
      <c r="AB534" s="58" t="s">
        <v>4306</v>
      </c>
      <c r="AC534" s="162"/>
      <c r="AD534" s="58" t="s">
        <v>47</v>
      </c>
      <c r="AE534" s="206"/>
      <c r="AF534" s="73"/>
      <c r="AG534" s="81" t="s">
        <v>49</v>
      </c>
      <c r="AH534" s="48" t="s">
        <v>41</v>
      </c>
      <c r="AI534" s="48" t="s">
        <v>41</v>
      </c>
      <c r="AJ534" s="48" t="s">
        <v>41</v>
      </c>
      <c r="AK534" s="48" t="s">
        <v>49</v>
      </c>
      <c r="AL534" s="48" t="s">
        <v>41</v>
      </c>
      <c r="AM534" s="49" t="s">
        <v>41</v>
      </c>
      <c r="AN534" s="48" t="s">
        <v>41</v>
      </c>
      <c r="AO534" s="62" t="s">
        <v>4589</v>
      </c>
      <c r="AP534" s="62"/>
      <c r="AQ534" s="59"/>
    </row>
    <row r="535" spans="1:43" x14ac:dyDescent="0.2">
      <c r="A535">
        <v>534</v>
      </c>
      <c r="B535" s="33" t="e">
        <f>+B534+1</f>
        <v>#REF!</v>
      </c>
      <c r="C535" s="34" t="s">
        <v>4307</v>
      </c>
      <c r="D535" s="35" t="s">
        <v>4308</v>
      </c>
      <c r="E535" s="36" t="s">
        <v>4309</v>
      </c>
      <c r="F535" s="334">
        <v>32914</v>
      </c>
      <c r="G535" s="36" t="s">
        <v>54</v>
      </c>
      <c r="H535" s="98" t="s">
        <v>4310</v>
      </c>
      <c r="I535" s="37" t="s">
        <v>39</v>
      </c>
      <c r="J535" s="425" t="s">
        <v>4759</v>
      </c>
      <c r="K535" s="37" t="s">
        <v>39</v>
      </c>
      <c r="L535" s="38" t="s">
        <v>4311</v>
      </c>
      <c r="M535" s="38" t="s">
        <v>4312</v>
      </c>
      <c r="N535" s="39" t="s">
        <v>42</v>
      </c>
      <c r="O535" s="120">
        <v>42552</v>
      </c>
      <c r="P535" s="112"/>
      <c r="Q535" s="112"/>
      <c r="R535" s="112"/>
      <c r="S535" s="112"/>
      <c r="T535" s="112"/>
      <c r="U535" s="112"/>
      <c r="V535" s="112"/>
      <c r="W535" s="41"/>
      <c r="X535" s="41"/>
      <c r="Y535" s="41"/>
      <c r="Z535" s="41"/>
      <c r="AA535" s="42" t="s">
        <v>4313</v>
      </c>
      <c r="AB535" s="52" t="s">
        <v>4314</v>
      </c>
      <c r="AC535" s="58"/>
      <c r="AD535" s="45">
        <v>42935</v>
      </c>
      <c r="AE535" s="101" t="s">
        <v>129</v>
      </c>
      <c r="AF535" s="36" t="s">
        <v>26</v>
      </c>
      <c r="AG535" s="47" t="s">
        <v>49</v>
      </c>
      <c r="AH535" s="48" t="s">
        <v>49</v>
      </c>
      <c r="AI535" s="48" t="s">
        <v>49</v>
      </c>
      <c r="AJ535" s="48" t="s">
        <v>49</v>
      </c>
      <c r="AK535" s="48" t="s">
        <v>49</v>
      </c>
      <c r="AL535" s="48" t="s">
        <v>49</v>
      </c>
      <c r="AM535" s="49" t="s">
        <v>49</v>
      </c>
      <c r="AN535" s="48" t="s">
        <v>49</v>
      </c>
      <c r="AO535" s="62" t="s">
        <v>32</v>
      </c>
      <c r="AP535" s="62"/>
      <c r="AQ535" s="59"/>
    </row>
    <row r="536" spans="1:43" x14ac:dyDescent="0.2">
      <c r="A536">
        <v>535</v>
      </c>
      <c r="B536" s="33" t="e">
        <f>+B535+1</f>
        <v>#REF!</v>
      </c>
      <c r="C536" s="122" t="s">
        <v>4315</v>
      </c>
      <c r="D536" s="123" t="s">
        <v>4316</v>
      </c>
      <c r="E536" s="202" t="s">
        <v>4317</v>
      </c>
      <c r="F536" s="342">
        <v>33714</v>
      </c>
      <c r="G536" s="36" t="s">
        <v>36</v>
      </c>
      <c r="H536" s="125" t="s">
        <v>4318</v>
      </c>
      <c r="I536" s="126" t="s">
        <v>73</v>
      </c>
      <c r="J536" s="425" t="s">
        <v>4765</v>
      </c>
      <c r="K536" s="126" t="s">
        <v>73</v>
      </c>
      <c r="L536" s="127" t="s">
        <v>4319</v>
      </c>
      <c r="M536" s="127" t="s">
        <v>41</v>
      </c>
      <c r="N536" s="128" t="s">
        <v>42</v>
      </c>
      <c r="O536" s="165" t="s">
        <v>3950</v>
      </c>
      <c r="P536" s="188"/>
      <c r="Q536" s="188"/>
      <c r="R536" s="188"/>
      <c r="S536" s="188"/>
      <c r="T536" s="188"/>
      <c r="U536" s="188" t="s">
        <v>44</v>
      </c>
      <c r="V536" s="188"/>
      <c r="W536" s="188"/>
      <c r="X536" s="188"/>
      <c r="Y536" s="188"/>
      <c r="Z536" s="188"/>
      <c r="AA536" s="42" t="s">
        <v>4320</v>
      </c>
      <c r="AB536" s="43" t="s">
        <v>4321</v>
      </c>
      <c r="AC536" s="121" t="s">
        <v>4322</v>
      </c>
      <c r="AD536" s="131">
        <v>44650</v>
      </c>
      <c r="AE536" s="164" t="s">
        <v>30</v>
      </c>
      <c r="AF536" s="36"/>
      <c r="AG536" s="420" t="s">
        <v>120</v>
      </c>
      <c r="AH536" s="48" t="s">
        <v>41</v>
      </c>
      <c r="AI536" s="48" t="s">
        <v>120</v>
      </c>
      <c r="AJ536" s="48" t="s">
        <v>120</v>
      </c>
      <c r="AK536" s="48" t="s">
        <v>120</v>
      </c>
      <c r="AL536" s="48" t="s">
        <v>120</v>
      </c>
      <c r="AM536" s="49" t="s">
        <v>120</v>
      </c>
      <c r="AN536" s="48" t="s">
        <v>120</v>
      </c>
      <c r="AO536" s="62" t="s">
        <v>32</v>
      </c>
      <c r="AP536" s="232"/>
      <c r="AQ536" s="134"/>
    </row>
    <row r="537" spans="1:43" x14ac:dyDescent="0.2">
      <c r="A537">
        <v>536</v>
      </c>
      <c r="B537" s="33" t="e">
        <f>+B536+1</f>
        <v>#REF!</v>
      </c>
      <c r="C537" s="122" t="s">
        <v>4323</v>
      </c>
      <c r="D537" s="123" t="s">
        <v>4324</v>
      </c>
      <c r="E537" s="202" t="s">
        <v>4325</v>
      </c>
      <c r="F537" s="342">
        <v>27355</v>
      </c>
      <c r="G537" s="36" t="s">
        <v>54</v>
      </c>
      <c r="H537" s="122" t="s">
        <v>4326</v>
      </c>
      <c r="I537" s="126" t="s">
        <v>73</v>
      </c>
      <c r="J537" s="425" t="s">
        <v>4765</v>
      </c>
      <c r="K537" s="126" t="s">
        <v>73</v>
      </c>
      <c r="L537" s="122" t="s">
        <v>4327</v>
      </c>
      <c r="M537" s="122" t="s">
        <v>4328</v>
      </c>
      <c r="N537" s="128" t="s">
        <v>42</v>
      </c>
      <c r="O537" s="163" t="s">
        <v>4329</v>
      </c>
      <c r="P537" s="188"/>
      <c r="Q537" s="230"/>
      <c r="R537" s="112"/>
      <c r="S537" s="230"/>
      <c r="T537" s="112"/>
      <c r="U537" s="112"/>
      <c r="V537" s="112"/>
      <c r="W537" s="41"/>
      <c r="X537" s="41"/>
      <c r="Y537" s="41"/>
      <c r="Z537" s="41"/>
      <c r="AA537" s="42" t="s">
        <v>4330</v>
      </c>
      <c r="AB537" s="43" t="s">
        <v>4331</v>
      </c>
      <c r="AC537" s="44" t="s">
        <v>4332</v>
      </c>
      <c r="AD537" s="45">
        <v>41793</v>
      </c>
      <c r="AE537" s="164" t="s">
        <v>30</v>
      </c>
      <c r="AF537" s="36" t="s">
        <v>26</v>
      </c>
      <c r="AG537" s="222" t="s">
        <v>49</v>
      </c>
      <c r="AH537" s="48" t="s">
        <v>49</v>
      </c>
      <c r="AI537" s="48" t="s">
        <v>49</v>
      </c>
      <c r="AJ537" s="48" t="s">
        <v>49</v>
      </c>
      <c r="AK537" s="48" t="s">
        <v>49</v>
      </c>
      <c r="AL537" s="48" t="s">
        <v>49</v>
      </c>
      <c r="AM537" s="49" t="s">
        <v>49</v>
      </c>
      <c r="AN537" s="48" t="s">
        <v>49</v>
      </c>
      <c r="AO537" s="62" t="s">
        <v>32</v>
      </c>
      <c r="AP537" s="232"/>
      <c r="AQ537" s="134"/>
    </row>
    <row r="538" spans="1:43" x14ac:dyDescent="0.2">
      <c r="A538">
        <v>537</v>
      </c>
      <c r="B538" s="33" t="e">
        <f>+B537+1</f>
        <v>#REF!</v>
      </c>
      <c r="C538" s="34" t="s">
        <v>4333</v>
      </c>
      <c r="D538" s="35" t="s">
        <v>4334</v>
      </c>
      <c r="E538" s="36" t="s">
        <v>4335</v>
      </c>
      <c r="F538" s="36"/>
      <c r="G538" s="36" t="s">
        <v>36</v>
      </c>
      <c r="H538" s="34" t="s">
        <v>4336</v>
      </c>
      <c r="I538" s="37" t="s">
        <v>39</v>
      </c>
      <c r="J538" s="425" t="s">
        <v>4766</v>
      </c>
      <c r="K538" s="37" t="s">
        <v>39</v>
      </c>
      <c r="L538" s="38" t="s">
        <v>4337</v>
      </c>
      <c r="M538" s="34" t="s">
        <v>41</v>
      </c>
      <c r="N538" s="39" t="s">
        <v>42</v>
      </c>
      <c r="O538" s="163" t="s">
        <v>1869</v>
      </c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42" t="s">
        <v>4338</v>
      </c>
      <c r="AB538" s="52" t="s">
        <v>4339</v>
      </c>
      <c r="AC538" s="44" t="s">
        <v>61</v>
      </c>
      <c r="AD538" s="45">
        <v>37208</v>
      </c>
      <c r="AE538" s="164"/>
      <c r="AF538" s="36" t="s">
        <v>26</v>
      </c>
      <c r="AG538" s="47" t="s">
        <v>49</v>
      </c>
      <c r="AH538" s="48" t="s">
        <v>49</v>
      </c>
      <c r="AI538" s="48" t="s">
        <v>41</v>
      </c>
      <c r="AJ538" s="48" t="s">
        <v>41</v>
      </c>
      <c r="AK538" s="48" t="s">
        <v>41</v>
      </c>
      <c r="AL538" s="48" t="s">
        <v>41</v>
      </c>
      <c r="AM538" s="49" t="s">
        <v>41</v>
      </c>
      <c r="AN538" s="48" t="s">
        <v>41</v>
      </c>
      <c r="AO538" s="62" t="s">
        <v>4587</v>
      </c>
      <c r="AP538" s="62"/>
      <c r="AQ538" s="59" t="s">
        <v>460</v>
      </c>
    </row>
    <row r="539" spans="1:43" x14ac:dyDescent="0.2">
      <c r="A539">
        <v>538</v>
      </c>
      <c r="B539" s="33" t="e">
        <f>+B538+1</f>
        <v>#REF!</v>
      </c>
      <c r="C539" s="34" t="s">
        <v>4340</v>
      </c>
      <c r="D539" s="35" t="s">
        <v>4341</v>
      </c>
      <c r="E539" s="36" t="s">
        <v>4342</v>
      </c>
      <c r="F539" s="334">
        <v>29214</v>
      </c>
      <c r="G539" s="36" t="s">
        <v>54</v>
      </c>
      <c r="H539" s="34" t="s">
        <v>4343</v>
      </c>
      <c r="I539" s="37" t="s">
        <v>39</v>
      </c>
      <c r="J539" s="425" t="s">
        <v>4759</v>
      </c>
      <c r="K539" s="37" t="s">
        <v>39</v>
      </c>
      <c r="L539" s="34" t="s">
        <v>4344</v>
      </c>
      <c r="M539" s="34" t="s">
        <v>4345</v>
      </c>
      <c r="N539" s="39" t="s">
        <v>42</v>
      </c>
      <c r="O539" s="165">
        <v>42343</v>
      </c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42" t="s">
        <v>4346</v>
      </c>
      <c r="AB539" s="52" t="s">
        <v>4347</v>
      </c>
      <c r="AC539" s="44" t="s">
        <v>4348</v>
      </c>
      <c r="AD539" s="45" t="s">
        <v>1130</v>
      </c>
      <c r="AE539" s="164" t="s">
        <v>30</v>
      </c>
      <c r="AF539" s="36" t="s">
        <v>26</v>
      </c>
      <c r="AG539" s="47" t="s">
        <v>49</v>
      </c>
      <c r="AH539" s="48" t="s">
        <v>49</v>
      </c>
      <c r="AI539" s="48" t="s">
        <v>49</v>
      </c>
      <c r="AJ539" s="48" t="s">
        <v>49</v>
      </c>
      <c r="AK539" s="48" t="s">
        <v>49</v>
      </c>
      <c r="AL539" s="48" t="s">
        <v>49</v>
      </c>
      <c r="AM539" s="49" t="s">
        <v>49</v>
      </c>
      <c r="AN539" s="48" t="s">
        <v>49</v>
      </c>
      <c r="AO539" s="62" t="s">
        <v>32</v>
      </c>
      <c r="AP539" s="62"/>
      <c r="AQ539" s="59"/>
    </row>
    <row r="540" spans="1:43" x14ac:dyDescent="0.2">
      <c r="A540">
        <v>539</v>
      </c>
      <c r="B540" s="33" t="e">
        <f>+B539+1</f>
        <v>#REF!</v>
      </c>
      <c r="C540" s="34" t="s">
        <v>4349</v>
      </c>
      <c r="D540" s="35" t="s">
        <v>4350</v>
      </c>
      <c r="E540" s="36" t="s">
        <v>4815</v>
      </c>
      <c r="F540" s="334">
        <v>24068</v>
      </c>
      <c r="G540" s="36" t="s">
        <v>54</v>
      </c>
      <c r="H540" s="34" t="s">
        <v>4352</v>
      </c>
      <c r="I540" s="37" t="s">
        <v>73</v>
      </c>
      <c r="J540" s="425" t="s">
        <v>4765</v>
      </c>
      <c r="K540" s="37" t="s">
        <v>73</v>
      </c>
      <c r="L540" s="34" t="s">
        <v>4353</v>
      </c>
      <c r="M540" s="34" t="s">
        <v>41</v>
      </c>
      <c r="N540" s="39" t="s">
        <v>42</v>
      </c>
      <c r="O540" s="120">
        <v>42555</v>
      </c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2" t="s">
        <v>4354</v>
      </c>
      <c r="AB540" s="58" t="s">
        <v>4355</v>
      </c>
      <c r="AC540" s="44" t="s">
        <v>4356</v>
      </c>
      <c r="AD540" s="45">
        <v>42935</v>
      </c>
      <c r="AE540" s="101" t="s">
        <v>30</v>
      </c>
      <c r="AF540" s="36" t="s">
        <v>26</v>
      </c>
      <c r="AG540" s="47" t="s">
        <v>49</v>
      </c>
      <c r="AH540" s="48" t="s">
        <v>49</v>
      </c>
      <c r="AI540" s="48" t="s">
        <v>49</v>
      </c>
      <c r="AJ540" s="48" t="s">
        <v>49</v>
      </c>
      <c r="AK540" s="48" t="s">
        <v>49</v>
      </c>
      <c r="AL540" s="48" t="s">
        <v>49</v>
      </c>
      <c r="AM540" s="49" t="s">
        <v>49</v>
      </c>
      <c r="AN540" s="48" t="s">
        <v>49</v>
      </c>
      <c r="AO540" s="65" t="s">
        <v>32</v>
      </c>
      <c r="AP540" s="325"/>
      <c r="AQ540" s="134"/>
    </row>
    <row r="541" spans="1:43" x14ac:dyDescent="0.2">
      <c r="A541">
        <v>540</v>
      </c>
      <c r="B541" s="33" t="e">
        <f>+B540+1</f>
        <v>#REF!</v>
      </c>
      <c r="C541" s="34" t="s">
        <v>4357</v>
      </c>
      <c r="D541" s="35" t="s">
        <v>4358</v>
      </c>
      <c r="E541" s="36" t="s">
        <v>4359</v>
      </c>
      <c r="F541" s="334">
        <v>33279</v>
      </c>
      <c r="G541" s="36" t="s">
        <v>54</v>
      </c>
      <c r="H541" s="34" t="s">
        <v>4360</v>
      </c>
      <c r="I541" s="37" t="s">
        <v>528</v>
      </c>
      <c r="J541" s="425" t="s">
        <v>4756</v>
      </c>
      <c r="K541" s="37" t="s">
        <v>57</v>
      </c>
      <c r="L541" s="34" t="s">
        <v>4361</v>
      </c>
      <c r="M541" s="34" t="s">
        <v>41</v>
      </c>
      <c r="N541" s="39" t="s">
        <v>42</v>
      </c>
      <c r="O541" s="120">
        <v>37174</v>
      </c>
      <c r="P541" s="41"/>
      <c r="Q541" s="41"/>
      <c r="R541" s="41"/>
      <c r="S541" s="41"/>
      <c r="T541" s="41"/>
      <c r="U541" s="41"/>
      <c r="V541" s="41"/>
      <c r="W541" s="41"/>
      <c r="X541" s="41"/>
      <c r="Y541" s="41" t="s">
        <v>732</v>
      </c>
      <c r="Z541" s="41"/>
      <c r="AA541" s="42" t="s">
        <v>4362</v>
      </c>
      <c r="AB541" s="69" t="s">
        <v>4363</v>
      </c>
      <c r="AC541" s="44" t="s">
        <v>61</v>
      </c>
      <c r="AD541" s="45">
        <v>37208</v>
      </c>
      <c r="AE541" s="101" t="s">
        <v>30</v>
      </c>
      <c r="AF541" s="36" t="s">
        <v>26</v>
      </c>
      <c r="AG541" s="47" t="s">
        <v>49</v>
      </c>
      <c r="AH541" s="48" t="s">
        <v>49</v>
      </c>
      <c r="AI541" s="48" t="s">
        <v>49</v>
      </c>
      <c r="AJ541" s="48" t="s">
        <v>49</v>
      </c>
      <c r="AK541" s="48" t="s">
        <v>49</v>
      </c>
      <c r="AL541" s="48" t="s">
        <v>49</v>
      </c>
      <c r="AM541" s="49" t="s">
        <v>49</v>
      </c>
      <c r="AN541" s="48" t="s">
        <v>41</v>
      </c>
      <c r="AO541" s="62" t="s">
        <v>148</v>
      </c>
      <c r="AP541" s="62"/>
      <c r="AQ541" s="59"/>
    </row>
    <row r="542" spans="1:43" x14ac:dyDescent="0.2">
      <c r="A542">
        <v>541</v>
      </c>
      <c r="B542" s="33" t="e">
        <f>+B541+1</f>
        <v>#REF!</v>
      </c>
      <c r="C542" s="34" t="s">
        <v>4364</v>
      </c>
      <c r="D542" s="35" t="s">
        <v>4365</v>
      </c>
      <c r="E542" s="36" t="s">
        <v>4366</v>
      </c>
      <c r="F542" s="334">
        <v>27282</v>
      </c>
      <c r="G542" s="36" t="s">
        <v>54</v>
      </c>
      <c r="H542" s="34" t="s">
        <v>4367</v>
      </c>
      <c r="I542" s="37" t="s">
        <v>1354</v>
      </c>
      <c r="J542" s="425" t="s">
        <v>4741</v>
      </c>
      <c r="K542" s="37" t="s">
        <v>57</v>
      </c>
      <c r="L542" s="34" t="s">
        <v>4368</v>
      </c>
      <c r="M542" s="34" t="s">
        <v>41</v>
      </c>
      <c r="N542" s="39" t="s">
        <v>42</v>
      </c>
      <c r="O542" s="99" t="s">
        <v>3857</v>
      </c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42" t="s">
        <v>4369</v>
      </c>
      <c r="AB542" s="52" t="s">
        <v>4370</v>
      </c>
      <c r="AC542" s="44" t="s">
        <v>4371</v>
      </c>
      <c r="AD542" s="45">
        <v>41793</v>
      </c>
      <c r="AE542" s="101" t="s">
        <v>30</v>
      </c>
      <c r="AF542" s="36" t="s">
        <v>26</v>
      </c>
      <c r="AG542" s="47" t="s">
        <v>49</v>
      </c>
      <c r="AH542" s="48" t="s">
        <v>49</v>
      </c>
      <c r="AI542" s="48" t="s">
        <v>49</v>
      </c>
      <c r="AJ542" s="48" t="s">
        <v>49</v>
      </c>
      <c r="AK542" s="48" t="s">
        <v>49</v>
      </c>
      <c r="AL542" s="48" t="s">
        <v>49</v>
      </c>
      <c r="AM542" s="49" t="s">
        <v>49</v>
      </c>
      <c r="AN542" s="48" t="s">
        <v>49</v>
      </c>
      <c r="AO542" s="62" t="s">
        <v>32</v>
      </c>
      <c r="AP542" s="62"/>
      <c r="AQ542" s="59"/>
    </row>
    <row r="543" spans="1:43" x14ac:dyDescent="0.2">
      <c r="A543">
        <v>542</v>
      </c>
      <c r="B543" s="33" t="e">
        <f>+B542+1</f>
        <v>#REF!</v>
      </c>
      <c r="C543" s="34" t="s">
        <v>4372</v>
      </c>
      <c r="D543" s="35" t="s">
        <v>4373</v>
      </c>
      <c r="E543" s="73" t="s">
        <v>4374</v>
      </c>
      <c r="F543" s="335">
        <v>33879</v>
      </c>
      <c r="G543" s="36" t="s">
        <v>54</v>
      </c>
      <c r="H543" s="98" t="s">
        <v>4375</v>
      </c>
      <c r="I543" s="37" t="s">
        <v>73</v>
      </c>
      <c r="J543" s="425" t="s">
        <v>4765</v>
      </c>
      <c r="K543" s="37" t="s">
        <v>73</v>
      </c>
      <c r="L543" s="38" t="s">
        <v>4376</v>
      </c>
      <c r="M543" s="34" t="s">
        <v>41</v>
      </c>
      <c r="N543" s="39" t="s">
        <v>42</v>
      </c>
      <c r="O543" s="120">
        <v>42440</v>
      </c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42" t="s">
        <v>4377</v>
      </c>
      <c r="AB543" s="69" t="s">
        <v>4378</v>
      </c>
      <c r="AC543" s="44" t="s">
        <v>4379</v>
      </c>
      <c r="AD543" s="45">
        <v>42935</v>
      </c>
      <c r="AE543" s="101" t="s">
        <v>30</v>
      </c>
      <c r="AF543" s="73" t="s">
        <v>26</v>
      </c>
      <c r="AG543" s="47" t="s">
        <v>49</v>
      </c>
      <c r="AH543" s="48" t="s">
        <v>49</v>
      </c>
      <c r="AI543" s="48" t="s">
        <v>49</v>
      </c>
      <c r="AJ543" s="48" t="s">
        <v>49</v>
      </c>
      <c r="AK543" s="48" t="s">
        <v>41</v>
      </c>
      <c r="AL543" s="48" t="s">
        <v>41</v>
      </c>
      <c r="AM543" s="49" t="s">
        <v>41</v>
      </c>
      <c r="AN543" s="48" t="s">
        <v>41</v>
      </c>
      <c r="AO543" s="62" t="s">
        <v>139</v>
      </c>
      <c r="AP543" s="62"/>
      <c r="AQ543" s="59"/>
    </row>
    <row r="544" spans="1:43" x14ac:dyDescent="0.2">
      <c r="A544">
        <v>543</v>
      </c>
      <c r="B544" s="33" t="e">
        <f>+B543+1</f>
        <v>#REF!</v>
      </c>
      <c r="C544" s="34" t="s">
        <v>4380</v>
      </c>
      <c r="D544" s="35" t="s">
        <v>4381</v>
      </c>
      <c r="E544" s="73" t="s">
        <v>4382</v>
      </c>
      <c r="F544" s="335">
        <v>31578</v>
      </c>
      <c r="G544" s="36" t="s">
        <v>54</v>
      </c>
      <c r="H544" s="98" t="s">
        <v>4383</v>
      </c>
      <c r="I544" s="37" t="s">
        <v>73</v>
      </c>
      <c r="J544" s="425" t="s">
        <v>4765</v>
      </c>
      <c r="K544" s="37" t="s">
        <v>73</v>
      </c>
      <c r="L544" s="38" t="s">
        <v>4384</v>
      </c>
      <c r="M544" s="34" t="s">
        <v>41</v>
      </c>
      <c r="N544" s="39" t="s">
        <v>42</v>
      </c>
      <c r="O544" s="120">
        <v>43771</v>
      </c>
      <c r="P544" s="56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42" t="s">
        <v>4385</v>
      </c>
      <c r="AB544" s="52" t="s">
        <v>4386</v>
      </c>
      <c r="AC544" s="44" t="s">
        <v>4387</v>
      </c>
      <c r="AD544" s="131">
        <v>44041</v>
      </c>
      <c r="AE544" s="101" t="s">
        <v>30</v>
      </c>
      <c r="AF544" s="73" t="s">
        <v>26</v>
      </c>
      <c r="AG544" s="47" t="s">
        <v>49</v>
      </c>
      <c r="AH544" s="48" t="s">
        <v>49</v>
      </c>
      <c r="AI544" s="48" t="s">
        <v>49</v>
      </c>
      <c r="AJ544" s="48" t="s">
        <v>49</v>
      </c>
      <c r="AK544" s="48" t="s">
        <v>49</v>
      </c>
      <c r="AL544" s="48" t="s">
        <v>41</v>
      </c>
      <c r="AM544" s="49" t="s">
        <v>41</v>
      </c>
      <c r="AN544" s="48" t="s">
        <v>41</v>
      </c>
      <c r="AO544" s="62" t="s">
        <v>4589</v>
      </c>
      <c r="AP544" s="62"/>
      <c r="AQ544" s="67"/>
    </row>
    <row r="545" spans="1:43" x14ac:dyDescent="0.2">
      <c r="A545">
        <v>544</v>
      </c>
      <c r="B545" s="33" t="e">
        <f>+B544+1</f>
        <v>#REF!</v>
      </c>
      <c r="C545" s="34" t="s">
        <v>4388</v>
      </c>
      <c r="D545" s="35" t="s">
        <v>4389</v>
      </c>
      <c r="E545" s="36" t="s">
        <v>4390</v>
      </c>
      <c r="F545" s="334">
        <v>26889</v>
      </c>
      <c r="G545" s="36" t="s">
        <v>54</v>
      </c>
      <c r="H545" s="34" t="s">
        <v>4391</v>
      </c>
      <c r="I545" s="37" t="s">
        <v>4658</v>
      </c>
      <c r="J545" s="425" t="s">
        <v>4753</v>
      </c>
      <c r="K545" s="37" t="s">
        <v>350</v>
      </c>
      <c r="L545" s="34" t="s">
        <v>4392</v>
      </c>
      <c r="M545" s="34" t="s">
        <v>41</v>
      </c>
      <c r="N545" s="39" t="s">
        <v>42</v>
      </c>
      <c r="O545" s="120">
        <v>37264</v>
      </c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2" t="s">
        <v>4393</v>
      </c>
      <c r="AB545" s="69" t="s">
        <v>4394</v>
      </c>
      <c r="AC545" s="44" t="s">
        <v>61</v>
      </c>
      <c r="AD545" s="45" t="s">
        <v>4395</v>
      </c>
      <c r="AE545" s="101" t="s">
        <v>30</v>
      </c>
      <c r="AF545" s="36" t="s">
        <v>26</v>
      </c>
      <c r="AG545" s="47" t="s">
        <v>49</v>
      </c>
      <c r="AH545" s="48" t="s">
        <v>49</v>
      </c>
      <c r="AI545" s="48" t="s">
        <v>49</v>
      </c>
      <c r="AJ545" s="48" t="s">
        <v>49</v>
      </c>
      <c r="AK545" s="48" t="s">
        <v>49</v>
      </c>
      <c r="AL545" s="48" t="s">
        <v>49</v>
      </c>
      <c r="AM545" s="49" t="s">
        <v>49</v>
      </c>
      <c r="AN545" s="48" t="s">
        <v>49</v>
      </c>
      <c r="AO545" s="65" t="s">
        <v>32</v>
      </c>
      <c r="AP545" s="65"/>
      <c r="AQ545" s="59"/>
    </row>
    <row r="546" spans="1:43" x14ac:dyDescent="0.2">
      <c r="A546">
        <v>545</v>
      </c>
      <c r="B546" s="33" t="e">
        <f>+B545+1</f>
        <v>#REF!</v>
      </c>
      <c r="C546" s="34" t="s">
        <v>4396</v>
      </c>
      <c r="D546" s="35" t="s">
        <v>4397</v>
      </c>
      <c r="E546" s="36" t="s">
        <v>4398</v>
      </c>
      <c r="F546" s="334">
        <v>24259</v>
      </c>
      <c r="G546" s="36" t="s">
        <v>36</v>
      </c>
      <c r="H546" s="34" t="s">
        <v>4399</v>
      </c>
      <c r="I546" s="37" t="s">
        <v>73</v>
      </c>
      <c r="J546" s="425" t="s">
        <v>4765</v>
      </c>
      <c r="K546" s="37" t="s">
        <v>73</v>
      </c>
      <c r="L546" s="34" t="s">
        <v>4400</v>
      </c>
      <c r="M546" s="34" t="s">
        <v>4400</v>
      </c>
      <c r="N546" s="39" t="s">
        <v>42</v>
      </c>
      <c r="O546" s="120">
        <v>30353</v>
      </c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42" t="s">
        <v>4401</v>
      </c>
      <c r="AB546" s="58" t="s">
        <v>4402</v>
      </c>
      <c r="AC546" s="44" t="s">
        <v>4403</v>
      </c>
      <c r="AD546" s="45" t="s">
        <v>1130</v>
      </c>
      <c r="AE546" s="101" t="s">
        <v>30</v>
      </c>
      <c r="AF546" s="36" t="s">
        <v>26</v>
      </c>
      <c r="AG546" s="64" t="s">
        <v>120</v>
      </c>
      <c r="AH546" s="48" t="s">
        <v>120</v>
      </c>
      <c r="AI546" s="48" t="s">
        <v>120</v>
      </c>
      <c r="AJ546" s="48" t="s">
        <v>120</v>
      </c>
      <c r="AK546" s="48" t="s">
        <v>120</v>
      </c>
      <c r="AL546" s="48" t="s">
        <v>120</v>
      </c>
      <c r="AM546" s="49" t="s">
        <v>120</v>
      </c>
      <c r="AN546" s="48" t="s">
        <v>120</v>
      </c>
      <c r="AO546" s="62" t="s">
        <v>32</v>
      </c>
      <c r="AP546" s="62"/>
      <c r="AQ546" s="423"/>
    </row>
    <row r="547" spans="1:43" x14ac:dyDescent="0.2">
      <c r="A547">
        <v>546</v>
      </c>
      <c r="B547" s="33" t="e">
        <f>+B546+1</f>
        <v>#REF!</v>
      </c>
      <c r="C547" s="34" t="s">
        <v>4404</v>
      </c>
      <c r="D547" s="35" t="s">
        <v>4405</v>
      </c>
      <c r="E547" s="36" t="s">
        <v>4406</v>
      </c>
      <c r="F547" s="334">
        <v>26250</v>
      </c>
      <c r="G547" s="36" t="s">
        <v>54</v>
      </c>
      <c r="H547" s="34" t="s">
        <v>4407</v>
      </c>
      <c r="I547" s="37" t="s">
        <v>681</v>
      </c>
      <c r="J547" s="425" t="s">
        <v>4770</v>
      </c>
      <c r="K547" s="37" t="s">
        <v>378</v>
      </c>
      <c r="L547" s="38" t="s">
        <v>4408</v>
      </c>
      <c r="M547" s="38" t="s">
        <v>4409</v>
      </c>
      <c r="N547" s="39" t="s">
        <v>42</v>
      </c>
      <c r="O547" s="99" t="s">
        <v>4410</v>
      </c>
      <c r="P547" s="115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42" t="s">
        <v>4411</v>
      </c>
      <c r="AB547" s="58" t="s">
        <v>4412</v>
      </c>
      <c r="AC547" s="44" t="s">
        <v>4413</v>
      </c>
      <c r="AD547" s="45">
        <v>45003</v>
      </c>
      <c r="AE547" s="101" t="s">
        <v>30</v>
      </c>
      <c r="AF547" s="36" t="s">
        <v>26</v>
      </c>
      <c r="AG547" s="47" t="s">
        <v>49</v>
      </c>
      <c r="AH547" s="48" t="s">
        <v>49</v>
      </c>
      <c r="AI547" s="48" t="s">
        <v>49</v>
      </c>
      <c r="AJ547" s="48" t="s">
        <v>49</v>
      </c>
      <c r="AK547" s="48" t="s">
        <v>49</v>
      </c>
      <c r="AL547" s="48" t="s">
        <v>49</v>
      </c>
      <c r="AM547" s="49" t="s">
        <v>49</v>
      </c>
      <c r="AN547" s="48" t="s">
        <v>49</v>
      </c>
      <c r="AO547" s="62" t="s">
        <v>32</v>
      </c>
      <c r="AP547" s="62"/>
      <c r="AQ547" s="59"/>
    </row>
    <row r="548" spans="1:43" x14ac:dyDescent="0.2">
      <c r="A548">
        <v>547</v>
      </c>
      <c r="B548" s="33" t="e">
        <f>+B547+1</f>
        <v>#REF!</v>
      </c>
      <c r="C548" s="34" t="s">
        <v>4414</v>
      </c>
      <c r="D548" s="35" t="s">
        <v>4415</v>
      </c>
      <c r="E548" s="36" t="s">
        <v>4416</v>
      </c>
      <c r="F548" s="36" t="s">
        <v>4718</v>
      </c>
      <c r="G548" s="36" t="s">
        <v>36</v>
      </c>
      <c r="H548" s="34" t="s">
        <v>4417</v>
      </c>
      <c r="I548" s="37" t="s">
        <v>73</v>
      </c>
      <c r="J548" s="425" t="s">
        <v>4765</v>
      </c>
      <c r="K548" s="37" t="s">
        <v>73</v>
      </c>
      <c r="L548" s="34" t="s">
        <v>4418</v>
      </c>
      <c r="M548" s="34" t="s">
        <v>1996</v>
      </c>
      <c r="N548" s="39" t="s">
        <v>42</v>
      </c>
      <c r="O548" s="120">
        <v>30353</v>
      </c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42" t="s">
        <v>4419</v>
      </c>
      <c r="AB548" s="52" t="s">
        <v>4420</v>
      </c>
      <c r="AC548" s="44" t="s">
        <v>4421</v>
      </c>
      <c r="AD548" s="45">
        <v>44041</v>
      </c>
      <c r="AE548" s="101" t="s">
        <v>30</v>
      </c>
      <c r="AF548" s="36" t="s">
        <v>26</v>
      </c>
      <c r="AG548" s="66" t="s">
        <v>130</v>
      </c>
      <c r="AH548" s="48" t="s">
        <v>130</v>
      </c>
      <c r="AI548" s="48" t="s">
        <v>130</v>
      </c>
      <c r="AJ548" s="48" t="s">
        <v>130</v>
      </c>
      <c r="AK548" s="48" t="s">
        <v>130</v>
      </c>
      <c r="AL548" s="48" t="s">
        <v>130</v>
      </c>
      <c r="AM548" s="49" t="s">
        <v>130</v>
      </c>
      <c r="AN548" s="48" t="s">
        <v>130</v>
      </c>
      <c r="AO548" s="62" t="s">
        <v>32</v>
      </c>
      <c r="AP548" s="62"/>
      <c r="AQ548" s="59"/>
    </row>
    <row r="549" spans="1:43" x14ac:dyDescent="0.2">
      <c r="A549">
        <v>548</v>
      </c>
      <c r="B549" s="33" t="e">
        <f>+B548+1</f>
        <v>#REF!</v>
      </c>
      <c r="C549" s="34" t="s">
        <v>4422</v>
      </c>
      <c r="D549" s="35" t="s">
        <v>4423</v>
      </c>
      <c r="E549" s="36" t="s">
        <v>4424</v>
      </c>
      <c r="F549" s="36"/>
      <c r="G549" s="36" t="s">
        <v>54</v>
      </c>
      <c r="H549" s="34" t="s">
        <v>4425</v>
      </c>
      <c r="I549" s="37" t="s">
        <v>1285</v>
      </c>
      <c r="J549" s="425" t="s">
        <v>4752</v>
      </c>
      <c r="K549" s="37" t="s">
        <v>350</v>
      </c>
      <c r="L549" s="38" t="s">
        <v>4426</v>
      </c>
      <c r="M549" s="34" t="s">
        <v>41</v>
      </c>
      <c r="N549" s="39" t="s">
        <v>42</v>
      </c>
      <c r="O549" s="120" t="s">
        <v>4427</v>
      </c>
      <c r="P549" s="56" t="s">
        <v>179</v>
      </c>
      <c r="Q549" s="56"/>
      <c r="R549" s="56"/>
      <c r="S549" s="56">
        <v>5</v>
      </c>
      <c r="T549" s="115"/>
      <c r="U549" s="115"/>
      <c r="V549" s="115"/>
      <c r="W549" s="115"/>
      <c r="X549" s="115"/>
      <c r="Y549" s="115"/>
      <c r="Z549" s="115"/>
      <c r="AA549" s="57" t="s">
        <v>4428</v>
      </c>
      <c r="AB549" s="69" t="s">
        <v>4429</v>
      </c>
      <c r="AC549" s="44"/>
      <c r="AD549" s="45" t="s">
        <v>4430</v>
      </c>
      <c r="AE549" s="101"/>
      <c r="AF549" s="36"/>
      <c r="AG549" s="61" t="s">
        <v>49</v>
      </c>
      <c r="AH549" s="48" t="s">
        <v>41</v>
      </c>
      <c r="AI549" s="48" t="s">
        <v>41</v>
      </c>
      <c r="AJ549" s="48" t="s">
        <v>41</v>
      </c>
      <c r="AK549" s="48" t="s">
        <v>41</v>
      </c>
      <c r="AL549" s="48" t="s">
        <v>41</v>
      </c>
      <c r="AM549" s="49" t="s">
        <v>41</v>
      </c>
      <c r="AN549" s="48" t="s">
        <v>41</v>
      </c>
      <c r="AO549" s="65" t="s">
        <v>4588</v>
      </c>
      <c r="AP549" s="65"/>
      <c r="AQ549" s="59"/>
    </row>
    <row r="550" spans="1:43" x14ac:dyDescent="0.2">
      <c r="A550">
        <v>549</v>
      </c>
      <c r="B550" s="33" t="e">
        <f>+B549+1</f>
        <v>#REF!</v>
      </c>
      <c r="C550" s="34" t="s">
        <v>4431</v>
      </c>
      <c r="D550" s="35" t="s">
        <v>4432</v>
      </c>
      <c r="E550" s="36" t="s">
        <v>4433</v>
      </c>
      <c r="F550" s="334">
        <v>34737</v>
      </c>
      <c r="G550" s="36" t="s">
        <v>54</v>
      </c>
      <c r="H550" s="34" t="s">
        <v>4434</v>
      </c>
      <c r="I550" s="37" t="s">
        <v>214</v>
      </c>
      <c r="J550" s="425" t="s">
        <v>4743</v>
      </c>
      <c r="K550" s="37" t="s">
        <v>205</v>
      </c>
      <c r="L550" s="38" t="s">
        <v>4435</v>
      </c>
      <c r="M550" s="34" t="s">
        <v>41</v>
      </c>
      <c r="N550" s="39" t="s">
        <v>42</v>
      </c>
      <c r="O550" s="120">
        <v>45716</v>
      </c>
      <c r="P550" s="56" t="s">
        <v>179</v>
      </c>
      <c r="Q550" s="137"/>
      <c r="R550" s="137"/>
      <c r="S550" s="137"/>
      <c r="T550" s="137"/>
      <c r="U550" s="137"/>
      <c r="V550" s="137"/>
      <c r="W550" s="137"/>
      <c r="X550" s="137"/>
      <c r="Y550" s="137" t="s">
        <v>44</v>
      </c>
      <c r="Z550" s="137"/>
      <c r="AA550" s="42" t="s">
        <v>4436</v>
      </c>
      <c r="AB550" s="58" t="s">
        <v>4437</v>
      </c>
      <c r="AC550" s="44"/>
      <c r="AD550" s="45"/>
      <c r="AE550" s="101"/>
      <c r="AF550" s="36"/>
      <c r="AG550" s="61" t="s">
        <v>49</v>
      </c>
      <c r="AH550" s="48" t="s">
        <v>41</v>
      </c>
      <c r="AI550" s="48" t="s">
        <v>41</v>
      </c>
      <c r="AJ550" s="48" t="s">
        <v>41</v>
      </c>
      <c r="AK550" s="48" t="s">
        <v>41</v>
      </c>
      <c r="AL550" s="48" t="s">
        <v>41</v>
      </c>
      <c r="AM550" s="49" t="s">
        <v>49</v>
      </c>
      <c r="AN550" s="48" t="s">
        <v>41</v>
      </c>
      <c r="AO550" s="62" t="s">
        <v>148</v>
      </c>
      <c r="AP550" s="62"/>
      <c r="AQ550" s="59"/>
    </row>
    <row r="551" spans="1:43" x14ac:dyDescent="0.2">
      <c r="A551">
        <v>550</v>
      </c>
      <c r="B551" s="33" t="e">
        <f>+B550+1</f>
        <v>#REF!</v>
      </c>
      <c r="C551" s="34" t="s">
        <v>4438</v>
      </c>
      <c r="D551" s="35" t="s">
        <v>4439</v>
      </c>
      <c r="E551" s="398" t="s">
        <v>4440</v>
      </c>
      <c r="F551" s="334">
        <v>30965</v>
      </c>
      <c r="G551" s="36" t="s">
        <v>54</v>
      </c>
      <c r="H551" s="34" t="s">
        <v>4441</v>
      </c>
      <c r="I551" s="37" t="s">
        <v>349</v>
      </c>
      <c r="J551" s="425" t="s">
        <v>4750</v>
      </c>
      <c r="K551" s="37" t="s">
        <v>350</v>
      </c>
      <c r="L551" s="38" t="s">
        <v>4442</v>
      </c>
      <c r="M551" s="34" t="s">
        <v>41</v>
      </c>
      <c r="N551" s="39" t="s">
        <v>42</v>
      </c>
      <c r="O551" s="120">
        <v>43682</v>
      </c>
      <c r="P551" s="53"/>
      <c r="Q551" s="53"/>
      <c r="R551" s="53"/>
      <c r="S551" s="53"/>
      <c r="T551" s="56"/>
      <c r="U551" s="56"/>
      <c r="V551" s="56"/>
      <c r="W551" s="56"/>
      <c r="X551" s="56"/>
      <c r="Y551" s="56"/>
      <c r="Z551" s="56"/>
      <c r="AA551" s="42" t="s">
        <v>4443</v>
      </c>
      <c r="AB551" s="43" t="s">
        <v>4444</v>
      </c>
      <c r="AC551" s="44" t="s">
        <v>4445</v>
      </c>
      <c r="AD551" s="45">
        <v>44041</v>
      </c>
      <c r="AE551" s="101" t="s">
        <v>30</v>
      </c>
      <c r="AF551" s="36" t="s">
        <v>26</v>
      </c>
      <c r="AG551" s="61" t="s">
        <v>49</v>
      </c>
      <c r="AH551" s="48" t="s">
        <v>49</v>
      </c>
      <c r="AI551" s="48" t="s">
        <v>49</v>
      </c>
      <c r="AJ551" s="48" t="s">
        <v>49</v>
      </c>
      <c r="AK551" s="48" t="s">
        <v>49</v>
      </c>
      <c r="AL551" s="48" t="s">
        <v>49</v>
      </c>
      <c r="AM551" s="49" t="s">
        <v>49</v>
      </c>
      <c r="AN551" s="48" t="s">
        <v>49</v>
      </c>
      <c r="AO551" s="62" t="s">
        <v>32</v>
      </c>
      <c r="AP551" s="62"/>
      <c r="AQ551" s="59"/>
    </row>
    <row r="552" spans="1:43" x14ac:dyDescent="0.2">
      <c r="A552">
        <v>551</v>
      </c>
      <c r="B552" s="33" t="e">
        <f>+B551+1</f>
        <v>#REF!</v>
      </c>
      <c r="C552" s="34" t="s">
        <v>4446</v>
      </c>
      <c r="D552" s="35" t="s">
        <v>4447</v>
      </c>
      <c r="E552" s="36" t="s">
        <v>4448</v>
      </c>
      <c r="F552" s="334">
        <v>30110</v>
      </c>
      <c r="G552" s="36" t="s">
        <v>54</v>
      </c>
      <c r="H552" s="34" t="s">
        <v>4449</v>
      </c>
      <c r="I552" s="37" t="s">
        <v>1285</v>
      </c>
      <c r="J552" s="425" t="s">
        <v>4752</v>
      </c>
      <c r="K552" s="37" t="s">
        <v>350</v>
      </c>
      <c r="L552" s="38" t="s">
        <v>4450</v>
      </c>
      <c r="M552" s="34" t="s">
        <v>41</v>
      </c>
      <c r="N552" s="39" t="s">
        <v>42</v>
      </c>
      <c r="O552" s="120">
        <v>45372</v>
      </c>
      <c r="P552" s="56"/>
      <c r="Q552" s="56"/>
      <c r="R552" s="56"/>
      <c r="S552" s="56"/>
      <c r="T552" s="56"/>
      <c r="U552" s="56"/>
      <c r="V552" s="56"/>
      <c r="W552" s="56"/>
      <c r="X552" s="56" t="s">
        <v>44</v>
      </c>
      <c r="Y552" s="56"/>
      <c r="Z552" s="56"/>
      <c r="AA552" s="38" t="s">
        <v>4451</v>
      </c>
      <c r="AB552" s="43" t="s">
        <v>4452</v>
      </c>
      <c r="AC552" s="44"/>
      <c r="AD552" s="45"/>
      <c r="AE552" s="101"/>
      <c r="AF552" s="36"/>
      <c r="AG552" s="61" t="s">
        <v>49</v>
      </c>
      <c r="AH552" s="48" t="s">
        <v>41</v>
      </c>
      <c r="AI552" s="48" t="s">
        <v>41</v>
      </c>
      <c r="AJ552" s="48" t="s">
        <v>41</v>
      </c>
      <c r="AK552" s="48" t="s">
        <v>41</v>
      </c>
      <c r="AL552" s="48" t="s">
        <v>49</v>
      </c>
      <c r="AM552" s="49" t="s">
        <v>49</v>
      </c>
      <c r="AN552" s="48" t="s">
        <v>49</v>
      </c>
      <c r="AO552" s="62" t="s">
        <v>32</v>
      </c>
      <c r="AP552" s="62"/>
      <c r="AQ552" s="59"/>
    </row>
    <row r="553" spans="1:43" x14ac:dyDescent="0.2">
      <c r="A553">
        <v>552</v>
      </c>
      <c r="B553" s="33" t="e">
        <f>+B552+1</f>
        <v>#REF!</v>
      </c>
      <c r="C553" s="34" t="s">
        <v>4453</v>
      </c>
      <c r="D553" s="35" t="s">
        <v>4454</v>
      </c>
      <c r="E553" s="109" t="s">
        <v>4594</v>
      </c>
      <c r="F553" s="336">
        <v>34331</v>
      </c>
      <c r="G553" s="36" t="s">
        <v>54</v>
      </c>
      <c r="H553" s="34" t="s">
        <v>4455</v>
      </c>
      <c r="I553" s="37" t="s">
        <v>39</v>
      </c>
      <c r="J553" s="425" t="s">
        <v>4766</v>
      </c>
      <c r="K553" s="37" t="s">
        <v>39</v>
      </c>
      <c r="L553" s="38" t="s">
        <v>4456</v>
      </c>
      <c r="M553" s="34" t="s">
        <v>41</v>
      </c>
      <c r="N553" s="39" t="s">
        <v>42</v>
      </c>
      <c r="O553" s="120">
        <v>45357</v>
      </c>
      <c r="P553" s="56"/>
      <c r="Q553" s="56"/>
      <c r="R553" s="56"/>
      <c r="S553" s="56"/>
      <c r="T553" s="56"/>
      <c r="U553" s="56"/>
      <c r="V553" s="56"/>
      <c r="W553" s="56"/>
      <c r="X553" s="56" t="s">
        <v>44</v>
      </c>
      <c r="Y553" s="56"/>
      <c r="Z553" s="56"/>
      <c r="AA553" s="54" t="s">
        <v>4457</v>
      </c>
      <c r="AB553" s="55" t="s">
        <v>4458</v>
      </c>
      <c r="AC553" s="44"/>
      <c r="AD553" s="45"/>
      <c r="AE553" s="101"/>
      <c r="AF553" s="36"/>
      <c r="AG553" s="47" t="s">
        <v>49</v>
      </c>
      <c r="AH553" s="48" t="s">
        <v>41</v>
      </c>
      <c r="AI553" s="48" t="s">
        <v>41</v>
      </c>
      <c r="AJ553" s="48" t="s">
        <v>41</v>
      </c>
      <c r="AK553" s="48" t="s">
        <v>41</v>
      </c>
      <c r="AL553" s="48" t="s">
        <v>49</v>
      </c>
      <c r="AM553" s="49" t="s">
        <v>49</v>
      </c>
      <c r="AN553" s="48" t="s">
        <v>49</v>
      </c>
      <c r="AO553" s="62" t="s">
        <v>32</v>
      </c>
      <c r="AP553" s="62"/>
      <c r="AQ553" s="59"/>
    </row>
    <row r="554" spans="1:43" x14ac:dyDescent="0.2">
      <c r="A554">
        <v>553</v>
      </c>
      <c r="B554" s="33" t="e">
        <f>+B553+1</f>
        <v>#REF!</v>
      </c>
      <c r="C554" s="34" t="s">
        <v>4459</v>
      </c>
      <c r="D554" s="35" t="s">
        <v>4460</v>
      </c>
      <c r="E554" s="36" t="s">
        <v>4776</v>
      </c>
      <c r="F554" s="334">
        <v>20675</v>
      </c>
      <c r="G554" s="36" t="s">
        <v>54</v>
      </c>
      <c r="H554" s="34" t="s">
        <v>4462</v>
      </c>
      <c r="I554" s="37" t="s">
        <v>252</v>
      </c>
      <c r="J554" s="425" t="s">
        <v>4763</v>
      </c>
      <c r="K554" s="37" t="s">
        <v>57</v>
      </c>
      <c r="L554" s="34" t="s">
        <v>4463</v>
      </c>
      <c r="M554" s="34" t="s">
        <v>4464</v>
      </c>
      <c r="N554" s="39" t="s">
        <v>42</v>
      </c>
      <c r="O554" s="161">
        <v>31057</v>
      </c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42" t="s">
        <v>4465</v>
      </c>
      <c r="AB554" s="58" t="s">
        <v>4466</v>
      </c>
      <c r="AC554" s="44" t="s">
        <v>4467</v>
      </c>
      <c r="AD554" s="45">
        <v>44041</v>
      </c>
      <c r="AE554" s="160" t="s">
        <v>30</v>
      </c>
      <c r="AF554" s="36" t="s">
        <v>26</v>
      </c>
      <c r="AG554" s="47" t="s">
        <v>49</v>
      </c>
      <c r="AH554" s="48" t="s">
        <v>49</v>
      </c>
      <c r="AI554" s="48" t="s">
        <v>49</v>
      </c>
      <c r="AJ554" s="48" t="s">
        <v>49</v>
      </c>
      <c r="AK554" s="48" t="s">
        <v>49</v>
      </c>
      <c r="AL554" s="48" t="s">
        <v>49</v>
      </c>
      <c r="AM554" s="49" t="s">
        <v>49</v>
      </c>
      <c r="AN554" s="48" t="s">
        <v>49</v>
      </c>
      <c r="AO554" s="62" t="s">
        <v>32</v>
      </c>
      <c r="AP554" s="62"/>
      <c r="AQ554" s="67"/>
    </row>
    <row r="555" spans="1:43" x14ac:dyDescent="0.2">
      <c r="A555">
        <v>554</v>
      </c>
      <c r="B555" s="33" t="e">
        <f>+B554+1</f>
        <v>#REF!</v>
      </c>
      <c r="C555" s="171" t="s">
        <v>4468</v>
      </c>
      <c r="D555" s="249" t="s">
        <v>4469</v>
      </c>
      <c r="E555" s="464" t="s">
        <v>4470</v>
      </c>
      <c r="F555" s="466">
        <v>32331</v>
      </c>
      <c r="G555" s="36" t="s">
        <v>54</v>
      </c>
      <c r="H555" s="171" t="s">
        <v>4471</v>
      </c>
      <c r="I555" s="182" t="s">
        <v>73</v>
      </c>
      <c r="J555" s="425" t="s">
        <v>4765</v>
      </c>
      <c r="K555" s="182" t="s">
        <v>73</v>
      </c>
      <c r="L555" s="394" t="s">
        <v>4472</v>
      </c>
      <c r="M555" s="171" t="s">
        <v>41</v>
      </c>
      <c r="N555" s="172" t="s">
        <v>42</v>
      </c>
      <c r="O555" s="159" t="s">
        <v>4473</v>
      </c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42" t="s">
        <v>4474</v>
      </c>
      <c r="AB555" s="52" t="s">
        <v>4475</v>
      </c>
      <c r="AC555" s="44" t="s">
        <v>4476</v>
      </c>
      <c r="AD555" s="250">
        <v>41793</v>
      </c>
      <c r="AE555" s="160" t="s">
        <v>30</v>
      </c>
      <c r="AF555" s="109" t="s">
        <v>26</v>
      </c>
      <c r="AG555" s="251" t="s">
        <v>49</v>
      </c>
      <c r="AH555" s="48" t="s">
        <v>49</v>
      </c>
      <c r="AI555" s="48" t="s">
        <v>49</v>
      </c>
      <c r="AJ555" s="48" t="s">
        <v>49</v>
      </c>
      <c r="AK555" s="48" t="s">
        <v>49</v>
      </c>
      <c r="AL555" s="48" t="s">
        <v>49</v>
      </c>
      <c r="AM555" s="49" t="s">
        <v>41</v>
      </c>
      <c r="AN555" s="48" t="s">
        <v>41</v>
      </c>
      <c r="AO555" s="62" t="s">
        <v>276</v>
      </c>
      <c r="AP555" s="324"/>
      <c r="AQ555" s="138"/>
    </row>
    <row r="556" spans="1:43" ht="15" customHeight="1" x14ac:dyDescent="0.2">
      <c r="A556">
        <v>555</v>
      </c>
      <c r="B556" s="33" t="e">
        <f>+B555+1</f>
        <v>#REF!</v>
      </c>
      <c r="C556" s="171" t="s">
        <v>4477</v>
      </c>
      <c r="D556" s="249" t="s">
        <v>4478</v>
      </c>
      <c r="E556" s="170" t="s">
        <v>4784</v>
      </c>
      <c r="F556" s="339">
        <v>30184</v>
      </c>
      <c r="G556" s="36" t="s">
        <v>36</v>
      </c>
      <c r="H556" s="171" t="s">
        <v>4480</v>
      </c>
      <c r="I556" s="182" t="s">
        <v>73</v>
      </c>
      <c r="J556" s="425" t="s">
        <v>4765</v>
      </c>
      <c r="K556" s="182" t="s">
        <v>73</v>
      </c>
      <c r="L556" s="34" t="s">
        <v>4481</v>
      </c>
      <c r="M556" s="171" t="s">
        <v>4482</v>
      </c>
      <c r="N556" s="172" t="s">
        <v>42</v>
      </c>
      <c r="O556" s="161">
        <v>32357</v>
      </c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42" t="s">
        <v>4483</v>
      </c>
      <c r="AB556" s="69" t="s">
        <v>4484</v>
      </c>
      <c r="AC556" s="119" t="s">
        <v>61</v>
      </c>
      <c r="AD556" s="45">
        <v>39286</v>
      </c>
      <c r="AE556" s="160" t="s">
        <v>129</v>
      </c>
      <c r="AF556" s="36" t="s">
        <v>26</v>
      </c>
      <c r="AG556" s="491" t="s">
        <v>130</v>
      </c>
      <c r="AH556" s="48" t="s">
        <v>130</v>
      </c>
      <c r="AI556" s="48" t="s">
        <v>130</v>
      </c>
      <c r="AJ556" s="48" t="s">
        <v>130</v>
      </c>
      <c r="AK556" s="48" t="s">
        <v>130</v>
      </c>
      <c r="AL556" s="48" t="s">
        <v>130</v>
      </c>
      <c r="AM556" s="49" t="s">
        <v>130</v>
      </c>
      <c r="AN556" s="48" t="s">
        <v>130</v>
      </c>
      <c r="AO556" s="62" t="s">
        <v>32</v>
      </c>
      <c r="AP556" s="324"/>
      <c r="AQ556" s="499"/>
    </row>
    <row r="557" spans="1:43" ht="15" customHeight="1" x14ac:dyDescent="0.2">
      <c r="A557">
        <v>556</v>
      </c>
      <c r="B557" s="33" t="e">
        <f>+B556+1</f>
        <v>#REF!</v>
      </c>
      <c r="C557" s="34" t="s">
        <v>4485</v>
      </c>
      <c r="D557" s="35" t="s">
        <v>4486</v>
      </c>
      <c r="E557" s="36" t="s">
        <v>4487</v>
      </c>
      <c r="F557" s="334">
        <v>30150</v>
      </c>
      <c r="G557" s="36" t="s">
        <v>54</v>
      </c>
      <c r="H557" s="34" t="s">
        <v>4488</v>
      </c>
      <c r="I557" s="37" t="s">
        <v>186</v>
      </c>
      <c r="J557" s="425" t="s">
        <v>4768</v>
      </c>
      <c r="K557" s="37" t="s">
        <v>187</v>
      </c>
      <c r="L557" s="108" t="s">
        <v>4489</v>
      </c>
      <c r="M557" s="34" t="s">
        <v>41</v>
      </c>
      <c r="N557" s="39" t="s">
        <v>42</v>
      </c>
      <c r="O557" s="120">
        <v>36440</v>
      </c>
      <c r="P557" s="41"/>
      <c r="Q557" s="112"/>
      <c r="R557" s="112"/>
      <c r="S557" s="177"/>
      <c r="T557" s="112"/>
      <c r="U557" s="112"/>
      <c r="V557" s="112"/>
      <c r="W557" s="41"/>
      <c r="X557" s="41"/>
      <c r="Y557" s="41"/>
      <c r="Z557" s="41"/>
      <c r="AA557" s="42" t="s">
        <v>4490</v>
      </c>
      <c r="AB557" s="52" t="s">
        <v>4491</v>
      </c>
      <c r="AC557" s="44" t="s">
        <v>61</v>
      </c>
      <c r="AD557" s="45">
        <v>40815</v>
      </c>
      <c r="AE557" s="101" t="s">
        <v>30</v>
      </c>
      <c r="AF557" s="36" t="s">
        <v>26</v>
      </c>
      <c r="AG557" s="47" t="s">
        <v>49</v>
      </c>
      <c r="AH557" s="48" t="s">
        <v>49</v>
      </c>
      <c r="AI557" s="48" t="s">
        <v>49</v>
      </c>
      <c r="AJ557" s="48" t="s">
        <v>49</v>
      </c>
      <c r="AK557" s="48" t="s">
        <v>49</v>
      </c>
      <c r="AL557" s="48" t="s">
        <v>49</v>
      </c>
      <c r="AM557" s="49" t="s">
        <v>49</v>
      </c>
      <c r="AN557" s="48" t="s">
        <v>49</v>
      </c>
      <c r="AO557" s="65" t="s">
        <v>32</v>
      </c>
      <c r="AP557" s="65"/>
      <c r="AQ557" s="59"/>
    </row>
    <row r="558" spans="1:43" ht="16" x14ac:dyDescent="0.2">
      <c r="A558">
        <v>557</v>
      </c>
      <c r="B558" s="33" t="e">
        <f>+B557+1</f>
        <v>#REF!</v>
      </c>
      <c r="C558" s="34" t="s">
        <v>4492</v>
      </c>
      <c r="D558" s="35" t="s">
        <v>4493</v>
      </c>
      <c r="E558" s="36" t="s">
        <v>4580</v>
      </c>
      <c r="F558" s="334">
        <v>32272</v>
      </c>
      <c r="G558" s="36" t="s">
        <v>36</v>
      </c>
      <c r="H558" s="34" t="s">
        <v>4495</v>
      </c>
      <c r="I558" s="37" t="s">
        <v>39</v>
      </c>
      <c r="J558" s="425" t="s">
        <v>4766</v>
      </c>
      <c r="K558" s="37" t="s">
        <v>39</v>
      </c>
      <c r="L558" s="471" t="s">
        <v>4496</v>
      </c>
      <c r="M558" s="439" t="s">
        <v>41</v>
      </c>
      <c r="N558" s="39" t="s">
        <v>42</v>
      </c>
      <c r="O558" s="120" t="s">
        <v>4497</v>
      </c>
      <c r="P558" s="41"/>
      <c r="Q558" s="94"/>
      <c r="R558" s="94"/>
      <c r="S558" s="94"/>
      <c r="T558" s="94"/>
      <c r="U558" s="94"/>
      <c r="V558" s="94" t="s">
        <v>44</v>
      </c>
      <c r="W558" s="94"/>
      <c r="X558" s="94"/>
      <c r="Y558" s="94" t="s">
        <v>732</v>
      </c>
      <c r="Z558" s="94"/>
      <c r="AA558" s="42" t="s">
        <v>4498</v>
      </c>
      <c r="AB558" s="43" t="s">
        <v>4499</v>
      </c>
      <c r="AC558" s="207" t="s">
        <v>4500</v>
      </c>
      <c r="AD558" s="45">
        <v>44944</v>
      </c>
      <c r="AE558" s="101" t="s">
        <v>30</v>
      </c>
      <c r="AF558" s="36"/>
      <c r="AG558" s="47" t="s">
        <v>49</v>
      </c>
      <c r="AH558" s="48" t="s">
        <v>41</v>
      </c>
      <c r="AI558" s="48" t="s">
        <v>41</v>
      </c>
      <c r="AJ558" s="48" t="s">
        <v>41</v>
      </c>
      <c r="AK558" s="48" t="s">
        <v>49</v>
      </c>
      <c r="AL558" s="48" t="s">
        <v>49</v>
      </c>
      <c r="AM558" s="49" t="s">
        <v>49</v>
      </c>
      <c r="AN558" s="48" t="s">
        <v>49</v>
      </c>
      <c r="AO558" s="213">
        <v>0</v>
      </c>
      <c r="AP558" s="213"/>
      <c r="AQ558" s="59"/>
    </row>
    <row r="559" spans="1:43" ht="16" thickBot="1" x14ac:dyDescent="0.25">
      <c r="A559">
        <v>558</v>
      </c>
      <c r="B559" s="33"/>
      <c r="C559" s="252" t="s">
        <v>4508</v>
      </c>
      <c r="D559" s="253" t="s">
        <v>4509</v>
      </c>
      <c r="E559" s="252" t="s">
        <v>4510</v>
      </c>
      <c r="F559" s="252"/>
      <c r="G559" s="252"/>
      <c r="H559" s="252" t="s">
        <v>4511</v>
      </c>
      <c r="I559" s="252"/>
      <c r="J559" s="425" t="s">
        <v>4765</v>
      </c>
      <c r="K559" s="252"/>
      <c r="L559" s="252" t="s">
        <v>4512</v>
      </c>
      <c r="M559" s="252" t="s">
        <v>4513</v>
      </c>
      <c r="N559" s="254"/>
      <c r="O559" s="267">
        <v>31057</v>
      </c>
      <c r="P559" s="268"/>
      <c r="Q559" s="254"/>
      <c r="R559" s="254"/>
      <c r="S559" s="254"/>
      <c r="T559" s="254"/>
      <c r="U559" s="254"/>
      <c r="V559" s="254"/>
      <c r="W559" s="254"/>
      <c r="X559" s="254"/>
      <c r="Y559" s="254"/>
      <c r="Z559" s="256"/>
      <c r="AA559" s="257" t="s">
        <v>4514</v>
      </c>
      <c r="AB559" s="258" t="s">
        <v>4515</v>
      </c>
      <c r="AC559" s="259" t="s">
        <v>4516</v>
      </c>
      <c r="AD559" s="260">
        <v>43200</v>
      </c>
      <c r="AE559" s="269"/>
      <c r="AF559" s="252" t="s">
        <v>26</v>
      </c>
      <c r="AG559" s="66"/>
      <c r="AH559" s="48" t="s">
        <v>41</v>
      </c>
      <c r="AI559" s="48" t="s">
        <v>41</v>
      </c>
      <c r="AJ559" s="48" t="s">
        <v>41</v>
      </c>
      <c r="AK559" s="48" t="s">
        <v>41</v>
      </c>
      <c r="AL559" s="48" t="s">
        <v>41</v>
      </c>
      <c r="AM559" s="49" t="s">
        <v>41</v>
      </c>
      <c r="AN559" s="48" t="s">
        <v>41</v>
      </c>
      <c r="AO559" s="493"/>
      <c r="AP559" s="495"/>
      <c r="AQ559" s="138" t="s">
        <v>4517</v>
      </c>
    </row>
    <row r="560" spans="1:43" x14ac:dyDescent="0.2">
      <c r="A560">
        <v>559</v>
      </c>
      <c r="B560" s="393">
        <f>+B559+1</f>
        <v>1</v>
      </c>
      <c r="C560" s="394" t="s">
        <v>4501</v>
      </c>
      <c r="D560" s="430" t="s">
        <v>4502</v>
      </c>
      <c r="E560" s="398" t="s">
        <v>4787</v>
      </c>
      <c r="F560" s="432">
        <v>24302</v>
      </c>
      <c r="G560" s="398" t="s">
        <v>54</v>
      </c>
      <c r="H560" s="394" t="s">
        <v>4504</v>
      </c>
      <c r="I560" s="436" t="s">
        <v>528</v>
      </c>
      <c r="J560" s="425" t="s">
        <v>4756</v>
      </c>
      <c r="K560" s="436" t="s">
        <v>57</v>
      </c>
      <c r="L560" s="394" t="s">
        <v>4505</v>
      </c>
      <c r="M560" s="473" t="s">
        <v>4505</v>
      </c>
      <c r="N560" s="476" t="s">
        <v>42</v>
      </c>
      <c r="O560" s="460">
        <v>31057</v>
      </c>
      <c r="P560" s="410"/>
      <c r="Q560" s="410"/>
      <c r="R560" s="410"/>
      <c r="S560" s="410"/>
      <c r="T560" s="410"/>
      <c r="U560" s="410"/>
      <c r="V560" s="410"/>
      <c r="W560" s="410"/>
      <c r="X560" s="410"/>
      <c r="Y560" s="410"/>
      <c r="Z560" s="410"/>
      <c r="AA560" s="414" t="s">
        <v>4506</v>
      </c>
      <c r="AB560" s="396" t="s">
        <v>4507</v>
      </c>
      <c r="AC560" s="417" t="s">
        <v>61</v>
      </c>
      <c r="AD560" s="448">
        <v>34597</v>
      </c>
      <c r="AE560" s="419" t="s">
        <v>30</v>
      </c>
      <c r="AF560" s="398" t="s">
        <v>26</v>
      </c>
      <c r="AG560" s="421" t="s">
        <v>49</v>
      </c>
      <c r="AH560" s="422" t="s">
        <v>49</v>
      </c>
      <c r="AI560" s="422" t="s">
        <v>49</v>
      </c>
      <c r="AJ560" s="422" t="s">
        <v>49</v>
      </c>
      <c r="AK560" s="422" t="s">
        <v>49</v>
      </c>
      <c r="AL560" s="422" t="s">
        <v>49</v>
      </c>
      <c r="AM560" s="422" t="s">
        <v>49</v>
      </c>
      <c r="AN560" s="422" t="s">
        <v>49</v>
      </c>
      <c r="AO560" s="494" t="s">
        <v>32</v>
      </c>
      <c r="AP560" s="494"/>
      <c r="AQ560" s="424"/>
    </row>
  </sheetData>
  <sortState xmlns:xlrd2="http://schemas.microsoft.com/office/spreadsheetml/2017/richdata2" ref="A2:AQ560">
    <sortCondition ref="D2:D560"/>
  </sortState>
  <phoneticPr fontId="40" type="noConversion"/>
  <hyperlinks>
    <hyperlink ref="AB152" r:id="rId1" xr:uid="{0DF4EA6C-3914-4D7D-B7E9-12435A60B3B1}"/>
    <hyperlink ref="AB265" r:id="rId2" xr:uid="{CADE0B08-19C5-4D25-B133-271106102F3B}"/>
    <hyperlink ref="AB283" r:id="rId3" xr:uid="{33CE6045-B652-482B-A03F-9E3F31A4E780}"/>
    <hyperlink ref="AB57" r:id="rId4" xr:uid="{4500E0F8-8BD5-4EB4-A6B5-540922E0C267}"/>
    <hyperlink ref="AB5" r:id="rId5" xr:uid="{B240019E-15B6-42BE-A175-EC8F4AE93463}"/>
    <hyperlink ref="AB522" r:id="rId6" xr:uid="{93C8E6D6-DF73-443E-B1ED-BAE12A4476AB}"/>
    <hyperlink ref="AB328" r:id="rId7" xr:uid="{E326D501-1848-4A21-ACE4-59551EFBEAD3}"/>
    <hyperlink ref="AB256" r:id="rId8" xr:uid="{F9DF5CF3-8185-4000-BA60-F6B16F0FB2EA}"/>
    <hyperlink ref="AB358" r:id="rId9" xr:uid="{4873F04B-F95E-4107-8E54-1CCF268A3660}"/>
    <hyperlink ref="AB410" r:id="rId10" xr:uid="{F48070D3-FF1F-46E8-B2E0-26E247C11D4A}"/>
    <hyperlink ref="AB440" r:id="rId11" xr:uid="{3C551B35-0413-449D-8841-1D10B7BD7DDB}"/>
    <hyperlink ref="AB435" r:id="rId12" xr:uid="{08A8F163-F1AB-45C9-9B40-3C5ABE268856}"/>
    <hyperlink ref="AB512" r:id="rId13" xr:uid="{543F6D2D-37E6-42B6-AF99-669D992EC03E}"/>
    <hyperlink ref="AB181" r:id="rId14" xr:uid="{921067EC-F4D9-4729-9774-FB075640AE7C}"/>
    <hyperlink ref="AB248" r:id="rId15" xr:uid="{2065C785-CAE5-424F-8445-F64B0AC8DB17}"/>
    <hyperlink ref="AB229" r:id="rId16" xr:uid="{9CCEBEDA-27B2-46EE-B37F-B5C44AFD8A9D}"/>
    <hyperlink ref="AB520" r:id="rId17" xr:uid="{4632D445-6EC1-47A3-AE04-DD10F6C68FEA}"/>
    <hyperlink ref="AB503" r:id="rId18" xr:uid="{BDF0045C-B704-435B-BF8A-45D7DA11A582}"/>
    <hyperlink ref="AB10" r:id="rId19" xr:uid="{001DF863-CCE9-46D3-84A7-5CD8719C2E1E}"/>
    <hyperlink ref="AB305" r:id="rId20" xr:uid="{3DC10DAB-48C2-4F64-A830-4AA8FAF909A7}"/>
    <hyperlink ref="AB304" r:id="rId21" xr:uid="{D61333E7-CA2D-4417-8CC4-418BDE984A03}"/>
    <hyperlink ref="AB228" r:id="rId22" xr:uid="{0991F3FB-B031-47AF-AF3B-144CC1A33119}"/>
    <hyperlink ref="AB92" r:id="rId23" xr:uid="{A8C726B2-EC04-428F-B3B0-D4ECDC8A1E73}"/>
    <hyperlink ref="AB137" r:id="rId24" xr:uid="{0D67B17B-C48B-4B12-BB59-7504C3DD829F}"/>
    <hyperlink ref="AB156" r:id="rId25" xr:uid="{ABC4F40C-B16F-4C16-8D7D-55324CC50676}"/>
    <hyperlink ref="AB239" r:id="rId26" xr:uid="{3566A552-63C6-45E3-8438-300F8BCDB801}"/>
    <hyperlink ref="AB73" r:id="rId27" xr:uid="{BA42EAA4-948E-4208-9CAB-51FCC7D82723}"/>
    <hyperlink ref="AB13" r:id="rId28" xr:uid="{EB62EF5D-2DCF-4CD5-9007-FEE7F136A087}"/>
    <hyperlink ref="AB90" r:id="rId29" xr:uid="{6857AE4D-10EB-471A-9C31-1F9CAA383347}"/>
    <hyperlink ref="AB456" r:id="rId30" xr:uid="{F6363412-1CFB-477C-8AC9-E975AF021138}"/>
    <hyperlink ref="AB458" r:id="rId31" xr:uid="{6F51D722-B04A-4DB4-8438-14BEDD85E05C}"/>
    <hyperlink ref="AB428" r:id="rId32" xr:uid="{97C861D4-7C3E-4841-ACFC-32294C9A2EE9}"/>
    <hyperlink ref="AB427" r:id="rId33" xr:uid="{DE86E81C-35D7-43A2-9F15-D3CD8625B6DC}"/>
    <hyperlink ref="AB367" r:id="rId34" xr:uid="{A3B98200-5B84-4801-B0FD-0396D437E253}"/>
    <hyperlink ref="AB136" r:id="rId35" xr:uid="{AD9885E3-8656-4FCC-9839-A885D12D65A7}"/>
    <hyperlink ref="AB201" r:id="rId36" xr:uid="{EE6F6AEC-F2E7-4749-BA54-C65DDC172D0F}"/>
    <hyperlink ref="AB451" r:id="rId37" xr:uid="{0FC1B248-D1E1-40BA-8804-7890BE00AE67}"/>
    <hyperlink ref="AB266" r:id="rId38" xr:uid="{BAD933A7-1634-4EF1-B648-2CCB29E6E274}"/>
    <hyperlink ref="AB357" r:id="rId39" xr:uid="{639241E6-181F-4BF0-A7A8-2B1049EEC720}"/>
    <hyperlink ref="AB508" r:id="rId40" xr:uid="{1D204821-66AC-4789-83D1-D3B601101BF0}"/>
    <hyperlink ref="AB116" r:id="rId41" xr:uid="{F7015E38-2218-4BDB-BDD6-84BFCBE025E1}"/>
    <hyperlink ref="AB2" r:id="rId42" xr:uid="{60DC28A5-45D6-478C-B3CD-6CF5A32F724E}"/>
    <hyperlink ref="AB527" r:id="rId43" xr:uid="{AFD0356A-9AF4-44E9-BAD6-65489A82D84D}"/>
    <hyperlink ref="AB61" r:id="rId44" xr:uid="{376590D1-F75A-4468-86D3-4D69A26A6157}"/>
    <hyperlink ref="AB142" r:id="rId45" xr:uid="{270B8B61-100B-45F7-B1DE-CEBB0A66BD40}"/>
    <hyperlink ref="AB362" r:id="rId46" xr:uid="{CFAFC6BB-B794-4239-99A4-704E8A6C1B6B}"/>
    <hyperlink ref="AB462" r:id="rId47" xr:uid="{9C920482-2328-4FC5-B81F-FC47E1103915}"/>
    <hyperlink ref="AB267" r:id="rId48" xr:uid="{2F8C8924-4C5D-41DE-B8D3-C51CE38B5123}"/>
    <hyperlink ref="AB416" r:id="rId49" xr:uid="{4DADBF72-4EB5-412F-A6B7-9DF7F67EC7D9}"/>
    <hyperlink ref="AB505" r:id="rId50" xr:uid="{4C2B93AF-8D17-4CF8-B961-59C1C24D6775}"/>
    <hyperlink ref="AB79" r:id="rId51" xr:uid="{C82A1D73-F161-41A5-B8CD-904AFEBAEC13}"/>
    <hyperlink ref="AB134" r:id="rId52" xr:uid="{FFB0926B-1A7C-4149-9BBF-AADA77E0D342}"/>
    <hyperlink ref="AB36" r:id="rId53" xr:uid="{6B5BCEF7-30E8-414F-8C25-20E9D37174C5}"/>
    <hyperlink ref="AB23" r:id="rId54" xr:uid="{A2039076-5EA2-419B-830F-4520B3B97152}"/>
    <hyperlink ref="AB48" r:id="rId55" xr:uid="{B97CC3DB-0B42-429F-870D-C00DF0782BC8}"/>
    <hyperlink ref="AB40" r:id="rId56" xr:uid="{F766886B-33F5-406E-ADF0-4393E74F04D5}"/>
    <hyperlink ref="AB32" r:id="rId57" xr:uid="{D167B216-59EB-45CD-9C4B-AAF4B4031E81}"/>
    <hyperlink ref="AB82" r:id="rId58" xr:uid="{ED3BDAD5-C757-4852-B33E-8A450A2EADED}"/>
    <hyperlink ref="AB102" r:id="rId59" xr:uid="{E11D12F3-2C63-46EC-974B-00454FD736E4}"/>
    <hyperlink ref="AB81" r:id="rId60" xr:uid="{EAEF3155-CB50-468B-9EB9-579969F2F185}"/>
    <hyperlink ref="AB140" r:id="rId61" xr:uid="{BA565F79-D9E9-48FA-A1AE-2137D1750C39}"/>
    <hyperlink ref="AB453" r:id="rId62" xr:uid="{18B8224D-E60A-4F24-9995-3E0D643045EC}"/>
    <hyperlink ref="AB114" r:id="rId63" xr:uid="{83FA075C-9CEE-47A0-9A9C-0289E1078FF0}"/>
    <hyperlink ref="AB146" r:id="rId64" xr:uid="{07D92BB3-28DE-4E25-86A3-13CD12D8C654}"/>
    <hyperlink ref="AB171" r:id="rId65" xr:uid="{4F980BFA-E3C9-458E-9FAA-9542586F8B63}"/>
    <hyperlink ref="AB176" r:id="rId66" xr:uid="{2C362A14-425A-42B9-A1EE-7DF6EBE9171E}"/>
    <hyperlink ref="AB178" r:id="rId67" xr:uid="{68C81F7C-30AB-401A-8AA1-D0131C2D5781}"/>
    <hyperlink ref="AB225" r:id="rId68" xr:uid="{8897CF99-FCD1-4344-9267-A6A044A1C26F}"/>
    <hyperlink ref="AB200" r:id="rId69" xr:uid="{C0924A39-562C-4259-A008-1B23F2B3809F}"/>
    <hyperlink ref="AB204" r:id="rId70" xr:uid="{85DED218-A26B-498A-9DB9-0C29E613C6FC}"/>
    <hyperlink ref="AB213" r:id="rId71" xr:uid="{2E828453-45D9-4E03-93C7-D3A9BD6B05FF}"/>
    <hyperlink ref="AB215" r:id="rId72" xr:uid="{BE43C623-8C5E-461C-B78D-5745FCD6C9F3}"/>
    <hyperlink ref="AB202" r:id="rId73" xr:uid="{4119E484-A15C-40CF-8EA6-F982170A7456}"/>
    <hyperlink ref="AB246" r:id="rId74" xr:uid="{40230B51-FB6B-4389-AE4E-E7A62ACE6406}"/>
    <hyperlink ref="AB249" r:id="rId75" xr:uid="{52EE3833-78D0-4CFE-8DE6-3FC4B91FF2DC}"/>
    <hyperlink ref="AB260" r:id="rId76" xr:uid="{3AA71B06-57CE-4F91-8149-F5F1D67B9D0D}"/>
    <hyperlink ref="AB270" r:id="rId77" xr:uid="{751E964F-0601-4D92-A553-BD40EE415A2A}"/>
    <hyperlink ref="AB351" r:id="rId78" xr:uid="{789A390E-216C-479F-820F-F880A952CE3F}"/>
    <hyperlink ref="AB354" r:id="rId79" xr:uid="{C1090E0E-E7F9-4000-8B00-BC9509101D94}"/>
    <hyperlink ref="AB332" r:id="rId80" xr:uid="{9F72D289-CEA5-46B6-93C6-EEAB9747998F}"/>
    <hyperlink ref="AB385" r:id="rId81" xr:uid="{F8988B94-1D2B-4AE7-99E7-AEA7E8A6132F}"/>
    <hyperlink ref="AB413" r:id="rId82" xr:uid="{24F19967-60A5-4437-AD4A-799A3238319F}"/>
    <hyperlink ref="AB452" r:id="rId83" xr:uid="{16350452-74C0-44E6-B603-FDCDCA0C7BC6}"/>
    <hyperlink ref="AB495" r:id="rId84" xr:uid="{79D079F5-5516-4B6A-A920-8E85B18AE3FB}"/>
    <hyperlink ref="AB493" r:id="rId85" xr:uid="{A99AC10C-E389-4A7B-BA42-B5D3F8E05FD3}"/>
    <hyperlink ref="AB524" r:id="rId86" xr:uid="{5D195CA5-26A5-4460-8EC1-ECE8E9FD46BD}"/>
    <hyperlink ref="AB509" r:id="rId87" xr:uid="{FE3C790F-E7A3-459A-A08B-053569C04097}"/>
    <hyperlink ref="AB523" r:id="rId88" xr:uid="{C277DBDB-1384-4F80-A613-2FCAAA9E0218}"/>
    <hyperlink ref="AB537" r:id="rId89" xr:uid="{FAA5DBB9-E79C-4F4A-B168-AE011644C08B}"/>
    <hyperlink ref="AB546" r:id="rId90" xr:uid="{1D0FC2E4-D0F9-4064-83F9-875C4317447E}"/>
    <hyperlink ref="AB559" r:id="rId91" xr:uid="{B01FE05B-C062-43AB-800C-E943DD05AF23}"/>
    <hyperlink ref="AB438" r:id="rId92" xr:uid="{25BC462F-0CF5-40B9-8A57-4866688F29B7}"/>
    <hyperlink ref="AB231" r:id="rId93" xr:uid="{DC2E652D-400C-4CBC-BFE5-0D17F66D7CEB}"/>
    <hyperlink ref="AB344" r:id="rId94" xr:uid="{19540415-06EA-40CC-8478-BA6504C4DCE6}"/>
    <hyperlink ref="AB22" r:id="rId95" xr:uid="{DD0E6FFE-E437-497C-9468-0B965F5C114B}"/>
    <hyperlink ref="AB504" r:id="rId96" xr:uid="{99C7A0BB-9E59-4608-B0BD-462C336D5EAE}"/>
    <hyperlink ref="AB113" r:id="rId97" xr:uid="{DEDC706B-CF0C-445D-97E9-E56B2AB9934B}"/>
    <hyperlink ref="AB536" r:id="rId98" xr:uid="{88421EB4-2FA4-49B8-98DA-9DD2B2C307BA}"/>
    <hyperlink ref="AB318" r:id="rId99" xr:uid="{770CCC3F-F044-4FF7-94B8-AB7012FA32E1}"/>
    <hyperlink ref="AB491" r:id="rId100" xr:uid="{BD946912-D537-4100-A025-75B170C87254}"/>
    <hyperlink ref="AB340" r:id="rId101" xr:uid="{8C1253E9-EC85-434B-A3AB-9F9241D67448}"/>
    <hyperlink ref="AB185" r:id="rId102" xr:uid="{356B3195-B4F2-42FA-95A5-8F27AFF3411C}"/>
    <hyperlink ref="AB192" r:id="rId103" xr:uid="{2A1FCD21-8834-4EE9-B906-57434F0D16D9}"/>
    <hyperlink ref="AB172" r:id="rId104" xr:uid="{41894E13-E4F3-4418-8C84-6DE9EF0C3517}"/>
    <hyperlink ref="AB273" r:id="rId105" xr:uid="{4EEB6AD7-2AFF-4806-984B-5ECAE7C319F9}"/>
    <hyperlink ref="AB83" r:id="rId106" xr:uid="{B22DC294-72E3-48D0-9FDC-4B849B80770F}"/>
    <hyperlink ref="AB59" r:id="rId107" xr:uid="{AACBBD69-F181-4BC1-B9BB-9AB61B867DB9}"/>
    <hyperlink ref="AB18" r:id="rId108" xr:uid="{29E2EBE2-8B3B-4D8C-8836-3693527C10A3}"/>
    <hyperlink ref="AB300" r:id="rId109" xr:uid="{D74C265A-CB21-4D77-8ADE-AA3E14230225}"/>
    <hyperlink ref="AB166" r:id="rId110" xr:uid="{F062678E-F849-4B02-B787-BC24F393D950}"/>
    <hyperlink ref="AB312" r:id="rId111" xr:uid="{4ECB4E4D-22F5-4514-9976-37EF019BE740}"/>
    <hyperlink ref="AB233" r:id="rId112" xr:uid="{64F43518-DA69-4C1C-B2CF-4849BA40B6A3}"/>
    <hyperlink ref="AB108" r:id="rId113" xr:uid="{9E8C8DC7-729B-4923-98E4-81511AFAC9E6}"/>
    <hyperlink ref="AB474" r:id="rId114" xr:uid="{904C52BD-A04D-4CEA-B3F0-C87E648C028F}"/>
    <hyperlink ref="AB441" r:id="rId115" xr:uid="{C75EB3D2-C841-4B7A-8CFA-EFACD0B5A978}"/>
    <hyperlink ref="AB274" r:id="rId116" xr:uid="{A4A422E6-EB77-425A-B67D-4F7EC5480B6C}"/>
    <hyperlink ref="AB471" r:id="rId117" xr:uid="{BB28D66D-3671-4147-9C85-EC5941DA62CE}"/>
    <hyperlink ref="AB264" r:id="rId118" xr:uid="{D93FA3FB-51B7-48A7-BF7F-F8062905A5A0}"/>
    <hyperlink ref="AB432" r:id="rId119" xr:uid="{0CD655C5-788A-4876-BBFB-9BCE2B740825}"/>
    <hyperlink ref="AB377" r:id="rId120" xr:uid="{A0802FC0-DD0D-41D4-A99A-F94BA71769DC}"/>
    <hyperlink ref="AB277" r:id="rId121" xr:uid="{C93E378A-EB53-47CD-816B-CA975F68340C}"/>
    <hyperlink ref="AB144" r:id="rId122" xr:uid="{B8B115C2-3C40-4FFD-A27C-5A0606963E52}"/>
    <hyperlink ref="AB497" r:id="rId123" xr:uid="{ACC380F2-B291-4E18-9EA9-36183574AC49}"/>
    <hyperlink ref="AB99" r:id="rId124" xr:uid="{94515445-5F8E-45F3-8BF8-5BAD48ED36E3}"/>
    <hyperlink ref="AB238" r:id="rId125" xr:uid="{7D2AA3CB-A781-4513-89C5-5D818D47DB62}"/>
    <hyperlink ref="AB514" r:id="rId126" xr:uid="{875BC143-9F7E-4A62-BBE7-FE73BBCB44A4}"/>
    <hyperlink ref="AB356" r:id="rId127" xr:uid="{A1BF9FB7-7311-4051-A7AD-ED05E62A5855}"/>
    <hyperlink ref="AB388" r:id="rId128" xr:uid="{2D291D52-5CD3-4F7E-85AB-4955ACE74343}"/>
    <hyperlink ref="AB333" r:id="rId129" xr:uid="{B1AAF095-7E4E-47C7-8BA7-ACD3D7F96C88}"/>
    <hyperlink ref="AB157" r:id="rId130" xr:uid="{F01F7D0B-36F9-429A-A5AE-113964422582}"/>
    <hyperlink ref="AB350" r:id="rId131" xr:uid="{51B54D66-A5CF-4485-92D9-B8111E5F69E7}"/>
    <hyperlink ref="AB86" r:id="rId132" xr:uid="{D6630255-6ED2-4090-98C6-C74F84EA93E9}"/>
    <hyperlink ref="AB531" r:id="rId133" xr:uid="{0F1049AC-6E3E-41D8-866D-C451669376D0}"/>
    <hyperlink ref="AB254" r:id="rId134" xr:uid="{D7D83E45-45CE-48E8-935B-2F4DE10D6D22}"/>
    <hyperlink ref="AB443" r:id="rId135" xr:uid="{C62D7885-435B-4B21-BAF3-D53DE09FFD48}"/>
    <hyperlink ref="AB255" r:id="rId136" xr:uid="{494A19B4-B70E-4F4C-A54F-A071C3828CFE}"/>
    <hyperlink ref="AB262" r:id="rId137" xr:uid="{8331E566-473B-41E0-9184-BE9ADE754F72}"/>
    <hyperlink ref="AB242" r:id="rId138" xr:uid="{C04E27A1-25C6-4DF7-885F-DAB7E57248AE}"/>
    <hyperlink ref="AB51" r:id="rId139" xr:uid="{32AA668A-1600-4E3B-9F74-C18CE36491DC}"/>
    <hyperlink ref="AB128" r:id="rId140" xr:uid="{2C0E2CB5-2713-4819-9C28-D6103C8BA18D}"/>
    <hyperlink ref="AB429" r:id="rId141" xr:uid="{97B8C758-1641-4545-B7D4-650855784069}"/>
    <hyperlink ref="AB138" r:id="rId142" xr:uid="{57634108-F7DA-4C47-8CE0-D1DD6F4AB6FF}"/>
    <hyperlink ref="AB253" r:id="rId143" xr:uid="{56888A88-5567-4BDF-9A43-C6910CC7F68E}"/>
    <hyperlink ref="AB251" r:id="rId144" xr:uid="{10CC7F7C-72D2-4B9E-892F-89193E3109EA}"/>
    <hyperlink ref="AB224" r:id="rId145" xr:uid="{FF544324-C638-444C-9517-1B8A9D78E819}"/>
    <hyperlink ref="AB472" r:id="rId146" xr:uid="{B4E515D2-B171-42F3-85CE-885C45B29704}"/>
    <hyperlink ref="AB232" r:id="rId147" xr:uid="{E7C945D5-E13A-48FE-AB7D-1EFECB0FC1CB}"/>
    <hyperlink ref="AB415" r:id="rId148" xr:uid="{5FA5AEE4-2C29-448F-98CA-AEFEDE07A208}"/>
    <hyperlink ref="AB197" r:id="rId149" xr:uid="{980F2734-C6FB-400D-9DF3-3BF64BA0C88D}"/>
    <hyperlink ref="AB208" r:id="rId150" xr:uid="{ED6B0DBF-1023-4965-B2B4-642E08692385}"/>
    <hyperlink ref="AB447" r:id="rId151" xr:uid="{4A7C8B7E-2F2C-4B9E-ACCE-595B5FA00310}"/>
    <hyperlink ref="AB368" r:id="rId152" xr:uid="{CC9A52FC-F223-41AA-870A-5890C5929C6B}"/>
    <hyperlink ref="AB481" r:id="rId153" xr:uid="{034EB17B-626B-4E05-971B-900E5A353E95}"/>
    <hyperlink ref="AB352" r:id="rId154" xr:uid="{174E7035-27E3-4F6E-B642-D271608A1A04}"/>
    <hyperlink ref="AB60" r:id="rId155" xr:uid="{5DF9E157-D666-4B75-98CF-D38DD7A4E57D}"/>
    <hyperlink ref="AB94" r:id="rId156" xr:uid="{9EF3DFDF-0597-4154-AF7B-18F705BF594E}"/>
    <hyperlink ref="AB103" r:id="rId157" xr:uid="{5A74C623-DA88-4BAC-B9F2-B1FA20C0F8BB}"/>
    <hyperlink ref="AB122" r:id="rId158" xr:uid="{1A6E6B1D-2BD8-4CAE-A44F-C334F543942D}"/>
    <hyperlink ref="AB324" r:id="rId159" xr:uid="{7E157B54-C7F8-498A-8226-7AFA63B0213A}"/>
    <hyperlink ref="AB119" r:id="rId160" xr:uid="{DD127CBB-0D85-47D6-87A2-58672C6C2031}"/>
    <hyperlink ref="AB345" r:id="rId161" xr:uid="{641A1AC1-7524-4F68-8C32-9D5967AAE676}"/>
    <hyperlink ref="AB343" r:id="rId162" xr:uid="{F350EE76-5A0A-4D2D-BFB4-2B5BA18BCD62}"/>
    <hyperlink ref="AB301" r:id="rId163" xr:uid="{254D06C5-8445-42E5-B529-DBECF89902EB}"/>
    <hyperlink ref="AB14" r:id="rId164" xr:uid="{31065937-252B-4100-A0D5-6D5858C5888B}"/>
    <hyperlink ref="AB194" r:id="rId165" xr:uid="{593522CD-E032-4F11-A01A-FA2E2F7AE7F9}"/>
    <hyperlink ref="AB457" r:id="rId166" xr:uid="{3EC1E95B-D6D6-4AE8-9969-A54DB3927DE9}"/>
    <hyperlink ref="AB261" r:id="rId167" xr:uid="{28E77EBF-A737-4CAD-9E43-726CB236BB0B}"/>
    <hyperlink ref="AB530" r:id="rId168" xr:uid="{CA519B20-FC59-43D3-B3BD-597BF2727CC8}"/>
    <hyperlink ref="AB34" r:id="rId169" xr:uid="{B6B1320C-901B-4F2E-8479-06DCDF120CAC}"/>
    <hyperlink ref="AB342" r:id="rId170" xr:uid="{43AF2F8E-E053-425C-A0C4-5014A1D13A93}"/>
    <hyperlink ref="AB375" r:id="rId171" xr:uid="{C9835846-DB55-4DA4-942C-CB4ECE78F360}"/>
    <hyperlink ref="AB558" r:id="rId172" xr:uid="{54A1B4C2-7670-4515-8ACB-9D3C4B0592B4}"/>
    <hyperlink ref="AB91" r:id="rId173" xr:uid="{EDA644E5-1AA4-4A31-890C-2ADCC574D5D3}"/>
    <hyperlink ref="AB483" r:id="rId174" xr:uid="{C575FB09-958E-49AC-BC44-D1CB0A749E61}"/>
    <hyperlink ref="AB394" r:id="rId175" xr:uid="{5DA08686-980A-4FB2-B5C8-7AF24DE1F495}"/>
    <hyperlink ref="AB21" r:id="rId176" xr:uid="{73965270-DB96-4564-95CD-320C0FEFF0B7}"/>
    <hyperlink ref="AB101" r:id="rId177" xr:uid="{E261EF3B-66A3-4BA5-8C10-C7AFA244D289}"/>
    <hyperlink ref="AB100" r:id="rId178" xr:uid="{46C3A64A-166C-4452-ADC6-1C13AE1992D7}"/>
    <hyperlink ref="AB477" r:id="rId179" xr:uid="{51ACF6C5-FD62-4C31-AC1A-43E37822E2B7}"/>
    <hyperlink ref="AB183" r:id="rId180" xr:uid="{89F37319-A1A6-426A-A9F4-02E67B2B28EA}"/>
    <hyperlink ref="AB292" r:id="rId181" xr:uid="{622A05DB-6757-43C5-A499-7248E2E3332B}"/>
    <hyperlink ref="AB534" r:id="rId182" xr:uid="{95368079-D578-4857-8007-F8709C046B6A}"/>
    <hyperlink ref="AB329" r:id="rId183" xr:uid="{8FFEA215-15B5-4CCF-B3E3-44B26DF5CCBC}"/>
    <hyperlink ref="AB214" r:id="rId184" xr:uid="{54E1920F-393A-4E42-9E33-CA4FF9C56003}"/>
    <hyperlink ref="AB258" r:id="rId185" xr:uid="{E91D8CC7-6CF4-4016-A72B-1A47D2ECDB4B}"/>
    <hyperlink ref="AB209" r:id="rId186" xr:uid="{ABDD4593-8434-4622-A48A-B86FEA9CE5C5}"/>
    <hyperlink ref="AB398" r:id="rId187" xr:uid="{4014E1E5-7061-4C67-9D94-4EB114B90C36}"/>
    <hyperlink ref="AB180" r:id="rId188" xr:uid="{AF440658-F3DE-4152-9CD4-2EBFB824231C}"/>
    <hyperlink ref="AB80" r:id="rId189" xr:uid="{E2CFE231-F852-4A95-866D-43D1C104A95A}"/>
    <hyperlink ref="AB240" r:id="rId190" xr:uid="{39C7958A-22D5-42B3-9F33-CE3A25F1D28D}"/>
    <hyperlink ref="AB89" r:id="rId191" xr:uid="{FC44E856-87FF-4979-B646-045378DEE934}"/>
    <hyperlink ref="AB494" r:id="rId192" xr:uid="{A5CAD31F-2576-4523-87CB-AC4AA4460DFE}"/>
    <hyperlink ref="AB199" r:id="rId193" xr:uid="{7CC9CBFE-4FC0-4C3A-9C07-B0BFBE7EF811}"/>
    <hyperlink ref="AB297" r:id="rId194" xr:uid="{4F4027A3-238E-43B9-AFC0-35D71392D368}"/>
    <hyperlink ref="AB190" r:id="rId195" xr:uid="{38F48991-835C-421C-B153-5DDE5446682F}"/>
    <hyperlink ref="AB322" r:id="rId196" xr:uid="{F519493B-04CD-45A2-8B49-2F8ED490858A}"/>
    <hyperlink ref="AB252" r:id="rId197" xr:uid="{8FAFEBE4-24E1-43E9-A38A-6684DDA4DDAC}"/>
    <hyperlink ref="AB118" r:id="rId198" xr:uid="{2708E1BA-C254-4395-B1E5-888C0EFB8733}"/>
    <hyperlink ref="AB422" r:id="rId199" xr:uid="{7627575D-DDA1-41F8-952D-860A1B363A17}"/>
    <hyperlink ref="AB417" r:id="rId200" xr:uid="{AF7B77D5-8D66-4664-8311-ABC3DA1FA623}"/>
    <hyperlink ref="AB407" r:id="rId201" xr:uid="{D4ABD389-F5E5-4E05-BA4A-C3294BA49D26}"/>
    <hyperlink ref="AB390" r:id="rId202" xr:uid="{8E9B4E2E-03C7-4C9E-98FE-9DB195E59129}"/>
    <hyperlink ref="AB533" r:id="rId203" xr:uid="{8481EB00-C897-408E-9F7B-A5C0E34D0239}"/>
    <hyperlink ref="AB237" r:id="rId204" xr:uid="{D21CFE80-8879-4182-8040-1EAEEF395F7A}"/>
    <hyperlink ref="AB278" r:id="rId205" xr:uid="{CD8F12AA-BCC3-414A-B9E3-FA65A9C5582D}"/>
    <hyperlink ref="AB307" r:id="rId206" xr:uid="{C7A3B824-BBB6-4999-980D-B10C02C057EF}"/>
    <hyperlink ref="AB39" r:id="rId207" xr:uid="{CA2E377E-0B9D-46D6-A099-2CDFF99E8848}"/>
    <hyperlink ref="AB74" r:id="rId208" xr:uid="{C968E976-3832-4D91-95DB-6304AB37EECD}"/>
    <hyperlink ref="AB50" r:id="rId209" xr:uid="{0B869B76-0CBE-4462-A56B-F2E249BB6A1A}"/>
    <hyperlink ref="AB6" r:id="rId210" xr:uid="{65CC530B-3F17-4BCA-96B9-70D2A4A90BF0}"/>
    <hyperlink ref="AB4" r:id="rId211" xr:uid="{475D3337-606C-4B67-A1F1-1793565B1F3F}"/>
    <hyperlink ref="AB372" r:id="rId212" xr:uid="{513F7B94-11A5-494B-B29A-A8D63270E319}"/>
    <hyperlink ref="AB58" r:id="rId213" xr:uid="{309789B2-68F2-45CD-91EC-84FD6D9E4AC9}"/>
    <hyperlink ref="AB320" r:id="rId214" xr:uid="{7FB79F6D-417C-42B1-8E35-FC48B7E38C5A}"/>
    <hyperlink ref="AB162" r:id="rId215" xr:uid="{D25545C8-7306-4E46-828D-E65A43081036}"/>
    <hyperlink ref="AB56" r:id="rId216" xr:uid="{9270386E-F1E8-482D-BE69-380988A2C3CF}"/>
    <hyperlink ref="AB87" r:id="rId217" xr:uid="{446A8E3C-E16C-405C-85D7-09B754667DBC}"/>
    <hyperlink ref="AB547" r:id="rId218" xr:uid="{78BBCE4F-3E50-490B-81C6-47C710026814}"/>
    <hyperlink ref="AB193" r:id="rId219" xr:uid="{2202F72B-5026-4820-9965-BC6FA9FE2CCD}"/>
    <hyperlink ref="AB173" r:id="rId220" xr:uid="{A55BD2D0-97B3-44EE-98B7-E9840DE726EF}"/>
    <hyperlink ref="AB482" r:id="rId221" xr:uid="{B9515ABA-2BA6-40CE-B881-D73F1AC54D38}"/>
    <hyperlink ref="AB478" r:id="rId222" xr:uid="{947DD04E-D928-42AD-A993-6C9D6734458A}"/>
    <hyperlink ref="AB426" r:id="rId223" xr:uid="{69D68E9A-9837-4A13-B703-28F153085DFB}"/>
    <hyperlink ref="AB553" r:id="rId224" xr:uid="{1DBAE836-DB0B-450A-9880-BFACA9610FE3}"/>
    <hyperlink ref="AB468" r:id="rId225" xr:uid="{02C00CCD-6BAD-4FBD-B506-D3B3C16DFDE6}"/>
    <hyperlink ref="AB241" r:id="rId226" xr:uid="{361E2AAA-9CBA-4AA5-B28E-ECD91C48BA51}"/>
    <hyperlink ref="AB552" r:id="rId227" xr:uid="{C265F691-F039-42B6-8DCD-9F3529647438}"/>
    <hyperlink ref="AB149" r:id="rId228" xr:uid="{206EC65A-DCEB-49DA-B50E-07F9E77FE207}"/>
    <hyperlink ref="AB77" r:id="rId229" xr:uid="{B81C7D3A-99BD-40D3-AE8A-01FBF4C78714}"/>
    <hyperlink ref="AB423" r:id="rId230" xr:uid="{C945505A-6A64-4EB7-89D9-2A5368D4108B}"/>
    <hyperlink ref="AB311" r:id="rId231" xr:uid="{9A54F51F-F246-469F-8221-0E7EABE35210}"/>
    <hyperlink ref="AB439" r:id="rId232" xr:uid="{3B5660DC-061C-4215-AFB4-55D45978120F}"/>
    <hyperlink ref="AB27" r:id="rId233" xr:uid="{EE803FE2-FE0A-4ECE-806E-7880986CAD54}"/>
    <hyperlink ref="AB319" r:id="rId234" xr:uid="{3DFC8B94-3810-4F57-ADE6-573067933DE8}"/>
    <hyperlink ref="AB392" r:id="rId235" xr:uid="{DECBD0FD-72EB-45ED-88B7-E24B5AAFE8ED}"/>
    <hyperlink ref="AB148" r:id="rId236" xr:uid="{D88AC058-D20D-40B5-8D4C-24267146FE38}"/>
    <hyperlink ref="AB211" r:id="rId237" xr:uid="{76329EF3-5DBE-43D5-8BA8-193CC4DA5B43}"/>
    <hyperlink ref="AB334" r:id="rId238" xr:uid="{BC2C88BD-E16E-4F22-83C2-6BB150880FF2}"/>
    <hyperlink ref="AB316" r:id="rId239" xr:uid="{0EF8F504-1247-4944-A9DA-F161D8BDB3FB}"/>
    <hyperlink ref="AB153" r:id="rId240" xr:uid="{36F8EA4B-5BCC-48C2-A825-96760715F0C9}"/>
    <hyperlink ref="AB445" r:id="rId241" xr:uid="{DF5AC541-095E-415E-BBF8-7998CEE23F8E}"/>
    <hyperlink ref="AB353" r:id="rId242" xr:uid="{95EA573A-8441-473A-9D28-D7A26F45B92A}"/>
    <hyperlink ref="AB550" r:id="rId243" xr:uid="{894F0275-36C5-456A-91D0-758AE5436D1D}"/>
    <hyperlink ref="AB244" r:id="rId244" xr:uid="{4179B2B5-A720-4972-9B8A-E2FB892492AA}"/>
    <hyperlink ref="AB11" r:id="rId245" xr:uid="{4A7575B6-868C-414A-82BE-E6995A13C318}"/>
    <hyperlink ref="AB379" r:id="rId246" xr:uid="{906D2459-92E0-4714-A56F-8ABB89AC0CD8}"/>
    <hyperlink ref="AB234" r:id="rId247" xr:uid="{7B5557DB-2CCF-437A-92A9-F6D9FFC2C70D}"/>
    <hyperlink ref="AB455" r:id="rId248" xr:uid="{0881BD05-05F4-4AB9-86C9-18BCA49A0FFE}"/>
    <hyperlink ref="AB391" r:id="rId249" xr:uid="{3B1CAB12-B3F1-46F2-B822-4E8B406A49FC}"/>
    <hyperlink ref="AB293" r:id="rId250" xr:uid="{37EDF325-691E-43A6-9CF6-BC0BD038ACDF}"/>
    <hyperlink ref="AB287" r:id="rId251" xr:uid="{2E78AD4B-F82D-4FF3-813E-D8F04CFAC628}"/>
    <hyperlink ref="AB517" r:id="rId252" xr:uid="{D91BA7C8-584C-4188-93A6-C9D6675ABE5C}"/>
    <hyperlink ref="AB419" r:id="rId253" xr:uid="{A606E01C-42AA-4123-A6A2-D25248766A7A}"/>
    <hyperlink ref="AB9" r:id="rId254" xr:uid="{FC00590C-E72D-4A9E-A3B4-A8416F2655E2}"/>
    <hyperlink ref="AB35" r:id="rId255" xr:uid="{6AF047EC-1E47-4A28-9A14-6FBB63D7AE03}"/>
    <hyperlink ref="AB28" r:id="rId256" xr:uid="{866A76B1-BDA1-4DF1-8E6D-C3576FE79248}"/>
    <hyperlink ref="AB163" r:id="rId257" xr:uid="{545C758D-1B74-4797-90F1-60159B626F4C}"/>
    <hyperlink ref="AB291" r:id="rId258" xr:uid="{778AD7FC-D112-4099-B6A3-79831F020D03}"/>
    <hyperlink ref="AB365" r:id="rId259" xr:uid="{2DE1D154-FE36-419D-976A-90B61052637E}"/>
    <hyperlink ref="AB198" r:id="rId260" xr:uid="{18E56DB7-D037-47A8-AA96-C063A4F9D85B}"/>
    <hyperlink ref="AB30" r:id="rId261" xr:uid="{9E51538F-EDFA-488A-BB08-09964B6DB097}"/>
    <hyperlink ref="AB289" r:id="rId262" xr:uid="{5A0D85D3-0A43-4167-A2BB-0785D1B08C26}"/>
    <hyperlink ref="AB347" r:id="rId263" xr:uid="{F16FD276-2745-468E-9C18-F8061945FF6E}"/>
    <hyperlink ref="AB284" r:id="rId264" xr:uid="{9895356D-04D7-4DBF-8A24-856C8B58E4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JANUARI</vt:lpstr>
      <vt:lpstr>PEB</vt:lpstr>
      <vt:lpstr>MARET</vt:lpstr>
      <vt:lpstr>APRIL</vt:lpstr>
      <vt:lpstr>MEI</vt:lpstr>
      <vt:lpstr>JUNI</vt:lpstr>
      <vt:lpstr>JANUARI!Print_Area</vt:lpstr>
      <vt:lpstr>MARET!Print_Area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DPP</dc:creator>
  <cp:lastModifiedBy>Microsoft Office User</cp:lastModifiedBy>
  <cp:lastPrinted>2026-02-19T05:56:10Z</cp:lastPrinted>
  <dcterms:created xsi:type="dcterms:W3CDTF">2026-01-05T03:50:44Z</dcterms:created>
  <dcterms:modified xsi:type="dcterms:W3CDTF">2026-07-06T04:12:11Z</dcterms:modified>
</cp:coreProperties>
</file>